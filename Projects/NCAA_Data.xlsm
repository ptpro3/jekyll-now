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0" codeName="{B1BEFC71-4687-E4F5-767E-874F2C42665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rashant/Desktop/WORK/UpWork/AZemcik/SUBMISSION/"/>
    </mc:Choice>
  </mc:AlternateContent>
  <xr:revisionPtr revIDLastSave="0" documentId="13_ncr:1_{B021C27F-F276-F843-95FA-D3F610323D02}" xr6:coauthVersionLast="45" xr6:coauthVersionMax="45" xr10:uidLastSave="{00000000-0000-0000-0000-000000000000}"/>
  <bookViews>
    <workbookView xWindow="0" yWindow="460" windowWidth="38400" windowHeight="22400" tabRatio="718" xr2:uid="{00000000-000D-0000-FFFF-FFFF00000000}"/>
  </bookViews>
  <sheets>
    <sheet name="Home" sheetId="52" r:id="rId1"/>
    <sheet name="Rank" sheetId="17" r:id="rId2"/>
    <sheet name="Old Data" sheetId="14" r:id="rId3"/>
  </sheets>
  <externalReferences>
    <externalReference r:id="rId4"/>
  </externalReferences>
  <definedNames>
    <definedName name="_xlnm._FilterDatabase" localSheetId="2" hidden="1">'Old Data'!$B$1:$Y$172</definedName>
    <definedName name="_xlnm._FilterDatabase" localSheetId="1" hidden="1">Rank!$A$5:$P$725</definedName>
    <definedName name="Current_Week">#REF!</definedName>
    <definedName name="logit">[1]BOOTSTRAP!$B$2:$B$5</definedName>
    <definedName name="OpenSolver_ChosenSolver" localSheetId="1" hidden="1">Bonmin</definedName>
    <definedName name="OpenSolver_DualsNewSheet" localSheetId="1" hidden="1">0</definedName>
    <definedName name="OpenSolver_LinearityCheck" localSheetId="1" hidden="1">1</definedName>
    <definedName name="OpenSolver_UpdateSensitivity" localSheetId="1" hidden="1">1</definedName>
    <definedName name="Past_Week">#REF!</definedName>
    <definedName name="porbit">[1]BOOTSTRAP!$B$1:$B$5</definedName>
    <definedName name="RATING" localSheetId="1">Rank!$S$24:$S$35</definedName>
    <definedName name="sample">[1]BOOTSTRAP!$A$2:$A$5</definedName>
    <definedName name="solver_adj" localSheetId="1" hidden="1">Rank!$AE$6:$AF$37,Rank!$E$2</definedName>
    <definedName name="solver_cvg" localSheetId="1" hidden="1">0.0001</definedName>
    <definedName name="solver_drv" localSheetId="1" hidden="1">1</definedName>
    <definedName name="solver_eng" localSheetId="2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Rank!$P$2:$Q$2</definedName>
    <definedName name="solver_lhs2" localSheetId="1" hidden="1">Rank!$BS$10</definedName>
    <definedName name="solver_lhs3" localSheetId="1" hidden="1">Rank!$BU$10</definedName>
    <definedName name="solver_lhs4" localSheetId="1" hidden="1">Rank!$BU$10</definedName>
    <definedName name="solver_lhs5" localSheetId="1" hidden="1">Rank!$BW$10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2" hidden="1">1</definedName>
    <definedName name="solver_neg" localSheetId="1" hidden="1">2</definedName>
    <definedName name="solver_nod" localSheetId="1" hidden="1">2147483647</definedName>
    <definedName name="solver_num" localSheetId="2" hidden="1">0</definedName>
    <definedName name="solver_num" localSheetId="1" hidden="1">1</definedName>
    <definedName name="solver_nwt" localSheetId="1" hidden="1">1</definedName>
    <definedName name="solver_opt" localSheetId="2" hidden="1">'Old Data'!#REF!</definedName>
    <definedName name="solver_opt" localSheetId="1" hidden="1">Rank!$R$2</definedName>
    <definedName name="solver_pre" localSheetId="1" hidden="1">0.000001</definedName>
    <definedName name="solver_rbv" localSheetId="1" hidden="1">1</definedName>
    <definedName name="solver_rel1" localSheetId="1" hidden="1">2</definedName>
    <definedName name="solver_rel2" localSheetId="1" hidden="1">1</definedName>
    <definedName name="solver_rel3" localSheetId="1" hidden="1">1</definedName>
    <definedName name="solver_rel4" localSheetId="1" hidden="1">1</definedName>
    <definedName name="solver_rel5" localSheetId="1" hidden="1">1</definedName>
    <definedName name="solver_rhs1" localSheetId="1" hidden="1">0</definedName>
    <definedName name="solver_rhs2" localSheetId="1" hidden="1">1</definedName>
    <definedName name="solver_rhs3" localSheetId="1" hidden="1">1</definedName>
    <definedName name="solver_rhs4" localSheetId="1" hidden="1">1</definedName>
    <definedName name="solver_rhs5" localSheetId="1" hidden="1">1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2" hidden="1">1</definedName>
    <definedName name="solver_typ" localSheetId="1" hidden="1">2</definedName>
    <definedName name="solver_val" localSheetId="2" hidden="1">0</definedName>
    <definedName name="solver_val" localSheetId="1" hidden="1">0</definedName>
    <definedName name="solver_ver" localSheetId="2" hidden="1">3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760" i="14" l="1"/>
  <c r="A759" i="14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2" i="14" l="1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3" i="14"/>
  <c r="A204" i="14"/>
  <c r="A205" i="14"/>
  <c r="A206" i="14"/>
  <c r="A207" i="14"/>
  <c r="A208" i="14"/>
  <c r="A209" i="14"/>
  <c r="A210" i="14"/>
  <c r="A211" i="14"/>
  <c r="A212" i="14"/>
  <c r="A213" i="14"/>
  <c r="A214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227" i="14"/>
  <c r="A228" i="14"/>
  <c r="A229" i="14"/>
  <c r="A230" i="14"/>
  <c r="A231" i="14"/>
  <c r="A232" i="14"/>
  <c r="A233" i="14"/>
  <c r="A234" i="14"/>
  <c r="A235" i="14"/>
  <c r="A236" i="14"/>
  <c r="A237" i="14"/>
  <c r="A238" i="14"/>
  <c r="A239" i="14"/>
  <c r="A240" i="14"/>
  <c r="A241" i="14"/>
  <c r="A242" i="14"/>
  <c r="A243" i="14"/>
  <c r="A244" i="14"/>
  <c r="A245" i="14"/>
  <c r="A246" i="14"/>
  <c r="A247" i="14"/>
  <c r="A248" i="14"/>
  <c r="A249" i="14"/>
  <c r="A250" i="14"/>
  <c r="A251" i="14"/>
  <c r="A252" i="14"/>
  <c r="A253" i="14"/>
  <c r="A254" i="14"/>
  <c r="A255" i="14"/>
  <c r="A256" i="14"/>
  <c r="A257" i="14"/>
  <c r="A258" i="14"/>
  <c r="A259" i="14"/>
  <c r="A260" i="14"/>
  <c r="A261" i="14"/>
  <c r="A450" i="14"/>
  <c r="A451" i="14"/>
  <c r="A452" i="14"/>
  <c r="A453" i="14"/>
  <c r="A454" i="14"/>
  <c r="A455" i="14"/>
  <c r="A456" i="14"/>
  <c r="A457" i="14"/>
  <c r="A458" i="14"/>
  <c r="A459" i="14"/>
  <c r="A460" i="14"/>
  <c r="A461" i="14"/>
  <c r="A462" i="14"/>
  <c r="A463" i="14"/>
  <c r="A464" i="14"/>
  <c r="A465" i="14"/>
  <c r="A466" i="14"/>
  <c r="A467" i="14"/>
  <c r="A468" i="14"/>
  <c r="A469" i="14"/>
  <c r="A470" i="14"/>
  <c r="A471" i="14"/>
  <c r="A472" i="14"/>
  <c r="A473" i="14"/>
  <c r="A474" i="14"/>
  <c r="A475" i="14"/>
  <c r="A476" i="14"/>
  <c r="A477" i="14"/>
  <c r="A478" i="14"/>
  <c r="A479" i="14"/>
  <c r="A480" i="14"/>
  <c r="A481" i="14"/>
  <c r="A482" i="14"/>
  <c r="A483" i="14"/>
  <c r="A484" i="14"/>
  <c r="A485" i="14"/>
  <c r="A486" i="14"/>
  <c r="A487" i="14"/>
  <c r="A488" i="14"/>
  <c r="A489" i="14"/>
  <c r="A490" i="14"/>
  <c r="A491" i="14"/>
  <c r="A492" i="14"/>
  <c r="A493" i="14"/>
  <c r="A494" i="14"/>
  <c r="A495" i="14"/>
  <c r="A496" i="14"/>
  <c r="A497" i="14"/>
  <c r="A498" i="14"/>
  <c r="A499" i="14"/>
  <c r="A500" i="14"/>
  <c r="A501" i="14"/>
  <c r="A502" i="14"/>
  <c r="A503" i="14"/>
  <c r="A504" i="14"/>
  <c r="A505" i="14"/>
  <c r="A506" i="14"/>
  <c r="A507" i="14"/>
  <c r="A508" i="14"/>
  <c r="A509" i="14"/>
  <c r="A510" i="14"/>
  <c r="A511" i="14"/>
  <c r="A512" i="14"/>
  <c r="A513" i="14"/>
  <c r="A514" i="14"/>
  <c r="A515" i="14"/>
  <c r="A516" i="14"/>
  <c r="A517" i="14"/>
  <c r="A518" i="14"/>
  <c r="A519" i="14"/>
  <c r="A520" i="14"/>
  <c r="A521" i="14"/>
  <c r="A522" i="14"/>
  <c r="A523" i="14"/>
  <c r="A524" i="14"/>
  <c r="A525" i="14"/>
  <c r="A526" i="14"/>
  <c r="A527" i="14"/>
  <c r="A528" i="14"/>
  <c r="A529" i="14"/>
  <c r="A530" i="14"/>
  <c r="A531" i="14"/>
  <c r="A532" i="14"/>
  <c r="A533" i="14"/>
  <c r="A534" i="14"/>
  <c r="A535" i="14"/>
  <c r="A536" i="14"/>
  <c r="A537" i="14"/>
  <c r="A538" i="14"/>
  <c r="A539" i="14"/>
  <c r="A540" i="14"/>
  <c r="A541" i="14"/>
  <c r="A542" i="14"/>
  <c r="A543" i="14"/>
  <c r="A544" i="14"/>
  <c r="A545" i="14"/>
  <c r="A546" i="14"/>
  <c r="A547" i="14"/>
  <c r="A548" i="14"/>
  <c r="A549" i="14"/>
  <c r="A550" i="14"/>
  <c r="A551" i="14"/>
  <c r="A552" i="14"/>
  <c r="A553" i="14"/>
  <c r="A554" i="14"/>
  <c r="A555" i="14"/>
  <c r="A556" i="14"/>
  <c r="A557" i="14"/>
  <c r="A558" i="14"/>
  <c r="A559" i="14"/>
  <c r="A560" i="14"/>
  <c r="A561" i="14"/>
  <c r="A562" i="14"/>
  <c r="A563" i="14"/>
  <c r="A564" i="14"/>
  <c r="A565" i="14"/>
  <c r="A566" i="14"/>
  <c r="A567" i="14"/>
  <c r="A568" i="14"/>
  <c r="A569" i="14"/>
  <c r="A570" i="14"/>
  <c r="A571" i="14"/>
  <c r="A572" i="14"/>
  <c r="A573" i="14"/>
  <c r="A574" i="14"/>
  <c r="A575" i="14"/>
  <c r="A576" i="14"/>
  <c r="A577" i="14"/>
  <c r="A578" i="14"/>
  <c r="A579" i="14"/>
  <c r="A580" i="14"/>
  <c r="A581" i="14"/>
  <c r="A582" i="14"/>
  <c r="A583" i="14"/>
  <c r="A584" i="14"/>
  <c r="A585" i="14"/>
  <c r="A586" i="14"/>
  <c r="A587" i="14"/>
  <c r="A588" i="14"/>
  <c r="A589" i="14"/>
  <c r="A590" i="14"/>
  <c r="A591" i="14"/>
  <c r="A592" i="14"/>
  <c r="A593" i="14"/>
  <c r="A594" i="14"/>
  <c r="A595" i="14"/>
  <c r="A596" i="14"/>
  <c r="A597" i="14"/>
  <c r="A598" i="14"/>
  <c r="A599" i="14"/>
  <c r="A600" i="14"/>
  <c r="A601" i="14"/>
  <c r="A602" i="14"/>
  <c r="A603" i="14"/>
  <c r="A604" i="14"/>
  <c r="A605" i="14"/>
  <c r="A606" i="14"/>
  <c r="A607" i="14"/>
  <c r="A608" i="14"/>
  <c r="A609" i="14"/>
  <c r="A610" i="14"/>
  <c r="A611" i="14"/>
  <c r="A612" i="14"/>
  <c r="A613" i="14"/>
  <c r="A614" i="14"/>
  <c r="A615" i="14"/>
  <c r="A616" i="14"/>
  <c r="A617" i="14"/>
  <c r="A618" i="14"/>
  <c r="A619" i="14"/>
  <c r="A620" i="14"/>
  <c r="A621" i="14"/>
  <c r="A622" i="14"/>
  <c r="A623" i="14"/>
  <c r="A624" i="14"/>
  <c r="A625" i="14"/>
  <c r="A626" i="14"/>
  <c r="A627" i="14"/>
  <c r="A628" i="14"/>
  <c r="A629" i="14"/>
  <c r="A630" i="14"/>
  <c r="A631" i="14"/>
  <c r="A632" i="14"/>
  <c r="A633" i="14"/>
  <c r="A634" i="14"/>
  <c r="A635" i="14"/>
  <c r="A636" i="14"/>
  <c r="A637" i="14"/>
  <c r="A638" i="14"/>
  <c r="A639" i="14"/>
  <c r="A640" i="14"/>
  <c r="A641" i="14"/>
  <c r="A642" i="14"/>
  <c r="A643" i="14"/>
  <c r="A644" i="14"/>
  <c r="A645" i="14"/>
  <c r="A646" i="14"/>
  <c r="A647" i="14"/>
  <c r="A648" i="14"/>
  <c r="A649" i="14"/>
  <c r="A650" i="14"/>
  <c r="A651" i="14"/>
  <c r="A652" i="14"/>
  <c r="A653" i="14"/>
  <c r="A654" i="14"/>
  <c r="A655" i="14"/>
  <c r="A656" i="14"/>
  <c r="A657" i="14"/>
  <c r="A658" i="14"/>
  <c r="A659" i="14"/>
  <c r="A660" i="14"/>
  <c r="A661" i="14"/>
  <c r="A662" i="14"/>
  <c r="A663" i="14"/>
  <c r="A664" i="14"/>
  <c r="A665" i="14"/>
  <c r="A666" i="14"/>
  <c r="A667" i="14"/>
  <c r="A668" i="14"/>
  <c r="A669" i="14"/>
  <c r="A670" i="14"/>
  <c r="A671" i="14"/>
  <c r="A672" i="14"/>
  <c r="A673" i="14"/>
  <c r="A674" i="14"/>
  <c r="A675" i="14"/>
  <c r="A676" i="14"/>
  <c r="A677" i="14"/>
  <c r="A678" i="14"/>
  <c r="A679" i="14"/>
  <c r="A680" i="14"/>
  <c r="A681" i="14"/>
  <c r="A682" i="14"/>
  <c r="A683" i="14"/>
  <c r="A684" i="14"/>
  <c r="A685" i="14"/>
  <c r="A686" i="14"/>
  <c r="A687" i="14"/>
  <c r="A688" i="14"/>
  <c r="A689" i="14"/>
  <c r="A690" i="14"/>
  <c r="A691" i="14"/>
  <c r="A692" i="14"/>
  <c r="A693" i="14"/>
  <c r="A694" i="14"/>
  <c r="A695" i="14"/>
  <c r="A696" i="14"/>
  <c r="A697" i="14"/>
  <c r="A698" i="14"/>
  <c r="A699" i="14"/>
  <c r="A700" i="14"/>
  <c r="A701" i="14"/>
  <c r="A702" i="14"/>
  <c r="A703" i="14"/>
  <c r="A704" i="14"/>
  <c r="A705" i="14"/>
  <c r="A706" i="14"/>
  <c r="A707" i="14"/>
  <c r="A708" i="14"/>
  <c r="A709" i="14"/>
  <c r="A449" i="14" l="1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 l="1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O7" i="17" l="1"/>
  <c r="O8" i="17"/>
  <c r="O9" i="17"/>
  <c r="O10" i="17"/>
  <c r="O11" i="17"/>
  <c r="O12" i="17"/>
  <c r="O13" i="17"/>
  <c r="O14" i="17"/>
  <c r="O15" i="17"/>
  <c r="O16" i="17"/>
  <c r="O17" i="17"/>
  <c r="O18" i="17"/>
  <c r="O19" i="17"/>
  <c r="O20" i="17"/>
  <c r="O21" i="17"/>
  <c r="O22" i="17"/>
  <c r="O23" i="17"/>
  <c r="O24" i="17"/>
  <c r="O25" i="17"/>
  <c r="O26" i="17"/>
  <c r="O27" i="17"/>
  <c r="O28" i="17"/>
  <c r="O29" i="17"/>
  <c r="O30" i="17"/>
  <c r="O31" i="17"/>
  <c r="O32" i="17"/>
  <c r="O33" i="17"/>
  <c r="O34" i="17"/>
  <c r="O35" i="17"/>
  <c r="O36" i="17"/>
  <c r="O37" i="17"/>
  <c r="O38" i="17"/>
  <c r="O39" i="17"/>
  <c r="O40" i="17"/>
  <c r="O41" i="17"/>
  <c r="O42" i="17"/>
  <c r="O43" i="17"/>
  <c r="O44" i="17"/>
  <c r="O45" i="17"/>
  <c r="O46" i="17"/>
  <c r="O47" i="17"/>
  <c r="O48" i="17"/>
  <c r="O49" i="17"/>
  <c r="O50" i="17"/>
  <c r="O51" i="17"/>
  <c r="O52" i="17"/>
  <c r="O53" i="17"/>
  <c r="O54" i="17"/>
  <c r="O55" i="17"/>
  <c r="O56" i="17"/>
  <c r="O57" i="17"/>
  <c r="O58" i="17"/>
  <c r="O59" i="17"/>
  <c r="O60" i="17"/>
  <c r="O61" i="17"/>
  <c r="O62" i="17"/>
  <c r="O63" i="17"/>
  <c r="O64" i="17"/>
  <c r="O65" i="17"/>
  <c r="O66" i="17"/>
  <c r="O67" i="17"/>
  <c r="O68" i="17"/>
  <c r="O69" i="17"/>
  <c r="O70" i="17"/>
  <c r="O71" i="17"/>
  <c r="O72" i="17"/>
  <c r="O73" i="17"/>
  <c r="O74" i="17"/>
  <c r="O75" i="17"/>
  <c r="O76" i="17"/>
  <c r="O77" i="17"/>
  <c r="O78" i="17"/>
  <c r="O79" i="17"/>
  <c r="O80" i="17"/>
  <c r="O81" i="17"/>
  <c r="O82" i="17"/>
  <c r="O83" i="17"/>
  <c r="O84" i="17"/>
  <c r="O85" i="17"/>
  <c r="O86" i="17"/>
  <c r="O87" i="17"/>
  <c r="O88" i="17"/>
  <c r="O89" i="17"/>
  <c r="O90" i="17"/>
  <c r="O91" i="17"/>
  <c r="O92" i="17"/>
  <c r="O93" i="17"/>
  <c r="O94" i="17"/>
  <c r="O95" i="17"/>
  <c r="O96" i="17"/>
  <c r="O97" i="17"/>
  <c r="O98" i="17"/>
  <c r="O99" i="17"/>
  <c r="O100" i="17"/>
  <c r="O101" i="17"/>
  <c r="O102" i="17"/>
  <c r="O103" i="17"/>
  <c r="O104" i="17"/>
  <c r="O105" i="17"/>
  <c r="O106" i="17"/>
  <c r="O107" i="17"/>
  <c r="O108" i="17"/>
  <c r="O109" i="17"/>
  <c r="O110" i="17"/>
  <c r="O111" i="17"/>
  <c r="O112" i="17"/>
  <c r="O113" i="17"/>
  <c r="O114" i="17"/>
  <c r="O115" i="17"/>
  <c r="O116" i="17"/>
  <c r="O117" i="17"/>
  <c r="O118" i="17"/>
  <c r="O119" i="17"/>
  <c r="O120" i="17"/>
  <c r="O121" i="17"/>
  <c r="O122" i="17"/>
  <c r="O123" i="17"/>
  <c r="O124" i="17"/>
  <c r="O125" i="17"/>
  <c r="O126" i="17"/>
  <c r="O127" i="17"/>
  <c r="O128" i="17"/>
  <c r="O129" i="17"/>
  <c r="O130" i="17"/>
  <c r="O131" i="17"/>
  <c r="O132" i="17"/>
  <c r="O133" i="17"/>
  <c r="O134" i="17"/>
  <c r="O135" i="17"/>
  <c r="O136" i="17"/>
  <c r="O137" i="17"/>
  <c r="O138" i="17"/>
  <c r="O139" i="17"/>
  <c r="O140" i="17"/>
  <c r="O141" i="17"/>
  <c r="O142" i="17"/>
  <c r="O143" i="17"/>
  <c r="O144" i="17"/>
  <c r="O145" i="17"/>
  <c r="O146" i="17"/>
  <c r="O147" i="17"/>
  <c r="O148" i="17"/>
  <c r="O149" i="17"/>
  <c r="O150" i="17"/>
  <c r="O151" i="17"/>
  <c r="O152" i="17"/>
  <c r="O153" i="17"/>
  <c r="O154" i="17"/>
  <c r="O155" i="17"/>
  <c r="O156" i="17"/>
  <c r="O157" i="17"/>
  <c r="O158" i="17"/>
  <c r="O159" i="17"/>
  <c r="O160" i="17"/>
  <c r="O161" i="17"/>
  <c r="O162" i="17"/>
  <c r="O163" i="17"/>
  <c r="O164" i="17"/>
  <c r="O165" i="17"/>
  <c r="O166" i="17"/>
  <c r="O167" i="17"/>
  <c r="O168" i="17"/>
  <c r="O169" i="17"/>
  <c r="O170" i="17"/>
  <c r="O171" i="17"/>
  <c r="O172" i="17"/>
  <c r="O173" i="17"/>
  <c r="O174" i="17"/>
  <c r="O175" i="17"/>
  <c r="O176" i="17"/>
  <c r="O177" i="17"/>
  <c r="O178" i="17"/>
  <c r="O179" i="17"/>
  <c r="O180" i="17"/>
  <c r="O181" i="17"/>
  <c r="O182" i="17"/>
  <c r="O183" i="17"/>
  <c r="O184" i="17"/>
  <c r="O185" i="17"/>
  <c r="O186" i="17"/>
  <c r="O187" i="17"/>
  <c r="O188" i="17"/>
  <c r="O189" i="17"/>
  <c r="O190" i="17"/>
  <c r="O191" i="17"/>
  <c r="O192" i="17"/>
  <c r="O193" i="17"/>
  <c r="O194" i="17"/>
  <c r="O195" i="17"/>
  <c r="O196" i="17"/>
  <c r="O197" i="17"/>
  <c r="O198" i="17"/>
  <c r="O199" i="17"/>
  <c r="O200" i="17"/>
  <c r="O201" i="17"/>
  <c r="O202" i="17"/>
  <c r="O203" i="17"/>
  <c r="O204" i="17"/>
  <c r="O205" i="17"/>
  <c r="O206" i="17"/>
  <c r="O207" i="17"/>
  <c r="O208" i="17"/>
  <c r="O209" i="17"/>
  <c r="O210" i="17"/>
  <c r="O211" i="17"/>
  <c r="O212" i="17"/>
  <c r="O213" i="17"/>
  <c r="O214" i="17"/>
  <c r="O215" i="17"/>
  <c r="O216" i="17"/>
  <c r="O217" i="17"/>
  <c r="O218" i="17"/>
  <c r="O219" i="17"/>
  <c r="O220" i="17"/>
  <c r="O221" i="17"/>
  <c r="O222" i="17"/>
  <c r="O223" i="17"/>
  <c r="O224" i="17"/>
  <c r="O225" i="17"/>
  <c r="O226" i="17"/>
  <c r="O227" i="17"/>
  <c r="O228" i="17"/>
  <c r="O229" i="17"/>
  <c r="O230" i="17"/>
  <c r="O231" i="17"/>
  <c r="O232" i="17"/>
  <c r="O233" i="17"/>
  <c r="O234" i="17"/>
  <c r="O235" i="17"/>
  <c r="O236" i="17"/>
  <c r="O237" i="17"/>
  <c r="O238" i="17"/>
  <c r="O239" i="17"/>
  <c r="O240" i="17"/>
  <c r="O241" i="17"/>
  <c r="O242" i="17"/>
  <c r="O243" i="17"/>
  <c r="O244" i="17"/>
  <c r="O245" i="17"/>
  <c r="O246" i="17"/>
  <c r="O247" i="17"/>
  <c r="O248" i="17"/>
  <c r="O249" i="17"/>
  <c r="O250" i="17"/>
  <c r="O251" i="17"/>
  <c r="O252" i="17"/>
  <c r="O253" i="17"/>
  <c r="O254" i="17"/>
  <c r="O255" i="17"/>
  <c r="O256" i="17"/>
  <c r="O257" i="17"/>
  <c r="O258" i="17"/>
  <c r="O259" i="17"/>
  <c r="O260" i="17"/>
  <c r="O261" i="17"/>
  <c r="O262" i="17"/>
  <c r="O263" i="17"/>
  <c r="O264" i="17"/>
  <c r="O265" i="17"/>
  <c r="O266" i="17"/>
  <c r="O267" i="17"/>
  <c r="O268" i="17"/>
  <c r="O269" i="17"/>
  <c r="O270" i="17"/>
  <c r="O271" i="17"/>
  <c r="O272" i="17"/>
  <c r="O273" i="17"/>
  <c r="O274" i="17"/>
  <c r="O275" i="17"/>
  <c r="O276" i="17"/>
  <c r="O277" i="17"/>
  <c r="O278" i="17"/>
  <c r="O279" i="17"/>
  <c r="O280" i="17"/>
  <c r="O281" i="17"/>
  <c r="O282" i="17"/>
  <c r="O283" i="17"/>
  <c r="O284" i="17"/>
  <c r="O285" i="17"/>
  <c r="O286" i="17"/>
  <c r="O287" i="17"/>
  <c r="O288" i="17"/>
  <c r="O289" i="17"/>
  <c r="O290" i="17"/>
  <c r="O291" i="17"/>
  <c r="O292" i="17"/>
  <c r="O293" i="17"/>
  <c r="O294" i="17"/>
  <c r="O295" i="17"/>
  <c r="O296" i="17"/>
  <c r="O297" i="17"/>
  <c r="O298" i="17"/>
  <c r="O299" i="17"/>
  <c r="O300" i="17"/>
  <c r="O301" i="17"/>
  <c r="O302" i="17"/>
  <c r="O303" i="17"/>
  <c r="O304" i="17"/>
  <c r="O305" i="17"/>
  <c r="O306" i="17"/>
  <c r="O307" i="17"/>
  <c r="O308" i="17"/>
  <c r="O309" i="17"/>
  <c r="O310" i="17"/>
  <c r="O311" i="17"/>
  <c r="O312" i="17"/>
  <c r="O313" i="17"/>
  <c r="O314" i="17"/>
  <c r="O315" i="17"/>
  <c r="O316" i="17"/>
  <c r="O317" i="17"/>
  <c r="O318" i="17"/>
  <c r="O319" i="17"/>
  <c r="O320" i="17"/>
  <c r="O321" i="17"/>
  <c r="O322" i="17"/>
  <c r="O323" i="17"/>
  <c r="O324" i="17"/>
  <c r="O325" i="17"/>
  <c r="O326" i="17"/>
  <c r="O327" i="17"/>
  <c r="O328" i="17"/>
  <c r="O329" i="17"/>
  <c r="O330" i="17"/>
  <c r="O331" i="17"/>
  <c r="O332" i="17"/>
  <c r="O333" i="17"/>
  <c r="O334" i="17"/>
  <c r="O335" i="17"/>
  <c r="O336" i="17"/>
  <c r="O337" i="17"/>
  <c r="O338" i="17"/>
  <c r="O339" i="17"/>
  <c r="O340" i="17"/>
  <c r="O341" i="17"/>
  <c r="O342" i="17"/>
  <c r="O343" i="17"/>
  <c r="O344" i="17"/>
  <c r="O345" i="17"/>
  <c r="O346" i="17"/>
  <c r="O347" i="17"/>
  <c r="O348" i="17"/>
  <c r="O349" i="17"/>
  <c r="O350" i="17"/>
  <c r="O351" i="17"/>
  <c r="O352" i="17"/>
  <c r="O353" i="17"/>
  <c r="O354" i="17"/>
  <c r="O355" i="17"/>
  <c r="O356" i="17"/>
  <c r="O357" i="17"/>
  <c r="O358" i="17"/>
  <c r="O359" i="17"/>
  <c r="O360" i="17"/>
  <c r="O361" i="17"/>
  <c r="O362" i="17"/>
  <c r="O363" i="17"/>
  <c r="O364" i="17"/>
  <c r="O365" i="17"/>
  <c r="O366" i="17"/>
  <c r="O367" i="17"/>
  <c r="O368" i="17"/>
  <c r="O369" i="17"/>
  <c r="O370" i="17"/>
  <c r="O371" i="17"/>
  <c r="O372" i="17"/>
  <c r="O373" i="17"/>
  <c r="O374" i="17"/>
  <c r="O375" i="17"/>
  <c r="O376" i="17"/>
  <c r="O377" i="17"/>
  <c r="O378" i="17"/>
  <c r="O379" i="17"/>
  <c r="O380" i="17"/>
  <c r="O381" i="17"/>
  <c r="O382" i="17"/>
  <c r="O383" i="17"/>
  <c r="O384" i="17"/>
  <c r="O385" i="17"/>
  <c r="O386" i="17"/>
  <c r="O387" i="17"/>
  <c r="O388" i="17"/>
  <c r="O389" i="17"/>
  <c r="O390" i="17"/>
  <c r="O391" i="17"/>
  <c r="O392" i="17"/>
  <c r="O393" i="17"/>
  <c r="O394" i="17"/>
  <c r="O395" i="17"/>
  <c r="O396" i="17"/>
  <c r="O397" i="17"/>
  <c r="O398" i="17"/>
  <c r="O399" i="17"/>
  <c r="O400" i="17"/>
  <c r="O401" i="17"/>
  <c r="O402" i="17"/>
  <c r="O403" i="17"/>
  <c r="O404" i="17"/>
  <c r="O405" i="17"/>
  <c r="O406" i="17"/>
  <c r="O407" i="17"/>
  <c r="O408" i="17"/>
  <c r="O409" i="17"/>
  <c r="O410" i="17"/>
  <c r="O411" i="17"/>
  <c r="O412" i="17"/>
  <c r="O413" i="17"/>
  <c r="O414" i="17"/>
  <c r="O415" i="17"/>
  <c r="O416" i="17"/>
  <c r="O417" i="17"/>
  <c r="O418" i="17"/>
  <c r="O419" i="17"/>
  <c r="O420" i="17"/>
  <c r="O421" i="17"/>
  <c r="O422" i="17"/>
  <c r="O423" i="17"/>
  <c r="O424" i="17"/>
  <c r="O425" i="17"/>
  <c r="O426" i="17"/>
  <c r="O427" i="17"/>
  <c r="O428" i="17"/>
  <c r="O429" i="17"/>
  <c r="O430" i="17"/>
  <c r="O431" i="17"/>
  <c r="O432" i="17"/>
  <c r="O433" i="17"/>
  <c r="O434" i="17"/>
  <c r="O435" i="17"/>
  <c r="O436" i="17"/>
  <c r="O437" i="17"/>
  <c r="O438" i="17"/>
  <c r="O439" i="17"/>
  <c r="O440" i="17"/>
  <c r="O441" i="17"/>
  <c r="O442" i="17"/>
  <c r="O443" i="17"/>
  <c r="O444" i="17"/>
  <c r="O445" i="17"/>
  <c r="O446" i="17"/>
  <c r="O447" i="17"/>
  <c r="O448" i="17"/>
  <c r="O449" i="17"/>
  <c r="O450" i="17"/>
  <c r="O451" i="17"/>
  <c r="O452" i="17"/>
  <c r="O453" i="17"/>
  <c r="O454" i="17"/>
  <c r="O455" i="17"/>
  <c r="O456" i="17"/>
  <c r="O457" i="17"/>
  <c r="O458" i="17"/>
  <c r="O459" i="17"/>
  <c r="O460" i="17"/>
  <c r="O461" i="17"/>
  <c r="O462" i="17"/>
  <c r="O463" i="17"/>
  <c r="O464" i="17"/>
  <c r="O465" i="17"/>
  <c r="O466" i="17"/>
  <c r="O467" i="17"/>
  <c r="O468" i="17"/>
  <c r="O469" i="17"/>
  <c r="O470" i="17"/>
  <c r="O471" i="17"/>
  <c r="O472" i="17"/>
  <c r="O473" i="17"/>
  <c r="O474" i="17"/>
  <c r="O475" i="17"/>
  <c r="O476" i="17"/>
  <c r="O477" i="17"/>
  <c r="O478" i="17"/>
  <c r="O479" i="17"/>
  <c r="O480" i="17"/>
  <c r="O481" i="17"/>
  <c r="O482" i="17"/>
  <c r="O483" i="17"/>
  <c r="O484" i="17"/>
  <c r="O485" i="17"/>
  <c r="O486" i="17"/>
  <c r="O487" i="17"/>
  <c r="O488" i="17"/>
  <c r="O489" i="17"/>
  <c r="O490" i="17"/>
  <c r="O491" i="17"/>
  <c r="O492" i="17"/>
  <c r="O493" i="17"/>
  <c r="O494" i="17"/>
  <c r="O495" i="17"/>
  <c r="O496" i="17"/>
  <c r="O497" i="17"/>
  <c r="O498" i="17"/>
  <c r="O499" i="17"/>
  <c r="O500" i="17"/>
  <c r="O501" i="17"/>
  <c r="O502" i="17"/>
  <c r="O503" i="17"/>
  <c r="O504" i="17"/>
  <c r="O505" i="17"/>
  <c r="O506" i="17"/>
  <c r="O507" i="17"/>
  <c r="O508" i="17"/>
  <c r="O509" i="17"/>
  <c r="O510" i="17"/>
  <c r="O511" i="17"/>
  <c r="O512" i="17"/>
  <c r="O513" i="17"/>
  <c r="O514" i="17"/>
  <c r="O515" i="17"/>
  <c r="O516" i="17"/>
  <c r="O517" i="17"/>
  <c r="O518" i="17"/>
  <c r="O519" i="17"/>
  <c r="O520" i="17"/>
  <c r="O521" i="17"/>
  <c r="O522" i="17"/>
  <c r="O523" i="17"/>
  <c r="O524" i="17"/>
  <c r="O525" i="17"/>
  <c r="O526" i="17"/>
  <c r="O527" i="17"/>
  <c r="O528" i="17"/>
  <c r="O529" i="17"/>
  <c r="O530" i="17"/>
  <c r="O531" i="17"/>
  <c r="O532" i="17"/>
  <c r="O533" i="17"/>
  <c r="O534" i="17"/>
  <c r="O535" i="17"/>
  <c r="O536" i="17"/>
  <c r="O537" i="17"/>
  <c r="O538" i="17"/>
  <c r="O539" i="17"/>
  <c r="O540" i="17"/>
  <c r="O541" i="17"/>
  <c r="O542" i="17"/>
  <c r="O543" i="17"/>
  <c r="O544" i="17"/>
  <c r="O545" i="17"/>
  <c r="O546" i="17"/>
  <c r="O547" i="17"/>
  <c r="O548" i="17"/>
  <c r="O549" i="17"/>
  <c r="O550" i="17"/>
  <c r="O551" i="17"/>
  <c r="O552" i="17"/>
  <c r="O553" i="17"/>
  <c r="O554" i="17"/>
  <c r="O555" i="17"/>
  <c r="O556" i="17"/>
  <c r="O557" i="17"/>
  <c r="O558" i="17"/>
  <c r="O559" i="17"/>
  <c r="O560" i="17"/>
  <c r="O561" i="17"/>
  <c r="O562" i="17"/>
  <c r="O563" i="17"/>
  <c r="O564" i="17"/>
  <c r="O565" i="17"/>
  <c r="O566" i="17"/>
  <c r="O567" i="17"/>
  <c r="O568" i="17"/>
  <c r="O569" i="17"/>
  <c r="O570" i="17"/>
  <c r="O571" i="17"/>
  <c r="O572" i="17"/>
  <c r="O573" i="17"/>
  <c r="O574" i="17"/>
  <c r="O575" i="17"/>
  <c r="O576" i="17"/>
  <c r="O577" i="17"/>
  <c r="O578" i="17"/>
  <c r="O579" i="17"/>
  <c r="O580" i="17"/>
  <c r="O581" i="17"/>
  <c r="O582" i="17"/>
  <c r="O583" i="17"/>
  <c r="O584" i="17"/>
  <c r="O585" i="17"/>
  <c r="O586" i="17"/>
  <c r="O587" i="17"/>
  <c r="O588" i="17"/>
  <c r="O589" i="17"/>
  <c r="O590" i="17"/>
  <c r="O591" i="17"/>
  <c r="O592" i="17"/>
  <c r="O593" i="17"/>
  <c r="O594" i="17"/>
  <c r="O595" i="17"/>
  <c r="O596" i="17"/>
  <c r="O597" i="17"/>
  <c r="O598" i="17"/>
  <c r="O599" i="17"/>
  <c r="O600" i="17"/>
  <c r="O601" i="17"/>
  <c r="O602" i="17"/>
  <c r="O603" i="17"/>
  <c r="O604" i="17"/>
  <c r="O605" i="17"/>
  <c r="O606" i="17"/>
  <c r="O607" i="17"/>
  <c r="O608" i="17"/>
  <c r="O609" i="17"/>
  <c r="O610" i="17"/>
  <c r="O611" i="17"/>
  <c r="O612" i="17"/>
  <c r="O613" i="17"/>
  <c r="O614" i="17"/>
  <c r="O615" i="17"/>
  <c r="O616" i="17"/>
  <c r="O617" i="17"/>
  <c r="O618" i="17"/>
  <c r="O619" i="17"/>
  <c r="O620" i="17"/>
  <c r="O621" i="17"/>
  <c r="O622" i="17"/>
  <c r="O623" i="17"/>
  <c r="O624" i="17"/>
  <c r="O625" i="17"/>
  <c r="O626" i="17"/>
  <c r="O627" i="17"/>
  <c r="O628" i="17"/>
  <c r="O629" i="17"/>
  <c r="O630" i="17"/>
  <c r="O631" i="17"/>
  <c r="O632" i="17"/>
  <c r="O633" i="17"/>
  <c r="O634" i="17"/>
  <c r="O635" i="17"/>
  <c r="O636" i="17"/>
  <c r="O637" i="17"/>
  <c r="O638" i="17"/>
  <c r="O639" i="17"/>
  <c r="O640" i="17"/>
  <c r="O641" i="17"/>
  <c r="O642" i="17"/>
  <c r="O643" i="17"/>
  <c r="O644" i="17"/>
  <c r="O645" i="17"/>
  <c r="O646" i="17"/>
  <c r="O647" i="17"/>
  <c r="O648" i="17"/>
  <c r="O649" i="17"/>
  <c r="O650" i="17"/>
  <c r="O651" i="17"/>
  <c r="O652" i="17"/>
  <c r="O653" i="17"/>
  <c r="O654" i="17"/>
  <c r="O655" i="17"/>
  <c r="O656" i="17"/>
  <c r="O657" i="17"/>
  <c r="O658" i="17"/>
  <c r="O659" i="17"/>
  <c r="O660" i="17"/>
  <c r="O661" i="17"/>
  <c r="O662" i="17"/>
  <c r="O663" i="17"/>
  <c r="O664" i="17"/>
  <c r="O665" i="17"/>
  <c r="O666" i="17"/>
  <c r="O667" i="17"/>
  <c r="O668" i="17"/>
  <c r="O669" i="17"/>
  <c r="O670" i="17"/>
  <c r="O671" i="17"/>
  <c r="O672" i="17"/>
  <c r="O673" i="17"/>
  <c r="O674" i="17"/>
  <c r="O675" i="17"/>
  <c r="O676" i="17"/>
  <c r="O677" i="17"/>
  <c r="O678" i="17"/>
  <c r="O679" i="17"/>
  <c r="O680" i="17"/>
  <c r="O681" i="17"/>
  <c r="O682" i="17"/>
  <c r="O683" i="17"/>
  <c r="O684" i="17"/>
  <c r="O685" i="17"/>
  <c r="O686" i="17"/>
  <c r="O687" i="17"/>
  <c r="O688" i="17"/>
  <c r="O689" i="17"/>
  <c r="O690" i="17"/>
  <c r="O691" i="17"/>
  <c r="O692" i="17"/>
  <c r="O693" i="17"/>
  <c r="O694" i="17"/>
  <c r="O695" i="17"/>
  <c r="O696" i="17"/>
  <c r="O697" i="17"/>
  <c r="O698" i="17"/>
  <c r="O699" i="17"/>
  <c r="O700" i="17"/>
  <c r="O701" i="17"/>
  <c r="O702" i="17"/>
  <c r="O703" i="17"/>
  <c r="O704" i="17"/>
  <c r="O705" i="17"/>
  <c r="O706" i="17"/>
  <c r="O707" i="17"/>
  <c r="O708" i="17"/>
  <c r="O709" i="17"/>
  <c r="O710" i="17"/>
  <c r="O711" i="17"/>
  <c r="O712" i="17"/>
  <c r="O713" i="17"/>
  <c r="O714" i="17"/>
  <c r="O715" i="17"/>
  <c r="O716" i="17"/>
  <c r="O717" i="17"/>
  <c r="O718" i="17"/>
  <c r="O719" i="17"/>
  <c r="O720" i="17"/>
  <c r="O721" i="17"/>
  <c r="O722" i="17"/>
  <c r="O723" i="17"/>
  <c r="O724" i="17"/>
  <c r="O725" i="17"/>
  <c r="O726" i="17"/>
  <c r="O727" i="17"/>
  <c r="O728" i="17"/>
  <c r="O729" i="17"/>
  <c r="O730" i="17"/>
  <c r="O731" i="17"/>
  <c r="O732" i="17"/>
  <c r="O733" i="17"/>
  <c r="O734" i="17"/>
  <c r="O735" i="17"/>
  <c r="O736" i="17"/>
  <c r="O737" i="17"/>
  <c r="O738" i="17"/>
  <c r="O739" i="17"/>
  <c r="O740" i="17"/>
  <c r="O741" i="17"/>
  <c r="O742" i="17"/>
  <c r="O743" i="17"/>
  <c r="O744" i="17"/>
  <c r="O745" i="17"/>
  <c r="O746" i="17"/>
  <c r="O747" i="17"/>
  <c r="O748" i="17"/>
  <c r="O749" i="17"/>
  <c r="O750" i="17"/>
  <c r="O751" i="17"/>
  <c r="O752" i="17"/>
  <c r="O753" i="17"/>
  <c r="O754" i="17"/>
  <c r="O755" i="17"/>
  <c r="O756" i="17"/>
  <c r="O757" i="17"/>
  <c r="O758" i="17"/>
  <c r="O759" i="17"/>
  <c r="O760" i="17"/>
  <c r="O761" i="17"/>
  <c r="O762" i="17"/>
  <c r="O763" i="17"/>
  <c r="O764" i="17"/>
  <c r="O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N85" i="17"/>
  <c r="N86" i="17"/>
  <c r="N87" i="17"/>
  <c r="N88" i="17"/>
  <c r="N89" i="17"/>
  <c r="N90" i="17"/>
  <c r="N91" i="17"/>
  <c r="N92" i="17"/>
  <c r="N93" i="17"/>
  <c r="N94" i="17"/>
  <c r="N95" i="17"/>
  <c r="N96" i="17"/>
  <c r="N97" i="17"/>
  <c r="N98" i="17"/>
  <c r="N99" i="17"/>
  <c r="N100" i="17"/>
  <c r="N101" i="17"/>
  <c r="N102" i="17"/>
  <c r="N103" i="17"/>
  <c r="N104" i="17"/>
  <c r="N105" i="17"/>
  <c r="N106" i="17"/>
  <c r="N107" i="17"/>
  <c r="N108" i="17"/>
  <c r="N109" i="17"/>
  <c r="N110" i="17"/>
  <c r="N111" i="17"/>
  <c r="N112" i="17"/>
  <c r="N113" i="17"/>
  <c r="N114" i="17"/>
  <c r="N115" i="17"/>
  <c r="N116" i="17"/>
  <c r="N117" i="17"/>
  <c r="N118" i="17"/>
  <c r="N119" i="17"/>
  <c r="N120" i="17"/>
  <c r="N121" i="17"/>
  <c r="N122" i="17"/>
  <c r="N123" i="17"/>
  <c r="N124" i="17"/>
  <c r="N125" i="17"/>
  <c r="N126" i="17"/>
  <c r="N127" i="17"/>
  <c r="N128" i="17"/>
  <c r="N129" i="17"/>
  <c r="N130" i="17"/>
  <c r="N131" i="17"/>
  <c r="N132" i="17"/>
  <c r="N133" i="17"/>
  <c r="N134" i="17"/>
  <c r="N135" i="17"/>
  <c r="N136" i="17"/>
  <c r="N137" i="17"/>
  <c r="N138" i="17"/>
  <c r="N139" i="17"/>
  <c r="N140" i="17"/>
  <c r="N141" i="17"/>
  <c r="N142" i="17"/>
  <c r="N143" i="17"/>
  <c r="N144" i="17"/>
  <c r="N145" i="17"/>
  <c r="N146" i="17"/>
  <c r="N147" i="17"/>
  <c r="N148" i="17"/>
  <c r="N149" i="17"/>
  <c r="N150" i="17"/>
  <c r="N151" i="17"/>
  <c r="N152" i="17"/>
  <c r="N153" i="17"/>
  <c r="N154" i="17"/>
  <c r="N155" i="17"/>
  <c r="N156" i="17"/>
  <c r="N157" i="17"/>
  <c r="N158" i="17"/>
  <c r="N159" i="17"/>
  <c r="N160" i="17"/>
  <c r="N161" i="17"/>
  <c r="N162" i="17"/>
  <c r="N163" i="17"/>
  <c r="N164" i="17"/>
  <c r="N165" i="17"/>
  <c r="N166" i="17"/>
  <c r="N167" i="17"/>
  <c r="N168" i="17"/>
  <c r="N169" i="17"/>
  <c r="N170" i="17"/>
  <c r="N171" i="17"/>
  <c r="N172" i="17"/>
  <c r="N173" i="17"/>
  <c r="N174" i="17"/>
  <c r="N175" i="17"/>
  <c r="N176" i="17"/>
  <c r="N177" i="17"/>
  <c r="N178" i="17"/>
  <c r="N179" i="17"/>
  <c r="N180" i="17"/>
  <c r="N181" i="17"/>
  <c r="N182" i="17"/>
  <c r="N183" i="17"/>
  <c r="N184" i="17"/>
  <c r="N185" i="17"/>
  <c r="N186" i="17"/>
  <c r="N187" i="17"/>
  <c r="N188" i="17"/>
  <c r="N189" i="17"/>
  <c r="N190" i="17"/>
  <c r="N191" i="17"/>
  <c r="N192" i="17"/>
  <c r="N193" i="17"/>
  <c r="N194" i="17"/>
  <c r="N195" i="17"/>
  <c r="N196" i="17"/>
  <c r="N197" i="17"/>
  <c r="N198" i="17"/>
  <c r="N199" i="17"/>
  <c r="N200" i="17"/>
  <c r="N201" i="17"/>
  <c r="N202" i="17"/>
  <c r="N203" i="17"/>
  <c r="N204" i="17"/>
  <c r="N205" i="17"/>
  <c r="N206" i="17"/>
  <c r="N207" i="17"/>
  <c r="N208" i="17"/>
  <c r="N209" i="17"/>
  <c r="N210" i="17"/>
  <c r="N211" i="17"/>
  <c r="N212" i="17"/>
  <c r="N213" i="17"/>
  <c r="N214" i="17"/>
  <c r="N215" i="17"/>
  <c r="N216" i="17"/>
  <c r="N217" i="17"/>
  <c r="N218" i="17"/>
  <c r="N219" i="17"/>
  <c r="N220" i="17"/>
  <c r="N221" i="17"/>
  <c r="N222" i="17"/>
  <c r="N223" i="17"/>
  <c r="N224" i="17"/>
  <c r="N225" i="17"/>
  <c r="N226" i="17"/>
  <c r="N227" i="17"/>
  <c r="N228" i="17"/>
  <c r="N229" i="17"/>
  <c r="N230" i="17"/>
  <c r="N231" i="17"/>
  <c r="N232" i="17"/>
  <c r="N233" i="17"/>
  <c r="N234" i="17"/>
  <c r="N235" i="17"/>
  <c r="N236" i="17"/>
  <c r="N237" i="17"/>
  <c r="N238" i="17"/>
  <c r="N239" i="17"/>
  <c r="N240" i="17"/>
  <c r="N241" i="17"/>
  <c r="N242" i="17"/>
  <c r="N243" i="17"/>
  <c r="N244" i="17"/>
  <c r="N245" i="17"/>
  <c r="N246" i="17"/>
  <c r="N247" i="17"/>
  <c r="N248" i="17"/>
  <c r="N249" i="17"/>
  <c r="N250" i="17"/>
  <c r="N251" i="17"/>
  <c r="N252" i="17"/>
  <c r="N253" i="17"/>
  <c r="N254" i="17"/>
  <c r="N255" i="17"/>
  <c r="N256" i="17"/>
  <c r="N257" i="17"/>
  <c r="N258" i="17"/>
  <c r="N259" i="17"/>
  <c r="N260" i="17"/>
  <c r="N261" i="17"/>
  <c r="N262" i="17"/>
  <c r="N263" i="17"/>
  <c r="N264" i="17"/>
  <c r="N265" i="17"/>
  <c r="N266" i="17"/>
  <c r="N267" i="17"/>
  <c r="N268" i="17"/>
  <c r="N269" i="17"/>
  <c r="N270" i="17"/>
  <c r="N271" i="17"/>
  <c r="N272" i="17"/>
  <c r="N273" i="17"/>
  <c r="N274" i="17"/>
  <c r="N275" i="17"/>
  <c r="N276" i="17"/>
  <c r="N277" i="17"/>
  <c r="N278" i="17"/>
  <c r="N279" i="17"/>
  <c r="N280" i="17"/>
  <c r="N281" i="17"/>
  <c r="N282" i="17"/>
  <c r="N283" i="17"/>
  <c r="N284" i="17"/>
  <c r="N285" i="17"/>
  <c r="N286" i="17"/>
  <c r="N287" i="17"/>
  <c r="N288" i="17"/>
  <c r="N289" i="17"/>
  <c r="N290" i="17"/>
  <c r="N291" i="17"/>
  <c r="N292" i="17"/>
  <c r="N293" i="17"/>
  <c r="N294" i="17"/>
  <c r="N295" i="17"/>
  <c r="N296" i="17"/>
  <c r="N297" i="17"/>
  <c r="N298" i="17"/>
  <c r="N299" i="17"/>
  <c r="N300" i="17"/>
  <c r="N301" i="17"/>
  <c r="N302" i="17"/>
  <c r="N303" i="17"/>
  <c r="N304" i="17"/>
  <c r="N305" i="17"/>
  <c r="N306" i="17"/>
  <c r="N307" i="17"/>
  <c r="N308" i="17"/>
  <c r="N309" i="17"/>
  <c r="N310" i="17"/>
  <c r="N311" i="17"/>
  <c r="N312" i="17"/>
  <c r="N313" i="17"/>
  <c r="N314" i="17"/>
  <c r="N315" i="17"/>
  <c r="N316" i="17"/>
  <c r="N317" i="17"/>
  <c r="N318" i="17"/>
  <c r="N319" i="17"/>
  <c r="N320" i="17"/>
  <c r="N321" i="17"/>
  <c r="N322" i="17"/>
  <c r="N323" i="17"/>
  <c r="N324" i="17"/>
  <c r="N325" i="17"/>
  <c r="N326" i="17"/>
  <c r="N327" i="17"/>
  <c r="N328" i="17"/>
  <c r="N329" i="17"/>
  <c r="N330" i="17"/>
  <c r="N331" i="17"/>
  <c r="N332" i="17"/>
  <c r="N333" i="17"/>
  <c r="N334" i="17"/>
  <c r="N335" i="17"/>
  <c r="N336" i="17"/>
  <c r="N337" i="17"/>
  <c r="N338" i="17"/>
  <c r="N339" i="17"/>
  <c r="N340" i="17"/>
  <c r="N341" i="17"/>
  <c r="N342" i="17"/>
  <c r="N343" i="17"/>
  <c r="N344" i="17"/>
  <c r="N345" i="17"/>
  <c r="N346" i="17"/>
  <c r="N347" i="17"/>
  <c r="N348" i="17"/>
  <c r="N349" i="17"/>
  <c r="N350" i="17"/>
  <c r="N351" i="17"/>
  <c r="N352" i="17"/>
  <c r="N353" i="17"/>
  <c r="N354" i="17"/>
  <c r="N355" i="17"/>
  <c r="N356" i="17"/>
  <c r="N357" i="17"/>
  <c r="N358" i="17"/>
  <c r="N359" i="17"/>
  <c r="N360" i="17"/>
  <c r="N361" i="17"/>
  <c r="N362" i="17"/>
  <c r="N363" i="17"/>
  <c r="N364" i="17"/>
  <c r="N365" i="17"/>
  <c r="N366" i="17"/>
  <c r="N367" i="17"/>
  <c r="N368" i="17"/>
  <c r="N369" i="17"/>
  <c r="N370" i="17"/>
  <c r="N371" i="17"/>
  <c r="N372" i="17"/>
  <c r="N373" i="17"/>
  <c r="N374" i="17"/>
  <c r="N375" i="17"/>
  <c r="N376" i="17"/>
  <c r="N377" i="17"/>
  <c r="N378" i="17"/>
  <c r="N379" i="17"/>
  <c r="N380" i="17"/>
  <c r="N381" i="17"/>
  <c r="N382" i="17"/>
  <c r="N383" i="17"/>
  <c r="N384" i="17"/>
  <c r="N385" i="17"/>
  <c r="N386" i="17"/>
  <c r="N387" i="17"/>
  <c r="N388" i="17"/>
  <c r="N389" i="17"/>
  <c r="N390" i="17"/>
  <c r="N391" i="17"/>
  <c r="N392" i="17"/>
  <c r="N393" i="17"/>
  <c r="N394" i="17"/>
  <c r="N395" i="17"/>
  <c r="N396" i="17"/>
  <c r="N397" i="17"/>
  <c r="N398" i="17"/>
  <c r="N399" i="17"/>
  <c r="N400" i="17"/>
  <c r="N401" i="17"/>
  <c r="N402" i="17"/>
  <c r="N403" i="17"/>
  <c r="N404" i="17"/>
  <c r="N405" i="17"/>
  <c r="N406" i="17"/>
  <c r="N407" i="17"/>
  <c r="N408" i="17"/>
  <c r="N409" i="17"/>
  <c r="N410" i="17"/>
  <c r="N411" i="17"/>
  <c r="N412" i="17"/>
  <c r="N413" i="17"/>
  <c r="N414" i="17"/>
  <c r="N415" i="17"/>
  <c r="N416" i="17"/>
  <c r="N417" i="17"/>
  <c r="N418" i="17"/>
  <c r="N419" i="17"/>
  <c r="N420" i="17"/>
  <c r="N421" i="17"/>
  <c r="N422" i="17"/>
  <c r="N423" i="17"/>
  <c r="N424" i="17"/>
  <c r="N425" i="17"/>
  <c r="N426" i="17"/>
  <c r="N427" i="17"/>
  <c r="N428" i="17"/>
  <c r="N429" i="17"/>
  <c r="N430" i="17"/>
  <c r="N431" i="17"/>
  <c r="N432" i="17"/>
  <c r="N433" i="17"/>
  <c r="N434" i="17"/>
  <c r="N435" i="17"/>
  <c r="N436" i="17"/>
  <c r="N437" i="17"/>
  <c r="N438" i="17"/>
  <c r="N439" i="17"/>
  <c r="N440" i="17"/>
  <c r="N441" i="17"/>
  <c r="N442" i="17"/>
  <c r="N443" i="17"/>
  <c r="N444" i="17"/>
  <c r="N445" i="17"/>
  <c r="N446" i="17"/>
  <c r="N447" i="17"/>
  <c r="N448" i="17"/>
  <c r="N449" i="17"/>
  <c r="N450" i="17"/>
  <c r="N451" i="17"/>
  <c r="N452" i="17"/>
  <c r="N453" i="17"/>
  <c r="N454" i="17"/>
  <c r="N455" i="17"/>
  <c r="N456" i="17"/>
  <c r="N457" i="17"/>
  <c r="N458" i="17"/>
  <c r="N459" i="17"/>
  <c r="N460" i="17"/>
  <c r="N461" i="17"/>
  <c r="N462" i="17"/>
  <c r="N463" i="17"/>
  <c r="N464" i="17"/>
  <c r="N465" i="17"/>
  <c r="N466" i="17"/>
  <c r="N467" i="17"/>
  <c r="N468" i="17"/>
  <c r="N469" i="17"/>
  <c r="N470" i="17"/>
  <c r="N471" i="17"/>
  <c r="N472" i="17"/>
  <c r="N473" i="17"/>
  <c r="N474" i="17"/>
  <c r="N475" i="17"/>
  <c r="N476" i="17"/>
  <c r="N477" i="17"/>
  <c r="N478" i="17"/>
  <c r="N479" i="17"/>
  <c r="N480" i="17"/>
  <c r="N481" i="17"/>
  <c r="N482" i="17"/>
  <c r="N483" i="17"/>
  <c r="N484" i="17"/>
  <c r="N485" i="17"/>
  <c r="N486" i="17"/>
  <c r="N487" i="17"/>
  <c r="N488" i="17"/>
  <c r="N489" i="17"/>
  <c r="N490" i="17"/>
  <c r="N491" i="17"/>
  <c r="N492" i="17"/>
  <c r="N493" i="17"/>
  <c r="N494" i="17"/>
  <c r="N495" i="17"/>
  <c r="N496" i="17"/>
  <c r="N497" i="17"/>
  <c r="N498" i="17"/>
  <c r="N499" i="17"/>
  <c r="N500" i="17"/>
  <c r="N501" i="17"/>
  <c r="N502" i="17"/>
  <c r="N503" i="17"/>
  <c r="N504" i="17"/>
  <c r="N505" i="17"/>
  <c r="N506" i="17"/>
  <c r="N507" i="17"/>
  <c r="N508" i="17"/>
  <c r="N509" i="17"/>
  <c r="N510" i="17"/>
  <c r="N511" i="17"/>
  <c r="N512" i="17"/>
  <c r="N513" i="17"/>
  <c r="N514" i="17"/>
  <c r="N515" i="17"/>
  <c r="N516" i="17"/>
  <c r="N517" i="17"/>
  <c r="N518" i="17"/>
  <c r="N519" i="17"/>
  <c r="N520" i="17"/>
  <c r="N521" i="17"/>
  <c r="N522" i="17"/>
  <c r="N523" i="17"/>
  <c r="N524" i="17"/>
  <c r="N525" i="17"/>
  <c r="N526" i="17"/>
  <c r="N527" i="17"/>
  <c r="N528" i="17"/>
  <c r="N529" i="17"/>
  <c r="N530" i="17"/>
  <c r="N531" i="17"/>
  <c r="N532" i="17"/>
  <c r="N533" i="17"/>
  <c r="N534" i="17"/>
  <c r="N535" i="17"/>
  <c r="N536" i="17"/>
  <c r="N537" i="17"/>
  <c r="N538" i="17"/>
  <c r="N539" i="17"/>
  <c r="N540" i="17"/>
  <c r="N541" i="17"/>
  <c r="N542" i="17"/>
  <c r="N543" i="17"/>
  <c r="N544" i="17"/>
  <c r="N545" i="17"/>
  <c r="N546" i="17"/>
  <c r="N547" i="17"/>
  <c r="N548" i="17"/>
  <c r="N549" i="17"/>
  <c r="N550" i="17"/>
  <c r="N551" i="17"/>
  <c r="N552" i="17"/>
  <c r="N553" i="17"/>
  <c r="N554" i="17"/>
  <c r="N555" i="17"/>
  <c r="N556" i="17"/>
  <c r="N557" i="17"/>
  <c r="N558" i="17"/>
  <c r="N559" i="17"/>
  <c r="N560" i="17"/>
  <c r="N561" i="17"/>
  <c r="N562" i="17"/>
  <c r="N563" i="17"/>
  <c r="N564" i="17"/>
  <c r="N565" i="17"/>
  <c r="N566" i="17"/>
  <c r="N567" i="17"/>
  <c r="N568" i="17"/>
  <c r="N569" i="17"/>
  <c r="N570" i="17"/>
  <c r="N571" i="17"/>
  <c r="N572" i="17"/>
  <c r="N573" i="17"/>
  <c r="N574" i="17"/>
  <c r="N575" i="17"/>
  <c r="N576" i="17"/>
  <c r="N577" i="17"/>
  <c r="N578" i="17"/>
  <c r="N579" i="17"/>
  <c r="N580" i="17"/>
  <c r="N581" i="17"/>
  <c r="N582" i="17"/>
  <c r="N583" i="17"/>
  <c r="N584" i="17"/>
  <c r="N585" i="17"/>
  <c r="N586" i="17"/>
  <c r="N587" i="17"/>
  <c r="N588" i="17"/>
  <c r="N589" i="17"/>
  <c r="N590" i="17"/>
  <c r="N591" i="17"/>
  <c r="N592" i="17"/>
  <c r="N593" i="17"/>
  <c r="N594" i="17"/>
  <c r="N595" i="17"/>
  <c r="N596" i="17"/>
  <c r="N597" i="17"/>
  <c r="N598" i="17"/>
  <c r="N599" i="17"/>
  <c r="N600" i="17"/>
  <c r="N601" i="17"/>
  <c r="N602" i="17"/>
  <c r="N603" i="17"/>
  <c r="N604" i="17"/>
  <c r="N605" i="17"/>
  <c r="N606" i="17"/>
  <c r="N607" i="17"/>
  <c r="N608" i="17"/>
  <c r="N609" i="17"/>
  <c r="N610" i="17"/>
  <c r="N611" i="17"/>
  <c r="N612" i="17"/>
  <c r="N613" i="17"/>
  <c r="N614" i="17"/>
  <c r="N615" i="17"/>
  <c r="N616" i="17"/>
  <c r="N617" i="17"/>
  <c r="N618" i="17"/>
  <c r="N619" i="17"/>
  <c r="N620" i="17"/>
  <c r="N621" i="17"/>
  <c r="N622" i="17"/>
  <c r="N623" i="17"/>
  <c r="N624" i="17"/>
  <c r="N625" i="17"/>
  <c r="N626" i="17"/>
  <c r="N627" i="17"/>
  <c r="N628" i="17"/>
  <c r="N629" i="17"/>
  <c r="N630" i="17"/>
  <c r="N631" i="17"/>
  <c r="N632" i="17"/>
  <c r="N633" i="17"/>
  <c r="N634" i="17"/>
  <c r="N635" i="17"/>
  <c r="N636" i="17"/>
  <c r="N637" i="17"/>
  <c r="N638" i="17"/>
  <c r="N639" i="17"/>
  <c r="N640" i="17"/>
  <c r="N641" i="17"/>
  <c r="N642" i="17"/>
  <c r="N643" i="17"/>
  <c r="N644" i="17"/>
  <c r="N645" i="17"/>
  <c r="N646" i="17"/>
  <c r="N647" i="17"/>
  <c r="N648" i="17"/>
  <c r="N649" i="17"/>
  <c r="N650" i="17"/>
  <c r="N651" i="17"/>
  <c r="N652" i="17"/>
  <c r="N653" i="17"/>
  <c r="N654" i="17"/>
  <c r="N655" i="17"/>
  <c r="N656" i="17"/>
  <c r="N657" i="17"/>
  <c r="N658" i="17"/>
  <c r="N659" i="17"/>
  <c r="N660" i="17"/>
  <c r="N661" i="17"/>
  <c r="N662" i="17"/>
  <c r="N663" i="17"/>
  <c r="N664" i="17"/>
  <c r="N665" i="17"/>
  <c r="N666" i="17"/>
  <c r="N667" i="17"/>
  <c r="N668" i="17"/>
  <c r="N669" i="17"/>
  <c r="N670" i="17"/>
  <c r="N671" i="17"/>
  <c r="N672" i="17"/>
  <c r="N673" i="17"/>
  <c r="N674" i="17"/>
  <c r="N675" i="17"/>
  <c r="N676" i="17"/>
  <c r="N677" i="17"/>
  <c r="N678" i="17"/>
  <c r="N679" i="17"/>
  <c r="N680" i="17"/>
  <c r="N681" i="17"/>
  <c r="N682" i="17"/>
  <c r="N683" i="17"/>
  <c r="N684" i="17"/>
  <c r="N685" i="17"/>
  <c r="N686" i="17"/>
  <c r="N687" i="17"/>
  <c r="N688" i="17"/>
  <c r="N689" i="17"/>
  <c r="N690" i="17"/>
  <c r="N691" i="17"/>
  <c r="N692" i="17"/>
  <c r="N693" i="17"/>
  <c r="N694" i="17"/>
  <c r="N695" i="17"/>
  <c r="N696" i="17"/>
  <c r="N697" i="17"/>
  <c r="N698" i="17"/>
  <c r="N699" i="17"/>
  <c r="N700" i="17"/>
  <c r="N701" i="17"/>
  <c r="N702" i="17"/>
  <c r="N703" i="17"/>
  <c r="N704" i="17"/>
  <c r="N705" i="17"/>
  <c r="N706" i="17"/>
  <c r="N707" i="17"/>
  <c r="N708" i="17"/>
  <c r="N709" i="17"/>
  <c r="N710" i="17"/>
  <c r="N711" i="17"/>
  <c r="N712" i="17"/>
  <c r="N713" i="17"/>
  <c r="N714" i="17"/>
  <c r="N715" i="17"/>
  <c r="N716" i="17"/>
  <c r="N717" i="17"/>
  <c r="N718" i="17"/>
  <c r="N719" i="17"/>
  <c r="N720" i="17"/>
  <c r="N721" i="17"/>
  <c r="N722" i="17"/>
  <c r="N723" i="17"/>
  <c r="N724" i="17"/>
  <c r="N725" i="17"/>
  <c r="N726" i="17"/>
  <c r="N727" i="17"/>
  <c r="N728" i="17"/>
  <c r="N729" i="17"/>
  <c r="N730" i="17"/>
  <c r="N731" i="17"/>
  <c r="N732" i="17"/>
  <c r="N733" i="17"/>
  <c r="N734" i="17"/>
  <c r="N735" i="17"/>
  <c r="N736" i="17"/>
  <c r="N737" i="17"/>
  <c r="N738" i="17"/>
  <c r="N739" i="17"/>
  <c r="N740" i="17"/>
  <c r="N741" i="17"/>
  <c r="N742" i="17"/>
  <c r="N743" i="17"/>
  <c r="N744" i="17"/>
  <c r="N745" i="17"/>
  <c r="N746" i="17"/>
  <c r="N747" i="17"/>
  <c r="N748" i="17"/>
  <c r="N749" i="17"/>
  <c r="N750" i="17"/>
  <c r="N751" i="17"/>
  <c r="N752" i="17"/>
  <c r="N753" i="17"/>
  <c r="N754" i="17"/>
  <c r="N755" i="17"/>
  <c r="N756" i="17"/>
  <c r="N757" i="17"/>
  <c r="N758" i="17"/>
  <c r="N759" i="17"/>
  <c r="N760" i="17"/>
  <c r="N761" i="17"/>
  <c r="N762" i="17"/>
  <c r="N763" i="17"/>
  <c r="N764" i="17"/>
  <c r="N6" i="17"/>
  <c r="K7" i="17"/>
  <c r="K8" i="17"/>
  <c r="K9" i="17"/>
  <c r="K10" i="17"/>
  <c r="K11" i="17"/>
  <c r="K12" i="17"/>
  <c r="K13" i="17"/>
  <c r="K14" i="17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K30" i="17"/>
  <c r="K31" i="17"/>
  <c r="K32" i="17"/>
  <c r="K33" i="17"/>
  <c r="K34" i="17"/>
  <c r="K35" i="17"/>
  <c r="K36" i="17"/>
  <c r="K37" i="17"/>
  <c r="K38" i="17"/>
  <c r="K39" i="17"/>
  <c r="K40" i="17"/>
  <c r="K41" i="17"/>
  <c r="K42" i="17"/>
  <c r="K43" i="17"/>
  <c r="K44" i="17"/>
  <c r="K45" i="17"/>
  <c r="K46" i="17"/>
  <c r="K47" i="17"/>
  <c r="K48" i="17"/>
  <c r="K49" i="17"/>
  <c r="K50" i="17"/>
  <c r="K51" i="17"/>
  <c r="K52" i="17"/>
  <c r="K53" i="17"/>
  <c r="K54" i="17"/>
  <c r="K55" i="17"/>
  <c r="K56" i="17"/>
  <c r="K57" i="17"/>
  <c r="K58" i="17"/>
  <c r="K59" i="17"/>
  <c r="K60" i="17"/>
  <c r="K61" i="17"/>
  <c r="K62" i="17"/>
  <c r="K63" i="17"/>
  <c r="K64" i="17"/>
  <c r="K65" i="17"/>
  <c r="K66" i="17"/>
  <c r="K67" i="17"/>
  <c r="K68" i="17"/>
  <c r="K69" i="17"/>
  <c r="K70" i="17"/>
  <c r="K71" i="17"/>
  <c r="K72" i="17"/>
  <c r="K73" i="17"/>
  <c r="K74" i="17"/>
  <c r="K75" i="17"/>
  <c r="K76" i="17"/>
  <c r="K77" i="17"/>
  <c r="K78" i="17"/>
  <c r="K79" i="17"/>
  <c r="K80" i="17"/>
  <c r="K81" i="17"/>
  <c r="K82" i="17"/>
  <c r="K83" i="17"/>
  <c r="K84" i="17"/>
  <c r="K85" i="17"/>
  <c r="K86" i="17"/>
  <c r="K87" i="17"/>
  <c r="K88" i="17"/>
  <c r="K89" i="17"/>
  <c r="K90" i="17"/>
  <c r="K91" i="17"/>
  <c r="K92" i="17"/>
  <c r="K93" i="17"/>
  <c r="K94" i="17"/>
  <c r="K95" i="17"/>
  <c r="K96" i="17"/>
  <c r="K97" i="17"/>
  <c r="K98" i="17"/>
  <c r="K99" i="17"/>
  <c r="K100" i="17"/>
  <c r="K101" i="17"/>
  <c r="K102" i="17"/>
  <c r="K103" i="17"/>
  <c r="K104" i="17"/>
  <c r="K105" i="17"/>
  <c r="K106" i="17"/>
  <c r="K107" i="17"/>
  <c r="K108" i="17"/>
  <c r="K109" i="17"/>
  <c r="K110" i="17"/>
  <c r="K111" i="17"/>
  <c r="K112" i="17"/>
  <c r="K113" i="17"/>
  <c r="K114" i="17"/>
  <c r="K115" i="17"/>
  <c r="K116" i="17"/>
  <c r="K117" i="17"/>
  <c r="K118" i="17"/>
  <c r="K119" i="17"/>
  <c r="K120" i="17"/>
  <c r="K121" i="17"/>
  <c r="K122" i="17"/>
  <c r="K123" i="17"/>
  <c r="K124" i="17"/>
  <c r="K125" i="17"/>
  <c r="K126" i="17"/>
  <c r="K127" i="17"/>
  <c r="K128" i="17"/>
  <c r="K129" i="17"/>
  <c r="K130" i="17"/>
  <c r="K131" i="17"/>
  <c r="K132" i="17"/>
  <c r="K133" i="17"/>
  <c r="K134" i="17"/>
  <c r="K135" i="17"/>
  <c r="K136" i="17"/>
  <c r="K137" i="17"/>
  <c r="K138" i="17"/>
  <c r="K139" i="17"/>
  <c r="K140" i="17"/>
  <c r="K141" i="17"/>
  <c r="K142" i="17"/>
  <c r="K143" i="17"/>
  <c r="K144" i="17"/>
  <c r="K145" i="17"/>
  <c r="K146" i="17"/>
  <c r="K147" i="17"/>
  <c r="K148" i="17"/>
  <c r="K149" i="17"/>
  <c r="K150" i="17"/>
  <c r="K151" i="17"/>
  <c r="K152" i="17"/>
  <c r="K153" i="17"/>
  <c r="K154" i="17"/>
  <c r="K155" i="17"/>
  <c r="K156" i="17"/>
  <c r="K157" i="17"/>
  <c r="K158" i="17"/>
  <c r="K159" i="17"/>
  <c r="K160" i="17"/>
  <c r="K161" i="17"/>
  <c r="K162" i="17"/>
  <c r="K163" i="17"/>
  <c r="K164" i="17"/>
  <c r="K165" i="17"/>
  <c r="K166" i="17"/>
  <c r="K167" i="17"/>
  <c r="K168" i="17"/>
  <c r="K169" i="17"/>
  <c r="K170" i="17"/>
  <c r="K171" i="17"/>
  <c r="K172" i="17"/>
  <c r="K173" i="17"/>
  <c r="K174" i="17"/>
  <c r="K175" i="17"/>
  <c r="K176" i="17"/>
  <c r="K177" i="17"/>
  <c r="K178" i="17"/>
  <c r="K179" i="17"/>
  <c r="K180" i="17"/>
  <c r="K181" i="17"/>
  <c r="K182" i="17"/>
  <c r="K183" i="17"/>
  <c r="K184" i="17"/>
  <c r="K185" i="17"/>
  <c r="K186" i="17"/>
  <c r="K187" i="17"/>
  <c r="K188" i="17"/>
  <c r="K189" i="17"/>
  <c r="K190" i="17"/>
  <c r="K191" i="17"/>
  <c r="K192" i="17"/>
  <c r="K193" i="17"/>
  <c r="K194" i="17"/>
  <c r="K195" i="17"/>
  <c r="K196" i="17"/>
  <c r="K197" i="17"/>
  <c r="K198" i="17"/>
  <c r="K199" i="17"/>
  <c r="K200" i="17"/>
  <c r="K201" i="17"/>
  <c r="K202" i="17"/>
  <c r="K203" i="17"/>
  <c r="K204" i="17"/>
  <c r="K205" i="17"/>
  <c r="K206" i="17"/>
  <c r="K207" i="17"/>
  <c r="K208" i="17"/>
  <c r="K209" i="17"/>
  <c r="K210" i="17"/>
  <c r="K211" i="17"/>
  <c r="K212" i="17"/>
  <c r="K213" i="17"/>
  <c r="K214" i="17"/>
  <c r="K215" i="17"/>
  <c r="K216" i="17"/>
  <c r="K217" i="17"/>
  <c r="K218" i="17"/>
  <c r="K219" i="17"/>
  <c r="K220" i="17"/>
  <c r="K221" i="17"/>
  <c r="K222" i="17"/>
  <c r="K223" i="17"/>
  <c r="K224" i="17"/>
  <c r="K225" i="17"/>
  <c r="K226" i="17"/>
  <c r="K227" i="17"/>
  <c r="K228" i="17"/>
  <c r="K229" i="17"/>
  <c r="K230" i="17"/>
  <c r="K231" i="17"/>
  <c r="K232" i="17"/>
  <c r="K233" i="17"/>
  <c r="K234" i="17"/>
  <c r="K235" i="17"/>
  <c r="K236" i="17"/>
  <c r="K237" i="17"/>
  <c r="K238" i="17"/>
  <c r="K239" i="17"/>
  <c r="K240" i="17"/>
  <c r="K241" i="17"/>
  <c r="K242" i="17"/>
  <c r="K243" i="17"/>
  <c r="K244" i="17"/>
  <c r="K245" i="17"/>
  <c r="K246" i="17"/>
  <c r="K247" i="17"/>
  <c r="K248" i="17"/>
  <c r="K249" i="17"/>
  <c r="K250" i="17"/>
  <c r="K251" i="17"/>
  <c r="K252" i="17"/>
  <c r="K253" i="17"/>
  <c r="K254" i="17"/>
  <c r="K255" i="17"/>
  <c r="K256" i="17"/>
  <c r="K257" i="17"/>
  <c r="K258" i="17"/>
  <c r="K259" i="17"/>
  <c r="K260" i="17"/>
  <c r="K261" i="17"/>
  <c r="K262" i="17"/>
  <c r="K263" i="17"/>
  <c r="K264" i="17"/>
  <c r="K265" i="17"/>
  <c r="K266" i="17"/>
  <c r="K267" i="17"/>
  <c r="K268" i="17"/>
  <c r="K269" i="17"/>
  <c r="K270" i="17"/>
  <c r="K271" i="17"/>
  <c r="K272" i="17"/>
  <c r="K273" i="17"/>
  <c r="K274" i="17"/>
  <c r="K275" i="17"/>
  <c r="K276" i="17"/>
  <c r="K277" i="17"/>
  <c r="K278" i="17"/>
  <c r="K279" i="17"/>
  <c r="K280" i="17"/>
  <c r="K281" i="17"/>
  <c r="K282" i="17"/>
  <c r="K283" i="17"/>
  <c r="K284" i="17"/>
  <c r="K285" i="17"/>
  <c r="K286" i="17"/>
  <c r="K287" i="17"/>
  <c r="K288" i="17"/>
  <c r="K289" i="17"/>
  <c r="K290" i="17"/>
  <c r="K291" i="17"/>
  <c r="K292" i="17"/>
  <c r="K293" i="17"/>
  <c r="K294" i="17"/>
  <c r="K295" i="17"/>
  <c r="K296" i="17"/>
  <c r="K297" i="17"/>
  <c r="K298" i="17"/>
  <c r="K299" i="17"/>
  <c r="K300" i="17"/>
  <c r="K301" i="17"/>
  <c r="K302" i="17"/>
  <c r="K303" i="17"/>
  <c r="K304" i="17"/>
  <c r="K305" i="17"/>
  <c r="K306" i="17"/>
  <c r="K307" i="17"/>
  <c r="K308" i="17"/>
  <c r="K309" i="17"/>
  <c r="K310" i="17"/>
  <c r="K311" i="17"/>
  <c r="K312" i="17"/>
  <c r="K313" i="17"/>
  <c r="K314" i="17"/>
  <c r="K315" i="17"/>
  <c r="K316" i="17"/>
  <c r="K317" i="17"/>
  <c r="K318" i="17"/>
  <c r="K319" i="17"/>
  <c r="K320" i="17"/>
  <c r="K321" i="17"/>
  <c r="K322" i="17"/>
  <c r="K323" i="17"/>
  <c r="K324" i="17"/>
  <c r="K325" i="17"/>
  <c r="K326" i="17"/>
  <c r="K327" i="17"/>
  <c r="K328" i="17"/>
  <c r="K329" i="17"/>
  <c r="K330" i="17"/>
  <c r="K331" i="17"/>
  <c r="K332" i="17"/>
  <c r="K333" i="17"/>
  <c r="K334" i="17"/>
  <c r="K335" i="17"/>
  <c r="K336" i="17"/>
  <c r="K337" i="17"/>
  <c r="K338" i="17"/>
  <c r="K339" i="17"/>
  <c r="K340" i="17"/>
  <c r="K341" i="17"/>
  <c r="K342" i="17"/>
  <c r="K343" i="17"/>
  <c r="K344" i="17"/>
  <c r="K345" i="17"/>
  <c r="K346" i="17"/>
  <c r="K347" i="17"/>
  <c r="K348" i="17"/>
  <c r="K349" i="17"/>
  <c r="K350" i="17"/>
  <c r="K351" i="17"/>
  <c r="K352" i="17"/>
  <c r="K353" i="17"/>
  <c r="K354" i="17"/>
  <c r="K355" i="17"/>
  <c r="K356" i="17"/>
  <c r="K357" i="17"/>
  <c r="K358" i="17"/>
  <c r="K359" i="17"/>
  <c r="K360" i="17"/>
  <c r="K361" i="17"/>
  <c r="K362" i="17"/>
  <c r="K363" i="17"/>
  <c r="K364" i="17"/>
  <c r="K365" i="17"/>
  <c r="K366" i="17"/>
  <c r="K367" i="17"/>
  <c r="K368" i="17"/>
  <c r="K369" i="17"/>
  <c r="K370" i="17"/>
  <c r="K371" i="17"/>
  <c r="K372" i="17"/>
  <c r="K373" i="17"/>
  <c r="K374" i="17"/>
  <c r="K375" i="17"/>
  <c r="K376" i="17"/>
  <c r="K377" i="17"/>
  <c r="K378" i="17"/>
  <c r="K379" i="17"/>
  <c r="K380" i="17"/>
  <c r="K381" i="17"/>
  <c r="K382" i="17"/>
  <c r="K383" i="17"/>
  <c r="K384" i="17"/>
  <c r="K385" i="17"/>
  <c r="K386" i="17"/>
  <c r="K387" i="17"/>
  <c r="K388" i="17"/>
  <c r="K389" i="17"/>
  <c r="K390" i="17"/>
  <c r="K391" i="17"/>
  <c r="K392" i="17"/>
  <c r="K393" i="17"/>
  <c r="K394" i="17"/>
  <c r="K395" i="17"/>
  <c r="K396" i="17"/>
  <c r="K397" i="17"/>
  <c r="K398" i="17"/>
  <c r="K399" i="17"/>
  <c r="K400" i="17"/>
  <c r="K401" i="17"/>
  <c r="K402" i="17"/>
  <c r="K403" i="17"/>
  <c r="K404" i="17"/>
  <c r="K405" i="17"/>
  <c r="K406" i="17"/>
  <c r="K407" i="17"/>
  <c r="K408" i="17"/>
  <c r="K409" i="17"/>
  <c r="K410" i="17"/>
  <c r="K411" i="17"/>
  <c r="K412" i="17"/>
  <c r="K413" i="17"/>
  <c r="K414" i="17"/>
  <c r="K415" i="17"/>
  <c r="K416" i="17"/>
  <c r="K417" i="17"/>
  <c r="K418" i="17"/>
  <c r="K419" i="17"/>
  <c r="K420" i="17"/>
  <c r="K421" i="17"/>
  <c r="K422" i="17"/>
  <c r="K423" i="17"/>
  <c r="K424" i="17"/>
  <c r="K425" i="17"/>
  <c r="K426" i="17"/>
  <c r="K427" i="17"/>
  <c r="K428" i="17"/>
  <c r="K429" i="17"/>
  <c r="K430" i="17"/>
  <c r="K431" i="17"/>
  <c r="K432" i="17"/>
  <c r="K433" i="17"/>
  <c r="K434" i="17"/>
  <c r="K435" i="17"/>
  <c r="K436" i="17"/>
  <c r="K437" i="17"/>
  <c r="K438" i="17"/>
  <c r="K439" i="17"/>
  <c r="K440" i="17"/>
  <c r="K441" i="17"/>
  <c r="K442" i="17"/>
  <c r="K443" i="17"/>
  <c r="K444" i="17"/>
  <c r="K445" i="17"/>
  <c r="K446" i="17"/>
  <c r="K447" i="17"/>
  <c r="K448" i="17"/>
  <c r="K449" i="17"/>
  <c r="K450" i="17"/>
  <c r="K451" i="17"/>
  <c r="K452" i="17"/>
  <c r="K453" i="17"/>
  <c r="K454" i="17"/>
  <c r="K455" i="17"/>
  <c r="K456" i="17"/>
  <c r="K457" i="17"/>
  <c r="K458" i="17"/>
  <c r="K459" i="17"/>
  <c r="K460" i="17"/>
  <c r="K461" i="17"/>
  <c r="K462" i="17"/>
  <c r="K463" i="17"/>
  <c r="K464" i="17"/>
  <c r="K465" i="17"/>
  <c r="K466" i="17"/>
  <c r="K467" i="17"/>
  <c r="K468" i="17"/>
  <c r="K469" i="17"/>
  <c r="K470" i="17"/>
  <c r="K471" i="17"/>
  <c r="K472" i="17"/>
  <c r="K473" i="17"/>
  <c r="K474" i="17"/>
  <c r="K475" i="17"/>
  <c r="K476" i="17"/>
  <c r="K477" i="17"/>
  <c r="K478" i="17"/>
  <c r="K479" i="17"/>
  <c r="K480" i="17"/>
  <c r="K481" i="17"/>
  <c r="K482" i="17"/>
  <c r="K483" i="17"/>
  <c r="K484" i="17"/>
  <c r="K485" i="17"/>
  <c r="K486" i="17"/>
  <c r="K487" i="17"/>
  <c r="K488" i="17"/>
  <c r="K489" i="17"/>
  <c r="K490" i="17"/>
  <c r="K491" i="17"/>
  <c r="K492" i="17"/>
  <c r="K493" i="17"/>
  <c r="K494" i="17"/>
  <c r="K495" i="17"/>
  <c r="K496" i="17"/>
  <c r="K497" i="17"/>
  <c r="K498" i="17"/>
  <c r="K499" i="17"/>
  <c r="K500" i="17"/>
  <c r="K501" i="17"/>
  <c r="K502" i="17"/>
  <c r="K503" i="17"/>
  <c r="K504" i="17"/>
  <c r="K505" i="17"/>
  <c r="K506" i="17"/>
  <c r="K507" i="17"/>
  <c r="K508" i="17"/>
  <c r="K509" i="17"/>
  <c r="K510" i="17"/>
  <c r="K511" i="17"/>
  <c r="K512" i="17"/>
  <c r="K513" i="17"/>
  <c r="K514" i="17"/>
  <c r="K515" i="17"/>
  <c r="K516" i="17"/>
  <c r="K517" i="17"/>
  <c r="K518" i="17"/>
  <c r="K519" i="17"/>
  <c r="K520" i="17"/>
  <c r="K521" i="17"/>
  <c r="K522" i="17"/>
  <c r="K523" i="17"/>
  <c r="K524" i="17"/>
  <c r="K525" i="17"/>
  <c r="K526" i="17"/>
  <c r="K527" i="17"/>
  <c r="K528" i="17"/>
  <c r="K529" i="17"/>
  <c r="K530" i="17"/>
  <c r="K531" i="17"/>
  <c r="K532" i="17"/>
  <c r="K533" i="17"/>
  <c r="K534" i="17"/>
  <c r="K535" i="17"/>
  <c r="K536" i="17"/>
  <c r="K537" i="17"/>
  <c r="K538" i="17"/>
  <c r="K539" i="17"/>
  <c r="K540" i="17"/>
  <c r="K541" i="17"/>
  <c r="K542" i="17"/>
  <c r="K543" i="17"/>
  <c r="K544" i="17"/>
  <c r="K545" i="17"/>
  <c r="K546" i="17"/>
  <c r="K547" i="17"/>
  <c r="K548" i="17"/>
  <c r="K549" i="17"/>
  <c r="K550" i="17"/>
  <c r="K551" i="17"/>
  <c r="K552" i="17"/>
  <c r="K553" i="17"/>
  <c r="K554" i="17"/>
  <c r="K555" i="17"/>
  <c r="K556" i="17"/>
  <c r="K557" i="17"/>
  <c r="K558" i="17"/>
  <c r="K559" i="17"/>
  <c r="K560" i="17"/>
  <c r="K561" i="17"/>
  <c r="K562" i="17"/>
  <c r="K563" i="17"/>
  <c r="K564" i="17"/>
  <c r="K565" i="17"/>
  <c r="K566" i="17"/>
  <c r="K567" i="17"/>
  <c r="K568" i="17"/>
  <c r="K569" i="17"/>
  <c r="K570" i="17"/>
  <c r="K571" i="17"/>
  <c r="K572" i="17"/>
  <c r="K573" i="17"/>
  <c r="K574" i="17"/>
  <c r="K575" i="17"/>
  <c r="K576" i="17"/>
  <c r="K577" i="17"/>
  <c r="K578" i="17"/>
  <c r="K579" i="17"/>
  <c r="K580" i="17"/>
  <c r="K581" i="17"/>
  <c r="K582" i="17"/>
  <c r="K583" i="17"/>
  <c r="K584" i="17"/>
  <c r="K585" i="17"/>
  <c r="K586" i="17"/>
  <c r="K587" i="17"/>
  <c r="K588" i="17"/>
  <c r="K589" i="17"/>
  <c r="K590" i="17"/>
  <c r="K591" i="17"/>
  <c r="K592" i="17"/>
  <c r="K593" i="17"/>
  <c r="K594" i="17"/>
  <c r="K595" i="17"/>
  <c r="K596" i="17"/>
  <c r="K597" i="17"/>
  <c r="K598" i="17"/>
  <c r="K599" i="17"/>
  <c r="K600" i="17"/>
  <c r="K601" i="17"/>
  <c r="K602" i="17"/>
  <c r="K603" i="17"/>
  <c r="K604" i="17"/>
  <c r="K605" i="17"/>
  <c r="K606" i="17"/>
  <c r="K607" i="17"/>
  <c r="K608" i="17"/>
  <c r="K609" i="17"/>
  <c r="K610" i="17"/>
  <c r="K611" i="17"/>
  <c r="K612" i="17"/>
  <c r="K613" i="17"/>
  <c r="K614" i="17"/>
  <c r="K615" i="17"/>
  <c r="K616" i="17"/>
  <c r="K617" i="17"/>
  <c r="K618" i="17"/>
  <c r="K619" i="17"/>
  <c r="K620" i="17"/>
  <c r="K621" i="17"/>
  <c r="K622" i="17"/>
  <c r="K623" i="17"/>
  <c r="K624" i="17"/>
  <c r="K625" i="17"/>
  <c r="K626" i="17"/>
  <c r="K627" i="17"/>
  <c r="K628" i="17"/>
  <c r="K629" i="17"/>
  <c r="K630" i="17"/>
  <c r="K631" i="17"/>
  <c r="K632" i="17"/>
  <c r="K633" i="17"/>
  <c r="K634" i="17"/>
  <c r="K635" i="17"/>
  <c r="K636" i="17"/>
  <c r="K637" i="17"/>
  <c r="K638" i="17"/>
  <c r="K639" i="17"/>
  <c r="K640" i="17"/>
  <c r="K641" i="17"/>
  <c r="K642" i="17"/>
  <c r="K643" i="17"/>
  <c r="K644" i="17"/>
  <c r="K645" i="17"/>
  <c r="K646" i="17"/>
  <c r="K647" i="17"/>
  <c r="K648" i="17"/>
  <c r="K649" i="17"/>
  <c r="K650" i="17"/>
  <c r="K651" i="17"/>
  <c r="K652" i="17"/>
  <c r="K653" i="17"/>
  <c r="K654" i="17"/>
  <c r="K655" i="17"/>
  <c r="K656" i="17"/>
  <c r="K657" i="17"/>
  <c r="K658" i="17"/>
  <c r="K659" i="17"/>
  <c r="K660" i="17"/>
  <c r="K661" i="17"/>
  <c r="K662" i="17"/>
  <c r="K663" i="17"/>
  <c r="K664" i="17"/>
  <c r="K665" i="17"/>
  <c r="K666" i="17"/>
  <c r="K667" i="17"/>
  <c r="K668" i="17"/>
  <c r="K669" i="17"/>
  <c r="K670" i="17"/>
  <c r="K671" i="17"/>
  <c r="K672" i="17"/>
  <c r="K673" i="17"/>
  <c r="K674" i="17"/>
  <c r="K675" i="17"/>
  <c r="K676" i="17"/>
  <c r="K677" i="17"/>
  <c r="K678" i="17"/>
  <c r="K679" i="17"/>
  <c r="K680" i="17"/>
  <c r="K681" i="17"/>
  <c r="K682" i="17"/>
  <c r="K683" i="17"/>
  <c r="K684" i="17"/>
  <c r="K685" i="17"/>
  <c r="K686" i="17"/>
  <c r="K687" i="17"/>
  <c r="K688" i="17"/>
  <c r="K689" i="17"/>
  <c r="K690" i="17"/>
  <c r="K691" i="17"/>
  <c r="K692" i="17"/>
  <c r="K693" i="17"/>
  <c r="K694" i="17"/>
  <c r="K695" i="17"/>
  <c r="K696" i="17"/>
  <c r="K697" i="17"/>
  <c r="K698" i="17"/>
  <c r="K699" i="17"/>
  <c r="K700" i="17"/>
  <c r="K701" i="17"/>
  <c r="K702" i="17"/>
  <c r="K703" i="17"/>
  <c r="K704" i="17"/>
  <c r="K705" i="17"/>
  <c r="K706" i="17"/>
  <c r="K707" i="17"/>
  <c r="K708" i="17"/>
  <c r="K709" i="17"/>
  <c r="K710" i="17"/>
  <c r="K711" i="17"/>
  <c r="K712" i="17"/>
  <c r="K713" i="17"/>
  <c r="K714" i="17"/>
  <c r="K715" i="17"/>
  <c r="K716" i="17"/>
  <c r="K717" i="17"/>
  <c r="K718" i="17"/>
  <c r="K719" i="17"/>
  <c r="K720" i="17"/>
  <c r="K721" i="17"/>
  <c r="K722" i="17"/>
  <c r="K723" i="17"/>
  <c r="K724" i="17"/>
  <c r="K725" i="17"/>
  <c r="K726" i="17"/>
  <c r="K727" i="17"/>
  <c r="K728" i="17"/>
  <c r="K729" i="17"/>
  <c r="K730" i="17"/>
  <c r="K731" i="17"/>
  <c r="K732" i="17"/>
  <c r="K733" i="17"/>
  <c r="K734" i="17"/>
  <c r="K735" i="17"/>
  <c r="K736" i="17"/>
  <c r="K737" i="17"/>
  <c r="K738" i="17"/>
  <c r="K739" i="17"/>
  <c r="K740" i="17"/>
  <c r="K741" i="17"/>
  <c r="K742" i="17"/>
  <c r="K743" i="17"/>
  <c r="K744" i="17"/>
  <c r="K745" i="17"/>
  <c r="K746" i="17"/>
  <c r="K747" i="17"/>
  <c r="K748" i="17"/>
  <c r="K749" i="17"/>
  <c r="K750" i="17"/>
  <c r="K751" i="17"/>
  <c r="K752" i="17"/>
  <c r="K753" i="17"/>
  <c r="K754" i="17"/>
  <c r="K755" i="17"/>
  <c r="K756" i="17"/>
  <c r="K757" i="17"/>
  <c r="K758" i="17"/>
  <c r="K759" i="17"/>
  <c r="K760" i="17"/>
  <c r="K761" i="17"/>
  <c r="K762" i="17"/>
  <c r="K763" i="17"/>
  <c r="K764" i="17"/>
  <c r="K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51" i="17"/>
  <c r="J52" i="17"/>
  <c r="J53" i="17"/>
  <c r="J54" i="17"/>
  <c r="J55" i="17"/>
  <c r="J56" i="17"/>
  <c r="J57" i="17"/>
  <c r="J58" i="17"/>
  <c r="J59" i="17"/>
  <c r="J60" i="17"/>
  <c r="J61" i="17"/>
  <c r="J62" i="17"/>
  <c r="J63" i="17"/>
  <c r="J64" i="17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83" i="17"/>
  <c r="J84" i="17"/>
  <c r="J85" i="17"/>
  <c r="J86" i="17"/>
  <c r="J87" i="17"/>
  <c r="J88" i="17"/>
  <c r="J89" i="17"/>
  <c r="J90" i="17"/>
  <c r="J91" i="17"/>
  <c r="J92" i="17"/>
  <c r="J93" i="17"/>
  <c r="J94" i="17"/>
  <c r="J95" i="17"/>
  <c r="J96" i="17"/>
  <c r="J97" i="17"/>
  <c r="J98" i="17"/>
  <c r="J99" i="17"/>
  <c r="J100" i="17"/>
  <c r="J101" i="17"/>
  <c r="J102" i="17"/>
  <c r="J103" i="17"/>
  <c r="J104" i="17"/>
  <c r="J105" i="17"/>
  <c r="J106" i="17"/>
  <c r="J107" i="17"/>
  <c r="J108" i="17"/>
  <c r="J109" i="17"/>
  <c r="J110" i="17"/>
  <c r="J111" i="17"/>
  <c r="J112" i="17"/>
  <c r="J113" i="17"/>
  <c r="J114" i="17"/>
  <c r="J115" i="17"/>
  <c r="J116" i="17"/>
  <c r="J117" i="17"/>
  <c r="J118" i="17"/>
  <c r="J119" i="17"/>
  <c r="J120" i="17"/>
  <c r="J121" i="17"/>
  <c r="J122" i="17"/>
  <c r="J123" i="17"/>
  <c r="J124" i="17"/>
  <c r="J125" i="17"/>
  <c r="J126" i="17"/>
  <c r="J127" i="17"/>
  <c r="J128" i="17"/>
  <c r="J129" i="17"/>
  <c r="J130" i="17"/>
  <c r="J131" i="17"/>
  <c r="J132" i="17"/>
  <c r="J133" i="17"/>
  <c r="J134" i="17"/>
  <c r="J135" i="17"/>
  <c r="J136" i="17"/>
  <c r="J137" i="17"/>
  <c r="J138" i="17"/>
  <c r="J139" i="17"/>
  <c r="J140" i="17"/>
  <c r="J141" i="17"/>
  <c r="J142" i="17"/>
  <c r="J143" i="17"/>
  <c r="J144" i="17"/>
  <c r="J145" i="17"/>
  <c r="J146" i="17"/>
  <c r="J147" i="17"/>
  <c r="J148" i="17"/>
  <c r="J149" i="17"/>
  <c r="J150" i="17"/>
  <c r="J151" i="17"/>
  <c r="J152" i="17"/>
  <c r="J153" i="17"/>
  <c r="J154" i="17"/>
  <c r="J155" i="17"/>
  <c r="J156" i="17"/>
  <c r="J157" i="17"/>
  <c r="J158" i="17"/>
  <c r="J159" i="17"/>
  <c r="J160" i="17"/>
  <c r="J161" i="17"/>
  <c r="J162" i="17"/>
  <c r="J163" i="17"/>
  <c r="J164" i="17"/>
  <c r="J165" i="17"/>
  <c r="J166" i="17"/>
  <c r="J167" i="17"/>
  <c r="J168" i="17"/>
  <c r="J169" i="17"/>
  <c r="J170" i="17"/>
  <c r="J171" i="17"/>
  <c r="J172" i="17"/>
  <c r="J173" i="17"/>
  <c r="J174" i="17"/>
  <c r="J175" i="17"/>
  <c r="J176" i="17"/>
  <c r="J177" i="17"/>
  <c r="J178" i="17"/>
  <c r="J179" i="17"/>
  <c r="J180" i="17"/>
  <c r="J181" i="17"/>
  <c r="J182" i="17"/>
  <c r="J183" i="17"/>
  <c r="J184" i="17"/>
  <c r="J185" i="17"/>
  <c r="J186" i="17"/>
  <c r="J187" i="17"/>
  <c r="J188" i="17"/>
  <c r="J189" i="17"/>
  <c r="J190" i="17"/>
  <c r="J191" i="17"/>
  <c r="J192" i="17"/>
  <c r="J193" i="17"/>
  <c r="J194" i="17"/>
  <c r="J195" i="17"/>
  <c r="J196" i="17"/>
  <c r="J197" i="17"/>
  <c r="J198" i="17"/>
  <c r="J199" i="17"/>
  <c r="J200" i="17"/>
  <c r="J201" i="17"/>
  <c r="J202" i="17"/>
  <c r="J203" i="17"/>
  <c r="J204" i="17"/>
  <c r="J205" i="17"/>
  <c r="J206" i="17"/>
  <c r="J207" i="17"/>
  <c r="J208" i="17"/>
  <c r="J209" i="17"/>
  <c r="J210" i="17"/>
  <c r="J211" i="17"/>
  <c r="J212" i="17"/>
  <c r="J213" i="17"/>
  <c r="J214" i="17"/>
  <c r="J215" i="17"/>
  <c r="J216" i="17"/>
  <c r="J217" i="17"/>
  <c r="J218" i="17"/>
  <c r="J219" i="17"/>
  <c r="J220" i="17"/>
  <c r="J221" i="17"/>
  <c r="J222" i="17"/>
  <c r="J223" i="17"/>
  <c r="J224" i="17"/>
  <c r="J225" i="17"/>
  <c r="J226" i="17"/>
  <c r="J227" i="17"/>
  <c r="J228" i="17"/>
  <c r="J229" i="17"/>
  <c r="J230" i="17"/>
  <c r="J231" i="17"/>
  <c r="J232" i="17"/>
  <c r="J233" i="17"/>
  <c r="J234" i="17"/>
  <c r="J235" i="17"/>
  <c r="J236" i="17"/>
  <c r="J237" i="17"/>
  <c r="J238" i="17"/>
  <c r="J239" i="17"/>
  <c r="J240" i="17"/>
  <c r="J241" i="17"/>
  <c r="J242" i="17"/>
  <c r="J243" i="17"/>
  <c r="J244" i="17"/>
  <c r="J245" i="17"/>
  <c r="J246" i="17"/>
  <c r="J247" i="17"/>
  <c r="J248" i="17"/>
  <c r="J249" i="17"/>
  <c r="J250" i="17"/>
  <c r="J251" i="17"/>
  <c r="J252" i="17"/>
  <c r="J253" i="17"/>
  <c r="J254" i="17"/>
  <c r="J255" i="17"/>
  <c r="J256" i="17"/>
  <c r="J257" i="17"/>
  <c r="J258" i="17"/>
  <c r="J259" i="17"/>
  <c r="J260" i="17"/>
  <c r="J261" i="17"/>
  <c r="J262" i="17"/>
  <c r="J263" i="17"/>
  <c r="J264" i="17"/>
  <c r="J265" i="17"/>
  <c r="J266" i="17"/>
  <c r="J267" i="17"/>
  <c r="J268" i="17"/>
  <c r="J269" i="17"/>
  <c r="J270" i="17"/>
  <c r="J271" i="17"/>
  <c r="J272" i="17"/>
  <c r="J273" i="17"/>
  <c r="J274" i="17"/>
  <c r="J275" i="17"/>
  <c r="J276" i="17"/>
  <c r="J277" i="17"/>
  <c r="J278" i="17"/>
  <c r="J279" i="17"/>
  <c r="J280" i="17"/>
  <c r="J281" i="17"/>
  <c r="J282" i="17"/>
  <c r="J283" i="17"/>
  <c r="J284" i="17"/>
  <c r="J285" i="17"/>
  <c r="J286" i="17"/>
  <c r="J287" i="17"/>
  <c r="J288" i="17"/>
  <c r="J289" i="17"/>
  <c r="J290" i="17"/>
  <c r="J291" i="17"/>
  <c r="J292" i="17"/>
  <c r="J293" i="17"/>
  <c r="J294" i="17"/>
  <c r="J295" i="17"/>
  <c r="J296" i="17"/>
  <c r="J297" i="17"/>
  <c r="J298" i="17"/>
  <c r="J299" i="17"/>
  <c r="J300" i="17"/>
  <c r="J301" i="17"/>
  <c r="J302" i="17"/>
  <c r="J303" i="17"/>
  <c r="J304" i="17"/>
  <c r="J305" i="17"/>
  <c r="J306" i="17"/>
  <c r="J307" i="17"/>
  <c r="J308" i="17"/>
  <c r="J309" i="17"/>
  <c r="J310" i="17"/>
  <c r="J311" i="17"/>
  <c r="J312" i="17"/>
  <c r="J313" i="17"/>
  <c r="J314" i="17"/>
  <c r="J315" i="17"/>
  <c r="J316" i="17"/>
  <c r="J317" i="17"/>
  <c r="J318" i="17"/>
  <c r="J319" i="17"/>
  <c r="J320" i="17"/>
  <c r="J321" i="17"/>
  <c r="J322" i="17"/>
  <c r="J323" i="17"/>
  <c r="J324" i="17"/>
  <c r="J325" i="17"/>
  <c r="J326" i="17"/>
  <c r="J327" i="17"/>
  <c r="J328" i="17"/>
  <c r="J329" i="17"/>
  <c r="J330" i="17"/>
  <c r="J331" i="17"/>
  <c r="J332" i="17"/>
  <c r="J333" i="17"/>
  <c r="J334" i="17"/>
  <c r="J335" i="17"/>
  <c r="J336" i="17"/>
  <c r="J337" i="17"/>
  <c r="J338" i="17"/>
  <c r="J339" i="17"/>
  <c r="J340" i="17"/>
  <c r="J341" i="17"/>
  <c r="J342" i="17"/>
  <c r="J343" i="17"/>
  <c r="J344" i="17"/>
  <c r="J345" i="17"/>
  <c r="J346" i="17"/>
  <c r="J347" i="17"/>
  <c r="J348" i="17"/>
  <c r="J349" i="17"/>
  <c r="J350" i="17"/>
  <c r="J351" i="17"/>
  <c r="J352" i="17"/>
  <c r="J353" i="17"/>
  <c r="J354" i="17"/>
  <c r="J355" i="17"/>
  <c r="J356" i="17"/>
  <c r="J357" i="17"/>
  <c r="J358" i="17"/>
  <c r="J359" i="17"/>
  <c r="J360" i="17"/>
  <c r="J361" i="17"/>
  <c r="J362" i="17"/>
  <c r="J363" i="17"/>
  <c r="J364" i="17"/>
  <c r="J365" i="17"/>
  <c r="J366" i="17"/>
  <c r="J367" i="17"/>
  <c r="J368" i="17"/>
  <c r="J369" i="17"/>
  <c r="J370" i="17"/>
  <c r="J371" i="17"/>
  <c r="J372" i="17"/>
  <c r="J373" i="17"/>
  <c r="J374" i="17"/>
  <c r="J375" i="17"/>
  <c r="J376" i="17"/>
  <c r="J377" i="17"/>
  <c r="J378" i="17"/>
  <c r="J379" i="17"/>
  <c r="J380" i="17"/>
  <c r="J381" i="17"/>
  <c r="J382" i="17"/>
  <c r="J383" i="17"/>
  <c r="J384" i="17"/>
  <c r="J385" i="17"/>
  <c r="J386" i="17"/>
  <c r="J387" i="17"/>
  <c r="J388" i="17"/>
  <c r="J389" i="17"/>
  <c r="J390" i="17"/>
  <c r="J391" i="17"/>
  <c r="J392" i="17"/>
  <c r="J393" i="17"/>
  <c r="J394" i="17"/>
  <c r="J395" i="17"/>
  <c r="J396" i="17"/>
  <c r="J397" i="17"/>
  <c r="J398" i="17"/>
  <c r="J399" i="17"/>
  <c r="J400" i="17"/>
  <c r="J401" i="17"/>
  <c r="J402" i="17"/>
  <c r="J403" i="17"/>
  <c r="J404" i="17"/>
  <c r="J405" i="17"/>
  <c r="J406" i="17"/>
  <c r="J407" i="17"/>
  <c r="J408" i="17"/>
  <c r="J409" i="17"/>
  <c r="J410" i="17"/>
  <c r="J411" i="17"/>
  <c r="J412" i="17"/>
  <c r="J413" i="17"/>
  <c r="J414" i="17"/>
  <c r="J415" i="17"/>
  <c r="J416" i="17"/>
  <c r="J417" i="17"/>
  <c r="J418" i="17"/>
  <c r="J419" i="17"/>
  <c r="J420" i="17"/>
  <c r="J421" i="17"/>
  <c r="J422" i="17"/>
  <c r="J423" i="17"/>
  <c r="J424" i="17"/>
  <c r="J425" i="17"/>
  <c r="J426" i="17"/>
  <c r="J427" i="17"/>
  <c r="J428" i="17"/>
  <c r="J429" i="17"/>
  <c r="J430" i="17"/>
  <c r="J431" i="17"/>
  <c r="J432" i="17"/>
  <c r="J433" i="17"/>
  <c r="J434" i="17"/>
  <c r="J435" i="17"/>
  <c r="J436" i="17"/>
  <c r="J437" i="17"/>
  <c r="J438" i="17"/>
  <c r="J439" i="17"/>
  <c r="J440" i="17"/>
  <c r="J441" i="17"/>
  <c r="J442" i="17"/>
  <c r="J443" i="17"/>
  <c r="J444" i="17"/>
  <c r="J445" i="17"/>
  <c r="J446" i="17"/>
  <c r="J447" i="17"/>
  <c r="J448" i="17"/>
  <c r="J449" i="17"/>
  <c r="J450" i="17"/>
  <c r="J451" i="17"/>
  <c r="J452" i="17"/>
  <c r="J453" i="17"/>
  <c r="J454" i="17"/>
  <c r="J455" i="17"/>
  <c r="J456" i="17"/>
  <c r="J457" i="17"/>
  <c r="J458" i="17"/>
  <c r="J459" i="17"/>
  <c r="J460" i="17"/>
  <c r="J461" i="17"/>
  <c r="J462" i="17"/>
  <c r="J463" i="17"/>
  <c r="J464" i="17"/>
  <c r="J465" i="17"/>
  <c r="J466" i="17"/>
  <c r="J467" i="17"/>
  <c r="J468" i="17"/>
  <c r="J469" i="17"/>
  <c r="J470" i="17"/>
  <c r="J471" i="17"/>
  <c r="J472" i="17"/>
  <c r="J473" i="17"/>
  <c r="J474" i="17"/>
  <c r="J475" i="17"/>
  <c r="J476" i="17"/>
  <c r="J477" i="17"/>
  <c r="J478" i="17"/>
  <c r="J479" i="17"/>
  <c r="J480" i="17"/>
  <c r="J481" i="17"/>
  <c r="J482" i="17"/>
  <c r="J483" i="17"/>
  <c r="J484" i="17"/>
  <c r="J485" i="17"/>
  <c r="J486" i="17"/>
  <c r="J487" i="17"/>
  <c r="J488" i="17"/>
  <c r="J489" i="17"/>
  <c r="J490" i="17"/>
  <c r="J491" i="17"/>
  <c r="J492" i="17"/>
  <c r="J493" i="17"/>
  <c r="J494" i="17"/>
  <c r="J495" i="17"/>
  <c r="J496" i="17"/>
  <c r="J497" i="17"/>
  <c r="J498" i="17"/>
  <c r="J499" i="17"/>
  <c r="J500" i="17"/>
  <c r="J501" i="17"/>
  <c r="J502" i="17"/>
  <c r="J503" i="17"/>
  <c r="J504" i="17"/>
  <c r="J505" i="17"/>
  <c r="J506" i="17"/>
  <c r="J507" i="17"/>
  <c r="J508" i="17"/>
  <c r="J509" i="17"/>
  <c r="J510" i="17"/>
  <c r="J511" i="17"/>
  <c r="J512" i="17"/>
  <c r="J513" i="17"/>
  <c r="J514" i="17"/>
  <c r="J515" i="17"/>
  <c r="J516" i="17"/>
  <c r="J517" i="17"/>
  <c r="J518" i="17"/>
  <c r="J519" i="17"/>
  <c r="J520" i="17"/>
  <c r="J521" i="17"/>
  <c r="J522" i="17"/>
  <c r="J523" i="17"/>
  <c r="J524" i="17"/>
  <c r="J525" i="17"/>
  <c r="J526" i="17"/>
  <c r="J527" i="17"/>
  <c r="J528" i="17"/>
  <c r="J529" i="17"/>
  <c r="J530" i="17"/>
  <c r="J531" i="17"/>
  <c r="J532" i="17"/>
  <c r="J533" i="17"/>
  <c r="J534" i="17"/>
  <c r="J535" i="17"/>
  <c r="J536" i="17"/>
  <c r="J537" i="17"/>
  <c r="J538" i="17"/>
  <c r="J539" i="17"/>
  <c r="J540" i="17"/>
  <c r="J541" i="17"/>
  <c r="J542" i="17"/>
  <c r="J543" i="17"/>
  <c r="J544" i="17"/>
  <c r="J545" i="17"/>
  <c r="J546" i="17"/>
  <c r="J547" i="17"/>
  <c r="J548" i="17"/>
  <c r="J549" i="17"/>
  <c r="J550" i="17"/>
  <c r="J551" i="17"/>
  <c r="J552" i="17"/>
  <c r="J553" i="17"/>
  <c r="J554" i="17"/>
  <c r="J555" i="17"/>
  <c r="J556" i="17"/>
  <c r="J557" i="17"/>
  <c r="J558" i="17"/>
  <c r="J559" i="17"/>
  <c r="J560" i="17"/>
  <c r="J561" i="17"/>
  <c r="J562" i="17"/>
  <c r="J563" i="17"/>
  <c r="J564" i="17"/>
  <c r="J565" i="17"/>
  <c r="J566" i="17"/>
  <c r="J567" i="17"/>
  <c r="J568" i="17"/>
  <c r="J569" i="17"/>
  <c r="J570" i="17"/>
  <c r="J571" i="17"/>
  <c r="J572" i="17"/>
  <c r="J573" i="17"/>
  <c r="J574" i="17"/>
  <c r="J575" i="17"/>
  <c r="J576" i="17"/>
  <c r="J577" i="17"/>
  <c r="J578" i="17"/>
  <c r="J579" i="17"/>
  <c r="J580" i="17"/>
  <c r="J581" i="17"/>
  <c r="J582" i="17"/>
  <c r="J583" i="17"/>
  <c r="J584" i="17"/>
  <c r="J585" i="17"/>
  <c r="J586" i="17"/>
  <c r="J587" i="17"/>
  <c r="J588" i="17"/>
  <c r="J589" i="17"/>
  <c r="J590" i="17"/>
  <c r="J591" i="17"/>
  <c r="J592" i="17"/>
  <c r="J593" i="17"/>
  <c r="J594" i="17"/>
  <c r="J595" i="17"/>
  <c r="J596" i="17"/>
  <c r="J597" i="17"/>
  <c r="J598" i="17"/>
  <c r="J599" i="17"/>
  <c r="J600" i="17"/>
  <c r="J601" i="17"/>
  <c r="J602" i="17"/>
  <c r="J603" i="17"/>
  <c r="J604" i="17"/>
  <c r="J605" i="17"/>
  <c r="J606" i="17"/>
  <c r="J607" i="17"/>
  <c r="J608" i="17"/>
  <c r="J609" i="17"/>
  <c r="J610" i="17"/>
  <c r="J611" i="17"/>
  <c r="J612" i="17"/>
  <c r="J613" i="17"/>
  <c r="J614" i="17"/>
  <c r="J615" i="17"/>
  <c r="J616" i="17"/>
  <c r="J617" i="17"/>
  <c r="J618" i="17"/>
  <c r="J619" i="17"/>
  <c r="J620" i="17"/>
  <c r="J621" i="17"/>
  <c r="J622" i="17"/>
  <c r="J623" i="17"/>
  <c r="J624" i="17"/>
  <c r="J625" i="17"/>
  <c r="J626" i="17"/>
  <c r="J627" i="17"/>
  <c r="J628" i="17"/>
  <c r="J629" i="17"/>
  <c r="J630" i="17"/>
  <c r="J631" i="17"/>
  <c r="J632" i="17"/>
  <c r="J633" i="17"/>
  <c r="J634" i="17"/>
  <c r="J635" i="17"/>
  <c r="J636" i="17"/>
  <c r="J637" i="17"/>
  <c r="J638" i="17"/>
  <c r="J639" i="17"/>
  <c r="J640" i="17"/>
  <c r="J641" i="17"/>
  <c r="J642" i="17"/>
  <c r="J643" i="17"/>
  <c r="J644" i="17"/>
  <c r="J645" i="17"/>
  <c r="J646" i="17"/>
  <c r="J647" i="17"/>
  <c r="J648" i="17"/>
  <c r="J649" i="17"/>
  <c r="J650" i="17"/>
  <c r="J651" i="17"/>
  <c r="J652" i="17"/>
  <c r="J653" i="17"/>
  <c r="J654" i="17"/>
  <c r="J655" i="17"/>
  <c r="J656" i="17"/>
  <c r="J657" i="17"/>
  <c r="J658" i="17"/>
  <c r="J659" i="17"/>
  <c r="J660" i="17"/>
  <c r="J661" i="17"/>
  <c r="J662" i="17"/>
  <c r="J663" i="17"/>
  <c r="J664" i="17"/>
  <c r="J665" i="17"/>
  <c r="J666" i="17"/>
  <c r="J667" i="17"/>
  <c r="J668" i="17"/>
  <c r="J669" i="17"/>
  <c r="J670" i="17"/>
  <c r="J671" i="17"/>
  <c r="J672" i="17"/>
  <c r="J673" i="17"/>
  <c r="J674" i="17"/>
  <c r="J675" i="17"/>
  <c r="J676" i="17"/>
  <c r="J677" i="17"/>
  <c r="J678" i="17"/>
  <c r="J679" i="17"/>
  <c r="J680" i="17"/>
  <c r="J681" i="17"/>
  <c r="J682" i="17"/>
  <c r="J683" i="17"/>
  <c r="J684" i="17"/>
  <c r="J685" i="17"/>
  <c r="J686" i="17"/>
  <c r="J687" i="17"/>
  <c r="J688" i="17"/>
  <c r="J689" i="17"/>
  <c r="J690" i="17"/>
  <c r="J691" i="17"/>
  <c r="J692" i="17"/>
  <c r="J693" i="17"/>
  <c r="J694" i="17"/>
  <c r="J695" i="17"/>
  <c r="J696" i="17"/>
  <c r="J697" i="17"/>
  <c r="J698" i="17"/>
  <c r="J699" i="17"/>
  <c r="J700" i="17"/>
  <c r="J701" i="17"/>
  <c r="J702" i="17"/>
  <c r="J703" i="17"/>
  <c r="J704" i="17"/>
  <c r="J705" i="17"/>
  <c r="J706" i="17"/>
  <c r="J707" i="17"/>
  <c r="J708" i="17"/>
  <c r="J709" i="17"/>
  <c r="J710" i="17"/>
  <c r="J711" i="17"/>
  <c r="J712" i="17"/>
  <c r="J713" i="17"/>
  <c r="J714" i="17"/>
  <c r="J715" i="17"/>
  <c r="J716" i="17"/>
  <c r="J717" i="17"/>
  <c r="J718" i="17"/>
  <c r="J719" i="17"/>
  <c r="J720" i="17"/>
  <c r="J721" i="17"/>
  <c r="J722" i="17"/>
  <c r="J723" i="17"/>
  <c r="J724" i="17"/>
  <c r="J725" i="17"/>
  <c r="J726" i="17"/>
  <c r="J727" i="17"/>
  <c r="J728" i="17"/>
  <c r="J729" i="17"/>
  <c r="J730" i="17"/>
  <c r="J731" i="17"/>
  <c r="J732" i="17"/>
  <c r="J733" i="17"/>
  <c r="J734" i="17"/>
  <c r="J735" i="17"/>
  <c r="J736" i="17"/>
  <c r="J737" i="17"/>
  <c r="J738" i="17"/>
  <c r="J739" i="17"/>
  <c r="J740" i="17"/>
  <c r="J741" i="17"/>
  <c r="J742" i="17"/>
  <c r="J743" i="17"/>
  <c r="J744" i="17"/>
  <c r="J745" i="17"/>
  <c r="J746" i="17"/>
  <c r="J747" i="17"/>
  <c r="J748" i="17"/>
  <c r="J749" i="17"/>
  <c r="J750" i="17"/>
  <c r="J751" i="17"/>
  <c r="J752" i="17"/>
  <c r="J753" i="17"/>
  <c r="J754" i="17"/>
  <c r="J755" i="17"/>
  <c r="J756" i="17"/>
  <c r="J757" i="17"/>
  <c r="J758" i="17"/>
  <c r="J759" i="17"/>
  <c r="J760" i="17"/>
  <c r="J761" i="17"/>
  <c r="J762" i="17"/>
  <c r="J763" i="17"/>
  <c r="J764" i="17"/>
  <c r="J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97" i="17"/>
  <c r="G98" i="17"/>
  <c r="G99" i="17"/>
  <c r="G100" i="17"/>
  <c r="G101" i="17"/>
  <c r="G102" i="17"/>
  <c r="G103" i="17"/>
  <c r="G104" i="17"/>
  <c r="G105" i="17"/>
  <c r="G106" i="17"/>
  <c r="G107" i="17"/>
  <c r="G108" i="17"/>
  <c r="G109" i="17"/>
  <c r="G110" i="17"/>
  <c r="G111" i="17"/>
  <c r="G112" i="17"/>
  <c r="G113" i="17"/>
  <c r="G114" i="17"/>
  <c r="G115" i="17"/>
  <c r="G116" i="17"/>
  <c r="G117" i="17"/>
  <c r="G118" i="17"/>
  <c r="G119" i="17"/>
  <c r="G120" i="17"/>
  <c r="G121" i="17"/>
  <c r="G122" i="17"/>
  <c r="G123" i="17"/>
  <c r="G124" i="17"/>
  <c r="G125" i="17"/>
  <c r="G126" i="17"/>
  <c r="G127" i="17"/>
  <c r="G128" i="17"/>
  <c r="G129" i="17"/>
  <c r="G130" i="17"/>
  <c r="G131" i="17"/>
  <c r="G132" i="17"/>
  <c r="G133" i="17"/>
  <c r="G134" i="17"/>
  <c r="G135" i="17"/>
  <c r="G136" i="17"/>
  <c r="G137" i="17"/>
  <c r="G138" i="17"/>
  <c r="G139" i="17"/>
  <c r="G140" i="17"/>
  <c r="G141" i="17"/>
  <c r="G142" i="17"/>
  <c r="G143" i="17"/>
  <c r="G144" i="17"/>
  <c r="G145" i="17"/>
  <c r="G146" i="17"/>
  <c r="G147" i="17"/>
  <c r="G148" i="17"/>
  <c r="G149" i="17"/>
  <c r="G150" i="17"/>
  <c r="G151" i="17"/>
  <c r="G152" i="17"/>
  <c r="G153" i="17"/>
  <c r="G154" i="17"/>
  <c r="G155" i="17"/>
  <c r="G156" i="17"/>
  <c r="G157" i="17"/>
  <c r="G158" i="17"/>
  <c r="G159" i="17"/>
  <c r="G160" i="17"/>
  <c r="G161" i="17"/>
  <c r="G162" i="17"/>
  <c r="G163" i="17"/>
  <c r="G164" i="17"/>
  <c r="G165" i="17"/>
  <c r="G166" i="17"/>
  <c r="G167" i="17"/>
  <c r="G168" i="17"/>
  <c r="G169" i="17"/>
  <c r="G170" i="17"/>
  <c r="G171" i="17"/>
  <c r="G172" i="17"/>
  <c r="G173" i="17"/>
  <c r="G174" i="17"/>
  <c r="G175" i="17"/>
  <c r="G176" i="17"/>
  <c r="G177" i="17"/>
  <c r="G178" i="17"/>
  <c r="G179" i="17"/>
  <c r="G180" i="17"/>
  <c r="G181" i="17"/>
  <c r="G182" i="17"/>
  <c r="G183" i="17"/>
  <c r="G184" i="17"/>
  <c r="G185" i="17"/>
  <c r="G186" i="17"/>
  <c r="G187" i="17"/>
  <c r="G188" i="17"/>
  <c r="G189" i="17"/>
  <c r="G190" i="17"/>
  <c r="G191" i="17"/>
  <c r="G192" i="17"/>
  <c r="G193" i="17"/>
  <c r="G194" i="17"/>
  <c r="G195" i="17"/>
  <c r="G196" i="17"/>
  <c r="G197" i="17"/>
  <c r="G198" i="17"/>
  <c r="G199" i="17"/>
  <c r="G200" i="17"/>
  <c r="G201" i="17"/>
  <c r="G202" i="17"/>
  <c r="G203" i="17"/>
  <c r="G204" i="17"/>
  <c r="G205" i="17"/>
  <c r="G206" i="17"/>
  <c r="G207" i="17"/>
  <c r="G208" i="17"/>
  <c r="G209" i="17"/>
  <c r="G210" i="17"/>
  <c r="G211" i="17"/>
  <c r="G212" i="17"/>
  <c r="G213" i="17"/>
  <c r="G214" i="17"/>
  <c r="G215" i="17"/>
  <c r="G216" i="17"/>
  <c r="G217" i="17"/>
  <c r="G218" i="17"/>
  <c r="G219" i="17"/>
  <c r="G220" i="17"/>
  <c r="G221" i="17"/>
  <c r="G222" i="17"/>
  <c r="G223" i="17"/>
  <c r="G224" i="17"/>
  <c r="G225" i="17"/>
  <c r="G226" i="17"/>
  <c r="G227" i="17"/>
  <c r="G228" i="17"/>
  <c r="G229" i="17"/>
  <c r="G230" i="17"/>
  <c r="G231" i="17"/>
  <c r="G232" i="17"/>
  <c r="G233" i="17"/>
  <c r="G234" i="17"/>
  <c r="G235" i="17"/>
  <c r="G236" i="17"/>
  <c r="G237" i="17"/>
  <c r="G238" i="17"/>
  <c r="G239" i="17"/>
  <c r="G240" i="17"/>
  <c r="G241" i="17"/>
  <c r="G242" i="17"/>
  <c r="G243" i="17"/>
  <c r="G244" i="17"/>
  <c r="G245" i="17"/>
  <c r="G246" i="17"/>
  <c r="G247" i="17"/>
  <c r="G248" i="17"/>
  <c r="G249" i="17"/>
  <c r="G250" i="17"/>
  <c r="G251" i="17"/>
  <c r="G252" i="17"/>
  <c r="G253" i="17"/>
  <c r="G254" i="17"/>
  <c r="G255" i="17"/>
  <c r="G256" i="17"/>
  <c r="G257" i="17"/>
  <c r="G258" i="17"/>
  <c r="G259" i="17"/>
  <c r="G260" i="17"/>
  <c r="G261" i="17"/>
  <c r="G262" i="17"/>
  <c r="G263" i="17"/>
  <c r="G264" i="17"/>
  <c r="G265" i="17"/>
  <c r="G266" i="17"/>
  <c r="G267" i="17"/>
  <c r="G268" i="17"/>
  <c r="G269" i="17"/>
  <c r="G270" i="17"/>
  <c r="G271" i="17"/>
  <c r="G272" i="17"/>
  <c r="G273" i="17"/>
  <c r="G274" i="17"/>
  <c r="G275" i="17"/>
  <c r="G276" i="17"/>
  <c r="G277" i="17"/>
  <c r="G278" i="17"/>
  <c r="G279" i="17"/>
  <c r="G280" i="17"/>
  <c r="G281" i="17"/>
  <c r="G282" i="17"/>
  <c r="G283" i="17"/>
  <c r="G284" i="17"/>
  <c r="G285" i="17"/>
  <c r="G286" i="17"/>
  <c r="G287" i="17"/>
  <c r="G288" i="17"/>
  <c r="G289" i="17"/>
  <c r="G290" i="17"/>
  <c r="G291" i="17"/>
  <c r="G292" i="17"/>
  <c r="G293" i="17"/>
  <c r="G294" i="17"/>
  <c r="G295" i="17"/>
  <c r="G296" i="17"/>
  <c r="G297" i="17"/>
  <c r="G298" i="17"/>
  <c r="G299" i="17"/>
  <c r="G300" i="17"/>
  <c r="G301" i="17"/>
  <c r="G302" i="17"/>
  <c r="G303" i="17"/>
  <c r="G304" i="17"/>
  <c r="G305" i="17"/>
  <c r="G306" i="17"/>
  <c r="G307" i="17"/>
  <c r="G308" i="17"/>
  <c r="G309" i="17"/>
  <c r="G310" i="17"/>
  <c r="G311" i="17"/>
  <c r="G312" i="17"/>
  <c r="G313" i="17"/>
  <c r="G314" i="17"/>
  <c r="G315" i="17"/>
  <c r="G316" i="17"/>
  <c r="G317" i="17"/>
  <c r="G318" i="17"/>
  <c r="G319" i="17"/>
  <c r="G320" i="17"/>
  <c r="G321" i="17"/>
  <c r="G322" i="17"/>
  <c r="G323" i="17"/>
  <c r="G324" i="17"/>
  <c r="G325" i="17"/>
  <c r="G326" i="17"/>
  <c r="G327" i="17"/>
  <c r="G328" i="17"/>
  <c r="G329" i="17"/>
  <c r="G330" i="17"/>
  <c r="G331" i="17"/>
  <c r="G332" i="17"/>
  <c r="G333" i="17"/>
  <c r="G334" i="17"/>
  <c r="G335" i="17"/>
  <c r="G336" i="17"/>
  <c r="G337" i="17"/>
  <c r="G338" i="17"/>
  <c r="G339" i="17"/>
  <c r="G340" i="17"/>
  <c r="G341" i="17"/>
  <c r="G342" i="17"/>
  <c r="G343" i="17"/>
  <c r="G344" i="17"/>
  <c r="G345" i="17"/>
  <c r="G346" i="17"/>
  <c r="G347" i="17"/>
  <c r="G348" i="17"/>
  <c r="G349" i="17"/>
  <c r="G350" i="17"/>
  <c r="G351" i="17"/>
  <c r="G352" i="17"/>
  <c r="G353" i="17"/>
  <c r="G354" i="17"/>
  <c r="G355" i="17"/>
  <c r="G356" i="17"/>
  <c r="G357" i="17"/>
  <c r="G358" i="17"/>
  <c r="G359" i="17"/>
  <c r="G360" i="17"/>
  <c r="G361" i="17"/>
  <c r="G362" i="17"/>
  <c r="G363" i="17"/>
  <c r="G364" i="17"/>
  <c r="G365" i="17"/>
  <c r="G366" i="17"/>
  <c r="G367" i="17"/>
  <c r="G368" i="17"/>
  <c r="G369" i="17"/>
  <c r="G370" i="17"/>
  <c r="G371" i="17"/>
  <c r="G372" i="17"/>
  <c r="G373" i="17"/>
  <c r="G374" i="17"/>
  <c r="G375" i="17"/>
  <c r="G376" i="17"/>
  <c r="G377" i="17"/>
  <c r="G378" i="17"/>
  <c r="G379" i="17"/>
  <c r="G380" i="17"/>
  <c r="G381" i="17"/>
  <c r="G382" i="17"/>
  <c r="G383" i="17"/>
  <c r="G384" i="17"/>
  <c r="G385" i="17"/>
  <c r="G386" i="17"/>
  <c r="G387" i="17"/>
  <c r="G388" i="17"/>
  <c r="G389" i="17"/>
  <c r="G390" i="17"/>
  <c r="G391" i="17"/>
  <c r="G392" i="17"/>
  <c r="G393" i="17"/>
  <c r="G394" i="17"/>
  <c r="G395" i="17"/>
  <c r="G396" i="17"/>
  <c r="G397" i="17"/>
  <c r="G398" i="17"/>
  <c r="G399" i="17"/>
  <c r="G400" i="17"/>
  <c r="G401" i="17"/>
  <c r="G402" i="17"/>
  <c r="G403" i="17"/>
  <c r="G404" i="17"/>
  <c r="G405" i="17"/>
  <c r="G406" i="17"/>
  <c r="G407" i="17"/>
  <c r="G408" i="17"/>
  <c r="G409" i="17"/>
  <c r="G410" i="17"/>
  <c r="G411" i="17"/>
  <c r="G412" i="17"/>
  <c r="G413" i="17"/>
  <c r="G414" i="17"/>
  <c r="G415" i="17"/>
  <c r="G416" i="17"/>
  <c r="G417" i="17"/>
  <c r="G418" i="17"/>
  <c r="G419" i="17"/>
  <c r="G420" i="17"/>
  <c r="G421" i="17"/>
  <c r="G422" i="17"/>
  <c r="G423" i="17"/>
  <c r="G424" i="17"/>
  <c r="G425" i="17"/>
  <c r="G426" i="17"/>
  <c r="G427" i="17"/>
  <c r="G428" i="17"/>
  <c r="G429" i="17"/>
  <c r="G430" i="17"/>
  <c r="G431" i="17"/>
  <c r="G432" i="17"/>
  <c r="G433" i="17"/>
  <c r="G434" i="17"/>
  <c r="G435" i="17"/>
  <c r="G436" i="17"/>
  <c r="G437" i="17"/>
  <c r="G438" i="17"/>
  <c r="G439" i="17"/>
  <c r="G440" i="17"/>
  <c r="G441" i="17"/>
  <c r="G442" i="17"/>
  <c r="G443" i="17"/>
  <c r="G444" i="17"/>
  <c r="G445" i="17"/>
  <c r="G446" i="17"/>
  <c r="G447" i="17"/>
  <c r="G448" i="17"/>
  <c r="G449" i="17"/>
  <c r="G450" i="17"/>
  <c r="G451" i="17"/>
  <c r="G452" i="17"/>
  <c r="G453" i="17"/>
  <c r="G454" i="17"/>
  <c r="G455" i="17"/>
  <c r="G456" i="17"/>
  <c r="G457" i="17"/>
  <c r="G458" i="17"/>
  <c r="G459" i="17"/>
  <c r="G460" i="17"/>
  <c r="G461" i="17"/>
  <c r="G462" i="17"/>
  <c r="G463" i="17"/>
  <c r="G464" i="17"/>
  <c r="G465" i="17"/>
  <c r="G466" i="17"/>
  <c r="G467" i="17"/>
  <c r="G468" i="17"/>
  <c r="G469" i="17"/>
  <c r="G470" i="17"/>
  <c r="G471" i="17"/>
  <c r="G472" i="17"/>
  <c r="G473" i="17"/>
  <c r="G474" i="17"/>
  <c r="G475" i="17"/>
  <c r="G476" i="17"/>
  <c r="G477" i="17"/>
  <c r="G478" i="17"/>
  <c r="G479" i="17"/>
  <c r="G480" i="17"/>
  <c r="G481" i="17"/>
  <c r="G482" i="17"/>
  <c r="G483" i="17"/>
  <c r="G484" i="17"/>
  <c r="G485" i="17"/>
  <c r="G486" i="17"/>
  <c r="G487" i="17"/>
  <c r="G488" i="17"/>
  <c r="G489" i="17"/>
  <c r="G490" i="17"/>
  <c r="G491" i="17"/>
  <c r="G492" i="17"/>
  <c r="G493" i="17"/>
  <c r="G494" i="17"/>
  <c r="G495" i="17"/>
  <c r="G496" i="17"/>
  <c r="G497" i="17"/>
  <c r="G498" i="17"/>
  <c r="G499" i="17"/>
  <c r="G500" i="17"/>
  <c r="G501" i="17"/>
  <c r="G502" i="17"/>
  <c r="G503" i="17"/>
  <c r="G504" i="17"/>
  <c r="G505" i="17"/>
  <c r="G506" i="17"/>
  <c r="G507" i="17"/>
  <c r="G508" i="17"/>
  <c r="G509" i="17"/>
  <c r="G510" i="17"/>
  <c r="G511" i="17"/>
  <c r="G512" i="17"/>
  <c r="G513" i="17"/>
  <c r="G514" i="17"/>
  <c r="G515" i="17"/>
  <c r="G516" i="17"/>
  <c r="G517" i="17"/>
  <c r="G518" i="17"/>
  <c r="G519" i="17"/>
  <c r="G520" i="17"/>
  <c r="G521" i="17"/>
  <c r="G522" i="17"/>
  <c r="G523" i="17"/>
  <c r="G524" i="17"/>
  <c r="G525" i="17"/>
  <c r="G526" i="17"/>
  <c r="G527" i="17"/>
  <c r="G528" i="17"/>
  <c r="G529" i="17"/>
  <c r="G530" i="17"/>
  <c r="G531" i="17"/>
  <c r="G532" i="17"/>
  <c r="G533" i="17"/>
  <c r="G534" i="17"/>
  <c r="G535" i="17"/>
  <c r="G536" i="17"/>
  <c r="G537" i="17"/>
  <c r="G538" i="17"/>
  <c r="G539" i="17"/>
  <c r="G540" i="17"/>
  <c r="G541" i="17"/>
  <c r="G542" i="17"/>
  <c r="G543" i="17"/>
  <c r="G544" i="17"/>
  <c r="G545" i="17"/>
  <c r="G546" i="17"/>
  <c r="G547" i="17"/>
  <c r="G548" i="17"/>
  <c r="G549" i="17"/>
  <c r="G550" i="17"/>
  <c r="G551" i="17"/>
  <c r="G552" i="17"/>
  <c r="G553" i="17"/>
  <c r="G554" i="17"/>
  <c r="G555" i="17"/>
  <c r="G556" i="17"/>
  <c r="G557" i="17"/>
  <c r="G558" i="17"/>
  <c r="G559" i="17"/>
  <c r="G560" i="17"/>
  <c r="G561" i="17"/>
  <c r="G562" i="17"/>
  <c r="G563" i="17"/>
  <c r="G564" i="17"/>
  <c r="G565" i="17"/>
  <c r="G566" i="17"/>
  <c r="G567" i="17"/>
  <c r="G568" i="17"/>
  <c r="G569" i="17"/>
  <c r="G570" i="17"/>
  <c r="G571" i="17"/>
  <c r="G572" i="17"/>
  <c r="G573" i="17"/>
  <c r="G574" i="17"/>
  <c r="G575" i="17"/>
  <c r="G576" i="17"/>
  <c r="G577" i="17"/>
  <c r="G578" i="17"/>
  <c r="G579" i="17"/>
  <c r="G580" i="17"/>
  <c r="G581" i="17"/>
  <c r="G582" i="17"/>
  <c r="G583" i="17"/>
  <c r="G584" i="17"/>
  <c r="G585" i="17"/>
  <c r="G586" i="17"/>
  <c r="G587" i="17"/>
  <c r="G588" i="17"/>
  <c r="G589" i="17"/>
  <c r="G590" i="17"/>
  <c r="G591" i="17"/>
  <c r="G592" i="17"/>
  <c r="G593" i="17"/>
  <c r="G594" i="17"/>
  <c r="G595" i="17"/>
  <c r="G596" i="17"/>
  <c r="G597" i="17"/>
  <c r="G598" i="17"/>
  <c r="G599" i="17"/>
  <c r="G600" i="17"/>
  <c r="G601" i="17"/>
  <c r="G602" i="17"/>
  <c r="G603" i="17"/>
  <c r="G604" i="17"/>
  <c r="G605" i="17"/>
  <c r="G606" i="17"/>
  <c r="G607" i="17"/>
  <c r="G608" i="17"/>
  <c r="G609" i="17"/>
  <c r="G610" i="17"/>
  <c r="G611" i="17"/>
  <c r="G612" i="17"/>
  <c r="G613" i="17"/>
  <c r="G614" i="17"/>
  <c r="G615" i="17"/>
  <c r="G616" i="17"/>
  <c r="G617" i="17"/>
  <c r="G618" i="17"/>
  <c r="G619" i="17"/>
  <c r="G620" i="17"/>
  <c r="G621" i="17"/>
  <c r="G622" i="17"/>
  <c r="G623" i="17"/>
  <c r="G624" i="17"/>
  <c r="G625" i="17"/>
  <c r="G626" i="17"/>
  <c r="G627" i="17"/>
  <c r="G628" i="17"/>
  <c r="G629" i="17"/>
  <c r="G630" i="17"/>
  <c r="G631" i="17"/>
  <c r="G632" i="17"/>
  <c r="G633" i="17"/>
  <c r="G634" i="17"/>
  <c r="G635" i="17"/>
  <c r="G636" i="17"/>
  <c r="G637" i="17"/>
  <c r="G638" i="17"/>
  <c r="G639" i="17"/>
  <c r="G640" i="17"/>
  <c r="G641" i="17"/>
  <c r="G642" i="17"/>
  <c r="G643" i="17"/>
  <c r="G644" i="17"/>
  <c r="G645" i="17"/>
  <c r="G646" i="17"/>
  <c r="G647" i="17"/>
  <c r="G648" i="17"/>
  <c r="G649" i="17"/>
  <c r="G650" i="17"/>
  <c r="G651" i="17"/>
  <c r="G652" i="17"/>
  <c r="G653" i="17"/>
  <c r="G654" i="17"/>
  <c r="G655" i="17"/>
  <c r="G656" i="17"/>
  <c r="G657" i="17"/>
  <c r="G658" i="17"/>
  <c r="G659" i="17"/>
  <c r="G660" i="17"/>
  <c r="G661" i="17"/>
  <c r="G662" i="17"/>
  <c r="G663" i="17"/>
  <c r="G664" i="17"/>
  <c r="G665" i="17"/>
  <c r="G666" i="17"/>
  <c r="G667" i="17"/>
  <c r="G668" i="17"/>
  <c r="G669" i="17"/>
  <c r="G670" i="17"/>
  <c r="G671" i="17"/>
  <c r="G672" i="17"/>
  <c r="G673" i="17"/>
  <c r="G674" i="17"/>
  <c r="G675" i="17"/>
  <c r="G676" i="17"/>
  <c r="G677" i="17"/>
  <c r="G678" i="17"/>
  <c r="G679" i="17"/>
  <c r="G680" i="17"/>
  <c r="G681" i="17"/>
  <c r="G682" i="17"/>
  <c r="G683" i="17"/>
  <c r="G684" i="17"/>
  <c r="G685" i="17"/>
  <c r="G686" i="17"/>
  <c r="G687" i="17"/>
  <c r="G688" i="17"/>
  <c r="G689" i="17"/>
  <c r="G690" i="17"/>
  <c r="G691" i="17"/>
  <c r="G692" i="17"/>
  <c r="G693" i="17"/>
  <c r="G694" i="17"/>
  <c r="G695" i="17"/>
  <c r="G696" i="17"/>
  <c r="G697" i="17"/>
  <c r="G698" i="17"/>
  <c r="G699" i="17"/>
  <c r="G700" i="17"/>
  <c r="G701" i="17"/>
  <c r="G702" i="17"/>
  <c r="G703" i="17"/>
  <c r="G704" i="17"/>
  <c r="G705" i="17"/>
  <c r="G706" i="17"/>
  <c r="G707" i="17"/>
  <c r="G708" i="17"/>
  <c r="G709" i="17"/>
  <c r="G710" i="17"/>
  <c r="G711" i="17"/>
  <c r="G712" i="17"/>
  <c r="G713" i="17"/>
  <c r="G714" i="17"/>
  <c r="G715" i="17"/>
  <c r="G716" i="17"/>
  <c r="G717" i="17"/>
  <c r="G718" i="17"/>
  <c r="G719" i="17"/>
  <c r="G720" i="17"/>
  <c r="G721" i="17"/>
  <c r="G722" i="17"/>
  <c r="G723" i="17"/>
  <c r="G724" i="17"/>
  <c r="G725" i="17"/>
  <c r="G726" i="17"/>
  <c r="G727" i="17"/>
  <c r="G728" i="17"/>
  <c r="G729" i="17"/>
  <c r="G730" i="17"/>
  <c r="G731" i="17"/>
  <c r="G732" i="17"/>
  <c r="G733" i="17"/>
  <c r="G734" i="17"/>
  <c r="G735" i="17"/>
  <c r="G736" i="17"/>
  <c r="G737" i="17"/>
  <c r="G738" i="17"/>
  <c r="G739" i="17"/>
  <c r="G740" i="17"/>
  <c r="G741" i="17"/>
  <c r="G742" i="17"/>
  <c r="G743" i="17"/>
  <c r="G744" i="17"/>
  <c r="G745" i="17"/>
  <c r="G746" i="17"/>
  <c r="G747" i="17"/>
  <c r="G748" i="17"/>
  <c r="G749" i="17"/>
  <c r="G750" i="17"/>
  <c r="G751" i="17"/>
  <c r="G752" i="17"/>
  <c r="G753" i="17"/>
  <c r="G754" i="17"/>
  <c r="G755" i="17"/>
  <c r="G756" i="17"/>
  <c r="G757" i="17"/>
  <c r="G758" i="17"/>
  <c r="G759" i="17"/>
  <c r="G760" i="17"/>
  <c r="G761" i="17"/>
  <c r="G762" i="17"/>
  <c r="G763" i="17"/>
  <c r="G764" i="17"/>
  <c r="G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63" i="17"/>
  <c r="F164" i="17"/>
  <c r="F165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215" i="17"/>
  <c r="F216" i="17"/>
  <c r="F217" i="17"/>
  <c r="F218" i="17"/>
  <c r="F219" i="17"/>
  <c r="F220" i="17"/>
  <c r="F221" i="17"/>
  <c r="F222" i="17"/>
  <c r="F223" i="17"/>
  <c r="F224" i="17"/>
  <c r="F225" i="17"/>
  <c r="F226" i="17"/>
  <c r="F227" i="17"/>
  <c r="F228" i="17"/>
  <c r="F229" i="17"/>
  <c r="F230" i="17"/>
  <c r="F231" i="17"/>
  <c r="F232" i="17"/>
  <c r="F233" i="17"/>
  <c r="F234" i="17"/>
  <c r="F235" i="17"/>
  <c r="F236" i="17"/>
  <c r="F237" i="17"/>
  <c r="F238" i="17"/>
  <c r="F239" i="17"/>
  <c r="F240" i="17"/>
  <c r="F241" i="17"/>
  <c r="F242" i="17"/>
  <c r="F243" i="17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68" i="17"/>
  <c r="F269" i="17"/>
  <c r="F270" i="17"/>
  <c r="F271" i="17"/>
  <c r="F272" i="17"/>
  <c r="F273" i="17"/>
  <c r="F274" i="17"/>
  <c r="F275" i="17"/>
  <c r="F276" i="17"/>
  <c r="F277" i="17"/>
  <c r="F278" i="17"/>
  <c r="F279" i="17"/>
  <c r="F280" i="17"/>
  <c r="F281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01" i="17"/>
  <c r="F302" i="17"/>
  <c r="F303" i="17"/>
  <c r="F304" i="17"/>
  <c r="F305" i="17"/>
  <c r="F306" i="17"/>
  <c r="F307" i="17"/>
  <c r="F308" i="17"/>
  <c r="F309" i="17"/>
  <c r="F310" i="17"/>
  <c r="F311" i="17"/>
  <c r="F312" i="17"/>
  <c r="F313" i="17"/>
  <c r="F314" i="17"/>
  <c r="F315" i="17"/>
  <c r="F316" i="17"/>
  <c r="F317" i="17"/>
  <c r="F318" i="17"/>
  <c r="F319" i="17"/>
  <c r="F320" i="17"/>
  <c r="F321" i="17"/>
  <c r="F322" i="17"/>
  <c r="F323" i="17"/>
  <c r="F324" i="17"/>
  <c r="F325" i="17"/>
  <c r="F326" i="17"/>
  <c r="F327" i="17"/>
  <c r="F328" i="17"/>
  <c r="F329" i="17"/>
  <c r="F330" i="17"/>
  <c r="F331" i="17"/>
  <c r="F332" i="17"/>
  <c r="F333" i="17"/>
  <c r="F334" i="17"/>
  <c r="F335" i="17"/>
  <c r="F336" i="17"/>
  <c r="F337" i="17"/>
  <c r="F338" i="17"/>
  <c r="F339" i="17"/>
  <c r="F340" i="17"/>
  <c r="F341" i="17"/>
  <c r="F342" i="17"/>
  <c r="F343" i="17"/>
  <c r="F344" i="17"/>
  <c r="F345" i="17"/>
  <c r="F346" i="17"/>
  <c r="F347" i="17"/>
  <c r="F348" i="17"/>
  <c r="F349" i="17"/>
  <c r="F350" i="17"/>
  <c r="F351" i="17"/>
  <c r="F352" i="17"/>
  <c r="F353" i="17"/>
  <c r="F354" i="17"/>
  <c r="F355" i="17"/>
  <c r="F356" i="17"/>
  <c r="F357" i="17"/>
  <c r="F358" i="17"/>
  <c r="F359" i="17"/>
  <c r="F360" i="17"/>
  <c r="F361" i="17"/>
  <c r="F362" i="17"/>
  <c r="F363" i="17"/>
  <c r="F364" i="17"/>
  <c r="F365" i="17"/>
  <c r="F366" i="17"/>
  <c r="F367" i="17"/>
  <c r="F368" i="17"/>
  <c r="F369" i="17"/>
  <c r="F370" i="17"/>
  <c r="F371" i="17"/>
  <c r="F372" i="17"/>
  <c r="F373" i="17"/>
  <c r="F374" i="17"/>
  <c r="F375" i="17"/>
  <c r="F376" i="17"/>
  <c r="F377" i="17"/>
  <c r="F378" i="17"/>
  <c r="F379" i="17"/>
  <c r="F380" i="17"/>
  <c r="F381" i="17"/>
  <c r="F382" i="17"/>
  <c r="F383" i="17"/>
  <c r="F384" i="17"/>
  <c r="F385" i="17"/>
  <c r="F386" i="17"/>
  <c r="F387" i="17"/>
  <c r="F388" i="17"/>
  <c r="F389" i="17"/>
  <c r="F390" i="17"/>
  <c r="F391" i="17"/>
  <c r="F392" i="17"/>
  <c r="F393" i="17"/>
  <c r="F394" i="17"/>
  <c r="F395" i="17"/>
  <c r="F396" i="17"/>
  <c r="F397" i="17"/>
  <c r="F398" i="17"/>
  <c r="F399" i="17"/>
  <c r="F400" i="17"/>
  <c r="F401" i="17"/>
  <c r="F402" i="17"/>
  <c r="F403" i="17"/>
  <c r="F404" i="17"/>
  <c r="F405" i="17"/>
  <c r="F406" i="17"/>
  <c r="F407" i="17"/>
  <c r="F408" i="17"/>
  <c r="F409" i="17"/>
  <c r="F410" i="17"/>
  <c r="F411" i="17"/>
  <c r="F412" i="17"/>
  <c r="F413" i="17"/>
  <c r="F414" i="17"/>
  <c r="F415" i="17"/>
  <c r="F416" i="17"/>
  <c r="F417" i="17"/>
  <c r="F418" i="17"/>
  <c r="F419" i="17"/>
  <c r="F420" i="17"/>
  <c r="F421" i="17"/>
  <c r="F422" i="17"/>
  <c r="F423" i="17"/>
  <c r="F424" i="17"/>
  <c r="F425" i="17"/>
  <c r="F426" i="17"/>
  <c r="F427" i="17"/>
  <c r="F428" i="17"/>
  <c r="F429" i="17"/>
  <c r="F430" i="17"/>
  <c r="F431" i="17"/>
  <c r="F432" i="17"/>
  <c r="F433" i="17"/>
  <c r="F434" i="17"/>
  <c r="F435" i="17"/>
  <c r="F436" i="17"/>
  <c r="F437" i="17"/>
  <c r="F438" i="17"/>
  <c r="F439" i="17"/>
  <c r="F440" i="17"/>
  <c r="F441" i="17"/>
  <c r="F442" i="17"/>
  <c r="F443" i="17"/>
  <c r="F444" i="17"/>
  <c r="F445" i="17"/>
  <c r="F446" i="17"/>
  <c r="F447" i="17"/>
  <c r="F448" i="17"/>
  <c r="F449" i="17"/>
  <c r="F450" i="17"/>
  <c r="F451" i="17"/>
  <c r="F452" i="17"/>
  <c r="F453" i="17"/>
  <c r="F454" i="17"/>
  <c r="F455" i="17"/>
  <c r="F456" i="17"/>
  <c r="F457" i="17"/>
  <c r="F458" i="17"/>
  <c r="F459" i="17"/>
  <c r="F460" i="17"/>
  <c r="F461" i="17"/>
  <c r="F462" i="17"/>
  <c r="F463" i="17"/>
  <c r="F464" i="17"/>
  <c r="F465" i="17"/>
  <c r="F466" i="17"/>
  <c r="F467" i="17"/>
  <c r="F468" i="17"/>
  <c r="F469" i="17"/>
  <c r="F470" i="17"/>
  <c r="F471" i="17"/>
  <c r="F472" i="17"/>
  <c r="F473" i="17"/>
  <c r="F474" i="17"/>
  <c r="F475" i="17"/>
  <c r="F476" i="17"/>
  <c r="F477" i="17"/>
  <c r="F478" i="17"/>
  <c r="F479" i="17"/>
  <c r="F480" i="17"/>
  <c r="F481" i="17"/>
  <c r="F482" i="17"/>
  <c r="F483" i="17"/>
  <c r="F484" i="17"/>
  <c r="F485" i="17"/>
  <c r="F486" i="17"/>
  <c r="F487" i="17"/>
  <c r="F488" i="17"/>
  <c r="F489" i="17"/>
  <c r="F490" i="17"/>
  <c r="F491" i="17"/>
  <c r="F492" i="17"/>
  <c r="F493" i="17"/>
  <c r="F494" i="17"/>
  <c r="F495" i="17"/>
  <c r="F496" i="17"/>
  <c r="F497" i="17"/>
  <c r="F498" i="17"/>
  <c r="F499" i="17"/>
  <c r="F500" i="17"/>
  <c r="F501" i="17"/>
  <c r="F502" i="17"/>
  <c r="F503" i="17"/>
  <c r="F504" i="17"/>
  <c r="F505" i="17"/>
  <c r="F506" i="17"/>
  <c r="F507" i="17"/>
  <c r="F508" i="17"/>
  <c r="F509" i="17"/>
  <c r="F510" i="17"/>
  <c r="F511" i="17"/>
  <c r="F512" i="17"/>
  <c r="F513" i="17"/>
  <c r="F514" i="17"/>
  <c r="F515" i="17"/>
  <c r="F516" i="17"/>
  <c r="F517" i="17"/>
  <c r="F518" i="17"/>
  <c r="F519" i="17"/>
  <c r="F520" i="17"/>
  <c r="F521" i="17"/>
  <c r="F522" i="17"/>
  <c r="F523" i="17"/>
  <c r="F524" i="17"/>
  <c r="F525" i="17"/>
  <c r="F526" i="17"/>
  <c r="F527" i="17"/>
  <c r="F528" i="17"/>
  <c r="F529" i="17"/>
  <c r="F530" i="17"/>
  <c r="F531" i="17"/>
  <c r="F532" i="17"/>
  <c r="F533" i="17"/>
  <c r="F534" i="17"/>
  <c r="F535" i="17"/>
  <c r="F536" i="17"/>
  <c r="F537" i="17"/>
  <c r="F538" i="17"/>
  <c r="F539" i="17"/>
  <c r="F540" i="17"/>
  <c r="F541" i="17"/>
  <c r="F542" i="17"/>
  <c r="F543" i="17"/>
  <c r="F544" i="17"/>
  <c r="F545" i="17"/>
  <c r="F546" i="17"/>
  <c r="F547" i="17"/>
  <c r="F548" i="17"/>
  <c r="F549" i="17"/>
  <c r="F550" i="17"/>
  <c r="F551" i="17"/>
  <c r="F552" i="17"/>
  <c r="F553" i="17"/>
  <c r="F554" i="17"/>
  <c r="F555" i="17"/>
  <c r="F556" i="17"/>
  <c r="F557" i="17"/>
  <c r="F558" i="17"/>
  <c r="F559" i="17"/>
  <c r="F560" i="17"/>
  <c r="F561" i="17"/>
  <c r="F562" i="17"/>
  <c r="F563" i="17"/>
  <c r="F564" i="17"/>
  <c r="F565" i="17"/>
  <c r="F566" i="17"/>
  <c r="F567" i="17"/>
  <c r="F568" i="17"/>
  <c r="F569" i="17"/>
  <c r="F570" i="17"/>
  <c r="F571" i="17"/>
  <c r="F572" i="17"/>
  <c r="F573" i="17"/>
  <c r="F574" i="17"/>
  <c r="F575" i="17"/>
  <c r="F576" i="17"/>
  <c r="F577" i="17"/>
  <c r="F578" i="17"/>
  <c r="F579" i="17"/>
  <c r="F580" i="17"/>
  <c r="F581" i="17"/>
  <c r="F582" i="17"/>
  <c r="F583" i="17"/>
  <c r="F584" i="17"/>
  <c r="F585" i="17"/>
  <c r="F586" i="17"/>
  <c r="F587" i="17"/>
  <c r="F588" i="17"/>
  <c r="F589" i="17"/>
  <c r="F590" i="17"/>
  <c r="F591" i="17"/>
  <c r="F592" i="17"/>
  <c r="F593" i="17"/>
  <c r="F594" i="17"/>
  <c r="F595" i="17"/>
  <c r="F596" i="17"/>
  <c r="F597" i="17"/>
  <c r="F598" i="17"/>
  <c r="F599" i="17"/>
  <c r="F600" i="17"/>
  <c r="F601" i="17"/>
  <c r="F602" i="17"/>
  <c r="F603" i="17"/>
  <c r="F604" i="17"/>
  <c r="F605" i="17"/>
  <c r="F606" i="17"/>
  <c r="F607" i="17"/>
  <c r="F608" i="17"/>
  <c r="F609" i="17"/>
  <c r="F610" i="17"/>
  <c r="F611" i="17"/>
  <c r="F612" i="17"/>
  <c r="F613" i="17"/>
  <c r="F614" i="17"/>
  <c r="F615" i="17"/>
  <c r="F616" i="17"/>
  <c r="F617" i="17"/>
  <c r="F618" i="17"/>
  <c r="F619" i="17"/>
  <c r="F620" i="17"/>
  <c r="F621" i="17"/>
  <c r="F622" i="17"/>
  <c r="F623" i="17"/>
  <c r="F624" i="17"/>
  <c r="F625" i="17"/>
  <c r="F626" i="17"/>
  <c r="F627" i="17"/>
  <c r="F628" i="17"/>
  <c r="F629" i="17"/>
  <c r="F630" i="17"/>
  <c r="F631" i="17"/>
  <c r="F632" i="17"/>
  <c r="F633" i="17"/>
  <c r="F634" i="17"/>
  <c r="F635" i="17"/>
  <c r="F636" i="17"/>
  <c r="F637" i="17"/>
  <c r="F638" i="17"/>
  <c r="F639" i="17"/>
  <c r="F640" i="17"/>
  <c r="F641" i="17"/>
  <c r="F642" i="17"/>
  <c r="F643" i="17"/>
  <c r="F644" i="17"/>
  <c r="F645" i="17"/>
  <c r="F646" i="17"/>
  <c r="F647" i="17"/>
  <c r="F648" i="17"/>
  <c r="F649" i="17"/>
  <c r="F650" i="17"/>
  <c r="F651" i="17"/>
  <c r="F652" i="17"/>
  <c r="F653" i="17"/>
  <c r="F654" i="17"/>
  <c r="F655" i="17"/>
  <c r="F656" i="17"/>
  <c r="F657" i="17"/>
  <c r="F658" i="17"/>
  <c r="F659" i="17"/>
  <c r="F660" i="17"/>
  <c r="F661" i="17"/>
  <c r="F662" i="17"/>
  <c r="F663" i="17"/>
  <c r="F664" i="17"/>
  <c r="F665" i="17"/>
  <c r="F666" i="17"/>
  <c r="F667" i="17"/>
  <c r="F668" i="17"/>
  <c r="F669" i="17"/>
  <c r="F670" i="17"/>
  <c r="F671" i="17"/>
  <c r="F672" i="17"/>
  <c r="F673" i="17"/>
  <c r="F674" i="17"/>
  <c r="F675" i="17"/>
  <c r="F676" i="17"/>
  <c r="F677" i="17"/>
  <c r="F678" i="17"/>
  <c r="F679" i="17"/>
  <c r="F680" i="17"/>
  <c r="F681" i="17"/>
  <c r="F682" i="17"/>
  <c r="F683" i="17"/>
  <c r="F684" i="17"/>
  <c r="F685" i="17"/>
  <c r="F686" i="17"/>
  <c r="F687" i="17"/>
  <c r="F688" i="17"/>
  <c r="F689" i="17"/>
  <c r="F690" i="17"/>
  <c r="F691" i="17"/>
  <c r="F692" i="17"/>
  <c r="F693" i="17"/>
  <c r="F694" i="17"/>
  <c r="F695" i="17"/>
  <c r="F696" i="17"/>
  <c r="F697" i="17"/>
  <c r="F698" i="17"/>
  <c r="F699" i="17"/>
  <c r="F700" i="17"/>
  <c r="F701" i="17"/>
  <c r="F702" i="17"/>
  <c r="F703" i="17"/>
  <c r="F704" i="17"/>
  <c r="F705" i="17"/>
  <c r="F706" i="17"/>
  <c r="F707" i="17"/>
  <c r="F708" i="17"/>
  <c r="F709" i="17"/>
  <c r="F710" i="17"/>
  <c r="F711" i="17"/>
  <c r="F712" i="17"/>
  <c r="F713" i="17"/>
  <c r="F714" i="17"/>
  <c r="F715" i="17"/>
  <c r="F716" i="17"/>
  <c r="F717" i="17"/>
  <c r="F718" i="17"/>
  <c r="F719" i="17"/>
  <c r="F720" i="17"/>
  <c r="F721" i="17"/>
  <c r="F722" i="17"/>
  <c r="F723" i="17"/>
  <c r="F724" i="17"/>
  <c r="F725" i="17"/>
  <c r="F726" i="17"/>
  <c r="F727" i="17"/>
  <c r="F728" i="17"/>
  <c r="F729" i="17"/>
  <c r="F730" i="17"/>
  <c r="F731" i="17"/>
  <c r="F732" i="17"/>
  <c r="F733" i="17"/>
  <c r="F734" i="17"/>
  <c r="F735" i="17"/>
  <c r="F736" i="17"/>
  <c r="F737" i="17"/>
  <c r="F738" i="17"/>
  <c r="F739" i="17"/>
  <c r="F740" i="17"/>
  <c r="F741" i="17"/>
  <c r="F742" i="17"/>
  <c r="F743" i="17"/>
  <c r="F744" i="17"/>
  <c r="F745" i="17"/>
  <c r="F746" i="17"/>
  <c r="F747" i="17"/>
  <c r="F748" i="17"/>
  <c r="F749" i="17"/>
  <c r="F750" i="17"/>
  <c r="F751" i="17"/>
  <c r="F752" i="17"/>
  <c r="F753" i="17"/>
  <c r="F754" i="17"/>
  <c r="F755" i="17"/>
  <c r="F756" i="17"/>
  <c r="F757" i="17"/>
  <c r="F758" i="17"/>
  <c r="F759" i="17"/>
  <c r="F760" i="17"/>
  <c r="F761" i="17"/>
  <c r="F762" i="17"/>
  <c r="F763" i="17"/>
  <c r="F764" i="17"/>
  <c r="F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102" i="17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1" i="17"/>
  <c r="C142" i="17"/>
  <c r="C143" i="17"/>
  <c r="C144" i="17"/>
  <c r="C145" i="17"/>
  <c r="C146" i="17"/>
  <c r="C147" i="17"/>
  <c r="C148" i="17"/>
  <c r="C149" i="17"/>
  <c r="C150" i="17"/>
  <c r="C151" i="17"/>
  <c r="C152" i="17"/>
  <c r="C153" i="17"/>
  <c r="C154" i="17"/>
  <c r="C155" i="17"/>
  <c r="C156" i="17"/>
  <c r="C157" i="17"/>
  <c r="C158" i="17"/>
  <c r="C159" i="17"/>
  <c r="C160" i="17"/>
  <c r="C161" i="17"/>
  <c r="C162" i="17"/>
  <c r="C163" i="17"/>
  <c r="C164" i="17"/>
  <c r="C165" i="17"/>
  <c r="C166" i="17"/>
  <c r="C167" i="17"/>
  <c r="C168" i="17"/>
  <c r="C169" i="17"/>
  <c r="C170" i="17"/>
  <c r="C171" i="17"/>
  <c r="C172" i="17"/>
  <c r="C173" i="17"/>
  <c r="C174" i="17"/>
  <c r="C175" i="17"/>
  <c r="C176" i="17"/>
  <c r="C177" i="17"/>
  <c r="C178" i="17"/>
  <c r="C179" i="17"/>
  <c r="C180" i="17"/>
  <c r="C181" i="17"/>
  <c r="C182" i="17"/>
  <c r="C183" i="17"/>
  <c r="C184" i="17"/>
  <c r="C185" i="17"/>
  <c r="C186" i="17"/>
  <c r="C187" i="17"/>
  <c r="C188" i="17"/>
  <c r="C189" i="17"/>
  <c r="C190" i="17"/>
  <c r="C191" i="17"/>
  <c r="C192" i="17"/>
  <c r="C193" i="17"/>
  <c r="C194" i="17"/>
  <c r="C195" i="17"/>
  <c r="C196" i="17"/>
  <c r="C197" i="17"/>
  <c r="C198" i="17"/>
  <c r="C199" i="17"/>
  <c r="C200" i="17"/>
  <c r="C201" i="17"/>
  <c r="C202" i="17"/>
  <c r="C203" i="17"/>
  <c r="C204" i="17"/>
  <c r="C205" i="17"/>
  <c r="C206" i="17"/>
  <c r="C207" i="17"/>
  <c r="C208" i="17"/>
  <c r="C209" i="17"/>
  <c r="C210" i="17"/>
  <c r="C211" i="17"/>
  <c r="C212" i="17"/>
  <c r="C213" i="17"/>
  <c r="C214" i="17"/>
  <c r="C215" i="17"/>
  <c r="C216" i="17"/>
  <c r="C217" i="17"/>
  <c r="C218" i="17"/>
  <c r="C219" i="17"/>
  <c r="C220" i="17"/>
  <c r="C221" i="17"/>
  <c r="C222" i="17"/>
  <c r="C223" i="17"/>
  <c r="C224" i="17"/>
  <c r="C225" i="17"/>
  <c r="C226" i="17"/>
  <c r="C227" i="17"/>
  <c r="C228" i="17"/>
  <c r="C229" i="17"/>
  <c r="C230" i="17"/>
  <c r="C231" i="17"/>
  <c r="C232" i="17"/>
  <c r="C233" i="17"/>
  <c r="C234" i="17"/>
  <c r="C235" i="17"/>
  <c r="C236" i="17"/>
  <c r="C237" i="17"/>
  <c r="C238" i="17"/>
  <c r="C239" i="17"/>
  <c r="C240" i="17"/>
  <c r="C241" i="17"/>
  <c r="C242" i="17"/>
  <c r="C243" i="17"/>
  <c r="C244" i="17"/>
  <c r="C245" i="17"/>
  <c r="C246" i="17"/>
  <c r="C247" i="17"/>
  <c r="C248" i="17"/>
  <c r="C249" i="17"/>
  <c r="C250" i="17"/>
  <c r="C251" i="17"/>
  <c r="C252" i="17"/>
  <c r="C253" i="17"/>
  <c r="C254" i="17"/>
  <c r="C255" i="17"/>
  <c r="C256" i="17"/>
  <c r="C257" i="17"/>
  <c r="C258" i="17"/>
  <c r="C259" i="17"/>
  <c r="C260" i="17"/>
  <c r="C261" i="17"/>
  <c r="C262" i="17"/>
  <c r="C263" i="17"/>
  <c r="C264" i="17"/>
  <c r="C265" i="17"/>
  <c r="C266" i="17"/>
  <c r="C267" i="17"/>
  <c r="C268" i="17"/>
  <c r="C269" i="17"/>
  <c r="C270" i="17"/>
  <c r="C271" i="17"/>
  <c r="C272" i="17"/>
  <c r="C273" i="17"/>
  <c r="C274" i="17"/>
  <c r="C275" i="17"/>
  <c r="C276" i="17"/>
  <c r="C277" i="17"/>
  <c r="C278" i="17"/>
  <c r="C279" i="17"/>
  <c r="C280" i="17"/>
  <c r="C281" i="17"/>
  <c r="C282" i="17"/>
  <c r="C283" i="17"/>
  <c r="C284" i="17"/>
  <c r="C285" i="17"/>
  <c r="C286" i="17"/>
  <c r="C287" i="17"/>
  <c r="C288" i="17"/>
  <c r="C289" i="17"/>
  <c r="C290" i="17"/>
  <c r="C291" i="17"/>
  <c r="C292" i="17"/>
  <c r="C293" i="17"/>
  <c r="C294" i="17"/>
  <c r="C295" i="17"/>
  <c r="C296" i="17"/>
  <c r="C297" i="17"/>
  <c r="C298" i="17"/>
  <c r="C299" i="17"/>
  <c r="C300" i="17"/>
  <c r="C301" i="17"/>
  <c r="C302" i="17"/>
  <c r="C303" i="17"/>
  <c r="C304" i="17"/>
  <c r="C305" i="17"/>
  <c r="C306" i="17"/>
  <c r="C307" i="17"/>
  <c r="C308" i="17"/>
  <c r="C309" i="17"/>
  <c r="C310" i="17"/>
  <c r="C311" i="17"/>
  <c r="C312" i="17"/>
  <c r="C313" i="17"/>
  <c r="C314" i="17"/>
  <c r="C315" i="17"/>
  <c r="C316" i="17"/>
  <c r="C317" i="17"/>
  <c r="C318" i="17"/>
  <c r="C319" i="17"/>
  <c r="C320" i="17"/>
  <c r="C321" i="17"/>
  <c r="C322" i="17"/>
  <c r="C323" i="17"/>
  <c r="C324" i="17"/>
  <c r="C325" i="17"/>
  <c r="C326" i="17"/>
  <c r="C327" i="17"/>
  <c r="C328" i="17"/>
  <c r="C329" i="17"/>
  <c r="C330" i="17"/>
  <c r="C331" i="17"/>
  <c r="C332" i="17"/>
  <c r="C333" i="17"/>
  <c r="C334" i="17"/>
  <c r="C335" i="17"/>
  <c r="C336" i="17"/>
  <c r="C337" i="17"/>
  <c r="C338" i="17"/>
  <c r="C339" i="17"/>
  <c r="C340" i="17"/>
  <c r="C341" i="17"/>
  <c r="C342" i="17"/>
  <c r="C343" i="17"/>
  <c r="C344" i="17"/>
  <c r="C345" i="17"/>
  <c r="C346" i="17"/>
  <c r="C347" i="17"/>
  <c r="C348" i="17"/>
  <c r="C349" i="17"/>
  <c r="C350" i="17"/>
  <c r="C351" i="17"/>
  <c r="C352" i="17"/>
  <c r="C353" i="17"/>
  <c r="C354" i="17"/>
  <c r="C355" i="17"/>
  <c r="C356" i="17"/>
  <c r="C357" i="17"/>
  <c r="C358" i="17"/>
  <c r="C359" i="17"/>
  <c r="C360" i="17"/>
  <c r="C361" i="17"/>
  <c r="C362" i="17"/>
  <c r="C363" i="17"/>
  <c r="C364" i="17"/>
  <c r="C365" i="17"/>
  <c r="C366" i="17"/>
  <c r="C367" i="17"/>
  <c r="C368" i="17"/>
  <c r="C369" i="17"/>
  <c r="C370" i="17"/>
  <c r="C371" i="17"/>
  <c r="C372" i="17"/>
  <c r="C373" i="17"/>
  <c r="C374" i="17"/>
  <c r="C375" i="17"/>
  <c r="C376" i="17"/>
  <c r="C377" i="17"/>
  <c r="C378" i="17"/>
  <c r="C379" i="17"/>
  <c r="C380" i="17"/>
  <c r="C381" i="17"/>
  <c r="C382" i="17"/>
  <c r="C383" i="17"/>
  <c r="C384" i="17"/>
  <c r="C385" i="17"/>
  <c r="C386" i="17"/>
  <c r="C387" i="17"/>
  <c r="C388" i="17"/>
  <c r="C389" i="17"/>
  <c r="C390" i="17"/>
  <c r="C391" i="17"/>
  <c r="C392" i="17"/>
  <c r="C393" i="17"/>
  <c r="C394" i="17"/>
  <c r="C395" i="17"/>
  <c r="C396" i="17"/>
  <c r="C397" i="17"/>
  <c r="C398" i="17"/>
  <c r="C399" i="17"/>
  <c r="C400" i="17"/>
  <c r="C401" i="17"/>
  <c r="C402" i="17"/>
  <c r="C403" i="17"/>
  <c r="C404" i="17"/>
  <c r="C405" i="17"/>
  <c r="C406" i="17"/>
  <c r="C407" i="17"/>
  <c r="C408" i="17"/>
  <c r="C409" i="17"/>
  <c r="C410" i="17"/>
  <c r="C411" i="17"/>
  <c r="C412" i="17"/>
  <c r="C413" i="17"/>
  <c r="C414" i="17"/>
  <c r="C415" i="17"/>
  <c r="C416" i="17"/>
  <c r="C417" i="17"/>
  <c r="C418" i="17"/>
  <c r="C419" i="17"/>
  <c r="C420" i="17"/>
  <c r="C421" i="17"/>
  <c r="C422" i="17"/>
  <c r="C423" i="17"/>
  <c r="C424" i="17"/>
  <c r="C425" i="17"/>
  <c r="C426" i="17"/>
  <c r="C427" i="17"/>
  <c r="C428" i="17"/>
  <c r="C429" i="17"/>
  <c r="C430" i="17"/>
  <c r="C431" i="17"/>
  <c r="C432" i="17"/>
  <c r="C433" i="17"/>
  <c r="C434" i="17"/>
  <c r="C435" i="17"/>
  <c r="C436" i="17"/>
  <c r="C437" i="17"/>
  <c r="C438" i="17"/>
  <c r="C439" i="17"/>
  <c r="C440" i="17"/>
  <c r="C441" i="17"/>
  <c r="C442" i="17"/>
  <c r="C443" i="17"/>
  <c r="C444" i="17"/>
  <c r="C445" i="17"/>
  <c r="C446" i="17"/>
  <c r="C447" i="17"/>
  <c r="C448" i="17"/>
  <c r="C449" i="17"/>
  <c r="C450" i="17"/>
  <c r="C451" i="17"/>
  <c r="C452" i="17"/>
  <c r="C453" i="17"/>
  <c r="C454" i="17"/>
  <c r="C455" i="17"/>
  <c r="C456" i="17"/>
  <c r="C457" i="17"/>
  <c r="C458" i="17"/>
  <c r="C459" i="17"/>
  <c r="C460" i="17"/>
  <c r="C461" i="17"/>
  <c r="C462" i="17"/>
  <c r="C463" i="17"/>
  <c r="C464" i="17"/>
  <c r="C465" i="17"/>
  <c r="C466" i="17"/>
  <c r="C467" i="17"/>
  <c r="C468" i="17"/>
  <c r="C469" i="17"/>
  <c r="C470" i="17"/>
  <c r="C471" i="17"/>
  <c r="C472" i="17"/>
  <c r="C473" i="17"/>
  <c r="C474" i="17"/>
  <c r="C475" i="17"/>
  <c r="C476" i="17"/>
  <c r="C477" i="17"/>
  <c r="C478" i="17"/>
  <c r="C479" i="17"/>
  <c r="C480" i="17"/>
  <c r="C481" i="17"/>
  <c r="C482" i="17"/>
  <c r="C483" i="17"/>
  <c r="C484" i="17"/>
  <c r="C485" i="17"/>
  <c r="C486" i="17"/>
  <c r="C487" i="17"/>
  <c r="C488" i="17"/>
  <c r="C489" i="17"/>
  <c r="C490" i="17"/>
  <c r="C491" i="17"/>
  <c r="C492" i="17"/>
  <c r="C493" i="17"/>
  <c r="C494" i="17"/>
  <c r="C495" i="17"/>
  <c r="C496" i="17"/>
  <c r="C497" i="17"/>
  <c r="C498" i="17"/>
  <c r="C499" i="17"/>
  <c r="C500" i="17"/>
  <c r="C501" i="17"/>
  <c r="C502" i="17"/>
  <c r="C503" i="17"/>
  <c r="C504" i="17"/>
  <c r="C505" i="17"/>
  <c r="C506" i="17"/>
  <c r="C507" i="17"/>
  <c r="C508" i="17"/>
  <c r="C509" i="17"/>
  <c r="C510" i="17"/>
  <c r="C511" i="17"/>
  <c r="C512" i="17"/>
  <c r="C513" i="17"/>
  <c r="C514" i="17"/>
  <c r="C515" i="17"/>
  <c r="C516" i="17"/>
  <c r="C517" i="17"/>
  <c r="C518" i="17"/>
  <c r="C519" i="17"/>
  <c r="C520" i="17"/>
  <c r="C521" i="17"/>
  <c r="C522" i="17"/>
  <c r="C523" i="17"/>
  <c r="C524" i="17"/>
  <c r="C525" i="17"/>
  <c r="C526" i="17"/>
  <c r="C527" i="17"/>
  <c r="C528" i="17"/>
  <c r="C529" i="17"/>
  <c r="C530" i="17"/>
  <c r="C531" i="17"/>
  <c r="C532" i="17"/>
  <c r="C533" i="17"/>
  <c r="C534" i="17"/>
  <c r="C535" i="17"/>
  <c r="C536" i="17"/>
  <c r="C537" i="17"/>
  <c r="C538" i="17"/>
  <c r="C539" i="17"/>
  <c r="C540" i="17"/>
  <c r="C541" i="17"/>
  <c r="C542" i="17"/>
  <c r="C543" i="17"/>
  <c r="C544" i="17"/>
  <c r="C545" i="17"/>
  <c r="C546" i="17"/>
  <c r="C547" i="17"/>
  <c r="C548" i="17"/>
  <c r="C549" i="17"/>
  <c r="C550" i="17"/>
  <c r="C551" i="17"/>
  <c r="C552" i="17"/>
  <c r="C553" i="17"/>
  <c r="C554" i="17"/>
  <c r="C555" i="17"/>
  <c r="C556" i="17"/>
  <c r="C557" i="17"/>
  <c r="C558" i="17"/>
  <c r="C559" i="17"/>
  <c r="C560" i="17"/>
  <c r="C561" i="17"/>
  <c r="C562" i="17"/>
  <c r="C563" i="17"/>
  <c r="C564" i="17"/>
  <c r="C565" i="17"/>
  <c r="C566" i="17"/>
  <c r="C567" i="17"/>
  <c r="C568" i="17"/>
  <c r="C569" i="17"/>
  <c r="C570" i="17"/>
  <c r="C571" i="17"/>
  <c r="C572" i="17"/>
  <c r="C573" i="17"/>
  <c r="C574" i="17"/>
  <c r="C575" i="17"/>
  <c r="C576" i="17"/>
  <c r="C577" i="17"/>
  <c r="C578" i="17"/>
  <c r="C579" i="17"/>
  <c r="C580" i="17"/>
  <c r="C581" i="17"/>
  <c r="C582" i="17"/>
  <c r="C583" i="17"/>
  <c r="C584" i="17"/>
  <c r="C585" i="17"/>
  <c r="C586" i="17"/>
  <c r="C587" i="17"/>
  <c r="C588" i="17"/>
  <c r="C589" i="17"/>
  <c r="C590" i="17"/>
  <c r="C591" i="17"/>
  <c r="C592" i="17"/>
  <c r="C593" i="17"/>
  <c r="C594" i="17"/>
  <c r="C595" i="17"/>
  <c r="C596" i="17"/>
  <c r="C597" i="17"/>
  <c r="C598" i="17"/>
  <c r="C599" i="17"/>
  <c r="C600" i="17"/>
  <c r="C601" i="17"/>
  <c r="C602" i="17"/>
  <c r="C603" i="17"/>
  <c r="C604" i="17"/>
  <c r="C605" i="17"/>
  <c r="C606" i="17"/>
  <c r="C607" i="17"/>
  <c r="C608" i="17"/>
  <c r="C609" i="17"/>
  <c r="C610" i="17"/>
  <c r="C611" i="17"/>
  <c r="C612" i="17"/>
  <c r="C613" i="17"/>
  <c r="C614" i="17"/>
  <c r="C615" i="17"/>
  <c r="C616" i="17"/>
  <c r="C617" i="17"/>
  <c r="C618" i="17"/>
  <c r="C619" i="17"/>
  <c r="C620" i="17"/>
  <c r="C621" i="17"/>
  <c r="C622" i="17"/>
  <c r="C623" i="17"/>
  <c r="C624" i="17"/>
  <c r="C625" i="17"/>
  <c r="C626" i="17"/>
  <c r="C627" i="17"/>
  <c r="C628" i="17"/>
  <c r="C629" i="17"/>
  <c r="C630" i="17"/>
  <c r="C631" i="17"/>
  <c r="C632" i="17"/>
  <c r="C633" i="17"/>
  <c r="C634" i="17"/>
  <c r="C635" i="17"/>
  <c r="C636" i="17"/>
  <c r="C637" i="17"/>
  <c r="C638" i="17"/>
  <c r="C639" i="17"/>
  <c r="C640" i="17"/>
  <c r="C641" i="17"/>
  <c r="C642" i="17"/>
  <c r="C643" i="17"/>
  <c r="C644" i="17"/>
  <c r="C645" i="17"/>
  <c r="C646" i="17"/>
  <c r="C647" i="17"/>
  <c r="C648" i="17"/>
  <c r="C649" i="17"/>
  <c r="C650" i="17"/>
  <c r="C651" i="17"/>
  <c r="C652" i="17"/>
  <c r="C653" i="17"/>
  <c r="C654" i="17"/>
  <c r="C655" i="17"/>
  <c r="C656" i="17"/>
  <c r="C657" i="17"/>
  <c r="C658" i="17"/>
  <c r="C659" i="17"/>
  <c r="C660" i="17"/>
  <c r="C661" i="17"/>
  <c r="C662" i="17"/>
  <c r="C663" i="17"/>
  <c r="C664" i="17"/>
  <c r="C665" i="17"/>
  <c r="C666" i="17"/>
  <c r="C667" i="17"/>
  <c r="C668" i="17"/>
  <c r="C669" i="17"/>
  <c r="C670" i="17"/>
  <c r="C671" i="17"/>
  <c r="C672" i="17"/>
  <c r="C673" i="17"/>
  <c r="C674" i="17"/>
  <c r="C675" i="17"/>
  <c r="C676" i="17"/>
  <c r="C677" i="17"/>
  <c r="C678" i="17"/>
  <c r="C679" i="17"/>
  <c r="C680" i="17"/>
  <c r="C681" i="17"/>
  <c r="C682" i="17"/>
  <c r="C683" i="17"/>
  <c r="C684" i="17"/>
  <c r="C685" i="17"/>
  <c r="C686" i="17"/>
  <c r="C687" i="17"/>
  <c r="C688" i="17"/>
  <c r="C689" i="17"/>
  <c r="C690" i="17"/>
  <c r="C691" i="17"/>
  <c r="C692" i="17"/>
  <c r="C693" i="17"/>
  <c r="C694" i="17"/>
  <c r="C695" i="17"/>
  <c r="C696" i="17"/>
  <c r="C697" i="17"/>
  <c r="C698" i="17"/>
  <c r="C699" i="17"/>
  <c r="C700" i="17"/>
  <c r="C701" i="17"/>
  <c r="C702" i="17"/>
  <c r="C703" i="17"/>
  <c r="C704" i="17"/>
  <c r="C705" i="17"/>
  <c r="C706" i="17"/>
  <c r="C707" i="17"/>
  <c r="C708" i="17"/>
  <c r="C709" i="17"/>
  <c r="C710" i="17"/>
  <c r="C711" i="17"/>
  <c r="C712" i="17"/>
  <c r="C713" i="17"/>
  <c r="C714" i="17"/>
  <c r="C715" i="17"/>
  <c r="C716" i="17"/>
  <c r="C717" i="17"/>
  <c r="C718" i="17"/>
  <c r="C719" i="17"/>
  <c r="C720" i="17"/>
  <c r="C721" i="17"/>
  <c r="C722" i="17"/>
  <c r="C723" i="17"/>
  <c r="C724" i="17"/>
  <c r="C725" i="17"/>
  <c r="C726" i="17"/>
  <c r="C727" i="17"/>
  <c r="C728" i="17"/>
  <c r="C729" i="17"/>
  <c r="C730" i="17"/>
  <c r="C731" i="17"/>
  <c r="C732" i="17"/>
  <c r="C733" i="17"/>
  <c r="C734" i="17"/>
  <c r="C735" i="17"/>
  <c r="C736" i="17"/>
  <c r="C737" i="17"/>
  <c r="C738" i="17"/>
  <c r="C739" i="17"/>
  <c r="C740" i="17"/>
  <c r="C741" i="17"/>
  <c r="C742" i="17"/>
  <c r="C743" i="17"/>
  <c r="C744" i="17"/>
  <c r="C745" i="17"/>
  <c r="C746" i="17"/>
  <c r="C747" i="17"/>
  <c r="C748" i="17"/>
  <c r="C749" i="17"/>
  <c r="C750" i="17"/>
  <c r="C751" i="17"/>
  <c r="C752" i="17"/>
  <c r="C753" i="17"/>
  <c r="C754" i="17"/>
  <c r="C755" i="17"/>
  <c r="C756" i="17"/>
  <c r="C757" i="17"/>
  <c r="C758" i="17"/>
  <c r="C759" i="17"/>
  <c r="C760" i="17"/>
  <c r="C761" i="17"/>
  <c r="C762" i="17"/>
  <c r="C763" i="17"/>
  <c r="C764" i="17"/>
  <c r="C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210" i="17"/>
  <c r="B211" i="17"/>
  <c r="B212" i="17"/>
  <c r="B213" i="17"/>
  <c r="B214" i="17"/>
  <c r="B215" i="17"/>
  <c r="B216" i="17"/>
  <c r="B217" i="17"/>
  <c r="B218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8" i="17"/>
  <c r="B259" i="17"/>
  <c r="B260" i="17"/>
  <c r="B261" i="17"/>
  <c r="B262" i="17"/>
  <c r="B263" i="17"/>
  <c r="B264" i="17"/>
  <c r="B265" i="17"/>
  <c r="B266" i="17"/>
  <c r="B267" i="17"/>
  <c r="B268" i="17"/>
  <c r="B269" i="17"/>
  <c r="B270" i="17"/>
  <c r="B271" i="17"/>
  <c r="B272" i="17"/>
  <c r="B273" i="17"/>
  <c r="B274" i="17"/>
  <c r="B275" i="17"/>
  <c r="B276" i="17"/>
  <c r="B277" i="17"/>
  <c r="B278" i="17"/>
  <c r="B279" i="17"/>
  <c r="B280" i="17"/>
  <c r="B281" i="17"/>
  <c r="B282" i="17"/>
  <c r="B283" i="17"/>
  <c r="B284" i="17"/>
  <c r="B285" i="17"/>
  <c r="B286" i="17"/>
  <c r="B287" i="17"/>
  <c r="B288" i="17"/>
  <c r="B289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310" i="17"/>
  <c r="B311" i="17"/>
  <c r="B312" i="17"/>
  <c r="B313" i="17"/>
  <c r="B314" i="17"/>
  <c r="B315" i="17"/>
  <c r="B316" i="17"/>
  <c r="B317" i="17"/>
  <c r="B318" i="17"/>
  <c r="B319" i="17"/>
  <c r="B320" i="17"/>
  <c r="B321" i="17"/>
  <c r="B322" i="17"/>
  <c r="B323" i="17"/>
  <c r="B324" i="17"/>
  <c r="B325" i="17"/>
  <c r="B326" i="17"/>
  <c r="B327" i="17"/>
  <c r="B328" i="17"/>
  <c r="B329" i="17"/>
  <c r="B330" i="17"/>
  <c r="B331" i="17"/>
  <c r="B332" i="17"/>
  <c r="B333" i="17"/>
  <c r="B334" i="17"/>
  <c r="B335" i="17"/>
  <c r="B336" i="17"/>
  <c r="B337" i="17"/>
  <c r="B338" i="17"/>
  <c r="B339" i="17"/>
  <c r="B340" i="17"/>
  <c r="B341" i="17"/>
  <c r="B342" i="17"/>
  <c r="B343" i="17"/>
  <c r="B344" i="17"/>
  <c r="B345" i="17"/>
  <c r="B346" i="17"/>
  <c r="B347" i="17"/>
  <c r="B348" i="17"/>
  <c r="B349" i="17"/>
  <c r="B350" i="17"/>
  <c r="B351" i="17"/>
  <c r="B352" i="17"/>
  <c r="B353" i="17"/>
  <c r="B354" i="17"/>
  <c r="B355" i="17"/>
  <c r="B356" i="17"/>
  <c r="B357" i="17"/>
  <c r="B358" i="17"/>
  <c r="B359" i="17"/>
  <c r="B360" i="17"/>
  <c r="B361" i="17"/>
  <c r="B362" i="17"/>
  <c r="B363" i="17"/>
  <c r="B364" i="17"/>
  <c r="B365" i="17"/>
  <c r="B366" i="17"/>
  <c r="B367" i="17"/>
  <c r="B368" i="17"/>
  <c r="B369" i="17"/>
  <c r="B370" i="17"/>
  <c r="B371" i="17"/>
  <c r="B372" i="17"/>
  <c r="B373" i="17"/>
  <c r="B374" i="17"/>
  <c r="B375" i="17"/>
  <c r="B376" i="17"/>
  <c r="B377" i="17"/>
  <c r="B378" i="17"/>
  <c r="B379" i="17"/>
  <c r="B380" i="17"/>
  <c r="B381" i="17"/>
  <c r="B382" i="17"/>
  <c r="B383" i="17"/>
  <c r="B384" i="17"/>
  <c r="B385" i="17"/>
  <c r="B386" i="17"/>
  <c r="B387" i="17"/>
  <c r="B388" i="17"/>
  <c r="B389" i="17"/>
  <c r="B390" i="17"/>
  <c r="B391" i="17"/>
  <c r="B392" i="17"/>
  <c r="B393" i="17"/>
  <c r="B394" i="17"/>
  <c r="B395" i="17"/>
  <c r="B396" i="17"/>
  <c r="B397" i="17"/>
  <c r="B398" i="17"/>
  <c r="B399" i="17"/>
  <c r="B400" i="17"/>
  <c r="B401" i="17"/>
  <c r="B402" i="17"/>
  <c r="B403" i="17"/>
  <c r="B404" i="17"/>
  <c r="B405" i="17"/>
  <c r="B406" i="17"/>
  <c r="B407" i="17"/>
  <c r="B408" i="17"/>
  <c r="B409" i="17"/>
  <c r="B410" i="17"/>
  <c r="B411" i="17"/>
  <c r="B412" i="17"/>
  <c r="B413" i="17"/>
  <c r="B414" i="17"/>
  <c r="B415" i="17"/>
  <c r="B416" i="17"/>
  <c r="B417" i="17"/>
  <c r="B418" i="17"/>
  <c r="B419" i="17"/>
  <c r="B420" i="17"/>
  <c r="B421" i="17"/>
  <c r="B422" i="17"/>
  <c r="B423" i="17"/>
  <c r="B424" i="17"/>
  <c r="B425" i="17"/>
  <c r="B426" i="17"/>
  <c r="B427" i="17"/>
  <c r="B428" i="17"/>
  <c r="B429" i="17"/>
  <c r="B430" i="17"/>
  <c r="B431" i="17"/>
  <c r="B432" i="17"/>
  <c r="B433" i="17"/>
  <c r="B434" i="17"/>
  <c r="B435" i="17"/>
  <c r="B436" i="17"/>
  <c r="B437" i="17"/>
  <c r="B438" i="17"/>
  <c r="B439" i="17"/>
  <c r="B440" i="17"/>
  <c r="B441" i="17"/>
  <c r="B442" i="17"/>
  <c r="B443" i="17"/>
  <c r="B444" i="17"/>
  <c r="B445" i="17"/>
  <c r="B446" i="17"/>
  <c r="B447" i="17"/>
  <c r="B448" i="17"/>
  <c r="B449" i="17"/>
  <c r="B450" i="17"/>
  <c r="B451" i="17"/>
  <c r="B452" i="17"/>
  <c r="B453" i="17"/>
  <c r="B454" i="17"/>
  <c r="B455" i="17"/>
  <c r="B456" i="17"/>
  <c r="B457" i="17"/>
  <c r="B458" i="17"/>
  <c r="B459" i="17"/>
  <c r="B460" i="17"/>
  <c r="B461" i="17"/>
  <c r="B462" i="17"/>
  <c r="B463" i="17"/>
  <c r="B464" i="17"/>
  <c r="B465" i="17"/>
  <c r="B466" i="17"/>
  <c r="B467" i="17"/>
  <c r="B468" i="17"/>
  <c r="B469" i="17"/>
  <c r="B470" i="17"/>
  <c r="B471" i="17"/>
  <c r="B472" i="17"/>
  <c r="B473" i="17"/>
  <c r="B474" i="17"/>
  <c r="B475" i="17"/>
  <c r="B476" i="17"/>
  <c r="B477" i="17"/>
  <c r="B478" i="17"/>
  <c r="B479" i="17"/>
  <c r="B480" i="17"/>
  <c r="B481" i="17"/>
  <c r="B482" i="17"/>
  <c r="B483" i="17"/>
  <c r="B484" i="17"/>
  <c r="B485" i="17"/>
  <c r="B486" i="17"/>
  <c r="B487" i="17"/>
  <c r="B488" i="17"/>
  <c r="B489" i="17"/>
  <c r="B490" i="17"/>
  <c r="B491" i="17"/>
  <c r="B492" i="17"/>
  <c r="B493" i="17"/>
  <c r="B494" i="17"/>
  <c r="B495" i="17"/>
  <c r="B496" i="17"/>
  <c r="B497" i="17"/>
  <c r="B498" i="17"/>
  <c r="B499" i="17"/>
  <c r="B500" i="17"/>
  <c r="B501" i="17"/>
  <c r="B502" i="17"/>
  <c r="B503" i="17"/>
  <c r="B504" i="17"/>
  <c r="B505" i="17"/>
  <c r="B506" i="17"/>
  <c r="B507" i="17"/>
  <c r="B508" i="17"/>
  <c r="B509" i="17"/>
  <c r="B510" i="17"/>
  <c r="B511" i="17"/>
  <c r="B512" i="17"/>
  <c r="B513" i="17"/>
  <c r="B514" i="17"/>
  <c r="B515" i="17"/>
  <c r="B516" i="17"/>
  <c r="B517" i="17"/>
  <c r="B518" i="17"/>
  <c r="B519" i="17"/>
  <c r="B520" i="17"/>
  <c r="B521" i="17"/>
  <c r="B522" i="17"/>
  <c r="B523" i="17"/>
  <c r="B524" i="17"/>
  <c r="B525" i="17"/>
  <c r="B526" i="17"/>
  <c r="B527" i="17"/>
  <c r="B528" i="17"/>
  <c r="B529" i="17"/>
  <c r="B530" i="17"/>
  <c r="B531" i="17"/>
  <c r="B532" i="17"/>
  <c r="B533" i="17"/>
  <c r="B534" i="17"/>
  <c r="B535" i="17"/>
  <c r="B536" i="17"/>
  <c r="B537" i="17"/>
  <c r="B538" i="17"/>
  <c r="B539" i="17"/>
  <c r="B540" i="17"/>
  <c r="B541" i="17"/>
  <c r="B542" i="17"/>
  <c r="B543" i="17"/>
  <c r="B544" i="17"/>
  <c r="B545" i="17"/>
  <c r="B546" i="17"/>
  <c r="B547" i="17"/>
  <c r="B548" i="17"/>
  <c r="B549" i="17"/>
  <c r="B550" i="17"/>
  <c r="B551" i="17"/>
  <c r="B552" i="17"/>
  <c r="B553" i="17"/>
  <c r="B554" i="17"/>
  <c r="B555" i="17"/>
  <c r="B556" i="17"/>
  <c r="B557" i="17"/>
  <c r="B558" i="17"/>
  <c r="B559" i="17"/>
  <c r="B560" i="17"/>
  <c r="B561" i="17"/>
  <c r="B562" i="17"/>
  <c r="B563" i="17"/>
  <c r="B564" i="17"/>
  <c r="B565" i="17"/>
  <c r="B566" i="17"/>
  <c r="B567" i="17"/>
  <c r="B568" i="17"/>
  <c r="B569" i="17"/>
  <c r="B570" i="17"/>
  <c r="B571" i="17"/>
  <c r="B572" i="17"/>
  <c r="B573" i="17"/>
  <c r="B574" i="17"/>
  <c r="B575" i="17"/>
  <c r="B576" i="17"/>
  <c r="B577" i="17"/>
  <c r="B578" i="17"/>
  <c r="B579" i="17"/>
  <c r="B580" i="17"/>
  <c r="B581" i="17"/>
  <c r="B582" i="17"/>
  <c r="B583" i="17"/>
  <c r="B584" i="17"/>
  <c r="B585" i="17"/>
  <c r="B586" i="17"/>
  <c r="B587" i="17"/>
  <c r="B588" i="17"/>
  <c r="B589" i="17"/>
  <c r="B590" i="17"/>
  <c r="B591" i="17"/>
  <c r="B592" i="17"/>
  <c r="B593" i="17"/>
  <c r="B594" i="17"/>
  <c r="B595" i="17"/>
  <c r="B596" i="17"/>
  <c r="B597" i="17"/>
  <c r="B598" i="17"/>
  <c r="B599" i="17"/>
  <c r="B600" i="17"/>
  <c r="B601" i="17"/>
  <c r="B602" i="17"/>
  <c r="B603" i="17"/>
  <c r="B604" i="17"/>
  <c r="B605" i="17"/>
  <c r="B606" i="17"/>
  <c r="B607" i="17"/>
  <c r="B608" i="17"/>
  <c r="B609" i="17"/>
  <c r="B610" i="17"/>
  <c r="B611" i="17"/>
  <c r="B612" i="17"/>
  <c r="B613" i="17"/>
  <c r="B614" i="17"/>
  <c r="B615" i="17"/>
  <c r="B616" i="17"/>
  <c r="B617" i="17"/>
  <c r="B618" i="17"/>
  <c r="B619" i="17"/>
  <c r="B620" i="17"/>
  <c r="B621" i="17"/>
  <c r="B622" i="17"/>
  <c r="B623" i="17"/>
  <c r="B624" i="17"/>
  <c r="B625" i="17"/>
  <c r="B626" i="17"/>
  <c r="B627" i="17"/>
  <c r="B628" i="17"/>
  <c r="B629" i="17"/>
  <c r="B630" i="17"/>
  <c r="B631" i="17"/>
  <c r="B632" i="17"/>
  <c r="B633" i="17"/>
  <c r="B634" i="17"/>
  <c r="B635" i="17"/>
  <c r="B636" i="17"/>
  <c r="B637" i="17"/>
  <c r="B638" i="17"/>
  <c r="B639" i="17"/>
  <c r="B640" i="17"/>
  <c r="B641" i="17"/>
  <c r="B642" i="17"/>
  <c r="B643" i="17"/>
  <c r="B644" i="17"/>
  <c r="B645" i="17"/>
  <c r="B646" i="17"/>
  <c r="B647" i="17"/>
  <c r="B648" i="17"/>
  <c r="B649" i="17"/>
  <c r="B650" i="17"/>
  <c r="B651" i="17"/>
  <c r="B652" i="17"/>
  <c r="B653" i="17"/>
  <c r="B654" i="17"/>
  <c r="B655" i="17"/>
  <c r="B656" i="17"/>
  <c r="B657" i="17"/>
  <c r="B658" i="17"/>
  <c r="B659" i="17"/>
  <c r="B660" i="17"/>
  <c r="B661" i="17"/>
  <c r="B662" i="17"/>
  <c r="B663" i="17"/>
  <c r="B664" i="17"/>
  <c r="B665" i="17"/>
  <c r="B666" i="17"/>
  <c r="B667" i="17"/>
  <c r="B668" i="17"/>
  <c r="B669" i="17"/>
  <c r="B670" i="17"/>
  <c r="B671" i="17"/>
  <c r="B672" i="17"/>
  <c r="B673" i="17"/>
  <c r="B674" i="17"/>
  <c r="B675" i="17"/>
  <c r="B676" i="17"/>
  <c r="B677" i="17"/>
  <c r="B678" i="17"/>
  <c r="B679" i="17"/>
  <c r="B680" i="17"/>
  <c r="B681" i="17"/>
  <c r="B682" i="17"/>
  <c r="B683" i="17"/>
  <c r="B684" i="17"/>
  <c r="B685" i="17"/>
  <c r="B686" i="17"/>
  <c r="B687" i="17"/>
  <c r="B688" i="17"/>
  <c r="B689" i="17"/>
  <c r="B690" i="17"/>
  <c r="B691" i="17"/>
  <c r="B692" i="17"/>
  <c r="B693" i="17"/>
  <c r="B694" i="17"/>
  <c r="B695" i="17"/>
  <c r="B696" i="17"/>
  <c r="B697" i="17"/>
  <c r="B698" i="17"/>
  <c r="B699" i="17"/>
  <c r="B700" i="17"/>
  <c r="B701" i="17"/>
  <c r="B702" i="17"/>
  <c r="B703" i="17"/>
  <c r="B704" i="17"/>
  <c r="B705" i="17"/>
  <c r="B706" i="17"/>
  <c r="B707" i="17"/>
  <c r="B708" i="17"/>
  <c r="B709" i="17"/>
  <c r="B710" i="17"/>
  <c r="B711" i="17"/>
  <c r="B712" i="17"/>
  <c r="B713" i="17"/>
  <c r="B714" i="17"/>
  <c r="B715" i="17"/>
  <c r="B716" i="17"/>
  <c r="B717" i="17"/>
  <c r="B718" i="17"/>
  <c r="B719" i="17"/>
  <c r="B720" i="17"/>
  <c r="B721" i="17"/>
  <c r="B722" i="17"/>
  <c r="B723" i="17"/>
  <c r="B724" i="17"/>
  <c r="B725" i="17"/>
  <c r="B726" i="17"/>
  <c r="B727" i="17"/>
  <c r="B728" i="17"/>
  <c r="B729" i="17"/>
  <c r="B730" i="17"/>
  <c r="B731" i="17"/>
  <c r="B732" i="17"/>
  <c r="B733" i="17"/>
  <c r="B734" i="17"/>
  <c r="B735" i="17"/>
  <c r="B736" i="17"/>
  <c r="B737" i="17"/>
  <c r="B738" i="17"/>
  <c r="B739" i="17"/>
  <c r="B740" i="17"/>
  <c r="B741" i="17"/>
  <c r="B742" i="17"/>
  <c r="B743" i="17"/>
  <c r="B744" i="17"/>
  <c r="B745" i="17"/>
  <c r="B746" i="17"/>
  <c r="B747" i="17"/>
  <c r="B748" i="17"/>
  <c r="B749" i="17"/>
  <c r="B750" i="17"/>
  <c r="B751" i="17"/>
  <c r="B752" i="17"/>
  <c r="B753" i="17"/>
  <c r="B754" i="17"/>
  <c r="B755" i="17"/>
  <c r="B756" i="17"/>
  <c r="B757" i="17"/>
  <c r="B758" i="17"/>
  <c r="B759" i="17"/>
  <c r="B760" i="17"/>
  <c r="B761" i="17"/>
  <c r="B762" i="17"/>
  <c r="B763" i="17"/>
  <c r="B764" i="17"/>
  <c r="B6" i="17"/>
  <c r="A763" i="17" l="1"/>
  <c r="E763" i="17"/>
  <c r="I763" i="17"/>
  <c r="M763" i="17"/>
  <c r="A764" i="17"/>
  <c r="E764" i="17"/>
  <c r="I764" i="17"/>
  <c r="M764" i="17"/>
  <c r="A757" i="17"/>
  <c r="E757" i="17"/>
  <c r="I757" i="17"/>
  <c r="M757" i="17"/>
  <c r="A758" i="17"/>
  <c r="E758" i="17"/>
  <c r="I758" i="17"/>
  <c r="M758" i="17"/>
  <c r="A759" i="17"/>
  <c r="E759" i="17"/>
  <c r="I759" i="17"/>
  <c r="M759" i="17"/>
  <c r="A760" i="17"/>
  <c r="E760" i="17"/>
  <c r="I760" i="17"/>
  <c r="M760" i="17"/>
  <c r="A761" i="17"/>
  <c r="E761" i="17"/>
  <c r="I761" i="17"/>
  <c r="M761" i="17"/>
  <c r="A762" i="17"/>
  <c r="E762" i="17"/>
  <c r="I762" i="17"/>
  <c r="M762" i="17"/>
  <c r="A714" i="17"/>
  <c r="E714" i="17"/>
  <c r="I714" i="17"/>
  <c r="M714" i="17"/>
  <c r="A715" i="17"/>
  <c r="E715" i="17"/>
  <c r="I715" i="17"/>
  <c r="M715" i="17"/>
  <c r="A716" i="17"/>
  <c r="E716" i="17"/>
  <c r="I716" i="17"/>
  <c r="M716" i="17"/>
  <c r="A717" i="17"/>
  <c r="E717" i="17"/>
  <c r="I717" i="17"/>
  <c r="M717" i="17"/>
  <c r="A718" i="17"/>
  <c r="E718" i="17"/>
  <c r="I718" i="17"/>
  <c r="M718" i="17"/>
  <c r="A719" i="17"/>
  <c r="E719" i="17"/>
  <c r="I719" i="17"/>
  <c r="M719" i="17"/>
  <c r="A720" i="17"/>
  <c r="E720" i="17"/>
  <c r="I720" i="17"/>
  <c r="M720" i="17"/>
  <c r="A721" i="17"/>
  <c r="E721" i="17"/>
  <c r="I721" i="17"/>
  <c r="M721" i="17"/>
  <c r="A722" i="17"/>
  <c r="E722" i="17"/>
  <c r="I722" i="17"/>
  <c r="M722" i="17"/>
  <c r="A723" i="17"/>
  <c r="E723" i="17"/>
  <c r="I723" i="17"/>
  <c r="M723" i="17"/>
  <c r="A724" i="17"/>
  <c r="E724" i="17"/>
  <c r="I724" i="17"/>
  <c r="M724" i="17"/>
  <c r="A725" i="17"/>
  <c r="E725" i="17"/>
  <c r="I725" i="17"/>
  <c r="M725" i="17"/>
  <c r="A726" i="17"/>
  <c r="E726" i="17"/>
  <c r="I726" i="17"/>
  <c r="M726" i="17"/>
  <c r="A727" i="17"/>
  <c r="E727" i="17"/>
  <c r="I727" i="17"/>
  <c r="M727" i="17"/>
  <c r="A728" i="17"/>
  <c r="E728" i="17"/>
  <c r="I728" i="17"/>
  <c r="M728" i="17"/>
  <c r="A729" i="17"/>
  <c r="E729" i="17"/>
  <c r="I729" i="17"/>
  <c r="M729" i="17"/>
  <c r="A730" i="17"/>
  <c r="E730" i="17"/>
  <c r="I730" i="17"/>
  <c r="M730" i="17"/>
  <c r="A731" i="17"/>
  <c r="E731" i="17"/>
  <c r="I731" i="17"/>
  <c r="M731" i="17"/>
  <c r="A732" i="17"/>
  <c r="E732" i="17"/>
  <c r="I732" i="17"/>
  <c r="M732" i="17"/>
  <c r="A733" i="17"/>
  <c r="E733" i="17"/>
  <c r="I733" i="17"/>
  <c r="M733" i="17"/>
  <c r="A734" i="17"/>
  <c r="E734" i="17"/>
  <c r="I734" i="17"/>
  <c r="M734" i="17"/>
  <c r="A735" i="17"/>
  <c r="E735" i="17"/>
  <c r="I735" i="17"/>
  <c r="M735" i="17"/>
  <c r="A736" i="17"/>
  <c r="E736" i="17"/>
  <c r="I736" i="17"/>
  <c r="M736" i="17"/>
  <c r="A737" i="17"/>
  <c r="E737" i="17"/>
  <c r="I737" i="17"/>
  <c r="M737" i="17"/>
  <c r="A738" i="17"/>
  <c r="E738" i="17"/>
  <c r="I738" i="17"/>
  <c r="M738" i="17"/>
  <c r="A739" i="17"/>
  <c r="E739" i="17"/>
  <c r="I739" i="17"/>
  <c r="M739" i="17"/>
  <c r="A740" i="17"/>
  <c r="E740" i="17"/>
  <c r="I740" i="17"/>
  <c r="M740" i="17"/>
  <c r="A741" i="17"/>
  <c r="E741" i="17"/>
  <c r="I741" i="17"/>
  <c r="M741" i="17"/>
  <c r="A742" i="17"/>
  <c r="E742" i="17"/>
  <c r="I742" i="17"/>
  <c r="M742" i="17"/>
  <c r="A743" i="17"/>
  <c r="E743" i="17"/>
  <c r="I743" i="17"/>
  <c r="M743" i="17"/>
  <c r="A744" i="17"/>
  <c r="E744" i="17"/>
  <c r="I744" i="17"/>
  <c r="M744" i="17"/>
  <c r="A745" i="17"/>
  <c r="E745" i="17"/>
  <c r="I745" i="17"/>
  <c r="M745" i="17"/>
  <c r="A746" i="17"/>
  <c r="E746" i="17"/>
  <c r="I746" i="17"/>
  <c r="M746" i="17"/>
  <c r="A747" i="17"/>
  <c r="E747" i="17"/>
  <c r="I747" i="17"/>
  <c r="M747" i="17"/>
  <c r="A748" i="17"/>
  <c r="E748" i="17"/>
  <c r="I748" i="17"/>
  <c r="M748" i="17"/>
  <c r="A749" i="17"/>
  <c r="E749" i="17"/>
  <c r="I749" i="17"/>
  <c r="M749" i="17"/>
  <c r="A750" i="17"/>
  <c r="E750" i="17"/>
  <c r="I750" i="17"/>
  <c r="M750" i="17"/>
  <c r="A751" i="17"/>
  <c r="E751" i="17"/>
  <c r="I751" i="17"/>
  <c r="M751" i="17"/>
  <c r="A752" i="17"/>
  <c r="E752" i="17"/>
  <c r="I752" i="17"/>
  <c r="M752" i="17"/>
  <c r="A753" i="17"/>
  <c r="E753" i="17"/>
  <c r="I753" i="17"/>
  <c r="M753" i="17"/>
  <c r="A754" i="17"/>
  <c r="E754" i="17"/>
  <c r="I754" i="17"/>
  <c r="M754" i="17"/>
  <c r="A755" i="17"/>
  <c r="E755" i="17"/>
  <c r="I755" i="17"/>
  <c r="M755" i="17"/>
  <c r="A756" i="17"/>
  <c r="E756" i="17"/>
  <c r="I756" i="17"/>
  <c r="M756" i="17"/>
  <c r="A651" i="17"/>
  <c r="E651" i="17"/>
  <c r="I651" i="17"/>
  <c r="M651" i="17"/>
  <c r="A652" i="17"/>
  <c r="E652" i="17"/>
  <c r="I652" i="17"/>
  <c r="M652" i="17"/>
  <c r="A653" i="17"/>
  <c r="E653" i="17"/>
  <c r="I653" i="17"/>
  <c r="M653" i="17"/>
  <c r="A654" i="17"/>
  <c r="E654" i="17"/>
  <c r="I654" i="17"/>
  <c r="M654" i="17"/>
  <c r="A655" i="17"/>
  <c r="E655" i="17"/>
  <c r="I655" i="17"/>
  <c r="M655" i="17"/>
  <c r="A656" i="17"/>
  <c r="E656" i="17"/>
  <c r="I656" i="17"/>
  <c r="M656" i="17"/>
  <c r="A657" i="17"/>
  <c r="E657" i="17"/>
  <c r="I657" i="17"/>
  <c r="M657" i="17"/>
  <c r="A658" i="17"/>
  <c r="E658" i="17"/>
  <c r="I658" i="17"/>
  <c r="M658" i="17"/>
  <c r="A659" i="17"/>
  <c r="E659" i="17"/>
  <c r="I659" i="17"/>
  <c r="M659" i="17"/>
  <c r="A660" i="17"/>
  <c r="E660" i="17"/>
  <c r="I660" i="17"/>
  <c r="M660" i="17"/>
  <c r="A661" i="17"/>
  <c r="E661" i="17"/>
  <c r="I661" i="17"/>
  <c r="M661" i="17"/>
  <c r="A662" i="17"/>
  <c r="E662" i="17"/>
  <c r="I662" i="17"/>
  <c r="M662" i="17"/>
  <c r="A663" i="17"/>
  <c r="E663" i="17"/>
  <c r="I663" i="17"/>
  <c r="M663" i="17"/>
  <c r="A664" i="17"/>
  <c r="E664" i="17"/>
  <c r="I664" i="17"/>
  <c r="M664" i="17"/>
  <c r="A665" i="17"/>
  <c r="E665" i="17"/>
  <c r="I665" i="17"/>
  <c r="M665" i="17"/>
  <c r="A666" i="17"/>
  <c r="E666" i="17"/>
  <c r="I666" i="17"/>
  <c r="M666" i="17"/>
  <c r="A667" i="17"/>
  <c r="E667" i="17"/>
  <c r="I667" i="17"/>
  <c r="M667" i="17"/>
  <c r="A668" i="17"/>
  <c r="E668" i="17"/>
  <c r="I668" i="17"/>
  <c r="M668" i="17"/>
  <c r="A669" i="17"/>
  <c r="E669" i="17"/>
  <c r="I669" i="17"/>
  <c r="M669" i="17"/>
  <c r="A670" i="17"/>
  <c r="E670" i="17"/>
  <c r="I670" i="17"/>
  <c r="M670" i="17"/>
  <c r="A671" i="17"/>
  <c r="E671" i="17"/>
  <c r="I671" i="17"/>
  <c r="M671" i="17"/>
  <c r="A672" i="17"/>
  <c r="E672" i="17"/>
  <c r="I672" i="17"/>
  <c r="M672" i="17"/>
  <c r="A673" i="17"/>
  <c r="E673" i="17"/>
  <c r="I673" i="17"/>
  <c r="M673" i="17"/>
  <c r="A674" i="17"/>
  <c r="E674" i="17"/>
  <c r="I674" i="17"/>
  <c r="M674" i="17"/>
  <c r="A675" i="17"/>
  <c r="E675" i="17"/>
  <c r="I675" i="17"/>
  <c r="M675" i="17"/>
  <c r="A676" i="17"/>
  <c r="E676" i="17"/>
  <c r="I676" i="17"/>
  <c r="M676" i="17"/>
  <c r="A677" i="17"/>
  <c r="E677" i="17"/>
  <c r="I677" i="17"/>
  <c r="M677" i="17"/>
  <c r="A678" i="17"/>
  <c r="E678" i="17"/>
  <c r="I678" i="17"/>
  <c r="M678" i="17"/>
  <c r="A679" i="17"/>
  <c r="E679" i="17"/>
  <c r="I679" i="17"/>
  <c r="M679" i="17"/>
  <c r="A680" i="17"/>
  <c r="E680" i="17"/>
  <c r="I680" i="17"/>
  <c r="M680" i="17"/>
  <c r="A681" i="17"/>
  <c r="E681" i="17"/>
  <c r="I681" i="17"/>
  <c r="M681" i="17"/>
  <c r="A682" i="17"/>
  <c r="E682" i="17"/>
  <c r="I682" i="17"/>
  <c r="M682" i="17"/>
  <c r="A683" i="17"/>
  <c r="E683" i="17"/>
  <c r="I683" i="17"/>
  <c r="M683" i="17"/>
  <c r="A684" i="17"/>
  <c r="E684" i="17"/>
  <c r="I684" i="17"/>
  <c r="M684" i="17"/>
  <c r="A685" i="17"/>
  <c r="E685" i="17"/>
  <c r="I685" i="17"/>
  <c r="M685" i="17"/>
  <c r="A686" i="17"/>
  <c r="E686" i="17"/>
  <c r="I686" i="17"/>
  <c r="M686" i="17"/>
  <c r="A687" i="17"/>
  <c r="E687" i="17"/>
  <c r="I687" i="17"/>
  <c r="M687" i="17"/>
  <c r="A688" i="17"/>
  <c r="E688" i="17"/>
  <c r="I688" i="17"/>
  <c r="M688" i="17"/>
  <c r="A689" i="17"/>
  <c r="E689" i="17"/>
  <c r="I689" i="17"/>
  <c r="M689" i="17"/>
  <c r="A690" i="17"/>
  <c r="E690" i="17"/>
  <c r="I690" i="17"/>
  <c r="M690" i="17"/>
  <c r="A691" i="17"/>
  <c r="E691" i="17"/>
  <c r="I691" i="17"/>
  <c r="M691" i="17"/>
  <c r="A692" i="17"/>
  <c r="E692" i="17"/>
  <c r="I692" i="17"/>
  <c r="M692" i="17"/>
  <c r="A693" i="17"/>
  <c r="E693" i="17"/>
  <c r="I693" i="17"/>
  <c r="M693" i="17"/>
  <c r="A694" i="17"/>
  <c r="E694" i="17"/>
  <c r="I694" i="17"/>
  <c r="M694" i="17"/>
  <c r="A695" i="17"/>
  <c r="E695" i="17"/>
  <c r="I695" i="17"/>
  <c r="M695" i="17"/>
  <c r="A696" i="17"/>
  <c r="E696" i="17"/>
  <c r="I696" i="17"/>
  <c r="M696" i="17"/>
  <c r="A697" i="17"/>
  <c r="E697" i="17"/>
  <c r="I697" i="17"/>
  <c r="M697" i="17"/>
  <c r="A698" i="17"/>
  <c r="E698" i="17"/>
  <c r="I698" i="17"/>
  <c r="M698" i="17"/>
  <c r="A699" i="17"/>
  <c r="E699" i="17"/>
  <c r="I699" i="17"/>
  <c r="M699" i="17"/>
  <c r="A700" i="17"/>
  <c r="E700" i="17"/>
  <c r="I700" i="17"/>
  <c r="M700" i="17"/>
  <c r="A701" i="17"/>
  <c r="E701" i="17"/>
  <c r="I701" i="17"/>
  <c r="M701" i="17"/>
  <c r="A702" i="17"/>
  <c r="E702" i="17"/>
  <c r="I702" i="17"/>
  <c r="M702" i="17"/>
  <c r="A703" i="17"/>
  <c r="E703" i="17"/>
  <c r="I703" i="17"/>
  <c r="M703" i="17"/>
  <c r="A704" i="17"/>
  <c r="E704" i="17"/>
  <c r="I704" i="17"/>
  <c r="M704" i="17"/>
  <c r="A705" i="17"/>
  <c r="E705" i="17"/>
  <c r="I705" i="17"/>
  <c r="M705" i="17"/>
  <c r="A706" i="17"/>
  <c r="E706" i="17"/>
  <c r="I706" i="17"/>
  <c r="M706" i="17"/>
  <c r="A707" i="17"/>
  <c r="E707" i="17"/>
  <c r="I707" i="17"/>
  <c r="M707" i="17"/>
  <c r="A708" i="17"/>
  <c r="E708" i="17"/>
  <c r="I708" i="17"/>
  <c r="M708" i="17"/>
  <c r="A709" i="17"/>
  <c r="E709" i="17"/>
  <c r="I709" i="17"/>
  <c r="M709" i="17"/>
  <c r="A710" i="17"/>
  <c r="E710" i="17"/>
  <c r="I710" i="17"/>
  <c r="M710" i="17"/>
  <c r="A711" i="17"/>
  <c r="E711" i="17"/>
  <c r="I711" i="17"/>
  <c r="M711" i="17"/>
  <c r="A712" i="17"/>
  <c r="E712" i="17"/>
  <c r="I712" i="17"/>
  <c r="M712" i="17"/>
  <c r="A713" i="17"/>
  <c r="E713" i="17"/>
  <c r="I713" i="17"/>
  <c r="M713" i="17"/>
  <c r="A594" i="17"/>
  <c r="E594" i="17"/>
  <c r="I594" i="17"/>
  <c r="M594" i="17"/>
  <c r="A595" i="17"/>
  <c r="E595" i="17"/>
  <c r="I595" i="17"/>
  <c r="M595" i="17"/>
  <c r="A596" i="17"/>
  <c r="E596" i="17"/>
  <c r="I596" i="17"/>
  <c r="M596" i="17"/>
  <c r="A597" i="17"/>
  <c r="E597" i="17"/>
  <c r="I597" i="17"/>
  <c r="M597" i="17"/>
  <c r="A598" i="17"/>
  <c r="E598" i="17"/>
  <c r="I598" i="17"/>
  <c r="M598" i="17"/>
  <c r="A599" i="17"/>
  <c r="E599" i="17"/>
  <c r="I599" i="17"/>
  <c r="M599" i="17"/>
  <c r="A600" i="17"/>
  <c r="E600" i="17"/>
  <c r="I600" i="17"/>
  <c r="M600" i="17"/>
  <c r="A601" i="17"/>
  <c r="E601" i="17"/>
  <c r="I601" i="17"/>
  <c r="M601" i="17"/>
  <c r="A602" i="17"/>
  <c r="E602" i="17"/>
  <c r="I602" i="17"/>
  <c r="M602" i="17"/>
  <c r="A603" i="17"/>
  <c r="E603" i="17"/>
  <c r="I603" i="17"/>
  <c r="M603" i="17"/>
  <c r="A604" i="17"/>
  <c r="E604" i="17"/>
  <c r="I604" i="17"/>
  <c r="M604" i="17"/>
  <c r="A605" i="17"/>
  <c r="E605" i="17"/>
  <c r="I605" i="17"/>
  <c r="M605" i="17"/>
  <c r="A606" i="17"/>
  <c r="E606" i="17"/>
  <c r="I606" i="17"/>
  <c r="M606" i="17"/>
  <c r="A607" i="17"/>
  <c r="E607" i="17"/>
  <c r="I607" i="17"/>
  <c r="M607" i="17"/>
  <c r="A608" i="17"/>
  <c r="E608" i="17"/>
  <c r="I608" i="17"/>
  <c r="M608" i="17"/>
  <c r="A609" i="17"/>
  <c r="E609" i="17"/>
  <c r="I609" i="17"/>
  <c r="M609" i="17"/>
  <c r="A610" i="17"/>
  <c r="E610" i="17"/>
  <c r="I610" i="17"/>
  <c r="M610" i="17"/>
  <c r="A611" i="17"/>
  <c r="E611" i="17"/>
  <c r="I611" i="17"/>
  <c r="M611" i="17"/>
  <c r="A612" i="17"/>
  <c r="E612" i="17"/>
  <c r="I612" i="17"/>
  <c r="M612" i="17"/>
  <c r="A613" i="17"/>
  <c r="E613" i="17"/>
  <c r="I613" i="17"/>
  <c r="M613" i="17"/>
  <c r="A614" i="17"/>
  <c r="E614" i="17"/>
  <c r="I614" i="17"/>
  <c r="M614" i="17"/>
  <c r="A615" i="17"/>
  <c r="E615" i="17"/>
  <c r="I615" i="17"/>
  <c r="M615" i="17"/>
  <c r="A616" i="17"/>
  <c r="E616" i="17"/>
  <c r="I616" i="17"/>
  <c r="M616" i="17"/>
  <c r="A617" i="17"/>
  <c r="E617" i="17"/>
  <c r="I617" i="17"/>
  <c r="M617" i="17"/>
  <c r="A618" i="17"/>
  <c r="E618" i="17"/>
  <c r="I618" i="17"/>
  <c r="M618" i="17"/>
  <c r="A619" i="17"/>
  <c r="E619" i="17"/>
  <c r="I619" i="17"/>
  <c r="M619" i="17"/>
  <c r="A620" i="17"/>
  <c r="E620" i="17"/>
  <c r="I620" i="17"/>
  <c r="M620" i="17"/>
  <c r="A621" i="17"/>
  <c r="E621" i="17"/>
  <c r="I621" i="17"/>
  <c r="M621" i="17"/>
  <c r="A622" i="17"/>
  <c r="E622" i="17"/>
  <c r="I622" i="17"/>
  <c r="M622" i="17"/>
  <c r="A623" i="17"/>
  <c r="E623" i="17"/>
  <c r="I623" i="17"/>
  <c r="M623" i="17"/>
  <c r="A624" i="17"/>
  <c r="E624" i="17"/>
  <c r="I624" i="17"/>
  <c r="M624" i="17"/>
  <c r="A625" i="17"/>
  <c r="E625" i="17"/>
  <c r="I625" i="17"/>
  <c r="M625" i="17"/>
  <c r="A626" i="17"/>
  <c r="E626" i="17"/>
  <c r="I626" i="17"/>
  <c r="M626" i="17"/>
  <c r="A627" i="17"/>
  <c r="E627" i="17"/>
  <c r="I627" i="17"/>
  <c r="M627" i="17"/>
  <c r="A628" i="17"/>
  <c r="E628" i="17"/>
  <c r="I628" i="17"/>
  <c r="M628" i="17"/>
  <c r="A629" i="17"/>
  <c r="E629" i="17"/>
  <c r="I629" i="17"/>
  <c r="M629" i="17"/>
  <c r="A630" i="17"/>
  <c r="E630" i="17"/>
  <c r="I630" i="17"/>
  <c r="M630" i="17"/>
  <c r="A631" i="17"/>
  <c r="E631" i="17"/>
  <c r="I631" i="17"/>
  <c r="M631" i="17"/>
  <c r="A632" i="17"/>
  <c r="E632" i="17"/>
  <c r="I632" i="17"/>
  <c r="M632" i="17"/>
  <c r="A633" i="17"/>
  <c r="E633" i="17"/>
  <c r="I633" i="17"/>
  <c r="M633" i="17"/>
  <c r="A634" i="17"/>
  <c r="E634" i="17"/>
  <c r="I634" i="17"/>
  <c r="M634" i="17"/>
  <c r="A635" i="17"/>
  <c r="E635" i="17"/>
  <c r="I635" i="17"/>
  <c r="M635" i="17"/>
  <c r="A636" i="17"/>
  <c r="E636" i="17"/>
  <c r="I636" i="17"/>
  <c r="M636" i="17"/>
  <c r="A637" i="17"/>
  <c r="E637" i="17"/>
  <c r="I637" i="17"/>
  <c r="M637" i="17"/>
  <c r="A638" i="17"/>
  <c r="E638" i="17"/>
  <c r="I638" i="17"/>
  <c r="M638" i="17"/>
  <c r="A639" i="17"/>
  <c r="E639" i="17"/>
  <c r="I639" i="17"/>
  <c r="M639" i="17"/>
  <c r="A640" i="17"/>
  <c r="E640" i="17"/>
  <c r="I640" i="17"/>
  <c r="M640" i="17"/>
  <c r="A641" i="17"/>
  <c r="E641" i="17"/>
  <c r="I641" i="17"/>
  <c r="M641" i="17"/>
  <c r="A642" i="17"/>
  <c r="E642" i="17"/>
  <c r="I642" i="17"/>
  <c r="M642" i="17"/>
  <c r="A643" i="17"/>
  <c r="E643" i="17"/>
  <c r="I643" i="17"/>
  <c r="M643" i="17"/>
  <c r="A644" i="17"/>
  <c r="E644" i="17"/>
  <c r="I644" i="17"/>
  <c r="M644" i="17"/>
  <c r="A645" i="17"/>
  <c r="E645" i="17"/>
  <c r="I645" i="17"/>
  <c r="M645" i="17"/>
  <c r="A646" i="17"/>
  <c r="E646" i="17"/>
  <c r="I646" i="17"/>
  <c r="M646" i="17"/>
  <c r="A647" i="17"/>
  <c r="E647" i="17"/>
  <c r="I647" i="17"/>
  <c r="M647" i="17"/>
  <c r="A648" i="17"/>
  <c r="E648" i="17"/>
  <c r="I648" i="17"/>
  <c r="M648" i="17"/>
  <c r="A649" i="17"/>
  <c r="E649" i="17"/>
  <c r="I649" i="17"/>
  <c r="M649" i="17"/>
  <c r="A650" i="17"/>
  <c r="E650" i="17"/>
  <c r="I650" i="17"/>
  <c r="M650" i="17"/>
  <c r="P763" i="17" l="1"/>
  <c r="P764" i="17"/>
  <c r="P758" i="17"/>
  <c r="P721" i="17"/>
  <c r="P762" i="17"/>
  <c r="P731" i="17"/>
  <c r="P719" i="17"/>
  <c r="P715" i="17"/>
  <c r="P720" i="17"/>
  <c r="P759" i="17"/>
  <c r="P718" i="17"/>
  <c r="P753" i="17"/>
  <c r="P737" i="17"/>
  <c r="P735" i="17"/>
  <c r="P722" i="17"/>
  <c r="P754" i="17"/>
  <c r="P750" i="17"/>
  <c r="P746" i="17"/>
  <c r="P740" i="17"/>
  <c r="P734" i="17"/>
  <c r="P752" i="17"/>
  <c r="P744" i="17"/>
  <c r="P756" i="17"/>
  <c r="P742" i="17"/>
  <c r="P736" i="17"/>
  <c r="P727" i="17"/>
  <c r="P755" i="17"/>
  <c r="P749" i="17"/>
  <c r="P747" i="17"/>
  <c r="P730" i="17"/>
  <c r="P728" i="17"/>
  <c r="P726" i="17"/>
  <c r="P745" i="17"/>
  <c r="P733" i="17"/>
  <c r="P714" i="17"/>
  <c r="P757" i="17"/>
  <c r="P729" i="17"/>
  <c r="P725" i="17"/>
  <c r="P723" i="17"/>
  <c r="P717" i="17"/>
  <c r="P738" i="17"/>
  <c r="P760" i="17"/>
  <c r="P748" i="17"/>
  <c r="P732" i="17"/>
  <c r="P751" i="17"/>
  <c r="P716" i="17"/>
  <c r="P743" i="17"/>
  <c r="P741" i="17"/>
  <c r="P739" i="17"/>
  <c r="P724" i="17"/>
  <c r="P761" i="17"/>
  <c r="L730" i="17"/>
  <c r="L763" i="17"/>
  <c r="L760" i="17"/>
  <c r="L753" i="17"/>
  <c r="L745" i="17"/>
  <c r="L714" i="17"/>
  <c r="L758" i="17"/>
  <c r="L738" i="17"/>
  <c r="L742" i="17"/>
  <c r="L718" i="17"/>
  <c r="L762" i="17"/>
  <c r="L756" i="17"/>
  <c r="L749" i="17"/>
  <c r="L764" i="17"/>
  <c r="L754" i="17"/>
  <c r="L726" i="17"/>
  <c r="L750" i="17"/>
  <c r="L741" i="17"/>
  <c r="L734" i="17"/>
  <c r="L761" i="17"/>
  <c r="L722" i="17"/>
  <c r="L746" i="17"/>
  <c r="L715" i="17"/>
  <c r="L759" i="17"/>
  <c r="L757" i="17"/>
  <c r="H759" i="17"/>
  <c r="H757" i="17"/>
  <c r="H714" i="17"/>
  <c r="H753" i="17"/>
  <c r="H756" i="17"/>
  <c r="H754" i="17"/>
  <c r="H749" i="17"/>
  <c r="H752" i="17"/>
  <c r="H745" i="17"/>
  <c r="H746" i="17"/>
  <c r="H740" i="17"/>
  <c r="H728" i="17"/>
  <c r="H718" i="17"/>
  <c r="H736" i="17"/>
  <c r="H726" i="17"/>
  <c r="H719" i="17"/>
  <c r="H760" i="17"/>
  <c r="H739" i="17"/>
  <c r="H729" i="17"/>
  <c r="H758" i="17"/>
  <c r="H748" i="17"/>
  <c r="H737" i="17"/>
  <c r="H735" i="17"/>
  <c r="H730" i="17"/>
  <c r="H725" i="17"/>
  <c r="H720" i="17"/>
  <c r="H733" i="17"/>
  <c r="H762" i="17"/>
  <c r="H750" i="17"/>
  <c r="H763" i="17"/>
  <c r="H744" i="17"/>
  <c r="H722" i="17"/>
  <c r="H761" i="17"/>
  <c r="H742" i="17"/>
  <c r="H723" i="17"/>
  <c r="H738" i="17"/>
  <c r="H716" i="17"/>
  <c r="H751" i="17"/>
  <c r="H743" i="17"/>
  <c r="H731" i="17"/>
  <c r="H721" i="17"/>
  <c r="H741" i="17"/>
  <c r="H734" i="17"/>
  <c r="H724" i="17"/>
  <c r="H764" i="17"/>
  <c r="H727" i="17"/>
  <c r="H717" i="17"/>
  <c r="H755" i="17"/>
  <c r="H747" i="17"/>
  <c r="H732" i="17"/>
  <c r="H715" i="17"/>
  <c r="D759" i="17"/>
  <c r="D716" i="17"/>
  <c r="D715" i="17"/>
  <c r="D764" i="17"/>
  <c r="D741" i="17"/>
  <c r="D724" i="17"/>
  <c r="D719" i="17"/>
  <c r="D735" i="17"/>
  <c r="D730" i="17"/>
  <c r="D747" i="17"/>
  <c r="D732" i="17"/>
  <c r="D727" i="17"/>
  <c r="D722" i="17"/>
  <c r="D717" i="17"/>
  <c r="D760" i="17"/>
  <c r="D737" i="17"/>
  <c r="D720" i="17"/>
  <c r="D751" i="17"/>
  <c r="D743" i="17"/>
  <c r="D738" i="17"/>
  <c r="D733" i="17"/>
  <c r="D758" i="17"/>
  <c r="D763" i="17"/>
  <c r="D749" i="17"/>
  <c r="D739" i="17"/>
  <c r="D734" i="17"/>
  <c r="D729" i="17"/>
  <c r="D714" i="17"/>
  <c r="D755" i="17"/>
  <c r="D725" i="17"/>
  <c r="D761" i="17"/>
  <c r="D757" i="17"/>
  <c r="D753" i="17"/>
  <c r="D745" i="17"/>
  <c r="D740" i="17"/>
  <c r="D728" i="17"/>
  <c r="D723" i="17"/>
  <c r="D718" i="17"/>
  <c r="D736" i="17"/>
  <c r="D731" i="17"/>
  <c r="D726" i="17"/>
  <c r="D721" i="17"/>
  <c r="D762" i="17"/>
  <c r="L739" i="17"/>
  <c r="L735" i="17"/>
  <c r="L731" i="17"/>
  <c r="L727" i="17"/>
  <c r="L723" i="17"/>
  <c r="L719" i="17"/>
  <c r="L755" i="17"/>
  <c r="L751" i="17"/>
  <c r="L752" i="17"/>
  <c r="L748" i="17"/>
  <c r="L744" i="17"/>
  <c r="L740" i="17"/>
  <c r="L736" i="17"/>
  <c r="L732" i="17"/>
  <c r="L728" i="17"/>
  <c r="L724" i="17"/>
  <c r="L720" i="17"/>
  <c r="L716" i="17"/>
  <c r="L743" i="17"/>
  <c r="L747" i="17"/>
  <c r="D752" i="17"/>
  <c r="D744" i="17"/>
  <c r="L737" i="17"/>
  <c r="L733" i="17"/>
  <c r="L729" i="17"/>
  <c r="L725" i="17"/>
  <c r="L721" i="17"/>
  <c r="L717" i="17"/>
  <c r="D756" i="17"/>
  <c r="D748" i="17"/>
  <c r="D754" i="17"/>
  <c r="D750" i="17"/>
  <c r="D746" i="17"/>
  <c r="D742" i="17"/>
  <c r="P678" i="17"/>
  <c r="P666" i="17"/>
  <c r="P664" i="17"/>
  <c r="P662" i="17"/>
  <c r="P658" i="17"/>
  <c r="P665" i="17"/>
  <c r="P663" i="17"/>
  <c r="P656" i="17"/>
  <c r="P654" i="17"/>
  <c r="P652" i="17"/>
  <c r="P689" i="17"/>
  <c r="P681" i="17"/>
  <c r="P673" i="17"/>
  <c r="P671" i="17"/>
  <c r="P669" i="17"/>
  <c r="P667" i="17"/>
  <c r="P687" i="17"/>
  <c r="P679" i="17"/>
  <c r="P657" i="17"/>
  <c r="P653" i="17"/>
  <c r="P651" i="17"/>
  <c r="P690" i="17"/>
  <c r="P688" i="17"/>
  <c r="P686" i="17"/>
  <c r="P682" i="17"/>
  <c r="P680" i="17"/>
  <c r="P674" i="17"/>
  <c r="P672" i="17"/>
  <c r="P670" i="17"/>
  <c r="P685" i="17"/>
  <c r="P683" i="17"/>
  <c r="P668" i="17"/>
  <c r="P655" i="17"/>
  <c r="P712" i="17"/>
  <c r="P708" i="17"/>
  <c r="P702" i="17"/>
  <c r="P698" i="17"/>
  <c r="P696" i="17"/>
  <c r="P694" i="17"/>
  <c r="P692" i="17"/>
  <c r="P677" i="17"/>
  <c r="P675" i="17"/>
  <c r="P660" i="17"/>
  <c r="P704" i="17"/>
  <c r="P710" i="17"/>
  <c r="P706" i="17"/>
  <c r="P700" i="17"/>
  <c r="P684" i="17"/>
  <c r="P713" i="17"/>
  <c r="P711" i="17"/>
  <c r="P709" i="17"/>
  <c r="P707" i="17"/>
  <c r="P705" i="17"/>
  <c r="P703" i="17"/>
  <c r="P701" i="17"/>
  <c r="P699" i="17"/>
  <c r="P697" i="17"/>
  <c r="P695" i="17"/>
  <c r="P693" i="17"/>
  <c r="P691" i="17"/>
  <c r="P676" i="17"/>
  <c r="P661" i="17"/>
  <c r="P659" i="17"/>
  <c r="L694" i="17"/>
  <c r="L703" i="17"/>
  <c r="L701" i="17"/>
  <c r="L699" i="17"/>
  <c r="L697" i="17"/>
  <c r="L695" i="17"/>
  <c r="L693" i="17"/>
  <c r="L700" i="17"/>
  <c r="L696" i="17"/>
  <c r="L702" i="17"/>
  <c r="L698" i="17"/>
  <c r="L709" i="17"/>
  <c r="L705" i="17"/>
  <c r="L713" i="17"/>
  <c r="L707" i="17"/>
  <c r="L711" i="17"/>
  <c r="L712" i="17"/>
  <c r="L708" i="17"/>
  <c r="L704" i="17"/>
  <c r="L710" i="17"/>
  <c r="L706" i="17"/>
  <c r="H654" i="17"/>
  <c r="H669" i="17"/>
  <c r="H682" i="17"/>
  <c r="H680" i="17"/>
  <c r="H663" i="17"/>
  <c r="H657" i="17"/>
  <c r="H652" i="17"/>
  <c r="H702" i="17"/>
  <c r="H700" i="17"/>
  <c r="H698" i="17"/>
  <c r="H696" i="17"/>
  <c r="H694" i="17"/>
  <c r="H690" i="17"/>
  <c r="H688" i="17"/>
  <c r="H677" i="17"/>
  <c r="H675" i="17"/>
  <c r="H658" i="17"/>
  <c r="H651" i="17"/>
  <c r="H705" i="17"/>
  <c r="H701" i="17"/>
  <c r="H697" i="17"/>
  <c r="H693" i="17"/>
  <c r="H661" i="17"/>
  <c r="H707" i="17"/>
  <c r="H703" i="17"/>
  <c r="H699" i="17"/>
  <c r="H695" i="17"/>
  <c r="H691" i="17"/>
  <c r="H689" i="17"/>
  <c r="H687" i="17"/>
  <c r="H670" i="17"/>
  <c r="H668" i="17"/>
  <c r="H655" i="17"/>
  <c r="H681" i="17"/>
  <c r="H679" i="17"/>
  <c r="H653" i="17"/>
  <c r="H678" i="17"/>
  <c r="H676" i="17"/>
  <c r="H665" i="17"/>
  <c r="H659" i="17"/>
  <c r="H674" i="17"/>
  <c r="H672" i="17"/>
  <c r="H713" i="17"/>
  <c r="H709" i="17"/>
  <c r="H711" i="17"/>
  <c r="H685" i="17"/>
  <c r="H683" i="17"/>
  <c r="H666" i="17"/>
  <c r="H664" i="17"/>
  <c r="H692" i="17"/>
  <c r="H662" i="17"/>
  <c r="H660" i="17"/>
  <c r="H710" i="17"/>
  <c r="H704" i="17"/>
  <c r="H712" i="17"/>
  <c r="H708" i="17"/>
  <c r="H706" i="17"/>
  <c r="H686" i="17"/>
  <c r="H684" i="17"/>
  <c r="H673" i="17"/>
  <c r="H671" i="17"/>
  <c r="H667" i="17"/>
  <c r="H656" i="17"/>
  <c r="D681" i="17"/>
  <c r="D679" i="17"/>
  <c r="D666" i="17"/>
  <c r="D664" i="17"/>
  <c r="D652" i="17"/>
  <c r="D659" i="17"/>
  <c r="D686" i="17"/>
  <c r="D684" i="17"/>
  <c r="D669" i="17"/>
  <c r="D667" i="17"/>
  <c r="D685" i="17"/>
  <c r="D683" i="17"/>
  <c r="D670" i="17"/>
  <c r="D668" i="17"/>
  <c r="D661" i="17"/>
  <c r="D695" i="17"/>
  <c r="D690" i="17"/>
  <c r="D688" i="17"/>
  <c r="D682" i="17"/>
  <c r="D680" i="17"/>
  <c r="D665" i="17"/>
  <c r="D663" i="17"/>
  <c r="D654" i="17"/>
  <c r="D713" i="17"/>
  <c r="D707" i="17"/>
  <c r="D655" i="17"/>
  <c r="D712" i="17"/>
  <c r="D696" i="17"/>
  <c r="D692" i="17"/>
  <c r="D677" i="17"/>
  <c r="D675" i="17"/>
  <c r="D662" i="17"/>
  <c r="D660" i="17"/>
  <c r="D710" i="17"/>
  <c r="D704" i="17"/>
  <c r="D673" i="17"/>
  <c r="D671" i="17"/>
  <c r="D658" i="17"/>
  <c r="D653" i="17"/>
  <c r="D708" i="17"/>
  <c r="D706" i="17"/>
  <c r="D702" i="17"/>
  <c r="D700" i="17"/>
  <c r="D698" i="17"/>
  <c r="D694" i="17"/>
  <c r="D656" i="17"/>
  <c r="D691" i="17"/>
  <c r="D678" i="17"/>
  <c r="D676" i="17"/>
  <c r="D711" i="17"/>
  <c r="D709" i="17"/>
  <c r="D705" i="17"/>
  <c r="D701" i="17"/>
  <c r="D699" i="17"/>
  <c r="D693" i="17"/>
  <c r="D689" i="17"/>
  <c r="D687" i="17"/>
  <c r="D674" i="17"/>
  <c r="D672" i="17"/>
  <c r="D657" i="17"/>
  <c r="D651" i="17"/>
  <c r="D703" i="17"/>
  <c r="D697" i="17"/>
  <c r="L692" i="17"/>
  <c r="L688" i="17"/>
  <c r="L684" i="17"/>
  <c r="L680" i="17"/>
  <c r="L676" i="17"/>
  <c r="L672" i="17"/>
  <c r="L668" i="17"/>
  <c r="L664" i="17"/>
  <c r="L660" i="17"/>
  <c r="L656" i="17"/>
  <c r="L652" i="17"/>
  <c r="L689" i="17"/>
  <c r="L685" i="17"/>
  <c r="L681" i="17"/>
  <c r="L677" i="17"/>
  <c r="L673" i="17"/>
  <c r="L669" i="17"/>
  <c r="L665" i="17"/>
  <c r="L661" i="17"/>
  <c r="L657" i="17"/>
  <c r="L653" i="17"/>
  <c r="L690" i="17"/>
  <c r="L686" i="17"/>
  <c r="L682" i="17"/>
  <c r="L678" i="17"/>
  <c r="L674" i="17"/>
  <c r="L670" i="17"/>
  <c r="L666" i="17"/>
  <c r="L662" i="17"/>
  <c r="L658" i="17"/>
  <c r="L654" i="17"/>
  <c r="L691" i="17"/>
  <c r="L687" i="17"/>
  <c r="L683" i="17"/>
  <c r="L679" i="17"/>
  <c r="L675" i="17"/>
  <c r="L671" i="17"/>
  <c r="L667" i="17"/>
  <c r="L663" i="17"/>
  <c r="L659" i="17"/>
  <c r="L655" i="17"/>
  <c r="L651" i="17"/>
  <c r="P632" i="17"/>
  <c r="P620" i="17"/>
  <c r="P615" i="17"/>
  <c r="P611" i="17"/>
  <c r="P609" i="17"/>
  <c r="P613" i="17"/>
  <c r="P616" i="17"/>
  <c r="P610" i="17"/>
  <c r="P608" i="17"/>
  <c r="P604" i="17"/>
  <c r="P600" i="17"/>
  <c r="P612" i="17"/>
  <c r="P621" i="17"/>
  <c r="P628" i="17"/>
  <c r="P626" i="17"/>
  <c r="P624" i="17"/>
  <c r="P597" i="17"/>
  <c r="P633" i="17"/>
  <c r="P631" i="17"/>
  <c r="P617" i="17"/>
  <c r="P598" i="17"/>
  <c r="P596" i="17"/>
  <c r="P627" i="17"/>
  <c r="P623" i="17"/>
  <c r="P606" i="17"/>
  <c r="P595" i="17"/>
  <c r="P650" i="17"/>
  <c r="P646" i="17"/>
  <c r="P642" i="17"/>
  <c r="P638" i="17"/>
  <c r="P636" i="17"/>
  <c r="P619" i="17"/>
  <c r="P602" i="17"/>
  <c r="P648" i="17"/>
  <c r="P644" i="17"/>
  <c r="P640" i="17"/>
  <c r="P634" i="17"/>
  <c r="P630" i="17"/>
  <c r="P622" i="17"/>
  <c r="P607" i="17"/>
  <c r="P605" i="17"/>
  <c r="P594" i="17"/>
  <c r="P649" i="17"/>
  <c r="P645" i="17"/>
  <c r="P641" i="17"/>
  <c r="P637" i="17"/>
  <c r="P629" i="17"/>
  <c r="P618" i="17"/>
  <c r="P603" i="17"/>
  <c r="P601" i="17"/>
  <c r="P647" i="17"/>
  <c r="P643" i="17"/>
  <c r="P639" i="17"/>
  <c r="P635" i="17"/>
  <c r="P625" i="17"/>
  <c r="P614" i="17"/>
  <c r="P599" i="17"/>
  <c r="L594" i="17"/>
  <c r="L619" i="17"/>
  <c r="L624" i="17"/>
  <c r="L636" i="17"/>
  <c r="L623" i="17"/>
  <c r="L595" i="17"/>
  <c r="L647" i="17"/>
  <c r="L641" i="17"/>
  <c r="L645" i="17"/>
  <c r="L639" i="17"/>
  <c r="L649" i="17"/>
  <c r="L643" i="17"/>
  <c r="L637" i="17"/>
  <c r="L627" i="17"/>
  <c r="L628" i="17"/>
  <c r="L620" i="17"/>
  <c r="L631" i="17"/>
  <c r="L650" i="17"/>
  <c r="L648" i="17"/>
  <c r="L644" i="17"/>
  <c r="L640" i="17"/>
  <c r="L638" i="17"/>
  <c r="L635" i="17"/>
  <c r="L646" i="17"/>
  <c r="L642" i="17"/>
  <c r="L632" i="17"/>
  <c r="L615" i="17"/>
  <c r="H597" i="17"/>
  <c r="H604" i="17"/>
  <c r="H602" i="17"/>
  <c r="H622" i="17"/>
  <c r="H623" i="17"/>
  <c r="H614" i="17"/>
  <c r="H599" i="17"/>
  <c r="H630" i="17"/>
  <c r="H613" i="17"/>
  <c r="H605" i="17"/>
  <c r="H624" i="17"/>
  <c r="H620" i="17"/>
  <c r="H618" i="17"/>
  <c r="H611" i="17"/>
  <c r="H609" i="17"/>
  <c r="H625" i="17"/>
  <c r="H634" i="17"/>
  <c r="H603" i="17"/>
  <c r="H601" i="17"/>
  <c r="H612" i="17"/>
  <c r="H610" i="17"/>
  <c r="H628" i="17"/>
  <c r="H626" i="17"/>
  <c r="H595" i="17"/>
  <c r="H643" i="17"/>
  <c r="H616" i="17"/>
  <c r="H607" i="17"/>
  <c r="H600" i="17"/>
  <c r="H637" i="17"/>
  <c r="H635" i="17"/>
  <c r="H621" i="17"/>
  <c r="H619" i="17"/>
  <c r="H598" i="17"/>
  <c r="H649" i="17"/>
  <c r="H639" i="17"/>
  <c r="H645" i="17"/>
  <c r="H632" i="17"/>
  <c r="H633" i="17"/>
  <c r="H631" i="17"/>
  <c r="H617" i="17"/>
  <c r="H596" i="17"/>
  <c r="H594" i="17"/>
  <c r="H646" i="17"/>
  <c r="H642" i="17"/>
  <c r="H615" i="17"/>
  <c r="H608" i="17"/>
  <c r="H606" i="17"/>
  <c r="H641" i="17"/>
  <c r="H650" i="17"/>
  <c r="H648" i="17"/>
  <c r="H644" i="17"/>
  <c r="H640" i="17"/>
  <c r="H638" i="17"/>
  <c r="H636" i="17"/>
  <c r="H629" i="17"/>
  <c r="H627" i="17"/>
  <c r="H647" i="17"/>
  <c r="D613" i="17"/>
  <c r="D622" i="17"/>
  <c r="D618" i="17"/>
  <c r="D609" i="17"/>
  <c r="D634" i="17"/>
  <c r="D595" i="17"/>
  <c r="D625" i="17"/>
  <c r="D645" i="17"/>
  <c r="D643" i="17"/>
  <c r="D641" i="17"/>
  <c r="D639" i="17"/>
  <c r="D637" i="17"/>
  <c r="D614" i="17"/>
  <c r="D600" i="17"/>
  <c r="D635" i="17"/>
  <c r="D612" i="17"/>
  <c r="D610" i="17"/>
  <c r="D633" i="17"/>
  <c r="D626" i="17"/>
  <c r="D617" i="17"/>
  <c r="D601" i="17"/>
  <c r="D596" i="17"/>
  <c r="D594" i="17"/>
  <c r="D644" i="17"/>
  <c r="D642" i="17"/>
  <c r="D640" i="17"/>
  <c r="D638" i="17"/>
  <c r="D627" i="17"/>
  <c r="D604" i="17"/>
  <c r="D602" i="17"/>
  <c r="D597" i="17"/>
  <c r="D630" i="17"/>
  <c r="D621" i="17"/>
  <c r="D605" i="17"/>
  <c r="D598" i="17"/>
  <c r="D648" i="17"/>
  <c r="D646" i="17"/>
  <c r="D650" i="17"/>
  <c r="D631" i="17"/>
  <c r="D608" i="17"/>
  <c r="D606" i="17"/>
  <c r="D629" i="17"/>
  <c r="D647" i="17"/>
  <c r="D649" i="17"/>
  <c r="L633" i="17"/>
  <c r="L629" i="17"/>
  <c r="L625" i="17"/>
  <c r="L621" i="17"/>
  <c r="L617" i="17"/>
  <c r="L613" i="17"/>
  <c r="L609" i="17"/>
  <c r="L605" i="17"/>
  <c r="L601" i="17"/>
  <c r="L597" i="17"/>
  <c r="L634" i="17"/>
  <c r="L630" i="17"/>
  <c r="L626" i="17"/>
  <c r="L622" i="17"/>
  <c r="L618" i="17"/>
  <c r="L614" i="17"/>
  <c r="L610" i="17"/>
  <c r="L606" i="17"/>
  <c r="L602" i="17"/>
  <c r="L598" i="17"/>
  <c r="D623" i="17"/>
  <c r="D619" i="17"/>
  <c r="D615" i="17"/>
  <c r="D611" i="17"/>
  <c r="D607" i="17"/>
  <c r="D603" i="17"/>
  <c r="D599" i="17"/>
  <c r="L611" i="17"/>
  <c r="L607" i="17"/>
  <c r="L603" i="17"/>
  <c r="L599" i="17"/>
  <c r="D636" i="17"/>
  <c r="D632" i="17"/>
  <c r="D628" i="17"/>
  <c r="D624" i="17"/>
  <c r="D620" i="17"/>
  <c r="D616" i="17"/>
  <c r="L616" i="17"/>
  <c r="L612" i="17"/>
  <c r="L608" i="17"/>
  <c r="L604" i="17"/>
  <c r="L600" i="17"/>
  <c r="L596" i="17"/>
  <c r="A543" i="17"/>
  <c r="E543" i="17"/>
  <c r="I543" i="17"/>
  <c r="M543" i="17"/>
  <c r="A544" i="17"/>
  <c r="E544" i="17"/>
  <c r="I544" i="17"/>
  <c r="M544" i="17"/>
  <c r="A545" i="17"/>
  <c r="E545" i="17"/>
  <c r="I545" i="17"/>
  <c r="M545" i="17"/>
  <c r="A546" i="17"/>
  <c r="E546" i="17"/>
  <c r="I546" i="17"/>
  <c r="M546" i="17"/>
  <c r="A547" i="17"/>
  <c r="E547" i="17"/>
  <c r="I547" i="17"/>
  <c r="M547" i="17"/>
  <c r="A548" i="17"/>
  <c r="E548" i="17"/>
  <c r="I548" i="17"/>
  <c r="M548" i="17"/>
  <c r="A549" i="17"/>
  <c r="E549" i="17"/>
  <c r="I549" i="17"/>
  <c r="M549" i="17"/>
  <c r="A550" i="17"/>
  <c r="E550" i="17"/>
  <c r="I550" i="17"/>
  <c r="M550" i="17"/>
  <c r="A551" i="17"/>
  <c r="E551" i="17"/>
  <c r="I551" i="17"/>
  <c r="M551" i="17"/>
  <c r="A552" i="17"/>
  <c r="E552" i="17"/>
  <c r="I552" i="17"/>
  <c r="M552" i="17"/>
  <c r="A553" i="17"/>
  <c r="E553" i="17"/>
  <c r="I553" i="17"/>
  <c r="M553" i="17"/>
  <c r="A554" i="17"/>
  <c r="E554" i="17"/>
  <c r="I554" i="17"/>
  <c r="M554" i="17"/>
  <c r="A555" i="17"/>
  <c r="E555" i="17"/>
  <c r="I555" i="17"/>
  <c r="M555" i="17"/>
  <c r="A556" i="17"/>
  <c r="E556" i="17"/>
  <c r="I556" i="17"/>
  <c r="M556" i="17"/>
  <c r="A557" i="17"/>
  <c r="E557" i="17"/>
  <c r="I557" i="17"/>
  <c r="M557" i="17"/>
  <c r="A558" i="17"/>
  <c r="E558" i="17"/>
  <c r="I558" i="17"/>
  <c r="M558" i="17"/>
  <c r="A559" i="17"/>
  <c r="E559" i="17"/>
  <c r="I559" i="17"/>
  <c r="M559" i="17"/>
  <c r="A560" i="17"/>
  <c r="E560" i="17"/>
  <c r="I560" i="17"/>
  <c r="M560" i="17"/>
  <c r="A561" i="17"/>
  <c r="E561" i="17"/>
  <c r="I561" i="17"/>
  <c r="M561" i="17"/>
  <c r="A562" i="17"/>
  <c r="E562" i="17"/>
  <c r="I562" i="17"/>
  <c r="M562" i="17"/>
  <c r="A563" i="17"/>
  <c r="E563" i="17"/>
  <c r="I563" i="17"/>
  <c r="M563" i="17"/>
  <c r="A564" i="17"/>
  <c r="E564" i="17"/>
  <c r="I564" i="17"/>
  <c r="M564" i="17"/>
  <c r="A565" i="17"/>
  <c r="E565" i="17"/>
  <c r="I565" i="17"/>
  <c r="M565" i="17"/>
  <c r="A566" i="17"/>
  <c r="E566" i="17"/>
  <c r="I566" i="17"/>
  <c r="M566" i="17"/>
  <c r="A567" i="17"/>
  <c r="E567" i="17"/>
  <c r="I567" i="17"/>
  <c r="M567" i="17"/>
  <c r="A568" i="17"/>
  <c r="E568" i="17"/>
  <c r="I568" i="17"/>
  <c r="M568" i="17"/>
  <c r="A569" i="17"/>
  <c r="E569" i="17"/>
  <c r="I569" i="17"/>
  <c r="M569" i="17"/>
  <c r="A570" i="17"/>
  <c r="E570" i="17"/>
  <c r="I570" i="17"/>
  <c r="M570" i="17"/>
  <c r="A571" i="17"/>
  <c r="E571" i="17"/>
  <c r="I571" i="17"/>
  <c r="M571" i="17"/>
  <c r="A572" i="17"/>
  <c r="E572" i="17"/>
  <c r="I572" i="17"/>
  <c r="M572" i="17"/>
  <c r="A573" i="17"/>
  <c r="E573" i="17"/>
  <c r="I573" i="17"/>
  <c r="M573" i="17"/>
  <c r="A574" i="17"/>
  <c r="E574" i="17"/>
  <c r="I574" i="17"/>
  <c r="M574" i="17"/>
  <c r="A575" i="17"/>
  <c r="E575" i="17"/>
  <c r="I575" i="17"/>
  <c r="M575" i="17"/>
  <c r="A576" i="17"/>
  <c r="E576" i="17"/>
  <c r="I576" i="17"/>
  <c r="M576" i="17"/>
  <c r="A577" i="17"/>
  <c r="E577" i="17"/>
  <c r="I577" i="17"/>
  <c r="M577" i="17"/>
  <c r="A578" i="17"/>
  <c r="E578" i="17"/>
  <c r="I578" i="17"/>
  <c r="M578" i="17"/>
  <c r="A579" i="17"/>
  <c r="E579" i="17"/>
  <c r="I579" i="17"/>
  <c r="M579" i="17"/>
  <c r="A580" i="17"/>
  <c r="E580" i="17"/>
  <c r="I580" i="17"/>
  <c r="M580" i="17"/>
  <c r="A581" i="17"/>
  <c r="E581" i="17"/>
  <c r="I581" i="17"/>
  <c r="M581" i="17"/>
  <c r="A582" i="17"/>
  <c r="E582" i="17"/>
  <c r="I582" i="17"/>
  <c r="M582" i="17"/>
  <c r="A583" i="17"/>
  <c r="E583" i="17"/>
  <c r="I583" i="17"/>
  <c r="M583" i="17"/>
  <c r="A584" i="17"/>
  <c r="E584" i="17"/>
  <c r="I584" i="17"/>
  <c r="M584" i="17"/>
  <c r="A585" i="17"/>
  <c r="E585" i="17"/>
  <c r="I585" i="17"/>
  <c r="M585" i="17"/>
  <c r="A586" i="17"/>
  <c r="E586" i="17"/>
  <c r="I586" i="17"/>
  <c r="M586" i="17"/>
  <c r="A587" i="17"/>
  <c r="E587" i="17"/>
  <c r="I587" i="17"/>
  <c r="M587" i="17"/>
  <c r="A588" i="17"/>
  <c r="E588" i="17"/>
  <c r="I588" i="17"/>
  <c r="M588" i="17"/>
  <c r="A589" i="17"/>
  <c r="E589" i="17"/>
  <c r="I589" i="17"/>
  <c r="M589" i="17"/>
  <c r="A590" i="17"/>
  <c r="E590" i="17"/>
  <c r="I590" i="17"/>
  <c r="M590" i="17"/>
  <c r="A591" i="17"/>
  <c r="E591" i="17"/>
  <c r="I591" i="17"/>
  <c r="M591" i="17"/>
  <c r="A592" i="17"/>
  <c r="E592" i="17"/>
  <c r="I592" i="17"/>
  <c r="M592" i="17"/>
  <c r="A593" i="17"/>
  <c r="E593" i="17"/>
  <c r="I593" i="17"/>
  <c r="M593" i="17"/>
  <c r="A497" i="17"/>
  <c r="E497" i="17"/>
  <c r="I497" i="17"/>
  <c r="M497" i="17"/>
  <c r="A498" i="17"/>
  <c r="E498" i="17"/>
  <c r="I498" i="17"/>
  <c r="M498" i="17"/>
  <c r="A499" i="17"/>
  <c r="E499" i="17"/>
  <c r="I499" i="17"/>
  <c r="M499" i="17"/>
  <c r="A500" i="17"/>
  <c r="E500" i="17"/>
  <c r="I500" i="17"/>
  <c r="M500" i="17"/>
  <c r="A501" i="17"/>
  <c r="E501" i="17"/>
  <c r="I501" i="17"/>
  <c r="M501" i="17"/>
  <c r="A502" i="17"/>
  <c r="E502" i="17"/>
  <c r="I502" i="17"/>
  <c r="M502" i="17"/>
  <c r="A503" i="17"/>
  <c r="E503" i="17"/>
  <c r="I503" i="17"/>
  <c r="M503" i="17"/>
  <c r="A504" i="17"/>
  <c r="E504" i="17"/>
  <c r="I504" i="17"/>
  <c r="M504" i="17"/>
  <c r="A505" i="17"/>
  <c r="E505" i="17"/>
  <c r="I505" i="17"/>
  <c r="M505" i="17"/>
  <c r="A506" i="17"/>
  <c r="E506" i="17"/>
  <c r="I506" i="17"/>
  <c r="M506" i="17"/>
  <c r="A507" i="17"/>
  <c r="E507" i="17"/>
  <c r="I507" i="17"/>
  <c r="M507" i="17"/>
  <c r="A508" i="17"/>
  <c r="E508" i="17"/>
  <c r="I508" i="17"/>
  <c r="M508" i="17"/>
  <c r="A509" i="17"/>
  <c r="E509" i="17"/>
  <c r="I509" i="17"/>
  <c r="M509" i="17"/>
  <c r="A510" i="17"/>
  <c r="E510" i="17"/>
  <c r="I510" i="17"/>
  <c r="M510" i="17"/>
  <c r="A511" i="17"/>
  <c r="E511" i="17"/>
  <c r="I511" i="17"/>
  <c r="M511" i="17"/>
  <c r="A512" i="17"/>
  <c r="E512" i="17"/>
  <c r="I512" i="17"/>
  <c r="M512" i="17"/>
  <c r="A513" i="17"/>
  <c r="E513" i="17"/>
  <c r="I513" i="17"/>
  <c r="M513" i="17"/>
  <c r="A514" i="17"/>
  <c r="E514" i="17"/>
  <c r="I514" i="17"/>
  <c r="M514" i="17"/>
  <c r="A515" i="17"/>
  <c r="E515" i="17"/>
  <c r="I515" i="17"/>
  <c r="M515" i="17"/>
  <c r="A516" i="17"/>
  <c r="E516" i="17"/>
  <c r="I516" i="17"/>
  <c r="M516" i="17"/>
  <c r="A517" i="17"/>
  <c r="E517" i="17"/>
  <c r="I517" i="17"/>
  <c r="M517" i="17"/>
  <c r="A518" i="17"/>
  <c r="E518" i="17"/>
  <c r="I518" i="17"/>
  <c r="M518" i="17"/>
  <c r="A519" i="17"/>
  <c r="E519" i="17"/>
  <c r="I519" i="17"/>
  <c r="M519" i="17"/>
  <c r="A520" i="17"/>
  <c r="E520" i="17"/>
  <c r="I520" i="17"/>
  <c r="M520" i="17"/>
  <c r="A521" i="17"/>
  <c r="E521" i="17"/>
  <c r="I521" i="17"/>
  <c r="M521" i="17"/>
  <c r="A522" i="17"/>
  <c r="E522" i="17"/>
  <c r="I522" i="17"/>
  <c r="M522" i="17"/>
  <c r="A523" i="17"/>
  <c r="E523" i="17"/>
  <c r="I523" i="17"/>
  <c r="M523" i="17"/>
  <c r="A524" i="17"/>
  <c r="E524" i="17"/>
  <c r="I524" i="17"/>
  <c r="M524" i="17"/>
  <c r="A525" i="17"/>
  <c r="E525" i="17"/>
  <c r="I525" i="17"/>
  <c r="M525" i="17"/>
  <c r="A526" i="17"/>
  <c r="E526" i="17"/>
  <c r="I526" i="17"/>
  <c r="M526" i="17"/>
  <c r="A527" i="17"/>
  <c r="E527" i="17"/>
  <c r="I527" i="17"/>
  <c r="M527" i="17"/>
  <c r="A528" i="17"/>
  <c r="E528" i="17"/>
  <c r="I528" i="17"/>
  <c r="M528" i="17"/>
  <c r="A529" i="17"/>
  <c r="E529" i="17"/>
  <c r="I529" i="17"/>
  <c r="M529" i="17"/>
  <c r="A530" i="17"/>
  <c r="E530" i="17"/>
  <c r="I530" i="17"/>
  <c r="M530" i="17"/>
  <c r="A531" i="17"/>
  <c r="E531" i="17"/>
  <c r="I531" i="17"/>
  <c r="M531" i="17"/>
  <c r="A532" i="17"/>
  <c r="E532" i="17"/>
  <c r="I532" i="17"/>
  <c r="M532" i="17"/>
  <c r="A533" i="17"/>
  <c r="E533" i="17"/>
  <c r="I533" i="17"/>
  <c r="M533" i="17"/>
  <c r="A534" i="17"/>
  <c r="E534" i="17"/>
  <c r="I534" i="17"/>
  <c r="M534" i="17"/>
  <c r="A535" i="17"/>
  <c r="E535" i="17"/>
  <c r="I535" i="17"/>
  <c r="M535" i="17"/>
  <c r="A536" i="17"/>
  <c r="E536" i="17"/>
  <c r="I536" i="17"/>
  <c r="M536" i="17"/>
  <c r="A537" i="17"/>
  <c r="E537" i="17"/>
  <c r="I537" i="17"/>
  <c r="M537" i="17"/>
  <c r="A538" i="17"/>
  <c r="E538" i="17"/>
  <c r="I538" i="17"/>
  <c r="M538" i="17"/>
  <c r="A539" i="17"/>
  <c r="E539" i="17"/>
  <c r="I539" i="17"/>
  <c r="M539" i="17"/>
  <c r="A540" i="17"/>
  <c r="E540" i="17"/>
  <c r="I540" i="17"/>
  <c r="M540" i="17"/>
  <c r="A541" i="17"/>
  <c r="E541" i="17"/>
  <c r="I541" i="17"/>
  <c r="M541" i="17"/>
  <c r="A542" i="17"/>
  <c r="E542" i="17"/>
  <c r="I542" i="17"/>
  <c r="M542" i="17"/>
  <c r="A450" i="17"/>
  <c r="E450" i="17"/>
  <c r="I450" i="17"/>
  <c r="M450" i="17"/>
  <c r="A451" i="17"/>
  <c r="E451" i="17"/>
  <c r="I451" i="17"/>
  <c r="M451" i="17"/>
  <c r="A452" i="17"/>
  <c r="E452" i="17"/>
  <c r="I452" i="17"/>
  <c r="M452" i="17"/>
  <c r="A453" i="17"/>
  <c r="E453" i="17"/>
  <c r="I453" i="17"/>
  <c r="M453" i="17"/>
  <c r="A454" i="17"/>
  <c r="E454" i="17"/>
  <c r="I454" i="17"/>
  <c r="M454" i="17"/>
  <c r="A455" i="17"/>
  <c r="E455" i="17"/>
  <c r="I455" i="17"/>
  <c r="M455" i="17"/>
  <c r="A456" i="17"/>
  <c r="E456" i="17"/>
  <c r="I456" i="17"/>
  <c r="M456" i="17"/>
  <c r="A457" i="17"/>
  <c r="E457" i="17"/>
  <c r="I457" i="17"/>
  <c r="M457" i="17"/>
  <c r="A458" i="17"/>
  <c r="E458" i="17"/>
  <c r="I458" i="17"/>
  <c r="M458" i="17"/>
  <c r="A459" i="17"/>
  <c r="E459" i="17"/>
  <c r="I459" i="17"/>
  <c r="M459" i="17"/>
  <c r="A460" i="17"/>
  <c r="E460" i="17"/>
  <c r="I460" i="17"/>
  <c r="M460" i="17"/>
  <c r="A461" i="17"/>
  <c r="E461" i="17"/>
  <c r="I461" i="17"/>
  <c r="M461" i="17"/>
  <c r="A462" i="17"/>
  <c r="E462" i="17"/>
  <c r="I462" i="17"/>
  <c r="M462" i="17"/>
  <c r="A463" i="17"/>
  <c r="E463" i="17"/>
  <c r="I463" i="17"/>
  <c r="M463" i="17"/>
  <c r="A464" i="17"/>
  <c r="E464" i="17"/>
  <c r="I464" i="17"/>
  <c r="M464" i="17"/>
  <c r="A465" i="17"/>
  <c r="E465" i="17"/>
  <c r="I465" i="17"/>
  <c r="M465" i="17"/>
  <c r="A466" i="17"/>
  <c r="E466" i="17"/>
  <c r="I466" i="17"/>
  <c r="M466" i="17"/>
  <c r="A467" i="17"/>
  <c r="E467" i="17"/>
  <c r="I467" i="17"/>
  <c r="M467" i="17"/>
  <c r="A468" i="17"/>
  <c r="E468" i="17"/>
  <c r="I468" i="17"/>
  <c r="M468" i="17"/>
  <c r="A469" i="17"/>
  <c r="E469" i="17"/>
  <c r="I469" i="17"/>
  <c r="M469" i="17"/>
  <c r="A470" i="17"/>
  <c r="E470" i="17"/>
  <c r="I470" i="17"/>
  <c r="M470" i="17"/>
  <c r="A471" i="17"/>
  <c r="E471" i="17"/>
  <c r="I471" i="17"/>
  <c r="M471" i="17"/>
  <c r="A472" i="17"/>
  <c r="E472" i="17"/>
  <c r="I472" i="17"/>
  <c r="M472" i="17"/>
  <c r="A473" i="17"/>
  <c r="E473" i="17"/>
  <c r="I473" i="17"/>
  <c r="M473" i="17"/>
  <c r="A474" i="17"/>
  <c r="E474" i="17"/>
  <c r="I474" i="17"/>
  <c r="M474" i="17"/>
  <c r="A475" i="17"/>
  <c r="E475" i="17"/>
  <c r="I475" i="17"/>
  <c r="M475" i="17"/>
  <c r="A476" i="17"/>
  <c r="E476" i="17"/>
  <c r="I476" i="17"/>
  <c r="M476" i="17"/>
  <c r="A477" i="17"/>
  <c r="E477" i="17"/>
  <c r="I477" i="17"/>
  <c r="M477" i="17"/>
  <c r="A478" i="17"/>
  <c r="E478" i="17"/>
  <c r="I478" i="17"/>
  <c r="M478" i="17"/>
  <c r="A479" i="17"/>
  <c r="E479" i="17"/>
  <c r="I479" i="17"/>
  <c r="M479" i="17"/>
  <c r="A480" i="17"/>
  <c r="E480" i="17"/>
  <c r="I480" i="17"/>
  <c r="M480" i="17"/>
  <c r="A481" i="17"/>
  <c r="E481" i="17"/>
  <c r="I481" i="17"/>
  <c r="M481" i="17"/>
  <c r="A482" i="17"/>
  <c r="E482" i="17"/>
  <c r="I482" i="17"/>
  <c r="M482" i="17"/>
  <c r="A483" i="17"/>
  <c r="E483" i="17"/>
  <c r="I483" i="17"/>
  <c r="M483" i="17"/>
  <c r="A484" i="17"/>
  <c r="E484" i="17"/>
  <c r="I484" i="17"/>
  <c r="M484" i="17"/>
  <c r="A485" i="17"/>
  <c r="E485" i="17"/>
  <c r="I485" i="17"/>
  <c r="M485" i="17"/>
  <c r="A486" i="17"/>
  <c r="E486" i="17"/>
  <c r="I486" i="17"/>
  <c r="M486" i="17"/>
  <c r="A487" i="17"/>
  <c r="E487" i="17"/>
  <c r="I487" i="17"/>
  <c r="M487" i="17"/>
  <c r="A488" i="17"/>
  <c r="E488" i="17"/>
  <c r="I488" i="17"/>
  <c r="M488" i="17"/>
  <c r="A489" i="17"/>
  <c r="E489" i="17"/>
  <c r="I489" i="17"/>
  <c r="M489" i="17"/>
  <c r="A490" i="17"/>
  <c r="E490" i="17"/>
  <c r="I490" i="17"/>
  <c r="M490" i="17"/>
  <c r="A491" i="17"/>
  <c r="E491" i="17"/>
  <c r="I491" i="17"/>
  <c r="M491" i="17"/>
  <c r="A492" i="17"/>
  <c r="E492" i="17"/>
  <c r="I492" i="17"/>
  <c r="M492" i="17"/>
  <c r="A493" i="17"/>
  <c r="E493" i="17"/>
  <c r="I493" i="17"/>
  <c r="M493" i="17"/>
  <c r="A494" i="17"/>
  <c r="E494" i="17"/>
  <c r="I494" i="17"/>
  <c r="M494" i="17"/>
  <c r="A495" i="17"/>
  <c r="E495" i="17"/>
  <c r="I495" i="17"/>
  <c r="M495" i="17"/>
  <c r="A496" i="17"/>
  <c r="E496" i="17"/>
  <c r="I496" i="17"/>
  <c r="M496" i="17"/>
  <c r="A395" i="17"/>
  <c r="E395" i="17"/>
  <c r="I395" i="17"/>
  <c r="M395" i="17"/>
  <c r="A396" i="17"/>
  <c r="E396" i="17"/>
  <c r="I396" i="17"/>
  <c r="M396" i="17"/>
  <c r="A397" i="17"/>
  <c r="E397" i="17"/>
  <c r="I397" i="17"/>
  <c r="M397" i="17"/>
  <c r="A398" i="17"/>
  <c r="E398" i="17"/>
  <c r="I398" i="17"/>
  <c r="M398" i="17"/>
  <c r="A399" i="17"/>
  <c r="E399" i="17"/>
  <c r="I399" i="17"/>
  <c r="M399" i="17"/>
  <c r="A400" i="17"/>
  <c r="E400" i="17"/>
  <c r="I400" i="17"/>
  <c r="M400" i="17"/>
  <c r="A401" i="17"/>
  <c r="E401" i="17"/>
  <c r="I401" i="17"/>
  <c r="M401" i="17"/>
  <c r="A402" i="17"/>
  <c r="E402" i="17"/>
  <c r="I402" i="17"/>
  <c r="M402" i="17"/>
  <c r="A403" i="17"/>
  <c r="E403" i="17"/>
  <c r="I403" i="17"/>
  <c r="M403" i="17"/>
  <c r="A404" i="17"/>
  <c r="E404" i="17"/>
  <c r="I404" i="17"/>
  <c r="M404" i="17"/>
  <c r="A405" i="17"/>
  <c r="E405" i="17"/>
  <c r="I405" i="17"/>
  <c r="M405" i="17"/>
  <c r="A406" i="17"/>
  <c r="E406" i="17"/>
  <c r="I406" i="17"/>
  <c r="M406" i="17"/>
  <c r="A407" i="17"/>
  <c r="E407" i="17"/>
  <c r="I407" i="17"/>
  <c r="M407" i="17"/>
  <c r="A408" i="17"/>
  <c r="E408" i="17"/>
  <c r="I408" i="17"/>
  <c r="M408" i="17"/>
  <c r="A409" i="17"/>
  <c r="E409" i="17"/>
  <c r="I409" i="17"/>
  <c r="M409" i="17"/>
  <c r="A410" i="17"/>
  <c r="E410" i="17"/>
  <c r="I410" i="17"/>
  <c r="M410" i="17"/>
  <c r="A411" i="17"/>
  <c r="E411" i="17"/>
  <c r="I411" i="17"/>
  <c r="M411" i="17"/>
  <c r="A412" i="17"/>
  <c r="E412" i="17"/>
  <c r="I412" i="17"/>
  <c r="M412" i="17"/>
  <c r="A413" i="17"/>
  <c r="E413" i="17"/>
  <c r="I413" i="17"/>
  <c r="M413" i="17"/>
  <c r="A414" i="17"/>
  <c r="E414" i="17"/>
  <c r="I414" i="17"/>
  <c r="M414" i="17"/>
  <c r="A415" i="17"/>
  <c r="E415" i="17"/>
  <c r="I415" i="17"/>
  <c r="M415" i="17"/>
  <c r="A416" i="17"/>
  <c r="E416" i="17"/>
  <c r="I416" i="17"/>
  <c r="M416" i="17"/>
  <c r="A417" i="17"/>
  <c r="E417" i="17"/>
  <c r="I417" i="17"/>
  <c r="M417" i="17"/>
  <c r="A418" i="17"/>
  <c r="E418" i="17"/>
  <c r="I418" i="17"/>
  <c r="M418" i="17"/>
  <c r="A419" i="17"/>
  <c r="E419" i="17"/>
  <c r="I419" i="17"/>
  <c r="M419" i="17"/>
  <c r="A420" i="17"/>
  <c r="E420" i="17"/>
  <c r="I420" i="17"/>
  <c r="M420" i="17"/>
  <c r="A421" i="17"/>
  <c r="E421" i="17"/>
  <c r="I421" i="17"/>
  <c r="M421" i="17"/>
  <c r="A422" i="17"/>
  <c r="E422" i="17"/>
  <c r="I422" i="17"/>
  <c r="M422" i="17"/>
  <c r="A423" i="17"/>
  <c r="E423" i="17"/>
  <c r="I423" i="17"/>
  <c r="M423" i="17"/>
  <c r="A424" i="17"/>
  <c r="E424" i="17"/>
  <c r="I424" i="17"/>
  <c r="M424" i="17"/>
  <c r="A425" i="17"/>
  <c r="E425" i="17"/>
  <c r="I425" i="17"/>
  <c r="M425" i="17"/>
  <c r="A426" i="17"/>
  <c r="E426" i="17"/>
  <c r="I426" i="17"/>
  <c r="M426" i="17"/>
  <c r="A427" i="17"/>
  <c r="E427" i="17"/>
  <c r="I427" i="17"/>
  <c r="M427" i="17"/>
  <c r="A428" i="17"/>
  <c r="E428" i="17"/>
  <c r="I428" i="17"/>
  <c r="M428" i="17"/>
  <c r="A429" i="17"/>
  <c r="E429" i="17"/>
  <c r="I429" i="17"/>
  <c r="M429" i="17"/>
  <c r="A430" i="17"/>
  <c r="E430" i="17"/>
  <c r="I430" i="17"/>
  <c r="M430" i="17"/>
  <c r="A431" i="17"/>
  <c r="E431" i="17"/>
  <c r="I431" i="17"/>
  <c r="M431" i="17"/>
  <c r="A432" i="17"/>
  <c r="E432" i="17"/>
  <c r="I432" i="17"/>
  <c r="M432" i="17"/>
  <c r="A433" i="17"/>
  <c r="E433" i="17"/>
  <c r="I433" i="17"/>
  <c r="M433" i="17"/>
  <c r="A434" i="17"/>
  <c r="E434" i="17"/>
  <c r="I434" i="17"/>
  <c r="M434" i="17"/>
  <c r="A435" i="17"/>
  <c r="E435" i="17"/>
  <c r="I435" i="17"/>
  <c r="M435" i="17"/>
  <c r="A436" i="17"/>
  <c r="E436" i="17"/>
  <c r="I436" i="17"/>
  <c r="M436" i="17"/>
  <c r="A437" i="17"/>
  <c r="E437" i="17"/>
  <c r="I437" i="17"/>
  <c r="M437" i="17"/>
  <c r="A438" i="17"/>
  <c r="E438" i="17"/>
  <c r="I438" i="17"/>
  <c r="M438" i="17"/>
  <c r="A439" i="17"/>
  <c r="E439" i="17"/>
  <c r="I439" i="17"/>
  <c r="M439" i="17"/>
  <c r="A440" i="17"/>
  <c r="E440" i="17"/>
  <c r="I440" i="17"/>
  <c r="M440" i="17"/>
  <c r="A441" i="17"/>
  <c r="E441" i="17"/>
  <c r="I441" i="17"/>
  <c r="M441" i="17"/>
  <c r="A442" i="17"/>
  <c r="E442" i="17"/>
  <c r="I442" i="17"/>
  <c r="M442" i="17"/>
  <c r="A443" i="17"/>
  <c r="E443" i="17"/>
  <c r="I443" i="17"/>
  <c r="M443" i="17"/>
  <c r="A444" i="17"/>
  <c r="E444" i="17"/>
  <c r="I444" i="17"/>
  <c r="M444" i="17"/>
  <c r="A445" i="17"/>
  <c r="E445" i="17"/>
  <c r="I445" i="17"/>
  <c r="M445" i="17"/>
  <c r="A446" i="17"/>
  <c r="E446" i="17"/>
  <c r="I446" i="17"/>
  <c r="M446" i="17"/>
  <c r="A447" i="17"/>
  <c r="E447" i="17"/>
  <c r="I447" i="17"/>
  <c r="M447" i="17"/>
  <c r="A448" i="17"/>
  <c r="E448" i="17"/>
  <c r="I448" i="17"/>
  <c r="M448" i="17"/>
  <c r="A449" i="17"/>
  <c r="E449" i="17"/>
  <c r="I449" i="17"/>
  <c r="M449" i="17"/>
  <c r="A334" i="17"/>
  <c r="E334" i="17"/>
  <c r="I334" i="17"/>
  <c r="M334" i="17"/>
  <c r="A335" i="17"/>
  <c r="E335" i="17"/>
  <c r="I335" i="17"/>
  <c r="M335" i="17"/>
  <c r="A336" i="17"/>
  <c r="E336" i="17"/>
  <c r="I336" i="17"/>
  <c r="M336" i="17"/>
  <c r="A337" i="17"/>
  <c r="E337" i="17"/>
  <c r="I337" i="17"/>
  <c r="M337" i="17"/>
  <c r="A338" i="17"/>
  <c r="E338" i="17"/>
  <c r="I338" i="17"/>
  <c r="M338" i="17"/>
  <c r="A339" i="17"/>
  <c r="E339" i="17"/>
  <c r="I339" i="17"/>
  <c r="M339" i="17"/>
  <c r="A340" i="17"/>
  <c r="E340" i="17"/>
  <c r="I340" i="17"/>
  <c r="M340" i="17"/>
  <c r="A341" i="17"/>
  <c r="E341" i="17"/>
  <c r="I341" i="17"/>
  <c r="M341" i="17"/>
  <c r="A342" i="17"/>
  <c r="E342" i="17"/>
  <c r="I342" i="17"/>
  <c r="M342" i="17"/>
  <c r="A343" i="17"/>
  <c r="E343" i="17"/>
  <c r="I343" i="17"/>
  <c r="M343" i="17"/>
  <c r="A344" i="17"/>
  <c r="E344" i="17"/>
  <c r="I344" i="17"/>
  <c r="M344" i="17"/>
  <c r="A345" i="17"/>
  <c r="E345" i="17"/>
  <c r="I345" i="17"/>
  <c r="M345" i="17"/>
  <c r="A346" i="17"/>
  <c r="E346" i="17"/>
  <c r="I346" i="17"/>
  <c r="M346" i="17"/>
  <c r="A347" i="17"/>
  <c r="E347" i="17"/>
  <c r="I347" i="17"/>
  <c r="M347" i="17"/>
  <c r="A348" i="17"/>
  <c r="E348" i="17"/>
  <c r="I348" i="17"/>
  <c r="M348" i="17"/>
  <c r="A349" i="17"/>
  <c r="E349" i="17"/>
  <c r="I349" i="17"/>
  <c r="M349" i="17"/>
  <c r="A350" i="17"/>
  <c r="E350" i="17"/>
  <c r="I350" i="17"/>
  <c r="M350" i="17"/>
  <c r="A351" i="17"/>
  <c r="E351" i="17"/>
  <c r="I351" i="17"/>
  <c r="M351" i="17"/>
  <c r="A352" i="17"/>
  <c r="E352" i="17"/>
  <c r="I352" i="17"/>
  <c r="M352" i="17"/>
  <c r="A353" i="17"/>
  <c r="E353" i="17"/>
  <c r="I353" i="17"/>
  <c r="M353" i="17"/>
  <c r="A354" i="17"/>
  <c r="E354" i="17"/>
  <c r="I354" i="17"/>
  <c r="M354" i="17"/>
  <c r="A355" i="17"/>
  <c r="E355" i="17"/>
  <c r="I355" i="17"/>
  <c r="M355" i="17"/>
  <c r="A356" i="17"/>
  <c r="E356" i="17"/>
  <c r="I356" i="17"/>
  <c r="M356" i="17"/>
  <c r="A357" i="17"/>
  <c r="E357" i="17"/>
  <c r="I357" i="17"/>
  <c r="M357" i="17"/>
  <c r="A358" i="17"/>
  <c r="E358" i="17"/>
  <c r="I358" i="17"/>
  <c r="M358" i="17"/>
  <c r="A359" i="17"/>
  <c r="E359" i="17"/>
  <c r="I359" i="17"/>
  <c r="M359" i="17"/>
  <c r="A360" i="17"/>
  <c r="E360" i="17"/>
  <c r="I360" i="17"/>
  <c r="M360" i="17"/>
  <c r="A361" i="17"/>
  <c r="E361" i="17"/>
  <c r="I361" i="17"/>
  <c r="M361" i="17"/>
  <c r="A362" i="17"/>
  <c r="E362" i="17"/>
  <c r="I362" i="17"/>
  <c r="M362" i="17"/>
  <c r="A363" i="17"/>
  <c r="E363" i="17"/>
  <c r="I363" i="17"/>
  <c r="M363" i="17"/>
  <c r="A364" i="17"/>
  <c r="E364" i="17"/>
  <c r="I364" i="17"/>
  <c r="M364" i="17"/>
  <c r="A365" i="17"/>
  <c r="E365" i="17"/>
  <c r="I365" i="17"/>
  <c r="M365" i="17"/>
  <c r="A366" i="17"/>
  <c r="E366" i="17"/>
  <c r="I366" i="17"/>
  <c r="M366" i="17"/>
  <c r="A367" i="17"/>
  <c r="E367" i="17"/>
  <c r="I367" i="17"/>
  <c r="M367" i="17"/>
  <c r="A368" i="17"/>
  <c r="E368" i="17"/>
  <c r="I368" i="17"/>
  <c r="M368" i="17"/>
  <c r="A369" i="17"/>
  <c r="E369" i="17"/>
  <c r="I369" i="17"/>
  <c r="M369" i="17"/>
  <c r="A370" i="17"/>
  <c r="E370" i="17"/>
  <c r="I370" i="17"/>
  <c r="M370" i="17"/>
  <c r="A371" i="17"/>
  <c r="E371" i="17"/>
  <c r="I371" i="17"/>
  <c r="M371" i="17"/>
  <c r="A372" i="17"/>
  <c r="E372" i="17"/>
  <c r="I372" i="17"/>
  <c r="M372" i="17"/>
  <c r="A373" i="17"/>
  <c r="E373" i="17"/>
  <c r="I373" i="17"/>
  <c r="M373" i="17"/>
  <c r="A374" i="17"/>
  <c r="E374" i="17"/>
  <c r="I374" i="17"/>
  <c r="M374" i="17"/>
  <c r="A375" i="17"/>
  <c r="E375" i="17"/>
  <c r="I375" i="17"/>
  <c r="M375" i="17"/>
  <c r="A376" i="17"/>
  <c r="E376" i="17"/>
  <c r="I376" i="17"/>
  <c r="M376" i="17"/>
  <c r="A377" i="17"/>
  <c r="E377" i="17"/>
  <c r="I377" i="17"/>
  <c r="M377" i="17"/>
  <c r="A378" i="17"/>
  <c r="E378" i="17"/>
  <c r="I378" i="17"/>
  <c r="M378" i="17"/>
  <c r="A379" i="17"/>
  <c r="E379" i="17"/>
  <c r="I379" i="17"/>
  <c r="M379" i="17"/>
  <c r="A380" i="17"/>
  <c r="E380" i="17"/>
  <c r="I380" i="17"/>
  <c r="M380" i="17"/>
  <c r="A381" i="17"/>
  <c r="E381" i="17"/>
  <c r="I381" i="17"/>
  <c r="M381" i="17"/>
  <c r="A382" i="17"/>
  <c r="E382" i="17"/>
  <c r="I382" i="17"/>
  <c r="M382" i="17"/>
  <c r="A383" i="17"/>
  <c r="E383" i="17"/>
  <c r="I383" i="17"/>
  <c r="M383" i="17"/>
  <c r="A384" i="17"/>
  <c r="E384" i="17"/>
  <c r="I384" i="17"/>
  <c r="M384" i="17"/>
  <c r="A385" i="17"/>
  <c r="E385" i="17"/>
  <c r="I385" i="17"/>
  <c r="M385" i="17"/>
  <c r="A386" i="17"/>
  <c r="E386" i="17"/>
  <c r="I386" i="17"/>
  <c r="M386" i="17"/>
  <c r="A387" i="17"/>
  <c r="E387" i="17"/>
  <c r="I387" i="17"/>
  <c r="M387" i="17"/>
  <c r="A388" i="17"/>
  <c r="E388" i="17"/>
  <c r="I388" i="17"/>
  <c r="M388" i="17"/>
  <c r="A389" i="17"/>
  <c r="E389" i="17"/>
  <c r="I389" i="17"/>
  <c r="M389" i="17"/>
  <c r="A390" i="17"/>
  <c r="E390" i="17"/>
  <c r="I390" i="17"/>
  <c r="M390" i="17"/>
  <c r="A391" i="17"/>
  <c r="E391" i="17"/>
  <c r="I391" i="17"/>
  <c r="M391" i="17"/>
  <c r="A392" i="17"/>
  <c r="E392" i="17"/>
  <c r="I392" i="17"/>
  <c r="M392" i="17"/>
  <c r="A393" i="17"/>
  <c r="E393" i="17"/>
  <c r="I393" i="17"/>
  <c r="M393" i="17"/>
  <c r="A394" i="17"/>
  <c r="E394" i="17"/>
  <c r="I394" i="17"/>
  <c r="M394" i="17"/>
  <c r="A311" i="17"/>
  <c r="E311" i="17"/>
  <c r="I311" i="17"/>
  <c r="M311" i="17"/>
  <c r="A312" i="17"/>
  <c r="E312" i="17"/>
  <c r="I312" i="17"/>
  <c r="M312" i="17"/>
  <c r="A313" i="17"/>
  <c r="E313" i="17"/>
  <c r="I313" i="17"/>
  <c r="M313" i="17"/>
  <c r="A314" i="17"/>
  <c r="E314" i="17"/>
  <c r="I314" i="17"/>
  <c r="M314" i="17"/>
  <c r="A315" i="17"/>
  <c r="E315" i="17"/>
  <c r="I315" i="17"/>
  <c r="M315" i="17"/>
  <c r="A316" i="17"/>
  <c r="E316" i="17"/>
  <c r="I316" i="17"/>
  <c r="M316" i="17"/>
  <c r="A317" i="17"/>
  <c r="E317" i="17"/>
  <c r="I317" i="17"/>
  <c r="M317" i="17"/>
  <c r="A318" i="17"/>
  <c r="E318" i="17"/>
  <c r="I318" i="17"/>
  <c r="M318" i="17"/>
  <c r="A319" i="17"/>
  <c r="E319" i="17"/>
  <c r="I319" i="17"/>
  <c r="M319" i="17"/>
  <c r="A320" i="17"/>
  <c r="E320" i="17"/>
  <c r="I320" i="17"/>
  <c r="M320" i="17"/>
  <c r="A321" i="17"/>
  <c r="E321" i="17"/>
  <c r="I321" i="17"/>
  <c r="M321" i="17"/>
  <c r="A322" i="17"/>
  <c r="E322" i="17"/>
  <c r="I322" i="17"/>
  <c r="M322" i="17"/>
  <c r="A323" i="17"/>
  <c r="E323" i="17"/>
  <c r="I323" i="17"/>
  <c r="M323" i="17"/>
  <c r="A324" i="17"/>
  <c r="E324" i="17"/>
  <c r="I324" i="17"/>
  <c r="M324" i="17"/>
  <c r="A325" i="17"/>
  <c r="E325" i="17"/>
  <c r="I325" i="17"/>
  <c r="M325" i="17"/>
  <c r="A326" i="17"/>
  <c r="E326" i="17"/>
  <c r="I326" i="17"/>
  <c r="M326" i="17"/>
  <c r="A327" i="17"/>
  <c r="E327" i="17"/>
  <c r="I327" i="17"/>
  <c r="M327" i="17"/>
  <c r="A328" i="17"/>
  <c r="E328" i="17"/>
  <c r="I328" i="17"/>
  <c r="M328" i="17"/>
  <c r="A329" i="17"/>
  <c r="E329" i="17"/>
  <c r="I329" i="17"/>
  <c r="M329" i="17"/>
  <c r="A330" i="17"/>
  <c r="E330" i="17"/>
  <c r="I330" i="17"/>
  <c r="M330" i="17"/>
  <c r="A331" i="17"/>
  <c r="E331" i="17"/>
  <c r="I331" i="17"/>
  <c r="M331" i="17"/>
  <c r="A332" i="17"/>
  <c r="E332" i="17"/>
  <c r="I332" i="17"/>
  <c r="M332" i="17"/>
  <c r="A333" i="17"/>
  <c r="E333" i="17"/>
  <c r="I333" i="17"/>
  <c r="M333" i="17"/>
  <c r="A283" i="17"/>
  <c r="E283" i="17"/>
  <c r="I283" i="17"/>
  <c r="M283" i="17"/>
  <c r="A284" i="17"/>
  <c r="E284" i="17"/>
  <c r="I284" i="17"/>
  <c r="M284" i="17"/>
  <c r="A285" i="17"/>
  <c r="E285" i="17"/>
  <c r="I285" i="17"/>
  <c r="M285" i="17"/>
  <c r="A286" i="17"/>
  <c r="E286" i="17"/>
  <c r="I286" i="17"/>
  <c r="M286" i="17"/>
  <c r="A287" i="17"/>
  <c r="E287" i="17"/>
  <c r="I287" i="17"/>
  <c r="M287" i="17"/>
  <c r="A288" i="17"/>
  <c r="E288" i="17"/>
  <c r="I288" i="17"/>
  <c r="M288" i="17"/>
  <c r="A289" i="17"/>
  <c r="E289" i="17"/>
  <c r="I289" i="17"/>
  <c r="M289" i="17"/>
  <c r="A290" i="17"/>
  <c r="E290" i="17"/>
  <c r="I290" i="17"/>
  <c r="M290" i="17"/>
  <c r="A291" i="17"/>
  <c r="E291" i="17"/>
  <c r="I291" i="17"/>
  <c r="M291" i="17"/>
  <c r="A292" i="17"/>
  <c r="E292" i="17"/>
  <c r="I292" i="17"/>
  <c r="M292" i="17"/>
  <c r="A293" i="17"/>
  <c r="E293" i="17"/>
  <c r="I293" i="17"/>
  <c r="M293" i="17"/>
  <c r="A294" i="17"/>
  <c r="E294" i="17"/>
  <c r="I294" i="17"/>
  <c r="M294" i="17"/>
  <c r="A295" i="17"/>
  <c r="E295" i="17"/>
  <c r="I295" i="17"/>
  <c r="M295" i="17"/>
  <c r="A296" i="17"/>
  <c r="E296" i="17"/>
  <c r="I296" i="17"/>
  <c r="M296" i="17"/>
  <c r="A297" i="17"/>
  <c r="E297" i="17"/>
  <c r="I297" i="17"/>
  <c r="M297" i="17"/>
  <c r="A298" i="17"/>
  <c r="E298" i="17"/>
  <c r="I298" i="17"/>
  <c r="M298" i="17"/>
  <c r="A299" i="17"/>
  <c r="E299" i="17"/>
  <c r="I299" i="17"/>
  <c r="M299" i="17"/>
  <c r="A300" i="17"/>
  <c r="E300" i="17"/>
  <c r="I300" i="17"/>
  <c r="M300" i="17"/>
  <c r="A301" i="17"/>
  <c r="E301" i="17"/>
  <c r="I301" i="17"/>
  <c r="M301" i="17"/>
  <c r="A302" i="17"/>
  <c r="E302" i="17"/>
  <c r="I302" i="17"/>
  <c r="M302" i="17"/>
  <c r="A303" i="17"/>
  <c r="E303" i="17"/>
  <c r="I303" i="17"/>
  <c r="M303" i="17"/>
  <c r="A304" i="17"/>
  <c r="E304" i="17"/>
  <c r="I304" i="17"/>
  <c r="M304" i="17"/>
  <c r="A305" i="17"/>
  <c r="E305" i="17"/>
  <c r="I305" i="17"/>
  <c r="M305" i="17"/>
  <c r="A306" i="17"/>
  <c r="E306" i="17"/>
  <c r="I306" i="17"/>
  <c r="M306" i="17"/>
  <c r="A307" i="17"/>
  <c r="E307" i="17"/>
  <c r="I307" i="17"/>
  <c r="M307" i="17"/>
  <c r="A308" i="17"/>
  <c r="E308" i="17"/>
  <c r="I308" i="17"/>
  <c r="M308" i="17"/>
  <c r="A309" i="17"/>
  <c r="E309" i="17"/>
  <c r="I309" i="17"/>
  <c r="M309" i="17"/>
  <c r="A310" i="17"/>
  <c r="E310" i="17"/>
  <c r="I310" i="17"/>
  <c r="M310" i="17"/>
  <c r="A235" i="17"/>
  <c r="E235" i="17"/>
  <c r="I235" i="17"/>
  <c r="M235" i="17"/>
  <c r="A236" i="17"/>
  <c r="E236" i="17"/>
  <c r="I236" i="17"/>
  <c r="M236" i="17"/>
  <c r="A237" i="17"/>
  <c r="E237" i="17"/>
  <c r="I237" i="17"/>
  <c r="M237" i="17"/>
  <c r="A238" i="17"/>
  <c r="E238" i="17"/>
  <c r="I238" i="17"/>
  <c r="M238" i="17"/>
  <c r="A239" i="17"/>
  <c r="E239" i="17"/>
  <c r="I239" i="17"/>
  <c r="M239" i="17"/>
  <c r="A240" i="17"/>
  <c r="E240" i="17"/>
  <c r="I240" i="17"/>
  <c r="M240" i="17"/>
  <c r="A241" i="17"/>
  <c r="E241" i="17"/>
  <c r="I241" i="17"/>
  <c r="M241" i="17"/>
  <c r="A242" i="17"/>
  <c r="E242" i="17"/>
  <c r="I242" i="17"/>
  <c r="M242" i="17"/>
  <c r="A243" i="17"/>
  <c r="E243" i="17"/>
  <c r="I243" i="17"/>
  <c r="M243" i="17"/>
  <c r="A244" i="17"/>
  <c r="E244" i="17"/>
  <c r="I244" i="17"/>
  <c r="M244" i="17"/>
  <c r="A245" i="17"/>
  <c r="E245" i="17"/>
  <c r="I245" i="17"/>
  <c r="M245" i="17"/>
  <c r="A246" i="17"/>
  <c r="E246" i="17"/>
  <c r="I246" i="17"/>
  <c r="M246" i="17"/>
  <c r="A247" i="17"/>
  <c r="E247" i="17"/>
  <c r="I247" i="17"/>
  <c r="M247" i="17"/>
  <c r="A248" i="17"/>
  <c r="E248" i="17"/>
  <c r="I248" i="17"/>
  <c r="M248" i="17"/>
  <c r="A249" i="17"/>
  <c r="E249" i="17"/>
  <c r="I249" i="17"/>
  <c r="M249" i="17"/>
  <c r="A250" i="17"/>
  <c r="E250" i="17"/>
  <c r="I250" i="17"/>
  <c r="M250" i="17"/>
  <c r="A251" i="17"/>
  <c r="E251" i="17"/>
  <c r="I251" i="17"/>
  <c r="M251" i="17"/>
  <c r="A252" i="17"/>
  <c r="E252" i="17"/>
  <c r="I252" i="17"/>
  <c r="M252" i="17"/>
  <c r="A253" i="17"/>
  <c r="E253" i="17"/>
  <c r="I253" i="17"/>
  <c r="M253" i="17"/>
  <c r="A254" i="17"/>
  <c r="E254" i="17"/>
  <c r="I254" i="17"/>
  <c r="M254" i="17"/>
  <c r="A255" i="17"/>
  <c r="E255" i="17"/>
  <c r="I255" i="17"/>
  <c r="M255" i="17"/>
  <c r="A256" i="17"/>
  <c r="E256" i="17"/>
  <c r="I256" i="17"/>
  <c r="M256" i="17"/>
  <c r="A257" i="17"/>
  <c r="E257" i="17"/>
  <c r="I257" i="17"/>
  <c r="M257" i="17"/>
  <c r="A258" i="17"/>
  <c r="E258" i="17"/>
  <c r="I258" i="17"/>
  <c r="M258" i="17"/>
  <c r="A259" i="17"/>
  <c r="E259" i="17"/>
  <c r="I259" i="17"/>
  <c r="M259" i="17"/>
  <c r="A260" i="17"/>
  <c r="E260" i="17"/>
  <c r="I260" i="17"/>
  <c r="M260" i="17"/>
  <c r="A261" i="17"/>
  <c r="E261" i="17"/>
  <c r="I261" i="17"/>
  <c r="M261" i="17"/>
  <c r="A262" i="17"/>
  <c r="E262" i="17"/>
  <c r="I262" i="17"/>
  <c r="M262" i="17"/>
  <c r="A263" i="17"/>
  <c r="E263" i="17"/>
  <c r="I263" i="17"/>
  <c r="M263" i="17"/>
  <c r="A264" i="17"/>
  <c r="E264" i="17"/>
  <c r="I264" i="17"/>
  <c r="M264" i="17"/>
  <c r="A265" i="17"/>
  <c r="E265" i="17"/>
  <c r="I265" i="17"/>
  <c r="M265" i="17"/>
  <c r="A266" i="17"/>
  <c r="E266" i="17"/>
  <c r="I266" i="17"/>
  <c r="M266" i="17"/>
  <c r="A267" i="17"/>
  <c r="E267" i="17"/>
  <c r="I267" i="17"/>
  <c r="M267" i="17"/>
  <c r="A268" i="17"/>
  <c r="E268" i="17"/>
  <c r="I268" i="17"/>
  <c r="M268" i="17"/>
  <c r="A269" i="17"/>
  <c r="E269" i="17"/>
  <c r="I269" i="17"/>
  <c r="M269" i="17"/>
  <c r="A270" i="17"/>
  <c r="E270" i="17"/>
  <c r="I270" i="17"/>
  <c r="M270" i="17"/>
  <c r="A271" i="17"/>
  <c r="E271" i="17"/>
  <c r="I271" i="17"/>
  <c r="M271" i="17"/>
  <c r="A272" i="17"/>
  <c r="E272" i="17"/>
  <c r="I272" i="17"/>
  <c r="M272" i="17"/>
  <c r="A273" i="17"/>
  <c r="E273" i="17"/>
  <c r="I273" i="17"/>
  <c r="M273" i="17"/>
  <c r="A274" i="17"/>
  <c r="E274" i="17"/>
  <c r="I274" i="17"/>
  <c r="M274" i="17"/>
  <c r="A275" i="17"/>
  <c r="E275" i="17"/>
  <c r="I275" i="17"/>
  <c r="M275" i="17"/>
  <c r="A276" i="17"/>
  <c r="E276" i="17"/>
  <c r="I276" i="17"/>
  <c r="M276" i="17"/>
  <c r="A277" i="17"/>
  <c r="E277" i="17"/>
  <c r="I277" i="17"/>
  <c r="M277" i="17"/>
  <c r="A278" i="17"/>
  <c r="E278" i="17"/>
  <c r="I278" i="17"/>
  <c r="M278" i="17"/>
  <c r="A279" i="17"/>
  <c r="E279" i="17"/>
  <c r="I279" i="17"/>
  <c r="M279" i="17"/>
  <c r="A280" i="17"/>
  <c r="E280" i="17"/>
  <c r="I280" i="17"/>
  <c r="M280" i="17"/>
  <c r="A281" i="17"/>
  <c r="E281" i="17"/>
  <c r="I281" i="17"/>
  <c r="M281" i="17"/>
  <c r="A282" i="17"/>
  <c r="E282" i="17"/>
  <c r="I282" i="17"/>
  <c r="M282" i="17"/>
  <c r="A185" i="17"/>
  <c r="E185" i="17"/>
  <c r="I185" i="17"/>
  <c r="M185" i="17"/>
  <c r="A186" i="17"/>
  <c r="E186" i="17"/>
  <c r="I186" i="17"/>
  <c r="M186" i="17"/>
  <c r="A187" i="17"/>
  <c r="E187" i="17"/>
  <c r="I187" i="17"/>
  <c r="M187" i="17"/>
  <c r="A188" i="17"/>
  <c r="E188" i="17"/>
  <c r="I188" i="17"/>
  <c r="M188" i="17"/>
  <c r="A189" i="17"/>
  <c r="E189" i="17"/>
  <c r="I189" i="17"/>
  <c r="M189" i="17"/>
  <c r="A190" i="17"/>
  <c r="E190" i="17"/>
  <c r="I190" i="17"/>
  <c r="M190" i="17"/>
  <c r="A191" i="17"/>
  <c r="E191" i="17"/>
  <c r="I191" i="17"/>
  <c r="M191" i="17"/>
  <c r="A192" i="17"/>
  <c r="E192" i="17"/>
  <c r="I192" i="17"/>
  <c r="M192" i="17"/>
  <c r="A193" i="17"/>
  <c r="E193" i="17"/>
  <c r="I193" i="17"/>
  <c r="M193" i="17"/>
  <c r="A194" i="17"/>
  <c r="E194" i="17"/>
  <c r="I194" i="17"/>
  <c r="M194" i="17"/>
  <c r="A195" i="17"/>
  <c r="E195" i="17"/>
  <c r="I195" i="17"/>
  <c r="M195" i="17"/>
  <c r="A196" i="17"/>
  <c r="E196" i="17"/>
  <c r="I196" i="17"/>
  <c r="M196" i="17"/>
  <c r="A197" i="17"/>
  <c r="E197" i="17"/>
  <c r="I197" i="17"/>
  <c r="M197" i="17"/>
  <c r="A198" i="17"/>
  <c r="E198" i="17"/>
  <c r="I198" i="17"/>
  <c r="M198" i="17"/>
  <c r="A199" i="17"/>
  <c r="E199" i="17"/>
  <c r="I199" i="17"/>
  <c r="M199" i="17"/>
  <c r="A200" i="17"/>
  <c r="E200" i="17"/>
  <c r="I200" i="17"/>
  <c r="M200" i="17"/>
  <c r="A201" i="17"/>
  <c r="E201" i="17"/>
  <c r="I201" i="17"/>
  <c r="M201" i="17"/>
  <c r="A202" i="17"/>
  <c r="E202" i="17"/>
  <c r="I202" i="17"/>
  <c r="M202" i="17"/>
  <c r="A203" i="17"/>
  <c r="E203" i="17"/>
  <c r="I203" i="17"/>
  <c r="M203" i="17"/>
  <c r="A204" i="17"/>
  <c r="E204" i="17"/>
  <c r="I204" i="17"/>
  <c r="M204" i="17"/>
  <c r="A205" i="17"/>
  <c r="E205" i="17"/>
  <c r="I205" i="17"/>
  <c r="M205" i="17"/>
  <c r="A206" i="17"/>
  <c r="E206" i="17"/>
  <c r="I206" i="17"/>
  <c r="M206" i="17"/>
  <c r="A207" i="17"/>
  <c r="E207" i="17"/>
  <c r="I207" i="17"/>
  <c r="M207" i="17"/>
  <c r="A208" i="17"/>
  <c r="E208" i="17"/>
  <c r="I208" i="17"/>
  <c r="M208" i="17"/>
  <c r="A209" i="17"/>
  <c r="E209" i="17"/>
  <c r="I209" i="17"/>
  <c r="M209" i="17"/>
  <c r="A210" i="17"/>
  <c r="E210" i="17"/>
  <c r="I210" i="17"/>
  <c r="M210" i="17"/>
  <c r="A211" i="17"/>
  <c r="E211" i="17"/>
  <c r="I211" i="17"/>
  <c r="M211" i="17"/>
  <c r="A212" i="17"/>
  <c r="E212" i="17"/>
  <c r="I212" i="17"/>
  <c r="M212" i="17"/>
  <c r="A213" i="17"/>
  <c r="E213" i="17"/>
  <c r="I213" i="17"/>
  <c r="M213" i="17"/>
  <c r="A214" i="17"/>
  <c r="E214" i="17"/>
  <c r="I214" i="17"/>
  <c r="M214" i="17"/>
  <c r="A215" i="17"/>
  <c r="E215" i="17"/>
  <c r="I215" i="17"/>
  <c r="M215" i="17"/>
  <c r="A216" i="17"/>
  <c r="E216" i="17"/>
  <c r="I216" i="17"/>
  <c r="M216" i="17"/>
  <c r="A217" i="17"/>
  <c r="E217" i="17"/>
  <c r="I217" i="17"/>
  <c r="M217" i="17"/>
  <c r="A218" i="17"/>
  <c r="E218" i="17"/>
  <c r="I218" i="17"/>
  <c r="M218" i="17"/>
  <c r="A219" i="17"/>
  <c r="E219" i="17"/>
  <c r="I219" i="17"/>
  <c r="M219" i="17"/>
  <c r="A220" i="17"/>
  <c r="E220" i="17"/>
  <c r="I220" i="17"/>
  <c r="M220" i="17"/>
  <c r="A221" i="17"/>
  <c r="E221" i="17"/>
  <c r="I221" i="17"/>
  <c r="M221" i="17"/>
  <c r="A222" i="17"/>
  <c r="E222" i="17"/>
  <c r="I222" i="17"/>
  <c r="M222" i="17"/>
  <c r="A223" i="17"/>
  <c r="E223" i="17"/>
  <c r="I223" i="17"/>
  <c r="M223" i="17"/>
  <c r="A224" i="17"/>
  <c r="E224" i="17"/>
  <c r="I224" i="17"/>
  <c r="M224" i="17"/>
  <c r="A225" i="17"/>
  <c r="E225" i="17"/>
  <c r="I225" i="17"/>
  <c r="M225" i="17"/>
  <c r="A226" i="17"/>
  <c r="E226" i="17"/>
  <c r="I226" i="17"/>
  <c r="M226" i="17"/>
  <c r="A227" i="17"/>
  <c r="E227" i="17"/>
  <c r="I227" i="17"/>
  <c r="M227" i="17"/>
  <c r="A228" i="17"/>
  <c r="E228" i="17"/>
  <c r="I228" i="17"/>
  <c r="M228" i="17"/>
  <c r="A229" i="17"/>
  <c r="E229" i="17"/>
  <c r="I229" i="17"/>
  <c r="M229" i="17"/>
  <c r="A230" i="17"/>
  <c r="E230" i="17"/>
  <c r="I230" i="17"/>
  <c r="M230" i="17"/>
  <c r="A231" i="17"/>
  <c r="E231" i="17"/>
  <c r="I231" i="17"/>
  <c r="M231" i="17"/>
  <c r="A232" i="17"/>
  <c r="E232" i="17"/>
  <c r="I232" i="17"/>
  <c r="M232" i="17"/>
  <c r="A233" i="17"/>
  <c r="E233" i="17"/>
  <c r="I233" i="17"/>
  <c r="M233" i="17"/>
  <c r="A234" i="17"/>
  <c r="E234" i="17"/>
  <c r="I234" i="17"/>
  <c r="M234" i="17"/>
  <c r="P592" i="17" l="1"/>
  <c r="P591" i="17"/>
  <c r="P588" i="17"/>
  <c r="P587" i="17"/>
  <c r="P586" i="17"/>
  <c r="P593" i="17"/>
  <c r="P589" i="17"/>
  <c r="P585" i="17"/>
  <c r="P590" i="17"/>
  <c r="P584" i="17"/>
  <c r="P576" i="17"/>
  <c r="P572" i="17"/>
  <c r="P568" i="17"/>
  <c r="P564" i="17"/>
  <c r="P560" i="17"/>
  <c r="P580" i="17"/>
  <c r="P583" i="17"/>
  <c r="P579" i="17"/>
  <c r="P575" i="17"/>
  <c r="P571" i="17"/>
  <c r="P569" i="17"/>
  <c r="P567" i="17"/>
  <c r="P565" i="17"/>
  <c r="P563" i="17"/>
  <c r="P561" i="17"/>
  <c r="P559" i="17"/>
  <c r="P557" i="17"/>
  <c r="P555" i="17"/>
  <c r="P553" i="17"/>
  <c r="P551" i="17"/>
  <c r="P549" i="17"/>
  <c r="P547" i="17"/>
  <c r="P545" i="17"/>
  <c r="P543" i="17"/>
  <c r="P581" i="17"/>
  <c r="P577" i="17"/>
  <c r="P573" i="17"/>
  <c r="L583" i="17"/>
  <c r="L575" i="17"/>
  <c r="L573" i="17"/>
  <c r="L571" i="17"/>
  <c r="L569" i="17"/>
  <c r="L567" i="17"/>
  <c r="L563" i="17"/>
  <c r="L559" i="17"/>
  <c r="L545" i="17"/>
  <c r="L543" i="17"/>
  <c r="L585" i="17"/>
  <c r="L581" i="17"/>
  <c r="L593" i="17"/>
  <c r="L546" i="17"/>
  <c r="L586" i="17"/>
  <c r="L589" i="17"/>
  <c r="L584" i="17"/>
  <c r="L549" i="17"/>
  <c r="L574" i="17"/>
  <c r="L572" i="17"/>
  <c r="L570" i="17"/>
  <c r="L568" i="17"/>
  <c r="L566" i="17"/>
  <c r="L564" i="17"/>
  <c r="L579" i="17"/>
  <c r="L558" i="17"/>
  <c r="L556" i="17"/>
  <c r="L554" i="17"/>
  <c r="L552" i="17"/>
  <c r="L550" i="17"/>
  <c r="L544" i="17"/>
  <c r="L588" i="17"/>
  <c r="L557" i="17"/>
  <c r="L555" i="17"/>
  <c r="L553" i="17"/>
  <c r="L551" i="17"/>
  <c r="L592" i="17"/>
  <c r="L582" i="17"/>
  <c r="L580" i="17"/>
  <c r="L565" i="17"/>
  <c r="L587" i="17"/>
  <c r="L578" i="17"/>
  <c r="L576" i="17"/>
  <c r="L561" i="17"/>
  <c r="L548" i="17"/>
  <c r="L590" i="17"/>
  <c r="L591" i="17"/>
  <c r="L577" i="17"/>
  <c r="L562" i="17"/>
  <c r="L560" i="17"/>
  <c r="L547" i="17"/>
  <c r="H546" i="17"/>
  <c r="H574" i="17"/>
  <c r="H566" i="17"/>
  <c r="H586" i="17"/>
  <c r="H589" i="17"/>
  <c r="H590" i="17"/>
  <c r="H587" i="17"/>
  <c r="H592" i="17"/>
  <c r="H591" i="17"/>
  <c r="H593" i="17"/>
  <c r="H578" i="17"/>
  <c r="H588" i="17"/>
  <c r="H558" i="17"/>
  <c r="H554" i="17"/>
  <c r="H543" i="17"/>
  <c r="H562" i="17"/>
  <c r="H582" i="17"/>
  <c r="H550" i="17"/>
  <c r="H570" i="17"/>
  <c r="D561" i="17"/>
  <c r="D571" i="17"/>
  <c r="D569" i="17"/>
  <c r="D558" i="17"/>
  <c r="D574" i="17"/>
  <c r="D577" i="17"/>
  <c r="D557" i="17"/>
  <c r="D585" i="17"/>
  <c r="D593" i="17"/>
  <c r="D589" i="17"/>
  <c r="D568" i="17"/>
  <c r="D573" i="17"/>
  <c r="D584" i="17"/>
  <c r="D591" i="17"/>
  <c r="D587" i="17"/>
  <c r="D554" i="17"/>
  <c r="D552" i="17"/>
  <c r="D543" i="17"/>
  <c r="D566" i="17"/>
  <c r="D564" i="17"/>
  <c r="D553" i="17"/>
  <c r="D551" i="17"/>
  <c r="D544" i="17"/>
  <c r="D582" i="17"/>
  <c r="D580" i="17"/>
  <c r="D560" i="17"/>
  <c r="D549" i="17"/>
  <c r="D547" i="17"/>
  <c r="D576" i="17"/>
  <c r="D565" i="17"/>
  <c r="D563" i="17"/>
  <c r="D545" i="17"/>
  <c r="D581" i="17"/>
  <c r="D579" i="17"/>
  <c r="D555" i="17"/>
  <c r="D548" i="17"/>
  <c r="D592" i="17"/>
  <c r="D588" i="17"/>
  <c r="D578" i="17"/>
  <c r="D562" i="17"/>
  <c r="D550" i="17"/>
  <c r="D583" i="17"/>
  <c r="D567" i="17"/>
  <c r="D590" i="17"/>
  <c r="D586" i="17"/>
  <c r="D572" i="17"/>
  <c r="D556" i="17"/>
  <c r="D570" i="17"/>
  <c r="D546" i="17"/>
  <c r="D575" i="17"/>
  <c r="D559" i="17"/>
  <c r="P582" i="17"/>
  <c r="P578" i="17"/>
  <c r="P574" i="17"/>
  <c r="P570" i="17"/>
  <c r="P566" i="17"/>
  <c r="P562" i="17"/>
  <c r="P558" i="17"/>
  <c r="P554" i="17"/>
  <c r="P550" i="17"/>
  <c r="P546" i="17"/>
  <c r="H583" i="17"/>
  <c r="H579" i="17"/>
  <c r="H575" i="17"/>
  <c r="H571" i="17"/>
  <c r="H567" i="17"/>
  <c r="H563" i="17"/>
  <c r="H559" i="17"/>
  <c r="H555" i="17"/>
  <c r="H551" i="17"/>
  <c r="H547" i="17"/>
  <c r="H584" i="17"/>
  <c r="H580" i="17"/>
  <c r="H576" i="17"/>
  <c r="H572" i="17"/>
  <c r="H568" i="17"/>
  <c r="H564" i="17"/>
  <c r="H560" i="17"/>
  <c r="H556" i="17"/>
  <c r="H552" i="17"/>
  <c r="H548" i="17"/>
  <c r="H544" i="17"/>
  <c r="P556" i="17"/>
  <c r="P552" i="17"/>
  <c r="P548" i="17"/>
  <c r="P544" i="17"/>
  <c r="H585" i="17"/>
  <c r="H581" i="17"/>
  <c r="H577" i="17"/>
  <c r="H573" i="17"/>
  <c r="H569" i="17"/>
  <c r="H565" i="17"/>
  <c r="H561" i="17"/>
  <c r="H557" i="17"/>
  <c r="H553" i="17"/>
  <c r="H549" i="17"/>
  <c r="H545" i="17"/>
  <c r="P497" i="17"/>
  <c r="P538" i="17"/>
  <c r="P532" i="17"/>
  <c r="P542" i="17"/>
  <c r="P536" i="17"/>
  <c r="P524" i="17"/>
  <c r="P540" i="17"/>
  <c r="P539" i="17"/>
  <c r="P541" i="17"/>
  <c r="P535" i="17"/>
  <c r="P520" i="17"/>
  <c r="P514" i="17"/>
  <c r="P508" i="17"/>
  <c r="P504" i="17"/>
  <c r="P500" i="17"/>
  <c r="P522" i="17"/>
  <c r="P516" i="17"/>
  <c r="P512" i="17"/>
  <c r="P506" i="17"/>
  <c r="P513" i="17"/>
  <c r="P511" i="17"/>
  <c r="P507" i="17"/>
  <c r="P523" i="17"/>
  <c r="P519" i="17"/>
  <c r="P515" i="17"/>
  <c r="P503" i="17"/>
  <c r="P526" i="17"/>
  <c r="P531" i="17"/>
  <c r="P527" i="17"/>
  <c r="P498" i="17"/>
  <c r="P534" i="17"/>
  <c r="P530" i="17"/>
  <c r="P528" i="17"/>
  <c r="P518" i="17"/>
  <c r="P499" i="17"/>
  <c r="P510" i="17"/>
  <c r="P502" i="17"/>
  <c r="P533" i="17"/>
  <c r="P517" i="17"/>
  <c r="P501" i="17"/>
  <c r="P529" i="17"/>
  <c r="P525" i="17"/>
  <c r="P509" i="17"/>
  <c r="P537" i="17"/>
  <c r="P521" i="17"/>
  <c r="P505" i="17"/>
  <c r="L542" i="17"/>
  <c r="L540" i="17"/>
  <c r="L531" i="17"/>
  <c r="L515" i="17"/>
  <c r="L497" i="17"/>
  <c r="L499" i="17"/>
  <c r="L535" i="17"/>
  <c r="L519" i="17"/>
  <c r="L503" i="17"/>
  <c r="L498" i="17"/>
  <c r="L541" i="17"/>
  <c r="L539" i="17"/>
  <c r="L523" i="17"/>
  <c r="L507" i="17"/>
  <c r="L527" i="17"/>
  <c r="L511" i="17"/>
  <c r="H499" i="17"/>
  <c r="H497" i="17"/>
  <c r="H534" i="17"/>
  <c r="H518" i="17"/>
  <c r="H502" i="17"/>
  <c r="H530" i="17"/>
  <c r="H514" i="17"/>
  <c r="H526" i="17"/>
  <c r="H510" i="17"/>
  <c r="H542" i="17"/>
  <c r="H540" i="17"/>
  <c r="H531" i="17"/>
  <c r="H515" i="17"/>
  <c r="H539" i="17"/>
  <c r="H523" i="17"/>
  <c r="H507" i="17"/>
  <c r="H500" i="17"/>
  <c r="H541" i="17"/>
  <c r="H528" i="17"/>
  <c r="H512" i="17"/>
  <c r="H508" i="17"/>
  <c r="H498" i="17"/>
  <c r="H536" i="17"/>
  <c r="H529" i="17"/>
  <c r="H520" i="17"/>
  <c r="H513" i="17"/>
  <c r="H504" i="17"/>
  <c r="H537" i="17"/>
  <c r="H521" i="17"/>
  <c r="H505" i="17"/>
  <c r="H535" i="17"/>
  <c r="H519" i="17"/>
  <c r="H503" i="17"/>
  <c r="H533" i="17"/>
  <c r="H524" i="17"/>
  <c r="H517" i="17"/>
  <c r="H501" i="17"/>
  <c r="H538" i="17"/>
  <c r="H522" i="17"/>
  <c r="H506" i="17"/>
  <c r="H527" i="17"/>
  <c r="H511" i="17"/>
  <c r="H532" i="17"/>
  <c r="H525" i="17"/>
  <c r="H516" i="17"/>
  <c r="H509" i="17"/>
  <c r="D523" i="17"/>
  <c r="D516" i="17"/>
  <c r="D507" i="17"/>
  <c r="D532" i="17"/>
  <c r="D531" i="17"/>
  <c r="D524" i="17"/>
  <c r="D515" i="17"/>
  <c r="D508" i="17"/>
  <c r="D540" i="17"/>
  <c r="D541" i="17"/>
  <c r="D539" i="17"/>
  <c r="D542" i="17"/>
  <c r="D536" i="17"/>
  <c r="D527" i="17"/>
  <c r="D520" i="17"/>
  <c r="D511" i="17"/>
  <c r="D504" i="17"/>
  <c r="D535" i="17"/>
  <c r="D528" i="17"/>
  <c r="D519" i="17"/>
  <c r="D512" i="17"/>
  <c r="D503" i="17"/>
  <c r="D534" i="17"/>
  <c r="D525" i="17"/>
  <c r="D518" i="17"/>
  <c r="D509" i="17"/>
  <c r="D502" i="17"/>
  <c r="D499" i="17"/>
  <c r="D537" i="17"/>
  <c r="D530" i="17"/>
  <c r="D521" i="17"/>
  <c r="D514" i="17"/>
  <c r="D505" i="17"/>
  <c r="D500" i="17"/>
  <c r="D533" i="17"/>
  <c r="D526" i="17"/>
  <c r="D517" i="17"/>
  <c r="D510" i="17"/>
  <c r="D501" i="17"/>
  <c r="D497" i="17"/>
  <c r="D538" i="17"/>
  <c r="D529" i="17"/>
  <c r="D522" i="17"/>
  <c r="D513" i="17"/>
  <c r="D506" i="17"/>
  <c r="D498" i="17"/>
  <c r="L538" i="17"/>
  <c r="L534" i="17"/>
  <c r="L530" i="17"/>
  <c r="L526" i="17"/>
  <c r="L522" i="17"/>
  <c r="L518" i="17"/>
  <c r="L514" i="17"/>
  <c r="L510" i="17"/>
  <c r="L506" i="17"/>
  <c r="L502" i="17"/>
  <c r="L536" i="17"/>
  <c r="L532" i="17"/>
  <c r="L528" i="17"/>
  <c r="L524" i="17"/>
  <c r="L520" i="17"/>
  <c r="L516" i="17"/>
  <c r="L512" i="17"/>
  <c r="L508" i="17"/>
  <c r="L504" i="17"/>
  <c r="L500" i="17"/>
  <c r="L537" i="17"/>
  <c r="L533" i="17"/>
  <c r="L529" i="17"/>
  <c r="L525" i="17"/>
  <c r="L521" i="17"/>
  <c r="L517" i="17"/>
  <c r="L513" i="17"/>
  <c r="L509" i="17"/>
  <c r="L505" i="17"/>
  <c r="L501" i="17"/>
  <c r="P482" i="17"/>
  <c r="P450" i="17"/>
  <c r="P489" i="17"/>
  <c r="P485" i="17"/>
  <c r="P479" i="17"/>
  <c r="P475" i="17"/>
  <c r="P473" i="17"/>
  <c r="P469" i="17"/>
  <c r="P467" i="17"/>
  <c r="P465" i="17"/>
  <c r="P463" i="17"/>
  <c r="P461" i="17"/>
  <c r="P459" i="17"/>
  <c r="P457" i="17"/>
  <c r="P493" i="17"/>
  <c r="P487" i="17"/>
  <c r="P483" i="17"/>
  <c r="P477" i="17"/>
  <c r="P471" i="17"/>
  <c r="P491" i="17"/>
  <c r="P481" i="17"/>
  <c r="P494" i="17"/>
  <c r="P478" i="17"/>
  <c r="P470" i="17"/>
  <c r="P464" i="17"/>
  <c r="P462" i="17"/>
  <c r="P460" i="17"/>
  <c r="P492" i="17"/>
  <c r="P476" i="17"/>
  <c r="P472" i="17"/>
  <c r="P496" i="17"/>
  <c r="P480" i="17"/>
  <c r="P468" i="17"/>
  <c r="P488" i="17"/>
  <c r="P486" i="17"/>
  <c r="P484" i="17"/>
  <c r="P474" i="17"/>
  <c r="P455" i="17"/>
  <c r="P453" i="17"/>
  <c r="P451" i="17"/>
  <c r="P466" i="17"/>
  <c r="P495" i="17"/>
  <c r="P458" i="17"/>
  <c r="P456" i="17"/>
  <c r="P454" i="17"/>
  <c r="P452" i="17"/>
  <c r="P490" i="17"/>
  <c r="L450" i="17"/>
  <c r="L494" i="17"/>
  <c r="L489" i="17"/>
  <c r="L473" i="17"/>
  <c r="L457" i="17"/>
  <c r="L481" i="17"/>
  <c r="L465" i="17"/>
  <c r="L485" i="17"/>
  <c r="L469" i="17"/>
  <c r="L453" i="17"/>
  <c r="L492" i="17"/>
  <c r="L495" i="17"/>
  <c r="L493" i="17"/>
  <c r="L496" i="17"/>
  <c r="L477" i="17"/>
  <c r="L461" i="17"/>
  <c r="H483" i="17"/>
  <c r="H452" i="17"/>
  <c r="H476" i="17"/>
  <c r="H495" i="17"/>
  <c r="H496" i="17"/>
  <c r="H470" i="17"/>
  <c r="H461" i="17"/>
  <c r="H454" i="17"/>
  <c r="H494" i="17"/>
  <c r="H471" i="17"/>
  <c r="H474" i="17"/>
  <c r="H451" i="17"/>
  <c r="H482" i="17"/>
  <c r="H468" i="17"/>
  <c r="H478" i="17"/>
  <c r="H464" i="17"/>
  <c r="H455" i="17"/>
  <c r="H450" i="17"/>
  <c r="H492" i="17"/>
  <c r="H462" i="17"/>
  <c r="H453" i="17"/>
  <c r="H481" i="17"/>
  <c r="H479" i="17"/>
  <c r="H484" i="17"/>
  <c r="H477" i="17"/>
  <c r="H472" i="17"/>
  <c r="H463" i="17"/>
  <c r="H488" i="17"/>
  <c r="H466" i="17"/>
  <c r="H459" i="17"/>
  <c r="H469" i="17"/>
  <c r="H493" i="17"/>
  <c r="H486" i="17"/>
  <c r="H467" i="17"/>
  <c r="H491" i="17"/>
  <c r="H475" i="17"/>
  <c r="H465" i="17"/>
  <c r="H460" i="17"/>
  <c r="H485" i="17"/>
  <c r="H480" i="17"/>
  <c r="H473" i="17"/>
  <c r="H456" i="17"/>
  <c r="H457" i="17"/>
  <c r="H489" i="17"/>
  <c r="H487" i="17"/>
  <c r="H458" i="17"/>
  <c r="H490" i="17"/>
  <c r="D459" i="17"/>
  <c r="D487" i="17"/>
  <c r="D479" i="17"/>
  <c r="D471" i="17"/>
  <c r="D463" i="17"/>
  <c r="D488" i="17"/>
  <c r="D456" i="17"/>
  <c r="D495" i="17"/>
  <c r="D484" i="17"/>
  <c r="D476" i="17"/>
  <c r="D468" i="17"/>
  <c r="D460" i="17"/>
  <c r="D496" i="17"/>
  <c r="D492" i="17"/>
  <c r="D451" i="17"/>
  <c r="D493" i="17"/>
  <c r="D480" i="17"/>
  <c r="D472" i="17"/>
  <c r="D464" i="17"/>
  <c r="D483" i="17"/>
  <c r="D475" i="17"/>
  <c r="D467" i="17"/>
  <c r="D494" i="17"/>
  <c r="D491" i="17"/>
  <c r="D452" i="17"/>
  <c r="D455" i="17"/>
  <c r="D450" i="17"/>
  <c r="L491" i="17"/>
  <c r="L487" i="17"/>
  <c r="L483" i="17"/>
  <c r="L479" i="17"/>
  <c r="L475" i="17"/>
  <c r="L471" i="17"/>
  <c r="L467" i="17"/>
  <c r="L463" i="17"/>
  <c r="L459" i="17"/>
  <c r="L455" i="17"/>
  <c r="L451" i="17"/>
  <c r="L488" i="17"/>
  <c r="L484" i="17"/>
  <c r="L480" i="17"/>
  <c r="L476" i="17"/>
  <c r="L472" i="17"/>
  <c r="L468" i="17"/>
  <c r="L464" i="17"/>
  <c r="L460" i="17"/>
  <c r="L456" i="17"/>
  <c r="L452" i="17"/>
  <c r="D489" i="17"/>
  <c r="D485" i="17"/>
  <c r="D481" i="17"/>
  <c r="D477" i="17"/>
  <c r="D473" i="17"/>
  <c r="D469" i="17"/>
  <c r="D465" i="17"/>
  <c r="D461" i="17"/>
  <c r="D457" i="17"/>
  <c r="D453" i="17"/>
  <c r="D490" i="17"/>
  <c r="D486" i="17"/>
  <c r="D482" i="17"/>
  <c r="D478" i="17"/>
  <c r="D474" i="17"/>
  <c r="D470" i="17"/>
  <c r="D466" i="17"/>
  <c r="D462" i="17"/>
  <c r="D458" i="17"/>
  <c r="D454" i="17"/>
  <c r="L490" i="17"/>
  <c r="L486" i="17"/>
  <c r="L482" i="17"/>
  <c r="L478" i="17"/>
  <c r="L474" i="17"/>
  <c r="L470" i="17"/>
  <c r="L466" i="17"/>
  <c r="L462" i="17"/>
  <c r="L458" i="17"/>
  <c r="L454" i="17"/>
  <c r="P418" i="17"/>
  <c r="P415" i="17"/>
  <c r="P448" i="17"/>
  <c r="P449" i="17"/>
  <c r="P447" i="17"/>
  <c r="P441" i="17"/>
  <c r="P434" i="17"/>
  <c r="P432" i="17"/>
  <c r="P428" i="17"/>
  <c r="P424" i="17"/>
  <c r="P422" i="17"/>
  <c r="P406" i="17"/>
  <c r="P404" i="17"/>
  <c r="P402" i="17"/>
  <c r="P436" i="17"/>
  <c r="P430" i="17"/>
  <c r="P426" i="17"/>
  <c r="P420" i="17"/>
  <c r="P439" i="17"/>
  <c r="P435" i="17"/>
  <c r="P427" i="17"/>
  <c r="P421" i="17"/>
  <c r="P405" i="17"/>
  <c r="P403" i="17"/>
  <c r="P401" i="17"/>
  <c r="P399" i="17"/>
  <c r="P437" i="17"/>
  <c r="P433" i="17"/>
  <c r="P429" i="17"/>
  <c r="P425" i="17"/>
  <c r="P419" i="17"/>
  <c r="P446" i="17"/>
  <c r="P442" i="17"/>
  <c r="P444" i="17"/>
  <c r="P398" i="17"/>
  <c r="P396" i="17"/>
  <c r="P440" i="17"/>
  <c r="P438" i="17"/>
  <c r="P417" i="17"/>
  <c r="P413" i="17"/>
  <c r="P411" i="17"/>
  <c r="P409" i="17"/>
  <c r="P407" i="17"/>
  <c r="P445" i="17"/>
  <c r="P443" i="17"/>
  <c r="P395" i="17"/>
  <c r="P416" i="17"/>
  <c r="P414" i="17"/>
  <c r="P412" i="17"/>
  <c r="P410" i="17"/>
  <c r="P408" i="17"/>
  <c r="P431" i="17"/>
  <c r="P423" i="17"/>
  <c r="P400" i="17"/>
  <c r="P397" i="17"/>
  <c r="L442" i="17"/>
  <c r="L407" i="17"/>
  <c r="L395" i="17"/>
  <c r="L443" i="17"/>
  <c r="L438" i="17"/>
  <c r="L446" i="17"/>
  <c r="L447" i="17"/>
  <c r="L439" i="17"/>
  <c r="L434" i="17"/>
  <c r="L445" i="17"/>
  <c r="L437" i="17"/>
  <c r="L430" i="17"/>
  <c r="L448" i="17"/>
  <c r="L440" i="17"/>
  <c r="L403" i="17"/>
  <c r="L449" i="17"/>
  <c r="L441" i="17"/>
  <c r="L399" i="17"/>
  <c r="L444" i="17"/>
  <c r="L411" i="17"/>
  <c r="H399" i="17"/>
  <c r="H413" i="17"/>
  <c r="H420" i="17"/>
  <c r="H419" i="17"/>
  <c r="H433" i="17"/>
  <c r="H396" i="17"/>
  <c r="H449" i="17"/>
  <c r="H416" i="17"/>
  <c r="H435" i="17"/>
  <c r="H424" i="17"/>
  <c r="H441" i="17"/>
  <c r="H422" i="17"/>
  <c r="H445" i="17"/>
  <c r="H437" i="17"/>
  <c r="H425" i="17"/>
  <c r="H418" i="17"/>
  <c r="H440" i="17"/>
  <c r="H400" i="17"/>
  <c r="H438" i="17"/>
  <c r="H412" i="17"/>
  <c r="H447" i="17"/>
  <c r="H439" i="17"/>
  <c r="H415" i="17"/>
  <c r="H404" i="17"/>
  <c r="H444" i="17"/>
  <c r="H426" i="17"/>
  <c r="H407" i="17"/>
  <c r="H397" i="17"/>
  <c r="H442" i="17"/>
  <c r="H417" i="17"/>
  <c r="H395" i="17"/>
  <c r="H448" i="17"/>
  <c r="H429" i="17"/>
  <c r="H408" i="17"/>
  <c r="H403" i="17"/>
  <c r="H398" i="17"/>
  <c r="H446" i="17"/>
  <c r="H443" i="17"/>
  <c r="H406" i="17"/>
  <c r="H432" i="17"/>
  <c r="H427" i="17"/>
  <c r="H410" i="17"/>
  <c r="H405" i="17"/>
  <c r="H430" i="17"/>
  <c r="H428" i="17"/>
  <c r="H423" i="17"/>
  <c r="H401" i="17"/>
  <c r="H421" i="17"/>
  <c r="H411" i="17"/>
  <c r="H436" i="17"/>
  <c r="H431" i="17"/>
  <c r="H414" i="17"/>
  <c r="H409" i="17"/>
  <c r="H434" i="17"/>
  <c r="H402" i="17"/>
  <c r="D408" i="17"/>
  <c r="D403" i="17"/>
  <c r="D433" i="17"/>
  <c r="D421" i="17"/>
  <c r="D416" i="17"/>
  <c r="D411" i="17"/>
  <c r="D396" i="17"/>
  <c r="D449" i="17"/>
  <c r="D445" i="17"/>
  <c r="D441" i="17"/>
  <c r="D437" i="17"/>
  <c r="D425" i="17"/>
  <c r="D420" i="17"/>
  <c r="D415" i="17"/>
  <c r="D400" i="17"/>
  <c r="D424" i="17"/>
  <c r="D419" i="17"/>
  <c r="D448" i="17"/>
  <c r="D444" i="17"/>
  <c r="D440" i="17"/>
  <c r="D412" i="17"/>
  <c r="D407" i="17"/>
  <c r="D432" i="17"/>
  <c r="D428" i="17"/>
  <c r="D423" i="17"/>
  <c r="D447" i="17"/>
  <c r="D443" i="17"/>
  <c r="D439" i="17"/>
  <c r="D436" i="17"/>
  <c r="D409" i="17"/>
  <c r="D404" i="17"/>
  <c r="D429" i="17"/>
  <c r="D417" i="17"/>
  <c r="D397" i="17"/>
  <c r="D405" i="17"/>
  <c r="D413" i="17"/>
  <c r="D395" i="17"/>
  <c r="D446" i="17"/>
  <c r="D442" i="17"/>
  <c r="D438" i="17"/>
  <c r="D401" i="17"/>
  <c r="L436" i="17"/>
  <c r="L432" i="17"/>
  <c r="L428" i="17"/>
  <c r="L424" i="17"/>
  <c r="L420" i="17"/>
  <c r="L416" i="17"/>
  <c r="L412" i="17"/>
  <c r="L408" i="17"/>
  <c r="L404" i="17"/>
  <c r="L400" i="17"/>
  <c r="L396" i="17"/>
  <c r="L433" i="17"/>
  <c r="L429" i="17"/>
  <c r="L425" i="17"/>
  <c r="L421" i="17"/>
  <c r="L417" i="17"/>
  <c r="L413" i="17"/>
  <c r="L409" i="17"/>
  <c r="L405" i="17"/>
  <c r="L401" i="17"/>
  <c r="L397" i="17"/>
  <c r="D434" i="17"/>
  <c r="D430" i="17"/>
  <c r="D426" i="17"/>
  <c r="D422" i="17"/>
  <c r="D418" i="17"/>
  <c r="D414" i="17"/>
  <c r="D410" i="17"/>
  <c r="D406" i="17"/>
  <c r="D402" i="17"/>
  <c r="D398" i="17"/>
  <c r="L426" i="17"/>
  <c r="L422" i="17"/>
  <c r="L418" i="17"/>
  <c r="L414" i="17"/>
  <c r="L410" i="17"/>
  <c r="L406" i="17"/>
  <c r="L402" i="17"/>
  <c r="L398" i="17"/>
  <c r="D435" i="17"/>
  <c r="D431" i="17"/>
  <c r="D427" i="17"/>
  <c r="D399" i="17"/>
  <c r="L435" i="17"/>
  <c r="L431" i="17"/>
  <c r="L427" i="17"/>
  <c r="L423" i="17"/>
  <c r="L419" i="17"/>
  <c r="L415" i="17"/>
  <c r="P349" i="17"/>
  <c r="P345" i="17"/>
  <c r="P353" i="17"/>
  <c r="P351" i="17"/>
  <c r="P393" i="17"/>
  <c r="P389" i="17"/>
  <c r="P394" i="17"/>
  <c r="P336" i="17"/>
  <c r="P387" i="17"/>
  <c r="P383" i="17"/>
  <c r="P381" i="17"/>
  <c r="P377" i="17"/>
  <c r="P369" i="17"/>
  <c r="P365" i="17"/>
  <c r="P357" i="17"/>
  <c r="P392" i="17"/>
  <c r="P376" i="17"/>
  <c r="P370" i="17"/>
  <c r="P375" i="17"/>
  <c r="P361" i="17"/>
  <c r="P341" i="17"/>
  <c r="P390" i="17"/>
  <c r="P388" i="17"/>
  <c r="P384" i="17"/>
  <c r="P380" i="17"/>
  <c r="P378" i="17"/>
  <c r="P362" i="17"/>
  <c r="P346" i="17"/>
  <c r="P374" i="17"/>
  <c r="P385" i="17"/>
  <c r="P386" i="17"/>
  <c r="P379" i="17"/>
  <c r="P366" i="17"/>
  <c r="P358" i="17"/>
  <c r="P339" i="17"/>
  <c r="P337" i="17"/>
  <c r="P335" i="17"/>
  <c r="P391" i="17"/>
  <c r="P382" i="17"/>
  <c r="P373" i="17"/>
  <c r="P356" i="17"/>
  <c r="P352" i="17"/>
  <c r="P342" i="17"/>
  <c r="P367" i="17"/>
  <c r="P338" i="17"/>
  <c r="P334" i="17"/>
  <c r="P372" i="17"/>
  <c r="P363" i="17"/>
  <c r="P348" i="17"/>
  <c r="P359" i="17"/>
  <c r="P344" i="17"/>
  <c r="P368" i="17"/>
  <c r="P355" i="17"/>
  <c r="P340" i="17"/>
  <c r="P371" i="17"/>
  <c r="P364" i="17"/>
  <c r="P347" i="17"/>
  <c r="P360" i="17"/>
  <c r="P354" i="17"/>
  <c r="P343" i="17"/>
  <c r="P350" i="17"/>
  <c r="L357" i="17"/>
  <c r="L338" i="17"/>
  <c r="L394" i="17"/>
  <c r="L386" i="17"/>
  <c r="L378" i="17"/>
  <c r="L373" i="17"/>
  <c r="L362" i="17"/>
  <c r="L349" i="17"/>
  <c r="L334" i="17"/>
  <c r="L392" i="17"/>
  <c r="L384" i="17"/>
  <c r="L376" i="17"/>
  <c r="L369" i="17"/>
  <c r="L356" i="17"/>
  <c r="L390" i="17"/>
  <c r="L382" i="17"/>
  <c r="L342" i="17"/>
  <c r="L388" i="17"/>
  <c r="L380" i="17"/>
  <c r="L389" i="17"/>
  <c r="L381" i="17"/>
  <c r="L358" i="17"/>
  <c r="L387" i="17"/>
  <c r="L379" i="17"/>
  <c r="L374" i="17"/>
  <c r="L350" i="17"/>
  <c r="L365" i="17"/>
  <c r="L348" i="17"/>
  <c r="L346" i="17"/>
  <c r="L393" i="17"/>
  <c r="L385" i="17"/>
  <c r="L377" i="17"/>
  <c r="L370" i="17"/>
  <c r="L361" i="17"/>
  <c r="L391" i="17"/>
  <c r="L383" i="17"/>
  <c r="L366" i="17"/>
  <c r="L353" i="17"/>
  <c r="H343" i="17"/>
  <c r="H377" i="17"/>
  <c r="H392" i="17"/>
  <c r="H384" i="17"/>
  <c r="H393" i="17"/>
  <c r="H380" i="17"/>
  <c r="H372" i="17"/>
  <c r="H363" i="17"/>
  <c r="H388" i="17"/>
  <c r="H391" i="17"/>
  <c r="H368" i="17"/>
  <c r="H355" i="17"/>
  <c r="H353" i="17"/>
  <c r="H342" i="17"/>
  <c r="H389" i="17"/>
  <c r="H381" i="17"/>
  <c r="H364" i="17"/>
  <c r="H362" i="17"/>
  <c r="H360" i="17"/>
  <c r="H347" i="17"/>
  <c r="H345" i="17"/>
  <c r="H387" i="17"/>
  <c r="H379" i="17"/>
  <c r="H376" i="17"/>
  <c r="H356" i="17"/>
  <c r="H339" i="17"/>
  <c r="H385" i="17"/>
  <c r="H348" i="17"/>
  <c r="H382" i="17"/>
  <c r="H340" i="17"/>
  <c r="H338" i="17"/>
  <c r="H386" i="17"/>
  <c r="H383" i="17"/>
  <c r="H374" i="17"/>
  <c r="H390" i="17"/>
  <c r="H352" i="17"/>
  <c r="H337" i="17"/>
  <c r="H394" i="17"/>
  <c r="H378" i="17"/>
  <c r="H375" i="17"/>
  <c r="H370" i="17"/>
  <c r="H335" i="17"/>
  <c r="H371" i="17"/>
  <c r="H366" i="17"/>
  <c r="H359" i="17"/>
  <c r="H357" i="17"/>
  <c r="H350" i="17"/>
  <c r="H336" i="17"/>
  <c r="H369" i="17"/>
  <c r="H341" i="17"/>
  <c r="H334" i="17"/>
  <c r="H367" i="17"/>
  <c r="H346" i="17"/>
  <c r="H365" i="17"/>
  <c r="H358" i="17"/>
  <c r="H351" i="17"/>
  <c r="H349" i="17"/>
  <c r="H344" i="17"/>
  <c r="H373" i="17"/>
  <c r="H361" i="17"/>
  <c r="H354" i="17"/>
  <c r="D363" i="17"/>
  <c r="D340" i="17"/>
  <c r="D356" i="17"/>
  <c r="D335" i="17"/>
  <c r="D372" i="17"/>
  <c r="D360" i="17"/>
  <c r="D351" i="17"/>
  <c r="D344" i="17"/>
  <c r="D359" i="17"/>
  <c r="D352" i="17"/>
  <c r="D336" i="17"/>
  <c r="D371" i="17"/>
  <c r="D392" i="17"/>
  <c r="D388" i="17"/>
  <c r="D384" i="17"/>
  <c r="D380" i="17"/>
  <c r="D376" i="17"/>
  <c r="D343" i="17"/>
  <c r="D385" i="17"/>
  <c r="D377" i="17"/>
  <c r="D367" i="17"/>
  <c r="D346" i="17"/>
  <c r="D339" i="17"/>
  <c r="D394" i="17"/>
  <c r="D390" i="17"/>
  <c r="D386" i="17"/>
  <c r="D382" i="17"/>
  <c r="D378" i="17"/>
  <c r="D375" i="17"/>
  <c r="D342" i="17"/>
  <c r="D391" i="17"/>
  <c r="D387" i="17"/>
  <c r="D383" i="17"/>
  <c r="D379" i="17"/>
  <c r="D368" i="17"/>
  <c r="D347" i="17"/>
  <c r="D338" i="17"/>
  <c r="D364" i="17"/>
  <c r="D355" i="17"/>
  <c r="D348" i="17"/>
  <c r="D334" i="17"/>
  <c r="D393" i="17"/>
  <c r="D389" i="17"/>
  <c r="D381" i="17"/>
  <c r="L375" i="17"/>
  <c r="L371" i="17"/>
  <c r="L367" i="17"/>
  <c r="L363" i="17"/>
  <c r="L359" i="17"/>
  <c r="L355" i="17"/>
  <c r="L351" i="17"/>
  <c r="L347" i="17"/>
  <c r="L343" i="17"/>
  <c r="L339" i="17"/>
  <c r="L335" i="17"/>
  <c r="L372" i="17"/>
  <c r="L368" i="17"/>
  <c r="L364" i="17"/>
  <c r="L360" i="17"/>
  <c r="L352" i="17"/>
  <c r="L344" i="17"/>
  <c r="L340" i="17"/>
  <c r="L336" i="17"/>
  <c r="D373" i="17"/>
  <c r="D369" i="17"/>
  <c r="D365" i="17"/>
  <c r="D361" i="17"/>
  <c r="D357" i="17"/>
  <c r="D353" i="17"/>
  <c r="D349" i="17"/>
  <c r="D345" i="17"/>
  <c r="D341" i="17"/>
  <c r="D337" i="17"/>
  <c r="L345" i="17"/>
  <c r="L341" i="17"/>
  <c r="L337" i="17"/>
  <c r="D374" i="17"/>
  <c r="D370" i="17"/>
  <c r="D366" i="17"/>
  <c r="D362" i="17"/>
  <c r="D358" i="17"/>
  <c r="D354" i="17"/>
  <c r="D350" i="17"/>
  <c r="L354" i="17"/>
  <c r="P323" i="17"/>
  <c r="P289" i="17"/>
  <c r="P332" i="17"/>
  <c r="P328" i="17"/>
  <c r="P291" i="17"/>
  <c r="P330" i="17"/>
  <c r="P326" i="17"/>
  <c r="P333" i="17"/>
  <c r="P327" i="17"/>
  <c r="P329" i="17"/>
  <c r="P325" i="17"/>
  <c r="P322" i="17"/>
  <c r="P318" i="17"/>
  <c r="P314" i="17"/>
  <c r="P320" i="17"/>
  <c r="P316" i="17"/>
  <c r="P321" i="17"/>
  <c r="P317" i="17"/>
  <c r="P319" i="17"/>
  <c r="P312" i="17"/>
  <c r="P315" i="17"/>
  <c r="P313" i="17"/>
  <c r="P311" i="17"/>
  <c r="P331" i="17"/>
  <c r="P324" i="17"/>
  <c r="P309" i="17"/>
  <c r="P305" i="17"/>
  <c r="P301" i="17"/>
  <c r="P295" i="17"/>
  <c r="P287" i="17"/>
  <c r="P285" i="17"/>
  <c r="P283" i="17"/>
  <c r="P307" i="17"/>
  <c r="P303" i="17"/>
  <c r="P299" i="17"/>
  <c r="P297" i="17"/>
  <c r="P293" i="17"/>
  <c r="P306" i="17"/>
  <c r="P302" i="17"/>
  <c r="P298" i="17"/>
  <c r="P292" i="17"/>
  <c r="P288" i="17"/>
  <c r="P286" i="17"/>
  <c r="P284" i="17"/>
  <c r="P310" i="17"/>
  <c r="P308" i="17"/>
  <c r="P304" i="17"/>
  <c r="P300" i="17"/>
  <c r="P296" i="17"/>
  <c r="P294" i="17"/>
  <c r="P290" i="17"/>
  <c r="L283" i="17"/>
  <c r="L326" i="17"/>
  <c r="L318" i="17"/>
  <c r="L285" i="17"/>
  <c r="L309" i="17"/>
  <c r="L303" i="17"/>
  <c r="L297" i="17"/>
  <c r="L291" i="17"/>
  <c r="L289" i="17"/>
  <c r="L305" i="17"/>
  <c r="L295" i="17"/>
  <c r="L307" i="17"/>
  <c r="L301" i="17"/>
  <c r="L299" i="17"/>
  <c r="L293" i="17"/>
  <c r="L287" i="17"/>
  <c r="L306" i="17"/>
  <c r="L302" i="17"/>
  <c r="L298" i="17"/>
  <c r="L292" i="17"/>
  <c r="L290" i="17"/>
  <c r="L288" i="17"/>
  <c r="L286" i="17"/>
  <c r="L284" i="17"/>
  <c r="L330" i="17"/>
  <c r="L322" i="17"/>
  <c r="L314" i="17"/>
  <c r="L310" i="17"/>
  <c r="L308" i="17"/>
  <c r="L304" i="17"/>
  <c r="L300" i="17"/>
  <c r="L296" i="17"/>
  <c r="L294" i="17"/>
  <c r="L333" i="17"/>
  <c r="L325" i="17"/>
  <c r="L332" i="17"/>
  <c r="L324" i="17"/>
  <c r="L316" i="17"/>
  <c r="L327" i="17"/>
  <c r="L319" i="17"/>
  <c r="L311" i="17"/>
  <c r="L317" i="17"/>
  <c r="L328" i="17"/>
  <c r="L320" i="17"/>
  <c r="L312" i="17"/>
  <c r="L331" i="17"/>
  <c r="L323" i="17"/>
  <c r="L315" i="17"/>
  <c r="L329" i="17"/>
  <c r="L321" i="17"/>
  <c r="L313" i="17"/>
  <c r="H319" i="17"/>
  <c r="H312" i="17"/>
  <c r="H326" i="17"/>
  <c r="H318" i="17"/>
  <c r="H331" i="17"/>
  <c r="H323" i="17"/>
  <c r="H327" i="17"/>
  <c r="H329" i="17"/>
  <c r="H321" i="17"/>
  <c r="H313" i="17"/>
  <c r="H325" i="17"/>
  <c r="H317" i="17"/>
  <c r="H328" i="17"/>
  <c r="H320" i="17"/>
  <c r="H332" i="17"/>
  <c r="H324" i="17"/>
  <c r="H316" i="17"/>
  <c r="H333" i="17"/>
  <c r="H311" i="17"/>
  <c r="H308" i="17"/>
  <c r="H304" i="17"/>
  <c r="H298" i="17"/>
  <c r="H294" i="17"/>
  <c r="H288" i="17"/>
  <c r="H284" i="17"/>
  <c r="H330" i="17"/>
  <c r="H322" i="17"/>
  <c r="H314" i="17"/>
  <c r="H310" i="17"/>
  <c r="H306" i="17"/>
  <c r="H302" i="17"/>
  <c r="H300" i="17"/>
  <c r="H296" i="17"/>
  <c r="H292" i="17"/>
  <c r="H290" i="17"/>
  <c r="H286" i="17"/>
  <c r="H315" i="17"/>
  <c r="H303" i="17"/>
  <c r="H301" i="17"/>
  <c r="H299" i="17"/>
  <c r="H297" i="17"/>
  <c r="H295" i="17"/>
  <c r="H293" i="17"/>
  <c r="H291" i="17"/>
  <c r="H289" i="17"/>
  <c r="H287" i="17"/>
  <c r="H285" i="17"/>
  <c r="H283" i="17"/>
  <c r="H309" i="17"/>
  <c r="H305" i="17"/>
  <c r="H307" i="17"/>
  <c r="D324" i="17"/>
  <c r="D320" i="17"/>
  <c r="D316" i="17"/>
  <c r="D312" i="17"/>
  <c r="D309" i="17"/>
  <c r="D305" i="17"/>
  <c r="D301" i="17"/>
  <c r="D299" i="17"/>
  <c r="D297" i="17"/>
  <c r="D295" i="17"/>
  <c r="D293" i="17"/>
  <c r="D291" i="17"/>
  <c r="D289" i="17"/>
  <c r="D287" i="17"/>
  <c r="D285" i="17"/>
  <c r="D283" i="17"/>
  <c r="D330" i="17"/>
  <c r="D326" i="17"/>
  <c r="D322" i="17"/>
  <c r="D318" i="17"/>
  <c r="D314" i="17"/>
  <c r="D307" i="17"/>
  <c r="D303" i="17"/>
  <c r="D331" i="17"/>
  <c r="D327" i="17"/>
  <c r="D323" i="17"/>
  <c r="D319" i="17"/>
  <c r="D315" i="17"/>
  <c r="D311" i="17"/>
  <c r="D333" i="17"/>
  <c r="D329" i="17"/>
  <c r="D325" i="17"/>
  <c r="D321" i="17"/>
  <c r="D317" i="17"/>
  <c r="D313" i="17"/>
  <c r="D310" i="17"/>
  <c r="D304" i="17"/>
  <c r="D300" i="17"/>
  <c r="D296" i="17"/>
  <c r="D290" i="17"/>
  <c r="D288" i="17"/>
  <c r="D332" i="17"/>
  <c r="D328" i="17"/>
  <c r="D306" i="17"/>
  <c r="D298" i="17"/>
  <c r="D294" i="17"/>
  <c r="D286" i="17"/>
  <c r="D308" i="17"/>
  <c r="D302" i="17"/>
  <c r="D292" i="17"/>
  <c r="D284" i="17"/>
  <c r="P277" i="17"/>
  <c r="P275" i="17"/>
  <c r="P269" i="17"/>
  <c r="P261" i="17"/>
  <c r="P257" i="17"/>
  <c r="P249" i="17"/>
  <c r="P245" i="17"/>
  <c r="P239" i="17"/>
  <c r="P235" i="17"/>
  <c r="P279" i="17"/>
  <c r="P273" i="17"/>
  <c r="P267" i="17"/>
  <c r="P263" i="17"/>
  <c r="P259" i="17"/>
  <c r="P253" i="17"/>
  <c r="P251" i="17"/>
  <c r="P247" i="17"/>
  <c r="P243" i="17"/>
  <c r="P241" i="17"/>
  <c r="P237" i="17"/>
  <c r="P271" i="17"/>
  <c r="P265" i="17"/>
  <c r="P255" i="17"/>
  <c r="L241" i="17"/>
  <c r="L235" i="17"/>
  <c r="L279" i="17"/>
  <c r="L275" i="17"/>
  <c r="L273" i="17"/>
  <c r="L269" i="17"/>
  <c r="L267" i="17"/>
  <c r="L263" i="17"/>
  <c r="L259" i="17"/>
  <c r="L257" i="17"/>
  <c r="L253" i="17"/>
  <c r="L249" i="17"/>
  <c r="L247" i="17"/>
  <c r="L243" i="17"/>
  <c r="L239" i="17"/>
  <c r="L237" i="17"/>
  <c r="L281" i="17"/>
  <c r="L277" i="17"/>
  <c r="L271" i="17"/>
  <c r="L265" i="17"/>
  <c r="L261" i="17"/>
  <c r="L255" i="17"/>
  <c r="L251" i="17"/>
  <c r="L245" i="17"/>
  <c r="L282" i="17"/>
  <c r="L280" i="17"/>
  <c r="H282" i="17"/>
  <c r="H278" i="17"/>
  <c r="H281" i="17"/>
  <c r="H277" i="17"/>
  <c r="H275" i="17"/>
  <c r="H273" i="17"/>
  <c r="H271" i="17"/>
  <c r="H269" i="17"/>
  <c r="H267" i="17"/>
  <c r="H265" i="17"/>
  <c r="H263" i="17"/>
  <c r="H261" i="17"/>
  <c r="H259" i="17"/>
  <c r="H257" i="17"/>
  <c r="H255" i="17"/>
  <c r="H253" i="17"/>
  <c r="H251" i="17"/>
  <c r="H249" i="17"/>
  <c r="H247" i="17"/>
  <c r="H245" i="17"/>
  <c r="H243" i="17"/>
  <c r="H241" i="17"/>
  <c r="H239" i="17"/>
  <c r="H237" i="17"/>
  <c r="H235" i="17"/>
  <c r="H276" i="17"/>
  <c r="H274" i="17"/>
  <c r="H272" i="17"/>
  <c r="H270" i="17"/>
  <c r="H268" i="17"/>
  <c r="H266" i="17"/>
  <c r="H264" i="17"/>
  <c r="H262" i="17"/>
  <c r="H260" i="17"/>
  <c r="H258" i="17"/>
  <c r="H256" i="17"/>
  <c r="H254" i="17"/>
  <c r="H252" i="17"/>
  <c r="H250" i="17"/>
  <c r="H248" i="17"/>
  <c r="H246" i="17"/>
  <c r="H244" i="17"/>
  <c r="H242" i="17"/>
  <c r="H240" i="17"/>
  <c r="H238" i="17"/>
  <c r="H236" i="17"/>
  <c r="D281" i="17"/>
  <c r="D282" i="17"/>
  <c r="D280" i="17"/>
  <c r="D279" i="17"/>
  <c r="P282" i="17"/>
  <c r="P278" i="17"/>
  <c r="P276" i="17"/>
  <c r="P274" i="17"/>
  <c r="P272" i="17"/>
  <c r="P270" i="17"/>
  <c r="P268" i="17"/>
  <c r="P266" i="17"/>
  <c r="P264" i="17"/>
  <c r="H279" i="17"/>
  <c r="D278" i="17"/>
  <c r="H280" i="17"/>
  <c r="L278" i="17"/>
  <c r="P280" i="17"/>
  <c r="P281" i="17"/>
  <c r="P262" i="17"/>
  <c r="P260" i="17"/>
  <c r="P258" i="17"/>
  <c r="P256" i="17"/>
  <c r="P254" i="17"/>
  <c r="P252" i="17"/>
  <c r="P250" i="17"/>
  <c r="P248" i="17"/>
  <c r="P246" i="17"/>
  <c r="P244" i="17"/>
  <c r="P242" i="17"/>
  <c r="P240" i="17"/>
  <c r="P238" i="17"/>
  <c r="P236" i="17"/>
  <c r="D276" i="17"/>
  <c r="D274" i="17"/>
  <c r="D272" i="17"/>
  <c r="D270" i="17"/>
  <c r="D268" i="17"/>
  <c r="D266" i="17"/>
  <c r="D264" i="17"/>
  <c r="D262" i="17"/>
  <c r="D260" i="17"/>
  <c r="D258" i="17"/>
  <c r="D256" i="17"/>
  <c r="D254" i="17"/>
  <c r="D252" i="17"/>
  <c r="D250" i="17"/>
  <c r="D248" i="17"/>
  <c r="D246" i="17"/>
  <c r="D244" i="17"/>
  <c r="D242" i="17"/>
  <c r="D240" i="17"/>
  <c r="D238" i="17"/>
  <c r="D236" i="17"/>
  <c r="L276" i="17"/>
  <c r="L274" i="17"/>
  <c r="L272" i="17"/>
  <c r="L270" i="17"/>
  <c r="L268" i="17"/>
  <c r="L266" i="17"/>
  <c r="L264" i="17"/>
  <c r="L262" i="17"/>
  <c r="L260" i="17"/>
  <c r="L258" i="17"/>
  <c r="L256" i="17"/>
  <c r="L254" i="17"/>
  <c r="L252" i="17"/>
  <c r="L250" i="17"/>
  <c r="L248" i="17"/>
  <c r="L246" i="17"/>
  <c r="L244" i="17"/>
  <c r="L242" i="17"/>
  <c r="L240" i="17"/>
  <c r="L238" i="17"/>
  <c r="L236" i="17"/>
  <c r="D277" i="17"/>
  <c r="D275" i="17"/>
  <c r="D273" i="17"/>
  <c r="D271" i="17"/>
  <c r="D269" i="17"/>
  <c r="D267" i="17"/>
  <c r="D265" i="17"/>
  <c r="D263" i="17"/>
  <c r="D261" i="17"/>
  <c r="D259" i="17"/>
  <c r="D257" i="17"/>
  <c r="D255" i="17"/>
  <c r="D253" i="17"/>
  <c r="D251" i="17"/>
  <c r="D249" i="17"/>
  <c r="D247" i="17"/>
  <c r="D245" i="17"/>
  <c r="D243" i="17"/>
  <c r="D241" i="17"/>
  <c r="D239" i="17"/>
  <c r="D237" i="17"/>
  <c r="D235" i="17"/>
  <c r="P185" i="17"/>
  <c r="P232" i="17"/>
  <c r="P228" i="17"/>
  <c r="P234" i="17"/>
  <c r="P230" i="17"/>
  <c r="P186" i="17"/>
  <c r="P231" i="17"/>
  <c r="P227" i="17"/>
  <c r="P221" i="17"/>
  <c r="P215" i="17"/>
  <c r="P233" i="17"/>
  <c r="P225" i="17"/>
  <c r="P219" i="17"/>
  <c r="P213" i="17"/>
  <c r="P187" i="17"/>
  <c r="P229" i="17"/>
  <c r="P223" i="17"/>
  <c r="P217" i="17"/>
  <c r="L230" i="17"/>
  <c r="L233" i="17"/>
  <c r="L231" i="17"/>
  <c r="L229" i="17"/>
  <c r="L234" i="17"/>
  <c r="L227" i="17"/>
  <c r="L232" i="17"/>
  <c r="L228" i="17"/>
  <c r="L225" i="17"/>
  <c r="L223" i="17"/>
  <c r="L219" i="17"/>
  <c r="L215" i="17"/>
  <c r="L211" i="17"/>
  <c r="L209" i="17"/>
  <c r="L205" i="17"/>
  <c r="L201" i="17"/>
  <c r="L199" i="17"/>
  <c r="L197" i="17"/>
  <c r="L193" i="17"/>
  <c r="L191" i="17"/>
  <c r="L189" i="17"/>
  <c r="L187" i="17"/>
  <c r="L185" i="17"/>
  <c r="L221" i="17"/>
  <c r="L217" i="17"/>
  <c r="L213" i="17"/>
  <c r="L207" i="17"/>
  <c r="L203" i="17"/>
  <c r="L195" i="17"/>
  <c r="L212" i="17"/>
  <c r="L214" i="17"/>
  <c r="L186" i="17"/>
  <c r="L216" i="17"/>
  <c r="H228" i="17"/>
  <c r="H233" i="17"/>
  <c r="H234" i="17"/>
  <c r="H232" i="17"/>
  <c r="H195" i="17"/>
  <c r="H189" i="17"/>
  <c r="H187" i="17"/>
  <c r="H185" i="17"/>
  <c r="H193" i="17"/>
  <c r="H191" i="17"/>
  <c r="H229" i="17"/>
  <c r="H225" i="17"/>
  <c r="H221" i="17"/>
  <c r="H217" i="17"/>
  <c r="H211" i="17"/>
  <c r="H205" i="17"/>
  <c r="H199" i="17"/>
  <c r="H197" i="17"/>
  <c r="H223" i="17"/>
  <c r="H215" i="17"/>
  <c r="H209" i="17"/>
  <c r="H203" i="17"/>
  <c r="H219" i="17"/>
  <c r="H213" i="17"/>
  <c r="H207" i="17"/>
  <c r="H201" i="17"/>
  <c r="H230" i="17"/>
  <c r="H231" i="17"/>
  <c r="H186" i="17"/>
  <c r="D229" i="17"/>
  <c r="D231" i="17"/>
  <c r="D232" i="17"/>
  <c r="D228" i="17"/>
  <c r="D230" i="17"/>
  <c r="D233" i="17"/>
  <c r="D234" i="17"/>
  <c r="D226" i="17"/>
  <c r="D224" i="17"/>
  <c r="D216" i="17"/>
  <c r="D210" i="17"/>
  <c r="D200" i="17"/>
  <c r="D186" i="17"/>
  <c r="D220" i="17"/>
  <c r="D218" i="17"/>
  <c r="D212" i="17"/>
  <c r="D204" i="17"/>
  <c r="D198" i="17"/>
  <c r="D222" i="17"/>
  <c r="D208" i="17"/>
  <c r="D202" i="17"/>
  <c r="D227" i="17"/>
  <c r="D209" i="17"/>
  <c r="D205" i="17"/>
  <c r="D201" i="17"/>
  <c r="D195" i="17"/>
  <c r="D189" i="17"/>
  <c r="D187" i="17"/>
  <c r="D185" i="17"/>
  <c r="D211" i="17"/>
  <c r="D207" i="17"/>
  <c r="D203" i="17"/>
  <c r="D199" i="17"/>
  <c r="D197" i="17"/>
  <c r="D193" i="17"/>
  <c r="D191" i="17"/>
  <c r="P226" i="17"/>
  <c r="P224" i="17"/>
  <c r="P222" i="17"/>
  <c r="P220" i="17"/>
  <c r="P218" i="17"/>
  <c r="P216" i="17"/>
  <c r="P214" i="17"/>
  <c r="P212" i="17"/>
  <c r="P210" i="17"/>
  <c r="P208" i="17"/>
  <c r="P206" i="17"/>
  <c r="P204" i="17"/>
  <c r="P202" i="17"/>
  <c r="P200" i="17"/>
  <c r="P198" i="17"/>
  <c r="P196" i="17"/>
  <c r="P194" i="17"/>
  <c r="P192" i="17"/>
  <c r="P190" i="17"/>
  <c r="P188" i="17"/>
  <c r="H227" i="17"/>
  <c r="D214" i="17"/>
  <c r="D206" i="17"/>
  <c r="D196" i="17"/>
  <c r="D194" i="17"/>
  <c r="D192" i="17"/>
  <c r="D190" i="17"/>
  <c r="D188" i="17"/>
  <c r="L226" i="17"/>
  <c r="L224" i="17"/>
  <c r="L222" i="17"/>
  <c r="L220" i="17"/>
  <c r="L218" i="17"/>
  <c r="L210" i="17"/>
  <c r="L208" i="17"/>
  <c r="L206" i="17"/>
  <c r="L204" i="17"/>
  <c r="L202" i="17"/>
  <c r="L200" i="17"/>
  <c r="L198" i="17"/>
  <c r="L196" i="17"/>
  <c r="L194" i="17"/>
  <c r="L192" i="17"/>
  <c r="L190" i="17"/>
  <c r="L188" i="17"/>
  <c r="P211" i="17"/>
  <c r="P209" i="17"/>
  <c r="P207" i="17"/>
  <c r="P205" i="17"/>
  <c r="P203" i="17"/>
  <c r="P201" i="17"/>
  <c r="P199" i="17"/>
  <c r="P197" i="17"/>
  <c r="P195" i="17"/>
  <c r="P193" i="17"/>
  <c r="P191" i="17"/>
  <c r="P189" i="17"/>
  <c r="D225" i="17"/>
  <c r="D223" i="17"/>
  <c r="D221" i="17"/>
  <c r="D219" i="17"/>
  <c r="D217" i="17"/>
  <c r="D215" i="17"/>
  <c r="D213" i="17"/>
  <c r="H226" i="17"/>
  <c r="H224" i="17"/>
  <c r="H222" i="17"/>
  <c r="H220" i="17"/>
  <c r="H218" i="17"/>
  <c r="H216" i="17"/>
  <c r="H214" i="17"/>
  <c r="H212" i="17"/>
  <c r="H210" i="17"/>
  <c r="H208" i="17"/>
  <c r="H206" i="17"/>
  <c r="H204" i="17"/>
  <c r="H202" i="17"/>
  <c r="H200" i="17"/>
  <c r="H198" i="17"/>
  <c r="H196" i="17"/>
  <c r="H194" i="17"/>
  <c r="H192" i="17"/>
  <c r="H190" i="17"/>
  <c r="H188" i="17"/>
  <c r="A7" i="17" l="1"/>
  <c r="E7" i="17"/>
  <c r="I7" i="17"/>
  <c r="M7" i="17"/>
  <c r="A8" i="17"/>
  <c r="E8" i="17"/>
  <c r="I8" i="17"/>
  <c r="M8" i="17"/>
  <c r="A9" i="17"/>
  <c r="E9" i="17"/>
  <c r="I9" i="17"/>
  <c r="M9" i="17"/>
  <c r="A10" i="17"/>
  <c r="E10" i="17"/>
  <c r="I10" i="17"/>
  <c r="M10" i="17"/>
  <c r="A11" i="17"/>
  <c r="E11" i="17"/>
  <c r="I11" i="17"/>
  <c r="M11" i="17"/>
  <c r="A12" i="17"/>
  <c r="E12" i="17"/>
  <c r="I12" i="17"/>
  <c r="M12" i="17"/>
  <c r="A13" i="17"/>
  <c r="E13" i="17"/>
  <c r="I13" i="17"/>
  <c r="M13" i="17"/>
  <c r="A14" i="17"/>
  <c r="E14" i="17"/>
  <c r="I14" i="17"/>
  <c r="M14" i="17"/>
  <c r="A15" i="17"/>
  <c r="E15" i="17"/>
  <c r="I15" i="17"/>
  <c r="M15" i="17"/>
  <c r="A16" i="17"/>
  <c r="E16" i="17"/>
  <c r="I16" i="17"/>
  <c r="M16" i="17"/>
  <c r="A17" i="17"/>
  <c r="E17" i="17"/>
  <c r="I17" i="17"/>
  <c r="M17" i="17"/>
  <c r="A18" i="17"/>
  <c r="E18" i="17"/>
  <c r="I18" i="17"/>
  <c r="M18" i="17"/>
  <c r="A19" i="17"/>
  <c r="E19" i="17"/>
  <c r="I19" i="17"/>
  <c r="M19" i="17"/>
  <c r="A20" i="17"/>
  <c r="E20" i="17"/>
  <c r="I20" i="17"/>
  <c r="M20" i="17"/>
  <c r="A21" i="17"/>
  <c r="E21" i="17"/>
  <c r="I21" i="17"/>
  <c r="M21" i="17"/>
  <c r="A22" i="17"/>
  <c r="E22" i="17"/>
  <c r="I22" i="17"/>
  <c r="M22" i="17"/>
  <c r="A23" i="17"/>
  <c r="E23" i="17"/>
  <c r="I23" i="17"/>
  <c r="M23" i="17"/>
  <c r="A24" i="17"/>
  <c r="E24" i="17"/>
  <c r="I24" i="17"/>
  <c r="M24" i="17"/>
  <c r="A25" i="17"/>
  <c r="E25" i="17"/>
  <c r="I25" i="17"/>
  <c r="M25" i="17"/>
  <c r="A26" i="17"/>
  <c r="E26" i="17"/>
  <c r="I26" i="17"/>
  <c r="M26" i="17"/>
  <c r="A27" i="17"/>
  <c r="E27" i="17"/>
  <c r="I27" i="17"/>
  <c r="M27" i="17"/>
  <c r="A28" i="17"/>
  <c r="E28" i="17"/>
  <c r="I28" i="17"/>
  <c r="M28" i="17"/>
  <c r="A29" i="17"/>
  <c r="E29" i="17"/>
  <c r="I29" i="17"/>
  <c r="M29" i="17"/>
  <c r="A30" i="17"/>
  <c r="E30" i="17"/>
  <c r="I30" i="17"/>
  <c r="M30" i="17"/>
  <c r="A31" i="17"/>
  <c r="E31" i="17"/>
  <c r="I31" i="17"/>
  <c r="M31" i="17"/>
  <c r="A32" i="17"/>
  <c r="E32" i="17"/>
  <c r="I32" i="17"/>
  <c r="M32" i="17"/>
  <c r="A33" i="17"/>
  <c r="E33" i="17"/>
  <c r="I33" i="17"/>
  <c r="M33" i="17"/>
  <c r="A34" i="17"/>
  <c r="E34" i="17"/>
  <c r="I34" i="17"/>
  <c r="M34" i="17"/>
  <c r="A35" i="17"/>
  <c r="E35" i="17"/>
  <c r="I35" i="17"/>
  <c r="M35" i="17"/>
  <c r="A36" i="17"/>
  <c r="E36" i="17"/>
  <c r="I36" i="17"/>
  <c r="M36" i="17"/>
  <c r="A37" i="17"/>
  <c r="E37" i="17"/>
  <c r="I37" i="17"/>
  <c r="M37" i="17"/>
  <c r="A38" i="17"/>
  <c r="E38" i="17"/>
  <c r="I38" i="17"/>
  <c r="M38" i="17"/>
  <c r="A39" i="17"/>
  <c r="E39" i="17"/>
  <c r="I39" i="17"/>
  <c r="M39" i="17"/>
  <c r="A40" i="17"/>
  <c r="E40" i="17"/>
  <c r="I40" i="17"/>
  <c r="M40" i="17"/>
  <c r="A41" i="17"/>
  <c r="E41" i="17"/>
  <c r="I41" i="17"/>
  <c r="M41" i="17"/>
  <c r="A42" i="17"/>
  <c r="E42" i="17"/>
  <c r="I42" i="17"/>
  <c r="M42" i="17"/>
  <c r="A43" i="17"/>
  <c r="E43" i="17"/>
  <c r="I43" i="17"/>
  <c r="M43" i="17"/>
  <c r="A44" i="17"/>
  <c r="E44" i="17"/>
  <c r="I44" i="17"/>
  <c r="M44" i="17"/>
  <c r="A45" i="17"/>
  <c r="E45" i="17"/>
  <c r="I45" i="17"/>
  <c r="M45" i="17"/>
  <c r="A46" i="17"/>
  <c r="E46" i="17"/>
  <c r="I46" i="17"/>
  <c r="M46" i="17"/>
  <c r="A47" i="17"/>
  <c r="E47" i="17"/>
  <c r="I47" i="17"/>
  <c r="M47" i="17"/>
  <c r="A48" i="17"/>
  <c r="E48" i="17"/>
  <c r="I48" i="17"/>
  <c r="M48" i="17"/>
  <c r="A49" i="17"/>
  <c r="E49" i="17"/>
  <c r="I49" i="17"/>
  <c r="M49" i="17"/>
  <c r="A50" i="17"/>
  <c r="E50" i="17"/>
  <c r="I50" i="17"/>
  <c r="M50" i="17"/>
  <c r="A51" i="17"/>
  <c r="E51" i="17"/>
  <c r="I51" i="17"/>
  <c r="M51" i="17"/>
  <c r="A52" i="17"/>
  <c r="E52" i="17"/>
  <c r="I52" i="17"/>
  <c r="M52" i="17"/>
  <c r="A53" i="17"/>
  <c r="E53" i="17"/>
  <c r="I53" i="17"/>
  <c r="M53" i="17"/>
  <c r="A54" i="17"/>
  <c r="E54" i="17"/>
  <c r="I54" i="17"/>
  <c r="M54" i="17"/>
  <c r="A55" i="17"/>
  <c r="E55" i="17"/>
  <c r="I55" i="17"/>
  <c r="M55" i="17"/>
  <c r="A56" i="17"/>
  <c r="E56" i="17"/>
  <c r="I56" i="17"/>
  <c r="M56" i="17"/>
  <c r="A57" i="17"/>
  <c r="E57" i="17"/>
  <c r="I57" i="17"/>
  <c r="M57" i="17"/>
  <c r="A58" i="17"/>
  <c r="E58" i="17"/>
  <c r="I58" i="17"/>
  <c r="M58" i="17"/>
  <c r="A59" i="17"/>
  <c r="E59" i="17"/>
  <c r="I59" i="17"/>
  <c r="M59" i="17"/>
  <c r="A60" i="17"/>
  <c r="E60" i="17"/>
  <c r="I60" i="17"/>
  <c r="M60" i="17"/>
  <c r="A61" i="17"/>
  <c r="E61" i="17"/>
  <c r="I61" i="17"/>
  <c r="M61" i="17"/>
  <c r="A62" i="17"/>
  <c r="E62" i="17"/>
  <c r="I62" i="17"/>
  <c r="M62" i="17"/>
  <c r="A63" i="17"/>
  <c r="E63" i="17"/>
  <c r="I63" i="17"/>
  <c r="M63" i="17"/>
  <c r="A64" i="17"/>
  <c r="E64" i="17"/>
  <c r="I64" i="17"/>
  <c r="M64" i="17"/>
  <c r="A65" i="17"/>
  <c r="E65" i="17"/>
  <c r="I65" i="17"/>
  <c r="M65" i="17"/>
  <c r="A66" i="17"/>
  <c r="E66" i="17"/>
  <c r="I66" i="17"/>
  <c r="M66" i="17"/>
  <c r="A67" i="17"/>
  <c r="E67" i="17"/>
  <c r="I67" i="17"/>
  <c r="M67" i="17"/>
  <c r="A68" i="17"/>
  <c r="E68" i="17"/>
  <c r="I68" i="17"/>
  <c r="M68" i="17"/>
  <c r="A69" i="17"/>
  <c r="E69" i="17"/>
  <c r="I69" i="17"/>
  <c r="M69" i="17"/>
  <c r="A70" i="17"/>
  <c r="E70" i="17"/>
  <c r="I70" i="17"/>
  <c r="M70" i="17"/>
  <c r="A71" i="17"/>
  <c r="E71" i="17"/>
  <c r="I71" i="17"/>
  <c r="M71" i="17"/>
  <c r="A72" i="17"/>
  <c r="E72" i="17"/>
  <c r="I72" i="17"/>
  <c r="M72" i="17"/>
  <c r="A73" i="17"/>
  <c r="E73" i="17"/>
  <c r="I73" i="17"/>
  <c r="M73" i="17"/>
  <c r="A74" i="17"/>
  <c r="E74" i="17"/>
  <c r="I74" i="17"/>
  <c r="M74" i="17"/>
  <c r="A75" i="17"/>
  <c r="E75" i="17"/>
  <c r="I75" i="17"/>
  <c r="M75" i="17"/>
  <c r="A76" i="17"/>
  <c r="E76" i="17"/>
  <c r="I76" i="17"/>
  <c r="M76" i="17"/>
  <c r="A77" i="17"/>
  <c r="E77" i="17"/>
  <c r="I77" i="17"/>
  <c r="M77" i="17"/>
  <c r="A78" i="17"/>
  <c r="E78" i="17"/>
  <c r="I78" i="17"/>
  <c r="M78" i="17"/>
  <c r="A79" i="17"/>
  <c r="E79" i="17"/>
  <c r="I79" i="17"/>
  <c r="M79" i="17"/>
  <c r="A80" i="17"/>
  <c r="E80" i="17"/>
  <c r="I80" i="17"/>
  <c r="M80" i="17"/>
  <c r="A81" i="17"/>
  <c r="E81" i="17"/>
  <c r="I81" i="17"/>
  <c r="M81" i="17"/>
  <c r="A82" i="17"/>
  <c r="E82" i="17"/>
  <c r="I82" i="17"/>
  <c r="M82" i="17"/>
  <c r="A83" i="17"/>
  <c r="E83" i="17"/>
  <c r="I83" i="17"/>
  <c r="M83" i="17"/>
  <c r="A84" i="17"/>
  <c r="E84" i="17"/>
  <c r="I84" i="17"/>
  <c r="M84" i="17"/>
  <c r="A85" i="17"/>
  <c r="E85" i="17"/>
  <c r="I85" i="17"/>
  <c r="M85" i="17"/>
  <c r="A86" i="17"/>
  <c r="E86" i="17"/>
  <c r="I86" i="17"/>
  <c r="M86" i="17"/>
  <c r="A87" i="17"/>
  <c r="E87" i="17"/>
  <c r="I87" i="17"/>
  <c r="M87" i="17"/>
  <c r="A88" i="17"/>
  <c r="E88" i="17"/>
  <c r="I88" i="17"/>
  <c r="M88" i="17"/>
  <c r="A89" i="17"/>
  <c r="E89" i="17"/>
  <c r="I89" i="17"/>
  <c r="M89" i="17"/>
  <c r="A90" i="17"/>
  <c r="E90" i="17"/>
  <c r="I90" i="17"/>
  <c r="M90" i="17"/>
  <c r="A91" i="17"/>
  <c r="E91" i="17"/>
  <c r="I91" i="17"/>
  <c r="M91" i="17"/>
  <c r="A92" i="17"/>
  <c r="E92" i="17"/>
  <c r="I92" i="17"/>
  <c r="M92" i="17"/>
  <c r="A93" i="17"/>
  <c r="E93" i="17"/>
  <c r="I93" i="17"/>
  <c r="M93" i="17"/>
  <c r="A94" i="17"/>
  <c r="E94" i="17"/>
  <c r="I94" i="17"/>
  <c r="M94" i="17"/>
  <c r="A95" i="17"/>
  <c r="E95" i="17"/>
  <c r="I95" i="17"/>
  <c r="M95" i="17"/>
  <c r="A96" i="17"/>
  <c r="E96" i="17"/>
  <c r="I96" i="17"/>
  <c r="M96" i="17"/>
  <c r="A97" i="17"/>
  <c r="E97" i="17"/>
  <c r="I97" i="17"/>
  <c r="M97" i="17"/>
  <c r="A98" i="17"/>
  <c r="E98" i="17"/>
  <c r="I98" i="17"/>
  <c r="M98" i="17"/>
  <c r="A99" i="17"/>
  <c r="E99" i="17"/>
  <c r="I99" i="17"/>
  <c r="M99" i="17"/>
  <c r="A100" i="17"/>
  <c r="E100" i="17"/>
  <c r="I100" i="17"/>
  <c r="M100" i="17"/>
  <c r="A101" i="17"/>
  <c r="E101" i="17"/>
  <c r="I101" i="17"/>
  <c r="M101" i="17"/>
  <c r="A102" i="17"/>
  <c r="E102" i="17"/>
  <c r="I102" i="17"/>
  <c r="M102" i="17"/>
  <c r="A103" i="17"/>
  <c r="E103" i="17"/>
  <c r="I103" i="17"/>
  <c r="M103" i="17"/>
  <c r="A104" i="17"/>
  <c r="E104" i="17"/>
  <c r="I104" i="17"/>
  <c r="M104" i="17"/>
  <c r="A105" i="17"/>
  <c r="E105" i="17"/>
  <c r="I105" i="17"/>
  <c r="M105" i="17"/>
  <c r="A106" i="17"/>
  <c r="E106" i="17"/>
  <c r="I106" i="17"/>
  <c r="M106" i="17"/>
  <c r="A107" i="17"/>
  <c r="E107" i="17"/>
  <c r="I107" i="17"/>
  <c r="M107" i="17"/>
  <c r="A108" i="17"/>
  <c r="E108" i="17"/>
  <c r="I108" i="17"/>
  <c r="M108" i="17"/>
  <c r="A109" i="17"/>
  <c r="E109" i="17"/>
  <c r="I109" i="17"/>
  <c r="M109" i="17"/>
  <c r="A110" i="17"/>
  <c r="E110" i="17"/>
  <c r="I110" i="17"/>
  <c r="M110" i="17"/>
  <c r="A111" i="17"/>
  <c r="E111" i="17"/>
  <c r="I111" i="17"/>
  <c r="M111" i="17"/>
  <c r="A112" i="17"/>
  <c r="E112" i="17"/>
  <c r="I112" i="17"/>
  <c r="M112" i="17"/>
  <c r="A113" i="17"/>
  <c r="E113" i="17"/>
  <c r="I113" i="17"/>
  <c r="M113" i="17"/>
  <c r="A114" i="17"/>
  <c r="E114" i="17"/>
  <c r="I114" i="17"/>
  <c r="M114" i="17"/>
  <c r="A115" i="17"/>
  <c r="E115" i="17"/>
  <c r="I115" i="17"/>
  <c r="M115" i="17"/>
  <c r="A116" i="17"/>
  <c r="E116" i="17"/>
  <c r="I116" i="17"/>
  <c r="M116" i="17"/>
  <c r="A117" i="17"/>
  <c r="E117" i="17"/>
  <c r="I117" i="17"/>
  <c r="M117" i="17"/>
  <c r="A118" i="17"/>
  <c r="E118" i="17"/>
  <c r="I118" i="17"/>
  <c r="M118" i="17"/>
  <c r="A119" i="17"/>
  <c r="E119" i="17"/>
  <c r="I119" i="17"/>
  <c r="M119" i="17"/>
  <c r="A120" i="17"/>
  <c r="E120" i="17"/>
  <c r="I120" i="17"/>
  <c r="M120" i="17"/>
  <c r="A121" i="17"/>
  <c r="E121" i="17"/>
  <c r="I121" i="17"/>
  <c r="M121" i="17"/>
  <c r="A122" i="17"/>
  <c r="E122" i="17"/>
  <c r="I122" i="17"/>
  <c r="M122" i="17"/>
  <c r="A123" i="17"/>
  <c r="E123" i="17"/>
  <c r="I123" i="17"/>
  <c r="M123" i="17"/>
  <c r="A124" i="17"/>
  <c r="E124" i="17"/>
  <c r="I124" i="17"/>
  <c r="M124" i="17"/>
  <c r="A125" i="17"/>
  <c r="E125" i="17"/>
  <c r="I125" i="17"/>
  <c r="M125" i="17"/>
  <c r="A126" i="17"/>
  <c r="E126" i="17"/>
  <c r="I126" i="17"/>
  <c r="M126" i="17"/>
  <c r="A127" i="17"/>
  <c r="E127" i="17"/>
  <c r="I127" i="17"/>
  <c r="M127" i="17"/>
  <c r="A128" i="17"/>
  <c r="E128" i="17"/>
  <c r="I128" i="17"/>
  <c r="M128" i="17"/>
  <c r="A129" i="17"/>
  <c r="E129" i="17"/>
  <c r="I129" i="17"/>
  <c r="M129" i="17"/>
  <c r="A130" i="17"/>
  <c r="E130" i="17"/>
  <c r="I130" i="17"/>
  <c r="M130" i="17"/>
  <c r="A131" i="17"/>
  <c r="E131" i="17"/>
  <c r="I131" i="17"/>
  <c r="M131" i="17"/>
  <c r="A132" i="17"/>
  <c r="E132" i="17"/>
  <c r="I132" i="17"/>
  <c r="M132" i="17"/>
  <c r="A133" i="17"/>
  <c r="E133" i="17"/>
  <c r="I133" i="17"/>
  <c r="M133" i="17"/>
  <c r="A134" i="17"/>
  <c r="E134" i="17"/>
  <c r="I134" i="17"/>
  <c r="M134" i="17"/>
  <c r="A135" i="17"/>
  <c r="E135" i="17"/>
  <c r="I135" i="17"/>
  <c r="M135" i="17"/>
  <c r="A136" i="17"/>
  <c r="E136" i="17"/>
  <c r="I136" i="17"/>
  <c r="M136" i="17"/>
  <c r="A137" i="17"/>
  <c r="E137" i="17"/>
  <c r="I137" i="17"/>
  <c r="M137" i="17"/>
  <c r="A138" i="17"/>
  <c r="E138" i="17"/>
  <c r="I138" i="17"/>
  <c r="M138" i="17"/>
  <c r="A139" i="17"/>
  <c r="E139" i="17"/>
  <c r="I139" i="17"/>
  <c r="M139" i="17"/>
  <c r="A140" i="17"/>
  <c r="E140" i="17"/>
  <c r="I140" i="17"/>
  <c r="M140" i="17"/>
  <c r="A141" i="17"/>
  <c r="E141" i="17"/>
  <c r="I141" i="17"/>
  <c r="M141" i="17"/>
  <c r="A142" i="17"/>
  <c r="E142" i="17"/>
  <c r="I142" i="17"/>
  <c r="M142" i="17"/>
  <c r="A143" i="17"/>
  <c r="E143" i="17"/>
  <c r="I143" i="17"/>
  <c r="M143" i="17"/>
  <c r="A144" i="17"/>
  <c r="E144" i="17"/>
  <c r="I144" i="17"/>
  <c r="M144" i="17"/>
  <c r="A145" i="17"/>
  <c r="E145" i="17"/>
  <c r="I145" i="17"/>
  <c r="M145" i="17"/>
  <c r="A146" i="17"/>
  <c r="E146" i="17"/>
  <c r="I146" i="17"/>
  <c r="M146" i="17"/>
  <c r="A147" i="17"/>
  <c r="E147" i="17"/>
  <c r="I147" i="17"/>
  <c r="M147" i="17"/>
  <c r="A148" i="17"/>
  <c r="E148" i="17"/>
  <c r="I148" i="17"/>
  <c r="M148" i="17"/>
  <c r="A149" i="17"/>
  <c r="E149" i="17"/>
  <c r="I149" i="17"/>
  <c r="M149" i="17"/>
  <c r="A150" i="17"/>
  <c r="E150" i="17"/>
  <c r="I150" i="17"/>
  <c r="M150" i="17"/>
  <c r="A151" i="17"/>
  <c r="E151" i="17"/>
  <c r="I151" i="17"/>
  <c r="M151" i="17"/>
  <c r="A152" i="17"/>
  <c r="E152" i="17"/>
  <c r="I152" i="17"/>
  <c r="M152" i="17"/>
  <c r="A153" i="17"/>
  <c r="E153" i="17"/>
  <c r="I153" i="17"/>
  <c r="M153" i="17"/>
  <c r="A154" i="17"/>
  <c r="E154" i="17"/>
  <c r="I154" i="17"/>
  <c r="M154" i="17"/>
  <c r="A155" i="17"/>
  <c r="E155" i="17"/>
  <c r="I155" i="17"/>
  <c r="M155" i="17"/>
  <c r="A156" i="17"/>
  <c r="E156" i="17"/>
  <c r="I156" i="17"/>
  <c r="M156" i="17"/>
  <c r="A157" i="17"/>
  <c r="E157" i="17"/>
  <c r="I157" i="17"/>
  <c r="M157" i="17"/>
  <c r="A158" i="17"/>
  <c r="E158" i="17"/>
  <c r="I158" i="17"/>
  <c r="M158" i="17"/>
  <c r="A159" i="17"/>
  <c r="E159" i="17"/>
  <c r="I159" i="17"/>
  <c r="M159" i="17"/>
  <c r="A160" i="17"/>
  <c r="E160" i="17"/>
  <c r="I160" i="17"/>
  <c r="M160" i="17"/>
  <c r="A161" i="17"/>
  <c r="E161" i="17"/>
  <c r="I161" i="17"/>
  <c r="M161" i="17"/>
  <c r="A162" i="17"/>
  <c r="E162" i="17"/>
  <c r="I162" i="17"/>
  <c r="M162" i="17"/>
  <c r="A163" i="17"/>
  <c r="E163" i="17"/>
  <c r="I163" i="17"/>
  <c r="M163" i="17"/>
  <c r="A164" i="17"/>
  <c r="E164" i="17"/>
  <c r="I164" i="17"/>
  <c r="M164" i="17"/>
  <c r="A165" i="17"/>
  <c r="E165" i="17"/>
  <c r="I165" i="17"/>
  <c r="M165" i="17"/>
  <c r="A166" i="17"/>
  <c r="E166" i="17"/>
  <c r="I166" i="17"/>
  <c r="M166" i="17"/>
  <c r="A167" i="17"/>
  <c r="E167" i="17"/>
  <c r="I167" i="17"/>
  <c r="M167" i="17"/>
  <c r="A168" i="17"/>
  <c r="E168" i="17"/>
  <c r="I168" i="17"/>
  <c r="M168" i="17"/>
  <c r="A169" i="17"/>
  <c r="E169" i="17"/>
  <c r="I169" i="17"/>
  <c r="M169" i="17"/>
  <c r="A170" i="17"/>
  <c r="E170" i="17"/>
  <c r="I170" i="17"/>
  <c r="M170" i="17"/>
  <c r="A171" i="17"/>
  <c r="E171" i="17"/>
  <c r="I171" i="17"/>
  <c r="M171" i="17"/>
  <c r="A172" i="17"/>
  <c r="E172" i="17"/>
  <c r="I172" i="17"/>
  <c r="M172" i="17"/>
  <c r="A173" i="17"/>
  <c r="E173" i="17"/>
  <c r="I173" i="17"/>
  <c r="M173" i="17"/>
  <c r="A174" i="17"/>
  <c r="E174" i="17"/>
  <c r="I174" i="17"/>
  <c r="M174" i="17"/>
  <c r="A175" i="17"/>
  <c r="E175" i="17"/>
  <c r="I175" i="17"/>
  <c r="M175" i="17"/>
  <c r="A176" i="17"/>
  <c r="E176" i="17"/>
  <c r="I176" i="17"/>
  <c r="M176" i="17"/>
  <c r="A177" i="17"/>
  <c r="E177" i="17"/>
  <c r="I177" i="17"/>
  <c r="M177" i="17"/>
  <c r="A178" i="17"/>
  <c r="E178" i="17"/>
  <c r="I178" i="17"/>
  <c r="M178" i="17"/>
  <c r="A179" i="17"/>
  <c r="E179" i="17"/>
  <c r="I179" i="17"/>
  <c r="M179" i="17"/>
  <c r="A180" i="17"/>
  <c r="E180" i="17"/>
  <c r="I180" i="17"/>
  <c r="M180" i="17"/>
  <c r="A181" i="17"/>
  <c r="E181" i="17"/>
  <c r="I181" i="17"/>
  <c r="M181" i="17"/>
  <c r="A182" i="17"/>
  <c r="E182" i="17"/>
  <c r="I182" i="17"/>
  <c r="M182" i="17"/>
  <c r="A183" i="17"/>
  <c r="E183" i="17"/>
  <c r="I183" i="17"/>
  <c r="M183" i="17"/>
  <c r="A184" i="17"/>
  <c r="E184" i="17"/>
  <c r="I184" i="17"/>
  <c r="M184" i="17"/>
  <c r="A6" i="17"/>
  <c r="E6" i="17"/>
  <c r="I6" i="17"/>
  <c r="M6" i="17"/>
  <c r="Q2" i="17"/>
  <c r="P2" i="17"/>
  <c r="N2" i="17"/>
  <c r="M2" i="17"/>
  <c r="H2" i="17"/>
  <c r="G2" i="17"/>
  <c r="K2" i="17"/>
  <c r="J2" i="17"/>
  <c r="P137" i="17" l="1"/>
  <c r="P132" i="17"/>
  <c r="P133" i="17"/>
  <c r="P112" i="17"/>
  <c r="P160" i="17"/>
  <c r="P149" i="17"/>
  <c r="P145" i="17"/>
  <c r="P152" i="17"/>
  <c r="P68" i="17"/>
  <c r="P58" i="17"/>
  <c r="P166" i="17"/>
  <c r="P86" i="17"/>
  <c r="P171" i="17"/>
  <c r="P129" i="17"/>
  <c r="P121" i="17"/>
  <c r="P113" i="17"/>
  <c r="P105" i="17"/>
  <c r="P101" i="17"/>
  <c r="P99" i="17"/>
  <c r="P95" i="17"/>
  <c r="P87" i="17"/>
  <c r="P80" i="17"/>
  <c r="P179" i="17"/>
  <c r="P125" i="17"/>
  <c r="P163" i="17"/>
  <c r="P136" i="17"/>
  <c r="P94" i="17"/>
  <c r="P175" i="17"/>
  <c r="P156" i="17"/>
  <c r="P178" i="17"/>
  <c r="P91" i="17"/>
  <c r="P83" i="17"/>
  <c r="P81" i="17"/>
  <c r="P167" i="17"/>
  <c r="P100" i="17"/>
  <c r="P76" i="17"/>
  <c r="P98" i="17"/>
  <c r="P148" i="17"/>
  <c r="P62" i="17"/>
  <c r="P54" i="17"/>
  <c r="P50" i="17"/>
  <c r="P36" i="17"/>
  <c r="P140" i="17"/>
  <c r="P141" i="17"/>
  <c r="P124" i="17"/>
  <c r="P170" i="17"/>
  <c r="P109" i="17"/>
  <c r="P104" i="17"/>
  <c r="P20" i="17"/>
  <c r="P14" i="17"/>
  <c r="P10" i="17"/>
  <c r="P8" i="17"/>
  <c r="P7" i="17"/>
  <c r="L136" i="17"/>
  <c r="L162" i="17"/>
  <c r="L144" i="17"/>
  <c r="L140" i="17"/>
  <c r="L132" i="17"/>
  <c r="L148" i="17"/>
  <c r="L120" i="17"/>
  <c r="L124" i="17"/>
  <c r="L180" i="17"/>
  <c r="L158" i="17"/>
  <c r="L114" i="17"/>
  <c r="L110" i="17"/>
  <c r="L106" i="17"/>
  <c r="L102" i="17"/>
  <c r="L98" i="17"/>
  <c r="L154" i="17"/>
  <c r="L128" i="17"/>
  <c r="L90" i="17"/>
  <c r="L9" i="17"/>
  <c r="L7" i="17"/>
  <c r="L11" i="17"/>
  <c r="L181" i="17"/>
  <c r="L177" i="17"/>
  <c r="L173" i="17"/>
  <c r="L169" i="17"/>
  <c r="L165" i="17"/>
  <c r="L153" i="17"/>
  <c r="L147" i="17"/>
  <c r="L27" i="17"/>
  <c r="H105" i="17"/>
  <c r="H163" i="17"/>
  <c r="H47" i="17"/>
  <c r="H176" i="17"/>
  <c r="H77" i="17"/>
  <c r="H53" i="17"/>
  <c r="H109" i="17"/>
  <c r="H101" i="17"/>
  <c r="H160" i="17"/>
  <c r="H156" i="17"/>
  <c r="H91" i="17"/>
  <c r="H99" i="17"/>
  <c r="H39" i="17"/>
  <c r="H113" i="17"/>
  <c r="H157" i="17"/>
  <c r="H153" i="17"/>
  <c r="H145" i="17"/>
  <c r="H149" i="17"/>
  <c r="H161" i="17"/>
  <c r="H133" i="17"/>
  <c r="H69" i="17"/>
  <c r="H180" i="17"/>
  <c r="H164" i="17"/>
  <c r="H83" i="17"/>
  <c r="H28" i="17"/>
  <c r="H175" i="17"/>
  <c r="H87" i="17"/>
  <c r="H43" i="17"/>
  <c r="H162" i="17"/>
  <c r="H61" i="17"/>
  <c r="H179" i="17"/>
  <c r="H129" i="17"/>
  <c r="H150" i="17"/>
  <c r="H142" i="17"/>
  <c r="H31" i="17"/>
  <c r="H27" i="17"/>
  <c r="H16" i="17"/>
  <c r="H68" i="17"/>
  <c r="H42" i="17"/>
  <c r="H134" i="17"/>
  <c r="H126" i="17"/>
  <c r="H116" i="17"/>
  <c r="H100" i="17"/>
  <c r="H98" i="17"/>
  <c r="H90" i="17"/>
  <c r="H72" i="17"/>
  <c r="H6" i="17"/>
  <c r="D140" i="17"/>
  <c r="D169" i="17"/>
  <c r="D144" i="17"/>
  <c r="D152" i="17"/>
  <c r="D182" i="17"/>
  <c r="D177" i="17"/>
  <c r="D147" i="17"/>
  <c r="D166" i="17"/>
  <c r="D159" i="17"/>
  <c r="D148" i="17"/>
  <c r="D114" i="17"/>
  <c r="D106" i="17"/>
  <c r="D102" i="17"/>
  <c r="D100" i="17"/>
  <c r="D96" i="17"/>
  <c r="D170" i="17"/>
  <c r="D174" i="17"/>
  <c r="D160" i="17"/>
  <c r="D90" i="17"/>
  <c r="D124" i="17"/>
  <c r="D120" i="17"/>
  <c r="D136" i="17"/>
  <c r="D156" i="17"/>
  <c r="D132" i="17"/>
  <c r="D173" i="17"/>
  <c r="D128" i="17"/>
  <c r="D178" i="17"/>
  <c r="D110" i="17"/>
  <c r="D86" i="17"/>
  <c r="D82" i="17"/>
  <c r="D78" i="17"/>
  <c r="D181" i="17"/>
  <c r="D44" i="17"/>
  <c r="D164" i="17"/>
  <c r="D52" i="17"/>
  <c r="P18" i="17"/>
  <c r="P57" i="17"/>
  <c r="P15" i="17"/>
  <c r="P13" i="17"/>
  <c r="P11" i="17"/>
  <c r="P29" i="17"/>
  <c r="P61" i="17"/>
  <c r="P45" i="17"/>
  <c r="P128" i="17"/>
  <c r="P28" i="17"/>
  <c r="P44" i="17"/>
  <c r="P21" i="17"/>
  <c r="P17" i="17"/>
  <c r="P9" i="17"/>
  <c r="P159" i="17"/>
  <c r="P77" i="17"/>
  <c r="P69" i="17"/>
  <c r="P37" i="17"/>
  <c r="P182" i="17"/>
  <c r="P120" i="17"/>
  <c r="P116" i="17"/>
  <c r="P82" i="17"/>
  <c r="P16" i="17"/>
  <c r="P12" i="17"/>
  <c r="P174" i="17"/>
  <c r="P144" i="17"/>
  <c r="P108" i="17"/>
  <c r="P48" i="17"/>
  <c r="P32" i="17"/>
  <c r="P24" i="17"/>
  <c r="P6" i="17"/>
  <c r="P90" i="17"/>
  <c r="P72" i="17"/>
  <c r="P40" i="17"/>
  <c r="P19" i="17"/>
  <c r="P73" i="17"/>
  <c r="P53" i="17"/>
  <c r="P33" i="17"/>
  <c r="P155" i="17"/>
  <c r="P49" i="17"/>
  <c r="P41" i="17"/>
  <c r="P25" i="17"/>
  <c r="P151" i="17"/>
  <c r="P65" i="17"/>
  <c r="P184" i="17"/>
  <c r="P168" i="17"/>
  <c r="P146" i="17"/>
  <c r="P134" i="17"/>
  <c r="P122" i="17"/>
  <c r="P114" i="17"/>
  <c r="P88" i="17"/>
  <c r="P74" i="17"/>
  <c r="P70" i="17"/>
  <c r="P64" i="17"/>
  <c r="P56" i="17"/>
  <c r="P52" i="17"/>
  <c r="P46" i="17"/>
  <c r="P42" i="17"/>
  <c r="P26" i="17"/>
  <c r="P180" i="17"/>
  <c r="P172" i="17"/>
  <c r="P162" i="17"/>
  <c r="P150" i="17"/>
  <c r="P138" i="17"/>
  <c r="P126" i="17"/>
  <c r="P106" i="17"/>
  <c r="P96" i="17"/>
  <c r="P84" i="17"/>
  <c r="P78" i="17"/>
  <c r="P66" i="17"/>
  <c r="P60" i="17"/>
  <c r="P38" i="17"/>
  <c r="P34" i="17"/>
  <c r="P176" i="17"/>
  <c r="P164" i="17"/>
  <c r="P158" i="17"/>
  <c r="P154" i="17"/>
  <c r="P142" i="17"/>
  <c r="P130" i="17"/>
  <c r="P118" i="17"/>
  <c r="P110" i="17"/>
  <c r="P102" i="17"/>
  <c r="P92" i="17"/>
  <c r="P30" i="17"/>
  <c r="P22" i="17"/>
  <c r="P183" i="17"/>
  <c r="P177" i="17"/>
  <c r="P161" i="17"/>
  <c r="P139" i="17"/>
  <c r="P123" i="17"/>
  <c r="P117" i="17"/>
  <c r="P107" i="17"/>
  <c r="P59" i="17"/>
  <c r="P51" i="17"/>
  <c r="P43" i="17"/>
  <c r="P35" i="17"/>
  <c r="P173" i="17"/>
  <c r="P165" i="17"/>
  <c r="P157" i="17"/>
  <c r="P135" i="17"/>
  <c r="P119" i="17"/>
  <c r="P111" i="17"/>
  <c r="P97" i="17"/>
  <c r="P89" i="17"/>
  <c r="P75" i="17"/>
  <c r="P71" i="17"/>
  <c r="P47" i="17"/>
  <c r="P39" i="17"/>
  <c r="P27" i="17"/>
  <c r="P181" i="17"/>
  <c r="P169" i="17"/>
  <c r="P153" i="17"/>
  <c r="P147" i="17"/>
  <c r="P143" i="17"/>
  <c r="P131" i="17"/>
  <c r="P127" i="17"/>
  <c r="P115" i="17"/>
  <c r="P103" i="17"/>
  <c r="P93" i="17"/>
  <c r="P85" i="17"/>
  <c r="P79" i="17"/>
  <c r="P67" i="17"/>
  <c r="P63" i="17"/>
  <c r="P55" i="17"/>
  <c r="P31" i="17"/>
  <c r="P23" i="17"/>
  <c r="L89" i="17"/>
  <c r="L73" i="17"/>
  <c r="L63" i="17"/>
  <c r="L47" i="17"/>
  <c r="L43" i="17"/>
  <c r="L10" i="17"/>
  <c r="L8" i="17"/>
  <c r="L46" i="17"/>
  <c r="L6" i="17"/>
  <c r="L70" i="17"/>
  <c r="L14" i="17"/>
  <c r="L176" i="17"/>
  <c r="L135" i="17"/>
  <c r="L101" i="17"/>
  <c r="L97" i="17"/>
  <c r="L131" i="17"/>
  <c r="L81" i="17"/>
  <c r="L19" i="17"/>
  <c r="L113" i="17"/>
  <c r="L55" i="17"/>
  <c r="L35" i="17"/>
  <c r="L86" i="17"/>
  <c r="L56" i="17"/>
  <c r="L34" i="17"/>
  <c r="L172" i="17"/>
  <c r="L78" i="17"/>
  <c r="L22" i="17"/>
  <c r="L163" i="17"/>
  <c r="L161" i="17"/>
  <c r="L139" i="17"/>
  <c r="L127" i="17"/>
  <c r="L123" i="17"/>
  <c r="L119" i="17"/>
  <c r="L109" i="17"/>
  <c r="L105" i="17"/>
  <c r="L85" i="17"/>
  <c r="L77" i="17"/>
  <c r="L69" i="17"/>
  <c r="L53" i="17"/>
  <c r="L49" i="17"/>
  <c r="L39" i="17"/>
  <c r="L31" i="17"/>
  <c r="L23" i="17"/>
  <c r="L15" i="17"/>
  <c r="L157" i="17"/>
  <c r="L143" i="17"/>
  <c r="L93" i="17"/>
  <c r="L59" i="17"/>
  <c r="L51" i="17"/>
  <c r="L45" i="17"/>
  <c r="L41" i="17"/>
  <c r="L37" i="17"/>
  <c r="L33" i="17"/>
  <c r="L29" i="17"/>
  <c r="L25" i="17"/>
  <c r="L21" i="17"/>
  <c r="L17" i="17"/>
  <c r="L13" i="17"/>
  <c r="L164" i="17"/>
  <c r="L82" i="17"/>
  <c r="L74" i="17"/>
  <c r="L38" i="17"/>
  <c r="L26" i="17"/>
  <c r="L18" i="17"/>
  <c r="L184" i="17"/>
  <c r="L168" i="17"/>
  <c r="L94" i="17"/>
  <c r="L66" i="17"/>
  <c r="L60" i="17"/>
  <c r="L52" i="17"/>
  <c r="L42" i="17"/>
  <c r="L30" i="17"/>
  <c r="L167" i="17"/>
  <c r="L155" i="17"/>
  <c r="L149" i="17"/>
  <c r="L141" i="17"/>
  <c r="L133" i="17"/>
  <c r="L115" i="17"/>
  <c r="L111" i="17"/>
  <c r="L107" i="17"/>
  <c r="L95" i="17"/>
  <c r="L91" i="17"/>
  <c r="L75" i="17"/>
  <c r="L61" i="17"/>
  <c r="L183" i="17"/>
  <c r="L179" i="17"/>
  <c r="L175" i="17"/>
  <c r="L171" i="17"/>
  <c r="L159" i="17"/>
  <c r="L151" i="17"/>
  <c r="L145" i="17"/>
  <c r="L137" i="17"/>
  <c r="L129" i="17"/>
  <c r="L125" i="17"/>
  <c r="L121" i="17"/>
  <c r="L117" i="17"/>
  <c r="L103" i="17"/>
  <c r="L99" i="17"/>
  <c r="L87" i="17"/>
  <c r="L83" i="17"/>
  <c r="L79" i="17"/>
  <c r="L71" i="17"/>
  <c r="L67" i="17"/>
  <c r="L65" i="17"/>
  <c r="L57" i="17"/>
  <c r="L182" i="17"/>
  <c r="L174" i="17"/>
  <c r="L160" i="17"/>
  <c r="L150" i="17"/>
  <c r="L138" i="17"/>
  <c r="L122" i="17"/>
  <c r="L116" i="17"/>
  <c r="L104" i="17"/>
  <c r="L100" i="17"/>
  <c r="L84" i="17"/>
  <c r="L76" i="17"/>
  <c r="L62" i="17"/>
  <c r="L48" i="17"/>
  <c r="L40" i="17"/>
  <c r="L24" i="17"/>
  <c r="L16" i="17"/>
  <c r="L12" i="17"/>
  <c r="L170" i="17"/>
  <c r="L152" i="17"/>
  <c r="L130" i="17"/>
  <c r="L126" i="17"/>
  <c r="L96" i="17"/>
  <c r="L92" i="17"/>
  <c r="L88" i="17"/>
  <c r="L80" i="17"/>
  <c r="L68" i="17"/>
  <c r="L54" i="17"/>
  <c r="L32" i="17"/>
  <c r="L28" i="17"/>
  <c r="L178" i="17"/>
  <c r="L166" i="17"/>
  <c r="L156" i="17"/>
  <c r="L146" i="17"/>
  <c r="L142" i="17"/>
  <c r="L134" i="17"/>
  <c r="L118" i="17"/>
  <c r="L112" i="17"/>
  <c r="L108" i="17"/>
  <c r="L72" i="17"/>
  <c r="L64" i="17"/>
  <c r="L58" i="17"/>
  <c r="L50" i="17"/>
  <c r="L44" i="17"/>
  <c r="L36" i="17"/>
  <c r="L20" i="17"/>
  <c r="H34" i="17"/>
  <c r="H30" i="17"/>
  <c r="H26" i="17"/>
  <c r="H24" i="17"/>
  <c r="H19" i="17"/>
  <c r="H11" i="17"/>
  <c r="H9" i="17"/>
  <c r="H7" i="17"/>
  <c r="H10" i="17"/>
  <c r="H112" i="17"/>
  <c r="H60" i="17"/>
  <c r="H57" i="17"/>
  <c r="H18" i="17"/>
  <c r="H14" i="17"/>
  <c r="H108" i="17"/>
  <c r="H104" i="17"/>
  <c r="H86" i="17"/>
  <c r="H82" i="17"/>
  <c r="H76" i="17"/>
  <c r="H64" i="17"/>
  <c r="H56" i="17"/>
  <c r="H52" i="17"/>
  <c r="H137" i="17"/>
  <c r="H125" i="17"/>
  <c r="H121" i="17"/>
  <c r="H73" i="17"/>
  <c r="H65" i="17"/>
  <c r="H35" i="17"/>
  <c r="H23" i="17"/>
  <c r="H15" i="17"/>
  <c r="H167" i="17"/>
  <c r="H141" i="17"/>
  <c r="H95" i="17"/>
  <c r="H174" i="17"/>
  <c r="H152" i="17"/>
  <c r="H94" i="17"/>
  <c r="H46" i="17"/>
  <c r="H38" i="17"/>
  <c r="H22" i="17"/>
  <c r="H184" i="17"/>
  <c r="H178" i="17"/>
  <c r="H168" i="17"/>
  <c r="H158" i="17"/>
  <c r="H144" i="17"/>
  <c r="H140" i="17"/>
  <c r="H136" i="17"/>
  <c r="H130" i="17"/>
  <c r="H122" i="17"/>
  <c r="H114" i="17"/>
  <c r="H96" i="17"/>
  <c r="H88" i="17"/>
  <c r="H80" i="17"/>
  <c r="H74" i="17"/>
  <c r="H70" i="17"/>
  <c r="H62" i="17"/>
  <c r="H54" i="17"/>
  <c r="H36" i="17"/>
  <c r="H182" i="17"/>
  <c r="H170" i="17"/>
  <c r="H148" i="17"/>
  <c r="H128" i="17"/>
  <c r="H124" i="17"/>
  <c r="H118" i="17"/>
  <c r="H106" i="17"/>
  <c r="H92" i="17"/>
  <c r="H66" i="17"/>
  <c r="H48" i="17"/>
  <c r="H32" i="17"/>
  <c r="H165" i="17"/>
  <c r="H151" i="17"/>
  <c r="H135" i="17"/>
  <c r="H123" i="17"/>
  <c r="H115" i="17"/>
  <c r="H111" i="17"/>
  <c r="H103" i="17"/>
  <c r="H97" i="17"/>
  <c r="H81" i="17"/>
  <c r="H75" i="17"/>
  <c r="H71" i="17"/>
  <c r="H49" i="17"/>
  <c r="H37" i="17"/>
  <c r="H25" i="17"/>
  <c r="H17" i="17"/>
  <c r="H13" i="17"/>
  <c r="H181" i="17"/>
  <c r="H171" i="17"/>
  <c r="H159" i="17"/>
  <c r="H143" i="17"/>
  <c r="H139" i="17"/>
  <c r="H127" i="17"/>
  <c r="H117" i="17"/>
  <c r="H93" i="17"/>
  <c r="H85" i="17"/>
  <c r="H79" i="17"/>
  <c r="H67" i="17"/>
  <c r="H59" i="17"/>
  <c r="H51" i="17"/>
  <c r="H41" i="17"/>
  <c r="H29" i="17"/>
  <c r="H183" i="17"/>
  <c r="H177" i="17"/>
  <c r="H173" i="17"/>
  <c r="H169" i="17"/>
  <c r="H155" i="17"/>
  <c r="H147" i="17"/>
  <c r="H131" i="17"/>
  <c r="H119" i="17"/>
  <c r="H107" i="17"/>
  <c r="H89" i="17"/>
  <c r="H63" i="17"/>
  <c r="H55" i="17"/>
  <c r="H45" i="17"/>
  <c r="H33" i="17"/>
  <c r="H21" i="17"/>
  <c r="H172" i="17"/>
  <c r="H166" i="17"/>
  <c r="H154" i="17"/>
  <c r="H146" i="17"/>
  <c r="H138" i="17"/>
  <c r="H132" i="17"/>
  <c r="H120" i="17"/>
  <c r="H110" i="17"/>
  <c r="H102" i="17"/>
  <c r="H84" i="17"/>
  <c r="H78" i="17"/>
  <c r="H58" i="17"/>
  <c r="H50" i="17"/>
  <c r="H44" i="17"/>
  <c r="H40" i="17"/>
  <c r="H20" i="17"/>
  <c r="H12" i="17"/>
  <c r="H8" i="17"/>
  <c r="D139" i="17"/>
  <c r="D135" i="17"/>
  <c r="D131" i="17"/>
  <c r="D123" i="17"/>
  <c r="D119" i="17"/>
  <c r="D117" i="17"/>
  <c r="D113" i="17"/>
  <c r="D109" i="17"/>
  <c r="D101" i="17"/>
  <c r="D99" i="17"/>
  <c r="D95" i="17"/>
  <c r="D89" i="17"/>
  <c r="D85" i="17"/>
  <c r="D81" i="17"/>
  <c r="D73" i="17"/>
  <c r="D65" i="17"/>
  <c r="D61" i="17"/>
  <c r="D57" i="17"/>
  <c r="D53" i="17"/>
  <c r="D25" i="17"/>
  <c r="D21" i="17"/>
  <c r="D17" i="17"/>
  <c r="D15" i="17"/>
  <c r="D13" i="17"/>
  <c r="D11" i="17"/>
  <c r="D9" i="17"/>
  <c r="D7" i="17"/>
  <c r="D20" i="17"/>
  <c r="D16" i="17"/>
  <c r="D12" i="17"/>
  <c r="D43" i="17"/>
  <c r="D70" i="17"/>
  <c r="D36" i="17"/>
  <c r="D35" i="17"/>
  <c r="D127" i="17"/>
  <c r="D105" i="17"/>
  <c r="D64" i="17"/>
  <c r="D165" i="17"/>
  <c r="D151" i="17"/>
  <c r="D77" i="17"/>
  <c r="D69" i="17"/>
  <c r="D155" i="17"/>
  <c r="D143" i="17"/>
  <c r="D93" i="17"/>
  <c r="D29" i="17"/>
  <c r="D47" i="17"/>
  <c r="D39" i="17"/>
  <c r="D31" i="17"/>
  <c r="D10" i="17"/>
  <c r="D8" i="17"/>
  <c r="D56" i="17"/>
  <c r="D24" i="17"/>
  <c r="D50" i="17"/>
  <c r="D40" i="17"/>
  <c r="D74" i="17"/>
  <c r="D60" i="17"/>
  <c r="D48" i="17"/>
  <c r="D32" i="17"/>
  <c r="D28" i="17"/>
  <c r="D175" i="17"/>
  <c r="D163" i="17"/>
  <c r="D149" i="17"/>
  <c r="D133" i="17"/>
  <c r="D125" i="17"/>
  <c r="D97" i="17"/>
  <c r="D91" i="17"/>
  <c r="D87" i="17"/>
  <c r="D79" i="17"/>
  <c r="D67" i="17"/>
  <c r="D59" i="17"/>
  <c r="D51" i="17"/>
  <c r="D49" i="17"/>
  <c r="D41" i="17"/>
  <c r="D23" i="17"/>
  <c r="D19" i="17"/>
  <c r="D183" i="17"/>
  <c r="D171" i="17"/>
  <c r="D153" i="17"/>
  <c r="D145" i="17"/>
  <c r="D137" i="17"/>
  <c r="D103" i="17"/>
  <c r="D75" i="17"/>
  <c r="D71" i="17"/>
  <c r="D33" i="17"/>
  <c r="D27" i="17"/>
  <c r="D6" i="17"/>
  <c r="D179" i="17"/>
  <c r="D167" i="17"/>
  <c r="D161" i="17"/>
  <c r="D157" i="17"/>
  <c r="D141" i="17"/>
  <c r="D129" i="17"/>
  <c r="D121" i="17"/>
  <c r="D115" i="17"/>
  <c r="D111" i="17"/>
  <c r="D107" i="17"/>
  <c r="D83" i="17"/>
  <c r="D63" i="17"/>
  <c r="D55" i="17"/>
  <c r="D45" i="17"/>
  <c r="D37" i="17"/>
  <c r="D184" i="17"/>
  <c r="D162" i="17"/>
  <c r="D154" i="17"/>
  <c r="D146" i="17"/>
  <c r="D138" i="17"/>
  <c r="D130" i="17"/>
  <c r="D122" i="17"/>
  <c r="D108" i="17"/>
  <c r="D84" i="17"/>
  <c r="D42" i="17"/>
  <c r="D34" i="17"/>
  <c r="D26" i="17"/>
  <c r="D18" i="17"/>
  <c r="D14" i="17"/>
  <c r="D180" i="17"/>
  <c r="D172" i="17"/>
  <c r="D168" i="17"/>
  <c r="D150" i="17"/>
  <c r="D126" i="17"/>
  <c r="D116" i="17"/>
  <c r="D98" i="17"/>
  <c r="D92" i="17"/>
  <c r="D72" i="17"/>
  <c r="D62" i="17"/>
  <c r="D58" i="17"/>
  <c r="D30" i="17"/>
  <c r="D176" i="17"/>
  <c r="D158" i="17"/>
  <c r="D142" i="17"/>
  <c r="D134" i="17"/>
  <c r="D118" i="17"/>
  <c r="D112" i="17"/>
  <c r="D104" i="17"/>
  <c r="D94" i="17"/>
  <c r="D88" i="17"/>
  <c r="D80" i="17"/>
  <c r="D76" i="17"/>
  <c r="D68" i="17"/>
  <c r="D66" i="17"/>
  <c r="D54" i="17"/>
  <c r="D46" i="17"/>
  <c r="D38" i="17"/>
  <c r="D22" i="17"/>
  <c r="R2" i="17" l="1"/>
  <c r="O2" i="17"/>
  <c r="L2" i="17"/>
  <c r="I2" i="17"/>
</calcChain>
</file>

<file path=xl/sharedStrings.xml><?xml version="1.0" encoding="utf-8"?>
<sst xmlns="http://schemas.openxmlformats.org/spreadsheetml/2006/main" count="4398" uniqueCount="217">
  <si>
    <t>date</t>
  </si>
  <si>
    <t>team</t>
  </si>
  <si>
    <t>rushing yards</t>
  </si>
  <si>
    <t>passing yards</t>
  </si>
  <si>
    <t>o:team</t>
  </si>
  <si>
    <t>o:rushing yards</t>
  </si>
  <si>
    <t>o:passing yards</t>
  </si>
  <si>
    <t>COST</t>
  </si>
  <si>
    <t>HAW</t>
  </si>
  <si>
    <t>NMST</t>
  </si>
  <si>
    <t>WYO</t>
  </si>
  <si>
    <t>RICE</t>
  </si>
  <si>
    <t>BALL</t>
  </si>
  <si>
    <t>CON</t>
  </si>
  <si>
    <t>CFL</t>
  </si>
  <si>
    <t>GAST</t>
  </si>
  <si>
    <t>MIN</t>
  </si>
  <si>
    <t>PUR</t>
  </si>
  <si>
    <t>NORW</t>
  </si>
  <si>
    <t>SJST</t>
  </si>
  <si>
    <t>TLN</t>
  </si>
  <si>
    <t>WAKE</t>
  </si>
  <si>
    <t>TXAM</t>
  </si>
  <si>
    <t>UAB</t>
  </si>
  <si>
    <t>UTAH</t>
  </si>
  <si>
    <t>LMON</t>
  </si>
  <si>
    <t>OKST</t>
  </si>
  <si>
    <t>DUKE</t>
  </si>
  <si>
    <t>ARMY</t>
  </si>
  <si>
    <t>EMCH</t>
  </si>
  <si>
    <t>MCST</t>
  </si>
  <si>
    <t>UTST</t>
  </si>
  <si>
    <t>NEV</t>
  </si>
  <si>
    <t>STAN</t>
  </si>
  <si>
    <t>SDST</t>
  </si>
  <si>
    <t>WIS</t>
  </si>
  <si>
    <t>WKY</t>
  </si>
  <si>
    <t>WMCH</t>
  </si>
  <si>
    <t>SYR</t>
  </si>
  <si>
    <t>AIR</t>
  </si>
  <si>
    <t>AKST</t>
  </si>
  <si>
    <t>ARK</t>
  </si>
  <si>
    <t>ARZ</t>
  </si>
  <si>
    <t>BYU</t>
  </si>
  <si>
    <t>AZST</t>
  </si>
  <si>
    <t>BAY</t>
  </si>
  <si>
    <t>BCOL</t>
  </si>
  <si>
    <t>BUF</t>
  </si>
  <si>
    <t>CAL</t>
  </si>
  <si>
    <t>NCAR</t>
  </si>
  <si>
    <t>CHAR</t>
  </si>
  <si>
    <t>CLEM</t>
  </si>
  <si>
    <t>FINT</t>
  </si>
  <si>
    <t>IND</t>
  </si>
  <si>
    <t>FLA</t>
  </si>
  <si>
    <t>FRES</t>
  </si>
  <si>
    <t>GEO</t>
  </si>
  <si>
    <t>GSOU</t>
  </si>
  <si>
    <t>GTCH</t>
  </si>
  <si>
    <t>NAVY</t>
  </si>
  <si>
    <t>ILL</t>
  </si>
  <si>
    <t>KEST</t>
  </si>
  <si>
    <t>IOWA</t>
  </si>
  <si>
    <t>NIL</t>
  </si>
  <si>
    <t>KAN</t>
  </si>
  <si>
    <t>KAST</t>
  </si>
  <si>
    <t>KTKY</t>
  </si>
  <si>
    <t>CMCH</t>
  </si>
  <si>
    <t>OLDD</t>
  </si>
  <si>
    <t>LLAF</t>
  </si>
  <si>
    <t>MEM</t>
  </si>
  <si>
    <t>MIAO</t>
  </si>
  <si>
    <t>MRSH</t>
  </si>
  <si>
    <t>MIZ</t>
  </si>
  <si>
    <t>MSST</t>
  </si>
  <si>
    <t>NCST</t>
  </si>
  <si>
    <t>NMX</t>
  </si>
  <si>
    <t>NOTD</t>
  </si>
  <si>
    <t>MICH</t>
  </si>
  <si>
    <t>NTX</t>
  </si>
  <si>
    <t>SMU</t>
  </si>
  <si>
    <t>OHST</t>
  </si>
  <si>
    <t>ORST</t>
  </si>
  <si>
    <t>OHU</t>
  </si>
  <si>
    <t>OKLA</t>
  </si>
  <si>
    <t>FATL</t>
  </si>
  <si>
    <t>ORE</t>
  </si>
  <si>
    <t>BOWL</t>
  </si>
  <si>
    <t>PIT</t>
  </si>
  <si>
    <t>PNST</t>
  </si>
  <si>
    <t>APP</t>
  </si>
  <si>
    <t>HOU</t>
  </si>
  <si>
    <t>RUT</t>
  </si>
  <si>
    <t>TXST</t>
  </si>
  <si>
    <t>SALA</t>
  </si>
  <si>
    <t>LTCH</t>
  </si>
  <si>
    <t>SCAR</t>
  </si>
  <si>
    <t>CSTC</t>
  </si>
  <si>
    <t>SFL</t>
  </si>
  <si>
    <t>SMIS</t>
  </si>
  <si>
    <t>TCU</t>
  </si>
  <si>
    <t>TEM</t>
  </si>
  <si>
    <t>TLS</t>
  </si>
  <si>
    <t>TOL</t>
  </si>
  <si>
    <t>TROY</t>
  </si>
  <si>
    <t>BOIS</t>
  </si>
  <si>
    <t>UCLA</t>
  </si>
  <si>
    <t>CIN</t>
  </si>
  <si>
    <t>USC</t>
  </si>
  <si>
    <t>UNLV</t>
  </si>
  <si>
    <t>UTEP</t>
  </si>
  <si>
    <t>VAN</t>
  </si>
  <si>
    <t>MTEN</t>
  </si>
  <si>
    <t>VIR</t>
  </si>
  <si>
    <t>WAST</t>
  </si>
  <si>
    <t>ECAR</t>
  </si>
  <si>
    <t>FLST</t>
  </si>
  <si>
    <t>VTCH</t>
  </si>
  <si>
    <t>AKRON</t>
  </si>
  <si>
    <t>ALA</t>
  </si>
  <si>
    <t>AUB</t>
  </si>
  <si>
    <t>MARY</t>
  </si>
  <si>
    <t>IWST</t>
  </si>
  <si>
    <t>LOU</t>
  </si>
  <si>
    <t>LSU</t>
  </si>
  <si>
    <t>MIAF</t>
  </si>
  <si>
    <t>MIS</t>
  </si>
  <si>
    <t>NEB</t>
  </si>
  <si>
    <t>COLO</t>
  </si>
  <si>
    <t>TEN</t>
  </si>
  <si>
    <t>TEX</t>
  </si>
  <si>
    <t>TXT</t>
  </si>
  <si>
    <t>WAS</t>
  </si>
  <si>
    <t>WVA</t>
  </si>
  <si>
    <t>season</t>
  </si>
  <si>
    <t>site</t>
  </si>
  <si>
    <t>conference</t>
  </si>
  <si>
    <t>rushes</t>
  </si>
  <si>
    <t>passes</t>
  </si>
  <si>
    <t>points</t>
  </si>
  <si>
    <t>o:conference</t>
  </si>
  <si>
    <t>o:rushes</t>
  </si>
  <si>
    <t>o:passes</t>
  </si>
  <si>
    <t>o:points</t>
  </si>
  <si>
    <t>home</t>
  </si>
  <si>
    <t>SBC</t>
  </si>
  <si>
    <t>ACC</t>
  </si>
  <si>
    <t>SEC</t>
  </si>
  <si>
    <t>MWC</t>
  </si>
  <si>
    <t>MAC</t>
  </si>
  <si>
    <t>AAC</t>
  </si>
  <si>
    <t>P12</t>
  </si>
  <si>
    <t>B10</t>
  </si>
  <si>
    <t>USA</t>
  </si>
  <si>
    <t>SSE Minimization</t>
  </si>
  <si>
    <t>RESULT</t>
  </si>
  <si>
    <t>LOGIT AGG</t>
  </si>
  <si>
    <t>TEAM</t>
  </si>
  <si>
    <t>Offense</t>
  </si>
  <si>
    <t>Defense</t>
  </si>
  <si>
    <t>punt return yards</t>
  </si>
  <si>
    <t>kickoff return yards</t>
  </si>
  <si>
    <t>o:punt return yards</t>
  </si>
  <si>
    <t>o:kickoff return yards</t>
  </si>
  <si>
    <t>Home Rush Margin</t>
  </si>
  <si>
    <t>Rush SSE</t>
  </si>
  <si>
    <t>Rushing Power Rankings</t>
  </si>
  <si>
    <t>Passing Power Rankings</t>
  </si>
  <si>
    <t>Special Teams Power Rankings</t>
  </si>
  <si>
    <t>Takeaway Power Rankings</t>
  </si>
  <si>
    <t>Pass SSE</t>
  </si>
  <si>
    <t>Takeaway SSE</t>
  </si>
  <si>
    <t>takeaways</t>
  </si>
  <si>
    <t>week</t>
  </si>
  <si>
    <t>Rush Squared Error</t>
  </si>
  <si>
    <t>Home Rush Function</t>
  </si>
  <si>
    <t>Away Rush Function</t>
  </si>
  <si>
    <t>Home Pass Margin</t>
  </si>
  <si>
    <t>Home Pass Function</t>
  </si>
  <si>
    <t>Away Pass Function</t>
  </si>
  <si>
    <t>Pass Squared Error</t>
  </si>
  <si>
    <t>Home Return Margin</t>
  </si>
  <si>
    <t>Home Return Function</t>
  </si>
  <si>
    <t>Away Return Function</t>
  </si>
  <si>
    <t>Return Squared Error</t>
  </si>
  <si>
    <t>Home Takeaway Margin</t>
  </si>
  <si>
    <t>Home Takeaway Function</t>
  </si>
  <si>
    <t>Away Takeaway Function</t>
  </si>
  <si>
    <t>Takeaway Squared Error</t>
  </si>
  <si>
    <t>Average Rush Score</t>
  </si>
  <si>
    <t>Average Pass Score</t>
  </si>
  <si>
    <t>Average Return Score</t>
  </si>
  <si>
    <t>Average Takeaway Score</t>
  </si>
  <si>
    <t>Rush Off Zeroing</t>
  </si>
  <si>
    <t>Rush Def Zeroing</t>
  </si>
  <si>
    <t>Pass Off Zeroing</t>
  </si>
  <si>
    <t>Pass Def Zeroing</t>
  </si>
  <si>
    <t>Return Off Zeroing</t>
  </si>
  <si>
    <t>Return Def Zeroing</t>
  </si>
  <si>
    <t>Takeaway Off Zeroing</t>
  </si>
  <si>
    <t>Takeaway Def Zeroing</t>
  </si>
  <si>
    <t>Return SSE</t>
  </si>
  <si>
    <t>line</t>
  </si>
  <si>
    <t>Solver Coeff</t>
  </si>
  <si>
    <t>Lookup</t>
  </si>
  <si>
    <t>LIB</t>
  </si>
  <si>
    <t>UTSA</t>
  </si>
  <si>
    <t>MAS</t>
  </si>
  <si>
    <t>o:takeaways</t>
  </si>
  <si>
    <t>B12</t>
  </si>
  <si>
    <t>neutral</t>
  </si>
  <si>
    <t>away</t>
  </si>
  <si>
    <t>Solution Tolerances</t>
  </si>
  <si>
    <t>Rushing:</t>
  </si>
  <si>
    <t>Passing:</t>
  </si>
  <si>
    <t>Return:</t>
  </si>
  <si>
    <t>Takeaway: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</si>
</sst>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0.000"/>
    <numFmt numFmtId="165" formatCode="0.0"/>
    <numFmt numFmtId="166" formatCode="0.0000"/>
    <numFmt numFmtId="167" formatCode="&quot;$&quot;#,##0.00"/>
    <numFmt numFmtId="168" formatCode="0.00000"/>
    <numFmt numFmtId="169" formatCode="0.0000%"/>
    <numFmt numFmtId="170" formatCode="&quot;$&quot;#,##0"/>
  </numFmts>
  <fonts count="12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C000"/>
      <name val="Calibri"/>
      <family val="2"/>
      <scheme val="minor"/>
    </font>
    <font>
      <u/>
      <sz val="11"/>
      <color theme="10"/>
      <name val="Calibri"/>
      <family val="2"/>
    </font>
    <font>
      <sz val="11"/>
      <name val="Calibri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auto="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5" fillId="0" borderId="0"/>
  </cellStyleXfs>
  <cellXfs count="102">
    <xf numFmtId="0" fontId="0" fillId="0" borderId="0" xfId="0"/>
    <xf numFmtId="2" fontId="0" fillId="0" borderId="0" xfId="0" applyNumberFormat="1"/>
    <xf numFmtId="0" fontId="0" fillId="0" borderId="0" xfId="0" applyFill="1" applyBorder="1" applyAlignment="1"/>
    <xf numFmtId="0" fontId="0" fillId="0" borderId="0" xfId="0" applyAlignment="1">
      <alignment horizontal="center"/>
    </xf>
    <xf numFmtId="0" fontId="2" fillId="0" borderId="0" xfId="0" applyFont="1" applyFill="1" applyAlignment="1">
      <alignment horizontal="center"/>
    </xf>
    <xf numFmtId="165" fontId="0" fillId="0" borderId="0" xfId="0" applyNumberFormat="1" applyFill="1"/>
    <xf numFmtId="0" fontId="0" fillId="0" borderId="0" xfId="0" applyFill="1"/>
    <xf numFmtId="2" fontId="0" fillId="0" borderId="0" xfId="0" applyNumberFormat="1" applyFill="1" applyAlignment="1">
      <alignment horizontal="center"/>
    </xf>
    <xf numFmtId="10" fontId="0" fillId="0" borderId="0" xfId="0" applyNumberFormat="1" applyFill="1"/>
    <xf numFmtId="10" fontId="0" fillId="0" borderId="0" xfId="0" applyNumberFormat="1" applyFill="1" applyAlignment="1">
      <alignment horizontal="center"/>
    </xf>
    <xf numFmtId="0" fontId="0" fillId="0" borderId="0" xfId="0" applyFill="1" applyBorder="1"/>
    <xf numFmtId="10" fontId="0" fillId="0" borderId="0" xfId="0" applyNumberFormat="1" applyFill="1" applyBorder="1"/>
    <xf numFmtId="1" fontId="0" fillId="0" borderId="0" xfId="0" applyNumberFormat="1" applyFill="1" applyBorder="1"/>
    <xf numFmtId="11" fontId="0" fillId="0" borderId="0" xfId="0" applyNumberFormat="1" applyFill="1" applyBorder="1"/>
    <xf numFmtId="166" fontId="0" fillId="0" borderId="0" xfId="0" applyNumberFormat="1" applyFill="1" applyBorder="1"/>
    <xf numFmtId="2" fontId="0" fillId="0" borderId="0" xfId="0" applyNumberFormat="1" applyFill="1" applyBorder="1"/>
    <xf numFmtId="167" fontId="0" fillId="0" borderId="0" xfId="0" applyNumberFormat="1" applyFill="1" applyBorder="1"/>
    <xf numFmtId="2" fontId="0" fillId="0" borderId="0" xfId="0" applyNumberFormat="1" applyFont="1" applyFill="1" applyBorder="1" applyAlignment="1">
      <alignment horizontal="right"/>
    </xf>
    <xf numFmtId="2" fontId="0" fillId="0" borderId="0" xfId="0" applyNumberFormat="1" applyFill="1" applyBorder="1" applyAlignment="1">
      <alignment horizontal="right"/>
    </xf>
    <xf numFmtId="1" fontId="0" fillId="0" borderId="0" xfId="0" applyNumberFormat="1" applyFont="1" applyFill="1" applyBorder="1" applyAlignment="1">
      <alignment horizontal="right"/>
    </xf>
    <xf numFmtId="164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2" fontId="0" fillId="0" borderId="0" xfId="0" applyNumberFormat="1" applyFill="1"/>
    <xf numFmtId="164" fontId="0" fillId="0" borderId="0" xfId="0" applyNumberFormat="1" applyFill="1" applyBorder="1"/>
    <xf numFmtId="168" fontId="0" fillId="0" borderId="0" xfId="0" applyNumberFormat="1" applyFill="1" applyBorder="1"/>
    <xf numFmtId="167" fontId="2" fillId="0" borderId="0" xfId="0" applyNumberFormat="1" applyFont="1" applyFill="1" applyBorder="1"/>
    <xf numFmtId="2" fontId="2" fillId="0" borderId="0" xfId="0" applyNumberFormat="1" applyFont="1" applyFill="1" applyBorder="1" applyAlignment="1">
      <alignment horizontal="right"/>
    </xf>
    <xf numFmtId="2" fontId="2" fillId="0" borderId="0" xfId="0" applyNumberFormat="1" applyFont="1" applyFill="1" applyBorder="1"/>
    <xf numFmtId="10" fontId="2" fillId="0" borderId="0" xfId="0" applyNumberFormat="1" applyFont="1" applyFill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10" fontId="2" fillId="0" borderId="0" xfId="0" applyNumberFormat="1" applyFont="1" applyFill="1" applyBorder="1" applyAlignment="1">
      <alignment horizontal="center" vertical="center"/>
    </xf>
    <xf numFmtId="10" fontId="2" fillId="0" borderId="0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right" vertical="center"/>
    </xf>
    <xf numFmtId="0" fontId="0" fillId="0" borderId="0" xfId="0" applyBorder="1"/>
    <xf numFmtId="164" fontId="0" fillId="0" borderId="0" xfId="0" applyNumberFormat="1"/>
    <xf numFmtId="10" fontId="5" fillId="0" borderId="0" xfId="2" applyNumberFormat="1" applyFont="1" applyFill="1" applyBorder="1" applyAlignment="1"/>
    <xf numFmtId="10" fontId="0" fillId="0" borderId="0" xfId="0" applyNumberFormat="1" applyFont="1" applyFill="1" applyBorder="1"/>
    <xf numFmtId="167" fontId="0" fillId="0" borderId="0" xfId="0" applyNumberFormat="1" applyFill="1"/>
    <xf numFmtId="167" fontId="1" fillId="0" borderId="0" xfId="0" applyNumberFormat="1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right"/>
    </xf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/>
    </xf>
    <xf numFmtId="2" fontId="2" fillId="0" borderId="0" xfId="0" applyNumberFormat="1" applyFont="1" applyFill="1" applyAlignment="1">
      <alignment horizontal="center"/>
    </xf>
    <xf numFmtId="0" fontId="2" fillId="0" borderId="0" xfId="0" applyFont="1" applyFill="1"/>
    <xf numFmtId="169" fontId="2" fillId="0" borderId="0" xfId="0" applyNumberFormat="1" applyFont="1" applyFill="1" applyBorder="1"/>
    <xf numFmtId="1" fontId="0" fillId="0" borderId="0" xfId="0" applyNumberFormat="1" applyFont="1" applyFill="1" applyBorder="1"/>
    <xf numFmtId="10" fontId="2" fillId="0" borderId="0" xfId="0" applyNumberFormat="1" applyFont="1" applyFill="1" applyBorder="1"/>
    <xf numFmtId="1" fontId="0" fillId="0" borderId="0" xfId="0" applyNumberFormat="1"/>
    <xf numFmtId="2" fontId="0" fillId="0" borderId="0" xfId="0" applyNumberFormat="1" applyFont="1" applyFill="1" applyBorder="1"/>
    <xf numFmtId="0" fontId="0" fillId="0" borderId="0" xfId="0" applyFill="1" applyBorder="1" applyAlignment="1">
      <alignment horizontal="right"/>
    </xf>
    <xf numFmtId="1" fontId="0" fillId="0" borderId="0" xfId="0" applyNumberFormat="1" applyFont="1" applyFill="1" applyBorder="1" applyAlignment="1">
      <alignment horizontal="center"/>
    </xf>
    <xf numFmtId="10" fontId="0" fillId="0" borderId="0" xfId="0" applyNumberFormat="1" applyBorder="1"/>
    <xf numFmtId="167" fontId="0" fillId="0" borderId="0" xfId="0" applyNumberFormat="1" applyFont="1" applyFill="1" applyBorder="1" applyAlignment="1">
      <alignment horizontal="center"/>
    </xf>
    <xf numFmtId="1" fontId="0" fillId="0" borderId="0" xfId="0" applyNumberFormat="1" applyFill="1" applyAlignment="1">
      <alignment horizontal="center"/>
    </xf>
    <xf numFmtId="167" fontId="0" fillId="0" borderId="0" xfId="0" applyNumberFormat="1" applyFont="1" applyFill="1" applyBorder="1"/>
    <xf numFmtId="170" fontId="0" fillId="0" borderId="0" xfId="0" applyNumberFormat="1" applyFont="1" applyFill="1" applyBorder="1"/>
    <xf numFmtId="10" fontId="0" fillId="0" borderId="0" xfId="0" applyNumberFormat="1" applyFont="1" applyFill="1" applyBorder="1" applyAlignment="1">
      <alignment horizontal="center"/>
    </xf>
    <xf numFmtId="10" fontId="1" fillId="0" borderId="0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Border="1" applyAlignment="1">
      <alignment horizontal="right"/>
    </xf>
    <xf numFmtId="166" fontId="0" fillId="0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0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" fontId="2" fillId="0" borderId="0" xfId="0" applyNumberFormat="1" applyFont="1" applyFill="1" applyBorder="1" applyAlignment="1">
      <alignment horizontal="right" vertical="center"/>
    </xf>
    <xf numFmtId="2" fontId="0" fillId="0" borderId="0" xfId="0" applyNumberFormat="1" applyFont="1" applyFill="1" applyBorder="1" applyAlignment="1">
      <alignment horizontal="right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4" fillId="0" borderId="2" xfId="1" applyFont="1" applyFill="1" applyBorder="1" applyAlignment="1" applyProtection="1">
      <alignment horizontal="center" wrapText="1"/>
    </xf>
    <xf numFmtId="166" fontId="0" fillId="0" borderId="2" xfId="0" applyNumberFormat="1" applyFill="1" applyBorder="1" applyAlignment="1">
      <alignment horizontal="center"/>
    </xf>
    <xf numFmtId="165" fontId="0" fillId="0" borderId="2" xfId="0" applyNumberFormat="1" applyFill="1" applyBorder="1" applyAlignment="1">
      <alignment horizontal="center"/>
    </xf>
    <xf numFmtId="166" fontId="0" fillId="0" borderId="3" xfId="0" applyNumberFormat="1" applyFill="1" applyBorder="1" applyAlignment="1">
      <alignment horizontal="center"/>
    </xf>
    <xf numFmtId="0" fontId="4" fillId="0" borderId="4" xfId="1" applyFont="1" applyFill="1" applyBorder="1" applyAlignment="1" applyProtection="1">
      <alignment horizontal="center" wrapText="1"/>
    </xf>
    <xf numFmtId="1" fontId="0" fillId="0" borderId="0" xfId="0" applyNumberFormat="1" applyBorder="1"/>
    <xf numFmtId="2" fontId="0" fillId="0" borderId="0" xfId="0" applyNumberFormat="1" applyFont="1" applyBorder="1" applyAlignment="1">
      <alignment horizontal="right"/>
    </xf>
    <xf numFmtId="2" fontId="0" fillId="0" borderId="0" xfId="0" applyNumberFormat="1" applyBorder="1" applyAlignment="1">
      <alignment horizontal="right"/>
    </xf>
    <xf numFmtId="2" fontId="0" fillId="0" borderId="0" xfId="0" applyNumberFormat="1" applyBorder="1"/>
    <xf numFmtId="1" fontId="0" fillId="0" borderId="0" xfId="0" applyNumberFormat="1" applyFont="1" applyBorder="1" applyAlignment="1">
      <alignment horizontal="right"/>
    </xf>
    <xf numFmtId="0" fontId="0" fillId="0" borderId="0" xfId="0" applyNumberFormat="1" applyAlignment="1">
      <alignment horizontal="center"/>
    </xf>
    <xf numFmtId="0" fontId="7" fillId="2" borderId="0" xfId="0" applyFont="1" applyFill="1" applyAlignment="1">
      <alignment horizontal="center" vertical="center"/>
    </xf>
    <xf numFmtId="2" fontId="8" fillId="2" borderId="0" xfId="0" applyNumberFormat="1" applyFont="1" applyFill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 wrapText="1"/>
    </xf>
    <xf numFmtId="10" fontId="8" fillId="2" borderId="0" xfId="0" applyNumberFormat="1" applyFont="1" applyFill="1" applyAlignment="1">
      <alignment horizontal="center"/>
    </xf>
    <xf numFmtId="0" fontId="8" fillId="2" borderId="2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8" fillId="2" borderId="4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2" fontId="0" fillId="3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8" fillId="2" borderId="0" xfId="0" applyFont="1" applyFill="1" applyAlignment="1">
      <alignment horizontal="left" vertical="center"/>
    </xf>
    <xf numFmtId="165" fontId="0" fillId="3" borderId="0" xfId="0" applyNumberFormat="1" applyFill="1" applyAlignment="1">
      <alignment horizontal="center"/>
    </xf>
    <xf numFmtId="0" fontId="10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10" fontId="6" fillId="3" borderId="0" xfId="0" applyNumberFormat="1" applyFont="1" applyFill="1" applyAlignment="1">
      <alignment horizontal="center"/>
    </xf>
  </cellXfs>
  <cellStyles count="3">
    <cellStyle name="Hyperlink 2" xfId="1" xr:uid="{00000000-0005-0000-0000-000000000000}"/>
    <cellStyle name="Normal" xfId="0" builtinId="0"/>
    <cellStyle name="Normal 2" xfId="2" xr:uid="{00000000-0005-0000-0000-000002000000}"/>
  </cellStyles>
  <dxfs count="6"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 xr9:uid="{00000000-0011-0000-FFFF-FFFF00000000}">
      <tableStyleElement type="wholeTable" dxfId="5"/>
      <tableStyleElement type="headerRow" dxfId="4"/>
      <tableStyleElement type="firstRowStripe" dxfId="3"/>
    </tableStyle>
    <tableStyle name="TableStyleQueryResult" pivot="0" count="3" xr9:uid="{00000000-0011-0000-FFFF-FFFF01000000}">
      <tableStyleElement type="wholeTable" dxfId="2"/>
      <tableStyleElement type="headerRow" dxfId="1"/>
      <tableStyleElement type="first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330200</xdr:colOff>
          <xdr:row>7</xdr:row>
          <xdr:rowOff>38100</xdr:rowOff>
        </xdr:from>
        <xdr:to>
          <xdr:col>3</xdr:col>
          <xdr:colOff>495300</xdr:colOff>
          <xdr:row>11</xdr:row>
          <xdr:rowOff>63500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Send Data to Solver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(first, set tolerance above)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13</xdr:row>
          <xdr:rowOff>25400</xdr:rowOff>
        </xdr:from>
        <xdr:to>
          <xdr:col>3</xdr:col>
          <xdr:colOff>482600</xdr:colOff>
          <xdr:row>17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 Solver Results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acLeod/Desktop/BOOTSTRA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5"/>
      <sheetName val="Sheet7"/>
      <sheetName val="Sheet4"/>
      <sheetName val="Sheet8"/>
      <sheetName val="Sheet9"/>
      <sheetName val="Sheet10"/>
      <sheetName val="Sheet6"/>
      <sheetName val="Sheet12"/>
      <sheetName val="Sheet14"/>
      <sheetName val="BOOTSTRAP"/>
      <sheetName val="Sheet11"/>
      <sheetName val="NormDist Matrix"/>
      <sheetName val="Sheet13"/>
      <sheetName val="Poisson Matri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2">
          <cell r="A2" t="str">
            <v>PROP</v>
          </cell>
          <cell r="B2">
            <v>0.5</v>
          </cell>
        </row>
        <row r="4">
          <cell r="A4" t="str">
            <v>AVG</v>
          </cell>
          <cell r="B4">
            <v>1.0439879759519035</v>
          </cell>
        </row>
        <row r="5">
          <cell r="A5" t="str">
            <v>MED</v>
          </cell>
          <cell r="B5">
            <v>1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6"/>
  <sheetViews>
    <sheetView tabSelected="1" zoomScaleNormal="100" workbookViewId="0">
      <selection activeCell="M5" sqref="M5"/>
    </sheetView>
  </sheetViews>
  <sheetFormatPr baseColWidth="10" defaultColWidth="8.83203125" defaultRowHeight="15"/>
  <cols>
    <col min="2" max="2" width="9.33203125" bestFit="1" customWidth="1"/>
  </cols>
  <sheetData>
    <row r="2" spans="2:3">
      <c r="B2" s="99" t="s">
        <v>212</v>
      </c>
      <c r="C2" s="100"/>
    </row>
    <row r="3" spans="2:3">
      <c r="B3" s="97" t="s">
        <v>213</v>
      </c>
      <c r="C3" s="98">
        <v>50</v>
      </c>
    </row>
    <row r="4" spans="2:3">
      <c r="B4" s="97" t="s">
        <v>214</v>
      </c>
      <c r="C4" s="98">
        <v>10</v>
      </c>
    </row>
    <row r="5" spans="2:3">
      <c r="B5" s="97" t="s">
        <v>215</v>
      </c>
      <c r="C5" s="98">
        <v>5</v>
      </c>
    </row>
    <row r="6" spans="2:3">
      <c r="B6" s="97" t="s">
        <v>216</v>
      </c>
      <c r="C6" s="98">
        <v>1</v>
      </c>
    </row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un_optimizer">
                <anchor moveWithCells="1" sizeWithCells="1">
                  <from>
                    <xdr:col>0</xdr:col>
                    <xdr:colOff>330200</xdr:colOff>
                    <xdr:row>7</xdr:row>
                    <xdr:rowOff>38100</xdr:rowOff>
                  </from>
                  <to>
                    <xdr:col>3</xdr:col>
                    <xdr:colOff>495300</xdr:colOff>
                    <xdr:row>11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load_results">
                <anchor moveWithCells="1" sizeWithCells="1">
                  <from>
                    <xdr:col>0</xdr:col>
                    <xdr:colOff>317500</xdr:colOff>
                    <xdr:row>13</xdr:row>
                    <xdr:rowOff>25400</xdr:rowOff>
                  </from>
                  <to>
                    <xdr:col>3</xdr:col>
                    <xdr:colOff>482600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EF764"/>
  <sheetViews>
    <sheetView showGridLines="0" zoomScaleNormal="100" workbookViewId="0">
      <selection activeCell="I1" sqref="I1"/>
    </sheetView>
  </sheetViews>
  <sheetFormatPr baseColWidth="10" defaultColWidth="9" defaultRowHeight="15"/>
  <cols>
    <col min="1" max="1" width="13.1640625" style="41" customWidth="1"/>
    <col min="2" max="2" width="11.83203125" style="41" bestFit="1" customWidth="1"/>
    <col min="3" max="3" width="13.83203125" style="41" bestFit="1" customWidth="1"/>
    <col min="4" max="4" width="12.5" style="41" bestFit="1" customWidth="1"/>
    <col min="5" max="5" width="12.5" style="41" customWidth="1"/>
    <col min="6" max="6" width="10.33203125" style="41" customWidth="1"/>
    <col min="7" max="7" width="11" style="41" bestFit="1" customWidth="1"/>
    <col min="8" max="8" width="12.6640625" style="41" customWidth="1"/>
    <col min="9" max="9" width="13.5" style="41" customWidth="1"/>
    <col min="10" max="10" width="10.5" style="41" customWidth="1"/>
    <col min="11" max="11" width="11.5" style="41" bestFit="1" customWidth="1"/>
    <col min="12" max="12" width="24.33203125" style="41" bestFit="1" customWidth="1"/>
    <col min="13" max="13" width="11.5" style="41" bestFit="1" customWidth="1"/>
    <col min="14" max="14" width="14.33203125" style="41" customWidth="1"/>
    <col min="15" max="15" width="23.33203125" style="41" bestFit="1" customWidth="1"/>
    <col min="16" max="16" width="12" style="41" bestFit="1" customWidth="1"/>
    <col min="17" max="17" width="13.1640625" style="41" customWidth="1"/>
    <col min="18" max="18" width="12.5" style="41" bestFit="1" customWidth="1"/>
    <col min="19" max="19" width="16.33203125" style="41" bestFit="1" customWidth="1"/>
    <col min="20" max="20" width="10" style="41" customWidth="1"/>
    <col min="21" max="21" width="4" style="41" customWidth="1"/>
    <col min="22" max="24" width="12.33203125" style="41" customWidth="1"/>
    <col min="25" max="25" width="3.1640625" style="41" customWidth="1"/>
    <col min="26" max="27" width="12.33203125" style="41" customWidth="1"/>
    <col min="28" max="28" width="11.83203125" style="41" customWidth="1"/>
    <col min="29" max="29" width="3.5" style="41" customWidth="1"/>
    <col min="30" max="31" width="12.33203125" style="41" customWidth="1"/>
    <col min="32" max="32" width="12" style="41" customWidth="1"/>
    <col min="33" max="33" width="10.6640625" style="41" customWidth="1"/>
    <col min="34" max="35" width="12.33203125" style="41" customWidth="1"/>
    <col min="36" max="36" width="2.83203125" style="34" customWidth="1"/>
    <col min="37" max="38" width="15.1640625" style="41" bestFit="1" customWidth="1"/>
    <col min="39" max="39" width="14.5" style="41" bestFit="1" customWidth="1"/>
    <col min="40" max="40" width="3" style="34" customWidth="1"/>
    <col min="41" max="42" width="15.1640625" style="41" bestFit="1" customWidth="1"/>
    <col min="43" max="43" width="14.5" style="41" bestFit="1" customWidth="1"/>
    <col min="44" max="44" width="2.6640625" style="41" customWidth="1"/>
    <col min="45" max="46" width="15.1640625" style="41" bestFit="1" customWidth="1"/>
    <col min="47" max="47" width="14.5" style="41" bestFit="1" customWidth="1"/>
    <col min="48" max="48" width="5.33203125" style="41" customWidth="1"/>
    <col min="49" max="49" width="15.5" style="34" customWidth="1"/>
    <col min="50" max="50" width="19.5" style="34" bestFit="1" customWidth="1"/>
    <col min="51" max="51" width="21.83203125" style="34" bestFit="1" customWidth="1"/>
    <col min="52" max="52" width="9" style="34"/>
    <col min="53" max="53" width="12.5" style="34" bestFit="1" customWidth="1"/>
    <col min="54" max="55" width="8.33203125" style="34" customWidth="1"/>
    <col min="56" max="56" width="12" style="52" bestFit="1" customWidth="1"/>
    <col min="57" max="57" width="12.83203125" style="52" bestFit="1" customWidth="1"/>
    <col min="58" max="58" width="9.5" style="52" bestFit="1" customWidth="1"/>
    <col min="59" max="59" width="12" style="34" bestFit="1" customWidth="1"/>
    <col min="60" max="61" width="12" style="52" bestFit="1" customWidth="1"/>
    <col min="62" max="62" width="9.1640625" style="52"/>
    <col min="63" max="63" width="12" style="76" customWidth="1"/>
    <col min="64" max="72" width="12" style="52" customWidth="1"/>
    <col min="73" max="75" width="12" style="76" customWidth="1"/>
    <col min="76" max="79" width="9" style="34"/>
    <col min="80" max="80" width="10" style="34" bestFit="1" customWidth="1"/>
    <col min="81" max="81" width="10.5" style="34" bestFit="1" customWidth="1"/>
    <col min="82" max="82" width="9" style="34"/>
    <col min="83" max="83" width="11.1640625" style="34" bestFit="1" customWidth="1"/>
    <col min="84" max="85" width="11.1640625" style="34" customWidth="1"/>
    <col min="86" max="86" width="9.83203125" style="34" bestFit="1" customWidth="1"/>
    <col min="87" max="87" width="10" style="34" bestFit="1" customWidth="1"/>
    <col min="88" max="88" width="14" style="34" bestFit="1" customWidth="1"/>
    <col min="89" max="89" width="15.5" style="34" bestFit="1" customWidth="1"/>
    <col min="90" max="90" width="15.5" style="34" customWidth="1"/>
    <col min="91" max="91" width="9" style="34"/>
    <col min="92" max="92" width="15.5" style="34" bestFit="1" customWidth="1"/>
    <col min="93" max="93" width="16.33203125" style="34" bestFit="1" customWidth="1"/>
    <col min="94" max="94" width="9.5" style="77" bestFit="1" customWidth="1"/>
    <col min="95" max="95" width="12.5" style="34" bestFit="1" customWidth="1"/>
    <col min="96" max="96" width="12.83203125" style="34" bestFit="1" customWidth="1"/>
    <col min="97" max="97" width="12.5" style="78" bestFit="1" customWidth="1"/>
    <col min="98" max="98" width="12.83203125" style="34" bestFit="1" customWidth="1"/>
    <col min="99" max="99" width="10.5" style="79" bestFit="1" customWidth="1"/>
    <col min="100" max="100" width="11" style="34" bestFit="1" customWidth="1"/>
    <col min="101" max="101" width="9.1640625" style="80"/>
    <col min="102" max="102" width="10.1640625" style="34" bestFit="1" customWidth="1"/>
    <col min="103" max="103" width="9.1640625" style="77"/>
    <col min="104" max="106" width="9" style="34"/>
    <col min="107" max="107" width="8.6640625" style="77" bestFit="1" customWidth="1"/>
    <col min="108" max="108" width="12.5" style="77" bestFit="1" customWidth="1"/>
    <col min="109" max="144" width="9" style="34"/>
    <col min="145" max="145" width="12.5" style="34" bestFit="1" customWidth="1"/>
    <col min="146" max="16384" width="9" style="34"/>
  </cols>
  <sheetData>
    <row r="1" spans="1:135" customFormat="1" ht="51" customHeight="1">
      <c r="A1" s="83" t="s">
        <v>154</v>
      </c>
      <c r="B1" s="84" t="s">
        <v>189</v>
      </c>
      <c r="C1" s="84" t="s">
        <v>190</v>
      </c>
      <c r="D1" s="84" t="s">
        <v>191</v>
      </c>
      <c r="E1" s="84" t="s">
        <v>192</v>
      </c>
      <c r="F1" s="21"/>
      <c r="G1" s="84" t="s">
        <v>193</v>
      </c>
      <c r="H1" s="84" t="s">
        <v>194</v>
      </c>
      <c r="I1" s="89" t="s">
        <v>165</v>
      </c>
      <c r="J1" s="84" t="s">
        <v>195</v>
      </c>
      <c r="K1" s="84" t="s">
        <v>196</v>
      </c>
      <c r="L1" s="89" t="s">
        <v>170</v>
      </c>
      <c r="M1" s="84" t="s">
        <v>197</v>
      </c>
      <c r="N1" s="84" t="s">
        <v>198</v>
      </c>
      <c r="O1" s="89" t="s">
        <v>201</v>
      </c>
      <c r="P1" s="84" t="s">
        <v>199</v>
      </c>
      <c r="Q1" s="84" t="s">
        <v>200</v>
      </c>
      <c r="R1" s="89" t="s">
        <v>171</v>
      </c>
      <c r="S1" s="10"/>
      <c r="T1" s="11"/>
      <c r="U1" s="15"/>
      <c r="V1" s="12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2"/>
      <c r="AH1" s="12"/>
      <c r="AI1" s="13"/>
      <c r="AJ1" s="10"/>
      <c r="AK1" s="10"/>
      <c r="AL1" s="10"/>
      <c r="AM1" s="11"/>
      <c r="AN1" s="12"/>
      <c r="AO1" s="11"/>
      <c r="AP1" s="10"/>
      <c r="AQ1" s="14"/>
      <c r="AR1" s="11"/>
      <c r="AS1" s="11"/>
      <c r="AT1" s="11"/>
      <c r="AU1" s="10"/>
      <c r="AV1" s="15"/>
      <c r="AW1" s="10"/>
      <c r="AX1" s="10"/>
      <c r="AY1" s="10"/>
      <c r="AZ1" s="11"/>
      <c r="BA1" s="16"/>
      <c r="BB1" s="17"/>
      <c r="BC1" s="11"/>
      <c r="BD1" s="15"/>
      <c r="BE1" s="18"/>
      <c r="BF1" s="10"/>
      <c r="BG1" s="15"/>
      <c r="BH1" s="10"/>
      <c r="BI1" s="19"/>
      <c r="BJ1" s="10"/>
      <c r="BK1" s="17"/>
      <c r="BL1" s="10"/>
      <c r="BM1" s="10"/>
      <c r="BN1" s="10"/>
      <c r="BO1" s="17"/>
      <c r="BP1" s="17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6"/>
      <c r="CB1" s="6"/>
      <c r="CZ1" t="s">
        <v>155</v>
      </c>
      <c r="DA1" t="s">
        <v>156</v>
      </c>
    </row>
    <row r="2" spans="1:135" customFormat="1">
      <c r="A2" s="85" t="s">
        <v>203</v>
      </c>
      <c r="B2" s="95">
        <v>166.39906453952401</v>
      </c>
      <c r="C2" s="95">
        <v>231.931939144708</v>
      </c>
      <c r="D2" s="95">
        <v>59.005139392738897</v>
      </c>
      <c r="E2" s="95">
        <v>1.4228091429015901</v>
      </c>
      <c r="F2" s="21"/>
      <c r="G2" s="93">
        <f>AVERAGE(S6:S135)</f>
        <v>-4.2851192679686041E-14</v>
      </c>
      <c r="H2" s="93">
        <f>AVERAGE(T6:T135)</f>
        <v>-3.1154566106404396E-14</v>
      </c>
      <c r="I2" s="92">
        <f>SUM(D6:D764)</f>
        <v>5648395.2651707605</v>
      </c>
      <c r="J2" s="93">
        <f>AVERAGE(W6:W135)</f>
        <v>-3.5745765322085039E-14</v>
      </c>
      <c r="K2" s="93">
        <f>AVERAGE(X6:X135)</f>
        <v>-2.7492538160563877E-14</v>
      </c>
      <c r="L2" s="92">
        <f>SUM(H6:H764)</f>
        <v>7881227.5328119006</v>
      </c>
      <c r="M2" s="93">
        <f>AVERAGE(AA6:AA135)</f>
        <v>-1.831013972920258E-15</v>
      </c>
      <c r="N2" s="93">
        <f>AVERAGE(AB6:AB135)</f>
        <v>3.2930922945804646E-14</v>
      </c>
      <c r="O2" s="92">
        <f>SUM(L6:L764)</f>
        <v>2161284.6233073096</v>
      </c>
      <c r="P2" s="93">
        <f>AVERAGE(AE6:AE135)</f>
        <v>2.7488554548192281E-8</v>
      </c>
      <c r="Q2" s="93">
        <f>AVERAGE(AF6:AF135)</f>
        <v>1.5705584516672715E-8</v>
      </c>
      <c r="R2" s="92">
        <f>SUM(P6:P764)</f>
        <v>1920.2684774969828</v>
      </c>
      <c r="S2" s="12"/>
      <c r="T2" s="12"/>
      <c r="U2" s="11"/>
      <c r="V2" s="11"/>
      <c r="W2" s="11"/>
      <c r="X2" s="11"/>
      <c r="Y2" s="11"/>
      <c r="Z2" s="11"/>
      <c r="AA2" s="11"/>
      <c r="AB2" s="11"/>
      <c r="AC2" s="11"/>
      <c r="AD2" s="11"/>
      <c r="AE2" s="12"/>
      <c r="AF2" s="12"/>
      <c r="AG2" s="23"/>
      <c r="AH2" s="10"/>
      <c r="AI2" s="10"/>
      <c r="AJ2" s="10"/>
      <c r="AK2" s="24"/>
      <c r="AL2" s="24"/>
      <c r="AM2" s="24"/>
      <c r="AN2" s="24"/>
      <c r="AO2" s="24"/>
      <c r="AP2" s="24"/>
      <c r="AQ2" s="24"/>
      <c r="AR2" s="11"/>
      <c r="AS2" s="25"/>
      <c r="AT2" s="25"/>
      <c r="AU2" s="25"/>
      <c r="AV2" s="25"/>
      <c r="AW2" s="25"/>
      <c r="AX2" s="25"/>
      <c r="AY2" s="25"/>
      <c r="AZ2" s="26"/>
      <c r="BA2" s="25"/>
      <c r="BB2" s="27"/>
      <c r="BC2" s="18"/>
      <c r="BD2" s="10"/>
      <c r="BE2" s="15"/>
      <c r="BF2" s="10"/>
      <c r="BG2" s="19"/>
      <c r="BH2" s="10"/>
      <c r="BI2" s="17"/>
      <c r="BJ2" s="10"/>
      <c r="BK2" s="10"/>
      <c r="BL2" s="10"/>
      <c r="BM2" s="17"/>
      <c r="BN2" s="17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6"/>
      <c r="BZ2" s="6"/>
      <c r="CW2">
        <v>1</v>
      </c>
      <c r="CX2">
        <v>8.9418705382709227E-2</v>
      </c>
      <c r="CY2">
        <v>8.9418705382709227E-2</v>
      </c>
    </row>
    <row r="3" spans="1:135" s="6" customFormat="1">
      <c r="A3" s="28"/>
      <c r="B3" s="20"/>
      <c r="C3" s="20"/>
      <c r="D3" s="20"/>
      <c r="E3" s="20"/>
      <c r="F3" s="21"/>
      <c r="G3" s="20"/>
      <c r="H3" s="20"/>
      <c r="I3" s="7"/>
      <c r="J3" s="12"/>
      <c r="K3" s="20"/>
      <c r="L3" s="20"/>
      <c r="M3" s="7"/>
      <c r="N3" s="12"/>
      <c r="O3" s="20"/>
      <c r="P3" s="20"/>
      <c r="Q3" s="7"/>
      <c r="R3" s="12"/>
      <c r="S3" s="20"/>
      <c r="T3" s="20"/>
      <c r="U3" s="7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2"/>
      <c r="AV3" s="12"/>
      <c r="AW3" s="23"/>
      <c r="AX3" s="10"/>
      <c r="AY3" s="10"/>
      <c r="AZ3" s="10"/>
      <c r="BA3" s="24"/>
      <c r="BB3" s="24"/>
      <c r="BC3" s="24"/>
      <c r="BD3" s="24"/>
      <c r="BE3" s="24"/>
      <c r="BF3" s="24"/>
      <c r="BG3" s="24"/>
      <c r="BH3" s="11"/>
      <c r="BI3" s="25"/>
      <c r="BJ3" s="25"/>
      <c r="BK3" s="25"/>
      <c r="BL3" s="25"/>
      <c r="BM3" s="25"/>
      <c r="BN3" s="25"/>
      <c r="BO3" s="25"/>
      <c r="BP3" s="26"/>
      <c r="BQ3" s="25"/>
      <c r="BR3" s="27"/>
      <c r="BS3" s="18"/>
      <c r="BT3" s="10"/>
      <c r="BU3" s="15"/>
      <c r="BV3" s="10"/>
      <c r="BW3" s="19"/>
      <c r="BX3" s="10"/>
      <c r="BY3" s="17"/>
      <c r="BZ3" s="10"/>
      <c r="CA3" s="10"/>
      <c r="CB3" s="10"/>
      <c r="CC3" s="17"/>
      <c r="CD3" s="17"/>
      <c r="CE3" s="10"/>
      <c r="CF3" s="10"/>
      <c r="CG3" s="10"/>
      <c r="CH3" s="10"/>
      <c r="CI3" s="10"/>
      <c r="CJ3" s="10"/>
      <c r="CK3" s="10"/>
      <c r="CL3" s="10"/>
      <c r="CM3" s="10"/>
      <c r="CN3" s="10"/>
    </row>
    <row r="4" spans="1:135" customFormat="1" ht="16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28"/>
      <c r="O4" s="20"/>
      <c r="P4" s="20"/>
      <c r="Q4" s="20"/>
      <c r="R4" s="101" t="s">
        <v>166</v>
      </c>
      <c r="S4" s="101"/>
      <c r="T4" s="101"/>
      <c r="U4" s="22"/>
      <c r="V4" s="101" t="s">
        <v>167</v>
      </c>
      <c r="W4" s="101"/>
      <c r="X4" s="101"/>
      <c r="Y4" s="22"/>
      <c r="Z4" s="101" t="s">
        <v>168</v>
      </c>
      <c r="AA4" s="101"/>
      <c r="AB4" s="101"/>
      <c r="AC4" s="9"/>
      <c r="AD4" s="101" t="s">
        <v>169</v>
      </c>
      <c r="AE4" s="101"/>
      <c r="AF4" s="101"/>
      <c r="AG4" s="12"/>
      <c r="AH4" s="12"/>
      <c r="AI4" s="12"/>
      <c r="AJ4" s="11"/>
      <c r="AK4" s="11"/>
      <c r="AL4" s="11"/>
      <c r="AM4" s="11"/>
      <c r="AN4" s="11"/>
      <c r="AO4" s="11"/>
      <c r="AP4" s="11"/>
      <c r="AQ4" s="11"/>
      <c r="AR4" s="11"/>
      <c r="AS4" s="12"/>
      <c r="AT4" s="12"/>
      <c r="AU4" s="23"/>
      <c r="AV4" s="10"/>
      <c r="AW4" s="10"/>
      <c r="AX4" s="10"/>
      <c r="AY4" s="24"/>
      <c r="AZ4" s="24"/>
      <c r="BA4" s="24"/>
      <c r="BB4" s="24"/>
      <c r="BC4" s="24"/>
      <c r="BD4" s="24"/>
      <c r="BE4" s="24"/>
      <c r="BF4" s="11"/>
      <c r="BG4" s="25"/>
      <c r="BH4" s="25"/>
      <c r="BI4" s="25"/>
      <c r="BJ4" s="25"/>
      <c r="BK4" s="25"/>
      <c r="BL4" s="25"/>
      <c r="BM4" s="25"/>
      <c r="BN4" s="26"/>
      <c r="BO4" s="25"/>
      <c r="BP4" s="27"/>
      <c r="BQ4" s="18"/>
      <c r="BR4" s="10"/>
      <c r="BS4" s="15"/>
      <c r="BT4" s="10"/>
      <c r="BU4" s="19"/>
      <c r="BV4" s="10"/>
      <c r="BW4" s="17"/>
      <c r="BX4" s="10"/>
      <c r="BY4" s="10"/>
      <c r="BZ4" s="10"/>
      <c r="CA4" s="17"/>
      <c r="CB4" s="17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6"/>
      <c r="CN4" s="6"/>
    </row>
    <row r="5" spans="1:135" s="70" customFormat="1" ht="48">
      <c r="A5" s="86" t="s">
        <v>164</v>
      </c>
      <c r="B5" s="86" t="s">
        <v>175</v>
      </c>
      <c r="C5" s="86" t="s">
        <v>176</v>
      </c>
      <c r="D5" s="87" t="s">
        <v>174</v>
      </c>
      <c r="E5" s="88" t="s">
        <v>177</v>
      </c>
      <c r="F5" s="86" t="s">
        <v>178</v>
      </c>
      <c r="G5" s="86" t="s">
        <v>179</v>
      </c>
      <c r="H5" s="87" t="s">
        <v>180</v>
      </c>
      <c r="I5" s="88" t="s">
        <v>181</v>
      </c>
      <c r="J5" s="86" t="s">
        <v>182</v>
      </c>
      <c r="K5" s="86" t="s">
        <v>183</v>
      </c>
      <c r="L5" s="87" t="s">
        <v>184</v>
      </c>
      <c r="M5" s="88" t="s">
        <v>185</v>
      </c>
      <c r="N5" s="86" t="s">
        <v>186</v>
      </c>
      <c r="O5" s="86" t="s">
        <v>187</v>
      </c>
      <c r="P5" s="86" t="s">
        <v>188</v>
      </c>
      <c r="Q5" s="64"/>
      <c r="R5" s="82" t="s">
        <v>157</v>
      </c>
      <c r="S5" s="82" t="s">
        <v>158</v>
      </c>
      <c r="T5" s="82" t="s">
        <v>159</v>
      </c>
      <c r="U5" s="64"/>
      <c r="V5" s="82" t="s">
        <v>157</v>
      </c>
      <c r="W5" s="82" t="s">
        <v>158</v>
      </c>
      <c r="X5" s="82" t="s">
        <v>159</v>
      </c>
      <c r="Y5" s="64"/>
      <c r="Z5" s="82" t="s">
        <v>157</v>
      </c>
      <c r="AA5" s="82" t="s">
        <v>158</v>
      </c>
      <c r="AB5" s="82" t="s">
        <v>159</v>
      </c>
      <c r="AC5" s="64"/>
      <c r="AD5" s="82" t="s">
        <v>157</v>
      </c>
      <c r="AE5" s="82" t="s">
        <v>158</v>
      </c>
      <c r="AF5" s="82" t="s">
        <v>159</v>
      </c>
      <c r="AG5" s="29"/>
      <c r="AH5" s="29"/>
      <c r="AI5" s="30"/>
      <c r="AJ5" s="30"/>
      <c r="AK5" s="30"/>
      <c r="AL5" s="29"/>
      <c r="AM5" s="30"/>
      <c r="AN5" s="30"/>
      <c r="AO5" s="30"/>
      <c r="AP5" s="32"/>
      <c r="AQ5" s="30"/>
      <c r="AR5" s="30"/>
      <c r="AS5" s="30"/>
      <c r="AT5" s="30"/>
      <c r="AU5" s="30"/>
      <c r="AV5" s="29"/>
      <c r="AW5" s="30"/>
      <c r="AX5" s="30"/>
      <c r="AY5" s="30"/>
      <c r="AZ5" s="32"/>
      <c r="BA5" s="32"/>
      <c r="BB5" s="32"/>
      <c r="BC5" s="66"/>
      <c r="BD5" s="65"/>
      <c r="BE5" s="66"/>
      <c r="BF5" s="29"/>
      <c r="BG5" s="29"/>
      <c r="BH5" s="29"/>
      <c r="BI5" s="30"/>
      <c r="BJ5" s="30"/>
      <c r="BK5" s="30"/>
      <c r="BL5" s="30"/>
      <c r="BM5" s="29"/>
      <c r="BN5" s="29"/>
      <c r="BO5" s="29"/>
      <c r="BP5" s="30"/>
      <c r="BQ5" s="30"/>
      <c r="BR5" s="29"/>
      <c r="BS5" s="29"/>
      <c r="BT5" s="29"/>
      <c r="BU5" s="33"/>
      <c r="BV5" s="33"/>
      <c r="BW5" s="33"/>
      <c r="BX5" s="33"/>
      <c r="BY5" s="33"/>
      <c r="BZ5" s="33"/>
      <c r="CA5" s="33"/>
      <c r="CB5" s="67"/>
      <c r="CC5" s="33"/>
      <c r="CD5" s="33"/>
      <c r="CE5" s="66"/>
      <c r="CF5" s="66"/>
      <c r="CG5" s="66"/>
      <c r="CH5" s="68"/>
      <c r="CI5" s="68"/>
      <c r="CJ5" s="66"/>
      <c r="CK5" s="66"/>
      <c r="CL5" s="66"/>
      <c r="CM5" s="66"/>
      <c r="CN5" s="66"/>
      <c r="CO5" s="66"/>
      <c r="CP5" s="66"/>
      <c r="CQ5" s="66"/>
      <c r="CR5" s="66"/>
      <c r="CS5" s="66"/>
      <c r="CT5" s="66"/>
      <c r="CU5" s="66"/>
      <c r="CV5" s="69"/>
      <c r="CW5" s="69"/>
      <c r="CX5" s="69"/>
      <c r="CY5" s="69"/>
      <c r="CZ5" s="69"/>
      <c r="DA5" s="69"/>
      <c r="DB5" s="69"/>
      <c r="DC5" s="69"/>
      <c r="DD5" s="69"/>
      <c r="DE5" s="69"/>
      <c r="DF5" s="69"/>
      <c r="DG5" s="69"/>
      <c r="DH5" s="69"/>
      <c r="DI5" s="69"/>
      <c r="DJ5" s="69"/>
      <c r="DK5" s="69"/>
      <c r="DL5" s="69"/>
      <c r="DM5" s="69"/>
      <c r="DN5" s="69"/>
      <c r="DO5" s="69"/>
      <c r="DP5" s="69"/>
      <c r="DQ5" s="69"/>
      <c r="DR5" s="69"/>
      <c r="DS5" s="69"/>
      <c r="DT5" s="69"/>
      <c r="DU5" s="69"/>
      <c r="DV5" s="69"/>
      <c r="DW5" s="69"/>
      <c r="DX5" s="69"/>
      <c r="DY5" s="69"/>
      <c r="DZ5" s="69"/>
    </row>
    <row r="6" spans="1:135" customFormat="1">
      <c r="A6" s="71">
        <f>'Old Data'!$I2-'Old Data'!$S2</f>
        <v>-19</v>
      </c>
      <c r="B6" s="72">
        <f>VLOOKUP('Old Data'!$F2,$R$6:$T$135,2,FALSE)+VLOOKUP('Old Data'!$P2,$R$6:$T$135,3,FALSE)+$B$2</f>
        <v>178.89490862348012</v>
      </c>
      <c r="C6" s="72">
        <f>VLOOKUP('Old Data'!$P2,$R$6:$T$135,2,FALSE)+VLOOKUP('Old Data'!$F2,$R$6:$T$135,3,FALSE)+$B$2</f>
        <v>195.23777482968541</v>
      </c>
      <c r="D6" s="74">
        <f>('Old Data'!$I2-$B6)^2+('Old Data'!$S2-$C6)^2</f>
        <v>692.94827021555943</v>
      </c>
      <c r="E6" s="75">
        <f>'Old Data'!$K2-'Old Data'!$U2</f>
        <v>75</v>
      </c>
      <c r="F6" s="72">
        <f>VLOOKUP('Old Data'!$F2,$V$6:$X$135,2,FALSE)+VLOOKUP('Old Data'!$P2,$V$6:$X$135,3,FALSE)+$C$2</f>
        <v>349.3254787838855</v>
      </c>
      <c r="G6" s="72">
        <f>VLOOKUP('Old Data'!$P2,$V$6:$X$135,2,FALSE)+VLOOKUP('Old Data'!$F2,$V$6:$X$135,3,FALSE)+$C$2</f>
        <v>289.31441312830049</v>
      </c>
      <c r="H6" s="74">
        <f>('Old Data'!$K2-$F6)^2+('Old Data'!$U2-$G6)^2</f>
        <v>12651.295993182659</v>
      </c>
      <c r="I6" s="75">
        <f>('Old Data'!$L2+'Old Data'!$M2)-('Old Data'!$V2+'Old Data'!$W2)</f>
        <v>30</v>
      </c>
      <c r="J6" s="72">
        <f>VLOOKUP('Old Data'!$F2,$Z$6:$AB$135,2,FALSE)+VLOOKUP('Old Data'!$P2,$Z$6:$AB$135,3,FALSE)+$D$2</f>
        <v>50.814682965018491</v>
      </c>
      <c r="K6" s="72">
        <f>VLOOKUP('Old Data'!$P2,$Z$6:$AB$135,2,FALSE)+VLOOKUP('Old Data'!$F2,$Z$6:$AB$135,3,FALSE)+$D$2</f>
        <v>69.742340478171073</v>
      </c>
      <c r="L6" s="74">
        <f>('Old Data'!$L2+'Old Data'!$M2-$J6)^2+('Old Data'!$V2+'Old Data'!$W2-$K6)^2</f>
        <v>1200.2270193066886</v>
      </c>
      <c r="M6" s="75">
        <f>'Old Data'!$N2-'Old Data'!$X2</f>
        <v>-4</v>
      </c>
      <c r="N6" s="72">
        <f>VLOOKUP('Old Data'!$F2,$AD$6:$AF$135,2,FALSE)+VLOOKUP('Old Data'!$P2,$AD$6:$AF$135,3,FALSE)+$E$2</f>
        <v>1.1521493731249401</v>
      </c>
      <c r="O6" s="72">
        <f>VLOOKUP('Old Data'!$P2,$AD$6:$AF$135,2,FALSE)+VLOOKUP('Old Data'!$F2,$AD$6:$AF$135,3,FALSE)+$E$2</f>
        <v>1.916142384644218</v>
      </c>
      <c r="P6" s="73">
        <f>('Old Data'!$N2-$N6)^2+('Old Data'!$X2-$O6)^2</f>
        <v>17.396743707991849</v>
      </c>
      <c r="Q6" s="62"/>
      <c r="R6" s="90" t="s">
        <v>39</v>
      </c>
      <c r="S6" s="96">
        <v>84.338923513652006</v>
      </c>
      <c r="T6" s="96">
        <v>-34.108759278864099</v>
      </c>
      <c r="U6" s="35"/>
      <c r="V6" s="90" t="s">
        <v>39</v>
      </c>
      <c r="W6" s="96">
        <v>-92.038832779339899</v>
      </c>
      <c r="X6" s="96">
        <v>-33.817414858996699</v>
      </c>
      <c r="Y6" s="35"/>
      <c r="Z6" s="90" t="s">
        <v>39</v>
      </c>
      <c r="AA6" s="96">
        <v>-59.087324123852497</v>
      </c>
      <c r="AB6" s="96">
        <v>14.1955763861148</v>
      </c>
      <c r="AC6" s="63"/>
      <c r="AD6" s="90" t="s">
        <v>39</v>
      </c>
      <c r="AE6" s="96">
        <v>-0.54681065139292195</v>
      </c>
      <c r="AF6" s="96">
        <v>-1.14595851248845E-2</v>
      </c>
      <c r="AG6" s="11"/>
      <c r="AH6" s="11"/>
      <c r="AI6" s="11"/>
      <c r="AJ6" s="11"/>
      <c r="AK6" s="11"/>
      <c r="AL6" s="36"/>
      <c r="AM6" s="11"/>
      <c r="AN6" s="11"/>
      <c r="AO6" s="11"/>
      <c r="AP6" s="12"/>
      <c r="AQ6" s="11"/>
      <c r="AR6" s="11"/>
      <c r="AS6" s="15"/>
      <c r="AT6" s="15"/>
      <c r="AU6" s="15"/>
      <c r="AV6" s="15"/>
      <c r="AW6" s="15"/>
      <c r="AX6" s="15"/>
      <c r="AY6" s="15"/>
      <c r="AZ6" s="12"/>
      <c r="BA6" s="11"/>
      <c r="BB6" s="11"/>
      <c r="BC6" s="10"/>
      <c r="BD6" s="10"/>
      <c r="BE6" s="10"/>
      <c r="BF6" s="23"/>
      <c r="BG6" s="23"/>
      <c r="BH6" s="23"/>
      <c r="BI6" s="23"/>
      <c r="BJ6" s="23"/>
      <c r="BK6" s="23"/>
      <c r="BL6" s="23"/>
      <c r="BM6" s="11"/>
      <c r="BN6" s="11"/>
      <c r="BO6" s="11"/>
      <c r="BP6" s="11"/>
      <c r="BQ6" s="11"/>
      <c r="BR6" s="11"/>
      <c r="BS6" s="16"/>
      <c r="BT6" s="16"/>
      <c r="BU6" s="17"/>
      <c r="BV6" s="18"/>
      <c r="BW6" s="18"/>
      <c r="BX6" s="18"/>
      <c r="BY6" s="18"/>
      <c r="BZ6" s="18"/>
      <c r="CA6" s="18"/>
      <c r="CB6" s="19"/>
      <c r="CC6" s="15"/>
      <c r="CD6" s="17"/>
      <c r="CE6" s="2"/>
      <c r="CF6" s="2"/>
      <c r="CG6" s="10"/>
      <c r="CH6" s="17"/>
      <c r="CI6" s="17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/>
      <c r="DJ6" s="34"/>
      <c r="DK6" s="34"/>
      <c r="DL6" s="34"/>
      <c r="DM6" s="34"/>
      <c r="DN6" s="34"/>
      <c r="DO6" s="34"/>
      <c r="DP6" s="34"/>
      <c r="DQ6" s="34"/>
      <c r="DR6" s="34"/>
      <c r="DS6" s="34"/>
      <c r="DT6" s="34"/>
      <c r="DU6" s="34"/>
      <c r="DV6" s="34"/>
      <c r="DW6" s="34"/>
      <c r="DX6" s="34"/>
      <c r="DY6" s="34"/>
      <c r="DZ6" s="34"/>
    </row>
    <row r="7" spans="1:135" customFormat="1">
      <c r="A7" s="71">
        <f>'Old Data'!$I3-'Old Data'!$S3</f>
        <v>51</v>
      </c>
      <c r="B7" s="72">
        <f>VLOOKUP('Old Data'!$F3,$R$6:$T$135,2,FALSE)+VLOOKUP('Old Data'!$P3,$R$6:$T$135,3,FALSE)+$B$2</f>
        <v>238.43564307447099</v>
      </c>
      <c r="C7" s="72">
        <f>VLOOKUP('Old Data'!$P3,$R$6:$T$135,2,FALSE)+VLOOKUP('Old Data'!$F3,$R$6:$T$135,3,FALSE)+$B$2</f>
        <v>136.66376127169661</v>
      </c>
      <c r="D7" s="74">
        <f>('Old Data'!$I3-$B7)^2+('Old Data'!$S3-$C7)^2</f>
        <v>4825.2468965875432</v>
      </c>
      <c r="E7" s="75">
        <f>'Old Data'!$K3-'Old Data'!$U3</f>
        <v>204</v>
      </c>
      <c r="F7" s="72">
        <f>VLOOKUP('Old Data'!$F3,$V$6:$X$135,2,FALSE)+VLOOKUP('Old Data'!$P3,$V$6:$X$135,3,FALSE)+$C$2</f>
        <v>260.77315201200292</v>
      </c>
      <c r="G7" s="72">
        <f>VLOOKUP('Old Data'!$P3,$V$6:$X$135,2,FALSE)+VLOOKUP('Old Data'!$F3,$V$6:$X$135,3,FALSE)+$C$2</f>
        <v>220.3254480560652</v>
      </c>
      <c r="H7" s="74">
        <f>('Old Data'!$K3-$F7)^2+('Old Data'!$U3-$G7)^2</f>
        <v>20230.717839592973</v>
      </c>
      <c r="I7" s="75">
        <f>('Old Data'!$L3+'Old Data'!$M3)-('Old Data'!$V3+'Old Data'!$W3)</f>
        <v>-167</v>
      </c>
      <c r="J7" s="72">
        <f>VLOOKUP('Old Data'!$F3,$Z$6:$AB$135,2,FALSE)+VLOOKUP('Old Data'!$P3,$Z$6:$AB$135,3,FALSE)+$D$2</f>
        <v>51.585922199833099</v>
      </c>
      <c r="K7" s="72">
        <f>VLOOKUP('Old Data'!$P3,$Z$6:$AB$135,2,FALSE)+VLOOKUP('Old Data'!$F3,$Z$6:$AB$135,3,FALSE)+$D$2</f>
        <v>111.40446162791949</v>
      </c>
      <c r="L7" s="74">
        <f>('Old Data'!$L3+'Old Data'!$M3-$J7)^2+('Old Data'!$V3+'Old Data'!$W3-$K7)^2</f>
        <v>5761.9904884332045</v>
      </c>
      <c r="M7" s="75">
        <f>'Old Data'!$N3-'Old Data'!$X3</f>
        <v>1</v>
      </c>
      <c r="N7" s="72">
        <f>VLOOKUP('Old Data'!$F3,$AD$6:$AF$135,2,FALSE)+VLOOKUP('Old Data'!$P3,$AD$6:$AF$135,3,FALSE)+$E$2</f>
        <v>1.5073985847276521</v>
      </c>
      <c r="O7" s="72">
        <f>VLOOKUP('Old Data'!$P3,$AD$6:$AF$135,2,FALSE)+VLOOKUP('Old Data'!$F3,$AD$6:$AF$135,3,FALSE)+$E$2</f>
        <v>0.87299876596930703</v>
      </c>
      <c r="P7" s="73">
        <f>('Old Data'!$N3-$N7)^2+('Old Data'!$X3-$O7)^2</f>
        <v>0.25878546777363898</v>
      </c>
      <c r="Q7" s="62"/>
      <c r="R7" s="90" t="s">
        <v>118</v>
      </c>
      <c r="S7" s="96">
        <v>-154.599775016911</v>
      </c>
      <c r="T7" s="96">
        <v>67.771705158148805</v>
      </c>
      <c r="U7" s="35"/>
      <c r="V7" s="90" t="s">
        <v>118</v>
      </c>
      <c r="W7" s="96">
        <v>-62.317078422287402</v>
      </c>
      <c r="X7" s="96">
        <v>-6.3345728746576704</v>
      </c>
      <c r="Y7" s="35"/>
      <c r="Z7" s="90" t="s">
        <v>118</v>
      </c>
      <c r="AA7" s="96">
        <v>22.761190980672701</v>
      </c>
      <c r="AB7" s="96">
        <v>-37.114355314928602</v>
      </c>
      <c r="AC7" s="63"/>
      <c r="AD7" s="90" t="s">
        <v>118</v>
      </c>
      <c r="AE7" s="96">
        <v>-0.61539484124344501</v>
      </c>
      <c r="AF7" s="96">
        <v>0.782644581199615</v>
      </c>
      <c r="AG7" s="11"/>
      <c r="AH7" s="11"/>
      <c r="AI7" s="11"/>
      <c r="AJ7" s="11"/>
      <c r="AK7" s="11"/>
      <c r="AL7" s="36"/>
      <c r="AM7" s="11"/>
      <c r="AN7" s="11"/>
      <c r="AO7" s="11"/>
      <c r="AP7" s="12"/>
      <c r="AQ7" s="11"/>
      <c r="AR7" s="11"/>
      <c r="AS7" s="15"/>
      <c r="AT7" s="15"/>
      <c r="AU7" s="15"/>
      <c r="AV7" s="15"/>
      <c r="AW7" s="15"/>
      <c r="AX7" s="15"/>
      <c r="AY7" s="15"/>
      <c r="AZ7" s="12"/>
      <c r="BA7" s="11"/>
      <c r="BB7" s="11"/>
      <c r="BC7" s="10"/>
      <c r="BD7" s="10"/>
      <c r="BE7" s="10"/>
      <c r="BF7" s="23"/>
      <c r="BG7" s="23"/>
      <c r="BH7" s="23"/>
      <c r="BI7" s="23"/>
      <c r="BJ7" s="23"/>
      <c r="BK7" s="23"/>
      <c r="BL7" s="23"/>
      <c r="BM7" s="11"/>
      <c r="BN7" s="11"/>
      <c r="BO7" s="11"/>
      <c r="BP7" s="11"/>
      <c r="BQ7" s="11"/>
      <c r="BR7" s="11"/>
      <c r="BS7" s="16"/>
      <c r="BT7" s="16"/>
      <c r="BU7" s="17"/>
      <c r="BV7" s="18"/>
      <c r="BW7" s="18"/>
      <c r="BX7" s="18"/>
      <c r="BY7" s="18"/>
      <c r="BZ7" s="18"/>
      <c r="CA7" s="18"/>
      <c r="CB7" s="19"/>
      <c r="CC7" s="15"/>
      <c r="CD7" s="17"/>
      <c r="CE7" s="2"/>
      <c r="CF7" s="2"/>
      <c r="CG7" s="10"/>
      <c r="CH7" s="17"/>
      <c r="CI7" s="17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34"/>
      <c r="CW7" s="34"/>
      <c r="CX7" s="34"/>
      <c r="CY7" s="34"/>
      <c r="CZ7" s="34"/>
      <c r="DA7" s="34"/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DM7" s="34"/>
      <c r="DN7" s="34"/>
      <c r="DO7" s="34"/>
      <c r="DP7" s="34"/>
      <c r="DQ7" s="34"/>
      <c r="DR7" s="34"/>
      <c r="DS7" s="34"/>
      <c r="DT7" s="34"/>
      <c r="DU7" s="34"/>
      <c r="DV7" s="34"/>
      <c r="DW7" s="34"/>
      <c r="DX7" s="34"/>
      <c r="DY7" s="34"/>
      <c r="DZ7" s="34"/>
    </row>
    <row r="8" spans="1:135" customFormat="1">
      <c r="A8" s="71">
        <f>'Old Data'!$I4-'Old Data'!$S4</f>
        <v>-168</v>
      </c>
      <c r="B8" s="72">
        <f>VLOOKUP('Old Data'!$F4,$R$6:$T$135,2,FALSE)+VLOOKUP('Old Data'!$P4,$R$6:$T$135,3,FALSE)+$B$2</f>
        <v>35.729046918635618</v>
      </c>
      <c r="C8" s="72">
        <f>VLOOKUP('Old Data'!$P4,$R$6:$T$135,2,FALSE)+VLOOKUP('Old Data'!$F4,$R$6:$T$135,3,FALSE)+$B$2</f>
        <v>270.49769477529281</v>
      </c>
      <c r="D8" s="74">
        <f>('Old Data'!$I4-$B8)^2+('Old Data'!$S4-$C8)^2</f>
        <v>3276.6217562803217</v>
      </c>
      <c r="E8" s="75">
        <f>'Old Data'!$K4-'Old Data'!$U4</f>
        <v>102</v>
      </c>
      <c r="F8" s="72">
        <f>VLOOKUP('Old Data'!$F4,$V$6:$X$135,2,FALSE)+VLOOKUP('Old Data'!$P4,$V$6:$X$135,3,FALSE)+$C$2</f>
        <v>240.42426790746771</v>
      </c>
      <c r="G8" s="72">
        <f>VLOOKUP('Old Data'!$P4,$V$6:$X$135,2,FALSE)+VLOOKUP('Old Data'!$F4,$V$6:$X$135,3,FALSE)+$C$2</f>
        <v>185.705542640749</v>
      </c>
      <c r="H8" s="74">
        <f>('Old Data'!$K4-$F8)^2+('Old Data'!$U4-$G8)^2</f>
        <v>7404.3066769914976</v>
      </c>
      <c r="I8" s="75">
        <f>('Old Data'!$L4+'Old Data'!$M4)-('Old Data'!$V4+'Old Data'!$W4)</f>
        <v>-14</v>
      </c>
      <c r="J8" s="72">
        <f>VLOOKUP('Old Data'!$F4,$Z$6:$AB$135,2,FALSE)+VLOOKUP('Old Data'!$P4,$Z$6:$AB$135,3,FALSE)+$D$2</f>
        <v>51.610668752229444</v>
      </c>
      <c r="K8" s="72">
        <f>VLOOKUP('Old Data'!$P4,$Z$6:$AB$135,2,FALSE)+VLOOKUP('Old Data'!$F4,$Z$6:$AB$135,3,FALSE)+$D$2</f>
        <v>44.192110725327197</v>
      </c>
      <c r="L8" s="74">
        <f>('Old Data'!$L4+'Old Data'!$M4-$J8)^2+('Old Data'!$V4+'Old Data'!$W4-$K8)^2</f>
        <v>387.84679253914527</v>
      </c>
      <c r="M8" s="75">
        <f>'Old Data'!$N4-'Old Data'!$X4</f>
        <v>-3</v>
      </c>
      <c r="N8" s="72">
        <f>VLOOKUP('Old Data'!$F4,$AD$6:$AF$135,2,FALSE)+VLOOKUP('Old Data'!$P4,$AD$6:$AF$135,3,FALSE)+$E$2</f>
        <v>1.1869054112919981</v>
      </c>
      <c r="O8" s="72">
        <f>VLOOKUP('Old Data'!$P4,$AD$6:$AF$135,2,FALSE)+VLOOKUP('Old Data'!$F4,$AD$6:$AF$135,3,FALSE)+$E$2</f>
        <v>1.6435888284954541</v>
      </c>
      <c r="P8" s="73">
        <f>('Old Data'!$N4-$N8)^2+('Old Data'!$X4-$O8)^2</f>
        <v>3.248595721536562</v>
      </c>
      <c r="Q8" s="62"/>
      <c r="R8" s="90" t="s">
        <v>40</v>
      </c>
      <c r="S8" s="96">
        <v>-63.678310499131499</v>
      </c>
      <c r="T8" s="96">
        <v>57.827587274985</v>
      </c>
      <c r="U8" s="35"/>
      <c r="V8" s="90" t="s">
        <v>40</v>
      </c>
      <c r="W8" s="96">
        <v>70.800631303864094</v>
      </c>
      <c r="X8" s="96">
        <v>47.062407398300401</v>
      </c>
      <c r="Y8" s="35"/>
      <c r="Z8" s="90" t="s">
        <v>40</v>
      </c>
      <c r="AA8" s="96">
        <v>28.069092482991</v>
      </c>
      <c r="AB8" s="96">
        <v>17.936626811171799</v>
      </c>
      <c r="AC8" s="63"/>
      <c r="AD8" s="90" t="s">
        <v>40</v>
      </c>
      <c r="AE8" s="96">
        <v>-1.38472592673556E-2</v>
      </c>
      <c r="AF8" s="96">
        <v>0.56277499517585605</v>
      </c>
      <c r="AG8" s="63"/>
      <c r="AH8" s="37"/>
      <c r="AI8" s="43"/>
      <c r="AJ8" s="44"/>
      <c r="AK8" s="10"/>
      <c r="AL8" s="10"/>
      <c r="AM8" s="10"/>
      <c r="AN8" s="11"/>
      <c r="AO8" s="11"/>
      <c r="AP8" s="11"/>
      <c r="AQ8" s="36"/>
      <c r="AR8" s="11"/>
      <c r="AS8" s="11"/>
      <c r="AT8" s="11"/>
      <c r="AU8" s="12"/>
      <c r="AV8" s="11"/>
      <c r="AW8" s="11"/>
      <c r="AX8" s="15"/>
      <c r="AY8" s="15"/>
      <c r="AZ8" s="15"/>
      <c r="BA8" s="15"/>
      <c r="BB8" s="15"/>
      <c r="BC8" s="15"/>
      <c r="BD8" s="15"/>
      <c r="BE8" s="12"/>
      <c r="BF8" s="11"/>
      <c r="BG8" s="11"/>
      <c r="BH8" s="10"/>
      <c r="BI8" s="10"/>
      <c r="BJ8" s="10"/>
      <c r="BK8" s="23"/>
      <c r="BL8" s="23"/>
      <c r="BM8" s="23"/>
      <c r="BN8" s="23"/>
      <c r="BO8" s="23"/>
      <c r="BP8" s="23"/>
      <c r="BQ8" s="23"/>
      <c r="BR8" s="11"/>
      <c r="BS8" s="16"/>
      <c r="BT8" s="16"/>
      <c r="BU8" s="16"/>
      <c r="BV8" s="16"/>
      <c r="BW8" s="11"/>
      <c r="BX8" s="16"/>
      <c r="BY8" s="39"/>
      <c r="BZ8" s="17"/>
      <c r="CA8" s="40"/>
      <c r="CB8" s="40"/>
      <c r="CC8" s="40"/>
      <c r="CD8" s="40"/>
      <c r="CE8" s="40"/>
      <c r="CF8" s="40"/>
      <c r="CG8" s="19"/>
      <c r="CH8" s="15"/>
      <c r="CI8" s="17"/>
      <c r="CJ8" s="2"/>
      <c r="CK8" s="2"/>
      <c r="CL8" s="10"/>
      <c r="CM8" s="17"/>
      <c r="CN8" s="17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34"/>
      <c r="DB8" s="34"/>
      <c r="DC8" s="34"/>
      <c r="DD8" s="41"/>
      <c r="DE8" s="41"/>
      <c r="DF8" s="34"/>
      <c r="DG8" s="34"/>
      <c r="DH8" s="42"/>
      <c r="DI8" s="42"/>
      <c r="DJ8" s="42"/>
      <c r="DK8" s="42"/>
      <c r="DL8" s="42"/>
      <c r="DM8" s="42"/>
      <c r="DN8" s="42"/>
      <c r="DO8" s="42"/>
      <c r="DP8" s="34"/>
      <c r="DQ8" s="34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  <c r="ED8" s="34"/>
      <c r="EE8" s="34"/>
    </row>
    <row r="9" spans="1:135" customFormat="1">
      <c r="A9" s="71">
        <f>'Old Data'!$I5-'Old Data'!$S5</f>
        <v>119</v>
      </c>
      <c r="B9" s="72">
        <f>VLOOKUP('Old Data'!$F5,$R$6:$T$135,2,FALSE)+VLOOKUP('Old Data'!$P5,$R$6:$T$135,3,FALSE)+$B$2</f>
        <v>190.62732811685299</v>
      </c>
      <c r="C9" s="72">
        <f>VLOOKUP('Old Data'!$P5,$R$6:$T$135,2,FALSE)+VLOOKUP('Old Data'!$F5,$R$6:$T$135,3,FALSE)+$B$2</f>
        <v>140.85857434003751</v>
      </c>
      <c r="D9" s="74">
        <f>('Old Data'!$I5-$B9)^2+('Old Data'!$S5-$C9)^2</f>
        <v>6311.3601936127707</v>
      </c>
      <c r="E9" s="75">
        <f>'Old Data'!$K5-'Old Data'!$U5</f>
        <v>86</v>
      </c>
      <c r="F9" s="72">
        <f>VLOOKUP('Old Data'!$F5,$V$6:$X$135,2,FALSE)+VLOOKUP('Old Data'!$P5,$V$6:$X$135,3,FALSE)+$C$2</f>
        <v>232.1001241722463</v>
      </c>
      <c r="G9" s="72">
        <f>VLOOKUP('Old Data'!$P5,$V$6:$X$135,2,FALSE)+VLOOKUP('Old Data'!$F5,$V$6:$X$135,3,FALSE)+$C$2</f>
        <v>233.32772733358911</v>
      </c>
      <c r="H9" s="74">
        <f>('Old Data'!$K5-$F9)^2+('Old Data'!$U5-$G9)^2</f>
        <v>6077.5849559828466</v>
      </c>
      <c r="I9" s="75">
        <f>('Old Data'!$L5+'Old Data'!$M5)-('Old Data'!$V5+'Old Data'!$W5)</f>
        <v>41</v>
      </c>
      <c r="J9" s="72">
        <f>VLOOKUP('Old Data'!$F5,$Z$6:$AB$135,2,FALSE)+VLOOKUP('Old Data'!$P5,$Z$6:$AB$135,3,FALSE)+$D$2</f>
        <v>33.344864274911885</v>
      </c>
      <c r="K9" s="72">
        <f>VLOOKUP('Old Data'!$P5,$Z$6:$AB$135,2,FALSE)+VLOOKUP('Old Data'!$F5,$Z$6:$AB$135,3,FALSE)+$D$2</f>
        <v>59.597415253466593</v>
      </c>
      <c r="L9" s="74">
        <f>('Old Data'!$L5+'Old Data'!$M5-$J9)^2+('Old Data'!$V5+'Old Data'!$W5-$K9)^2</f>
        <v>2651.8382991825692</v>
      </c>
      <c r="M9" s="75">
        <f>'Old Data'!$N5-'Old Data'!$X5</f>
        <v>2</v>
      </c>
      <c r="N9" s="72">
        <f>VLOOKUP('Old Data'!$F5,$AD$6:$AF$135,2,FALSE)+VLOOKUP('Old Data'!$P5,$AD$6:$AF$135,3,FALSE)+$E$2</f>
        <v>2.2194692457462599</v>
      </c>
      <c r="O9" s="72">
        <f>VLOOKUP('Old Data'!$P5,$AD$6:$AF$135,2,FALSE)+VLOOKUP('Old Data'!$F5,$AD$6:$AF$135,3,FALSE)+$E$2</f>
        <v>1.4579757252721084</v>
      </c>
      <c r="P9" s="73">
        <f>('Old Data'!$N5-$N9)^2+('Old Data'!$X5-$O9)^2</f>
        <v>3.4640800812376895</v>
      </c>
      <c r="Q9" s="62"/>
      <c r="R9" s="90" t="s">
        <v>119</v>
      </c>
      <c r="S9" s="96">
        <v>7.9488233422548102</v>
      </c>
      <c r="T9" s="96">
        <v>-28.097441662193798</v>
      </c>
      <c r="U9" s="35"/>
      <c r="V9" s="90" t="s">
        <v>119</v>
      </c>
      <c r="W9" s="96">
        <v>112.996086518799</v>
      </c>
      <c r="X9" s="96">
        <v>-26.6080779904613</v>
      </c>
      <c r="Y9" s="35"/>
      <c r="Z9" s="90" t="s">
        <v>119</v>
      </c>
      <c r="AA9" s="96">
        <v>33.175255064944203</v>
      </c>
      <c r="AB9" s="96">
        <v>-11.521963580664201</v>
      </c>
      <c r="AC9" s="63"/>
      <c r="AD9" s="90" t="s">
        <v>119</v>
      </c>
      <c r="AE9" s="96">
        <v>0.236512414478078</v>
      </c>
      <c r="AF9" s="96">
        <v>-0.53095229839366298</v>
      </c>
      <c r="AG9" s="63"/>
      <c r="AH9" s="37"/>
      <c r="AI9" s="22"/>
      <c r="AJ9" s="8"/>
      <c r="AK9" s="10"/>
      <c r="AL9" s="10"/>
      <c r="AM9" s="10"/>
      <c r="AN9" s="11"/>
      <c r="AO9" s="11"/>
      <c r="AP9" s="11"/>
      <c r="AQ9" s="36"/>
      <c r="AR9" s="11"/>
      <c r="AS9" s="11"/>
      <c r="AT9" s="11"/>
      <c r="AU9" s="12"/>
      <c r="AV9" s="11"/>
      <c r="AW9" s="11"/>
      <c r="AX9" s="15"/>
      <c r="AY9" s="15"/>
      <c r="AZ9" s="15"/>
      <c r="BA9" s="15"/>
      <c r="BB9" s="15"/>
      <c r="BC9" s="15"/>
      <c r="BD9" s="15"/>
      <c r="BE9" s="12"/>
      <c r="BF9" s="11"/>
      <c r="BG9" s="11"/>
      <c r="BH9" s="10"/>
      <c r="BI9" s="10"/>
      <c r="BJ9" s="10"/>
      <c r="BK9" s="23"/>
      <c r="BL9" s="23"/>
      <c r="BM9" s="23"/>
      <c r="BN9" s="23"/>
      <c r="BO9" s="23"/>
      <c r="BP9" s="23"/>
      <c r="BQ9" s="23"/>
      <c r="BR9" s="11"/>
      <c r="BS9" s="16"/>
      <c r="BT9" s="16"/>
      <c r="BU9" s="16"/>
      <c r="BV9" s="16"/>
      <c r="BW9" s="11"/>
      <c r="BX9" s="16"/>
      <c r="BY9" s="16"/>
      <c r="BZ9" s="17"/>
      <c r="CA9" s="18"/>
      <c r="CB9" s="18"/>
      <c r="CC9" s="18"/>
      <c r="CD9" s="18"/>
      <c r="CE9" s="18"/>
      <c r="CF9" s="18"/>
      <c r="CG9" s="19"/>
      <c r="CH9" s="15"/>
      <c r="CI9" s="17"/>
      <c r="CJ9" s="2"/>
      <c r="CK9" s="2"/>
      <c r="CL9" s="10"/>
      <c r="CM9" s="17"/>
      <c r="CN9" s="17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</row>
    <row r="10" spans="1:135" customFormat="1">
      <c r="A10" s="71">
        <f>'Old Data'!$I6-'Old Data'!$S6</f>
        <v>254</v>
      </c>
      <c r="B10" s="72">
        <f>VLOOKUP('Old Data'!$F6,$R$6:$T$135,2,FALSE)+VLOOKUP('Old Data'!$P6,$R$6:$T$135,3,FALSE)+$B$2</f>
        <v>282.53805682136181</v>
      </c>
      <c r="C10" s="72">
        <f>VLOOKUP('Old Data'!$P6,$R$6:$T$135,2,FALSE)+VLOOKUP('Old Data'!$F6,$R$6:$T$135,3,FALSE)+$B$2</f>
        <v>107.43160146448571</v>
      </c>
      <c r="D10" s="74">
        <f>('Old Data'!$I6-$B10)^2+('Old Data'!$S6-$C10)^2</f>
        <v>18959.49697860724</v>
      </c>
      <c r="E10" s="75">
        <f>'Old Data'!$K6-'Old Data'!$U6</f>
        <v>84</v>
      </c>
      <c r="F10" s="72">
        <f>VLOOKUP('Old Data'!$F6,$V$6:$X$135,2,FALSE)+VLOOKUP('Old Data'!$P6,$V$6:$X$135,3,FALSE)+$C$2</f>
        <v>268.37013954139678</v>
      </c>
      <c r="G10" s="72">
        <f>VLOOKUP('Old Data'!$P6,$V$6:$X$135,2,FALSE)+VLOOKUP('Old Data'!$F6,$V$6:$X$135,3,FALSE)+$C$2</f>
        <v>85.59541720971248</v>
      </c>
      <c r="H10" s="74">
        <f>('Old Data'!$K6-$F10)^2+('Old Data'!$U6-$G10)^2</f>
        <v>4886.3612520149272</v>
      </c>
      <c r="I10" s="75">
        <f>('Old Data'!$L6+'Old Data'!$M6)-('Old Data'!$V6+'Old Data'!$W6)</f>
        <v>26</v>
      </c>
      <c r="J10" s="72">
        <f>VLOOKUP('Old Data'!$F6,$Z$6:$AB$135,2,FALSE)+VLOOKUP('Old Data'!$P6,$Z$6:$AB$135,3,FALSE)+$D$2</f>
        <v>58.573238418444497</v>
      </c>
      <c r="K10" s="72">
        <f>VLOOKUP('Old Data'!$P6,$Z$6:$AB$135,2,FALSE)+VLOOKUP('Old Data'!$F6,$Z$6:$AB$135,3,FALSE)+$D$2</f>
        <v>45.573758206578297</v>
      </c>
      <c r="L10" s="74">
        <f>('Old Data'!$L6+'Old Data'!$M6-$J10)^2+('Old Data'!$V6+'Old Data'!$W6-$K10)^2</f>
        <v>86.223568134667715</v>
      </c>
      <c r="M10" s="75">
        <f>'Old Data'!$N6-'Old Data'!$X6</f>
        <v>1</v>
      </c>
      <c r="N10" s="72">
        <f>VLOOKUP('Old Data'!$F6,$AD$6:$AF$135,2,FALSE)+VLOOKUP('Old Data'!$P6,$AD$6:$AF$135,3,FALSE)+$E$2</f>
        <v>2.6445742286319822</v>
      </c>
      <c r="O10" s="72">
        <f>VLOOKUP('Old Data'!$P6,$AD$6:$AF$135,2,FALSE)+VLOOKUP('Old Data'!$F6,$AD$6:$AF$135,3,FALSE)+$E$2</f>
        <v>0.90725105314566412</v>
      </c>
      <c r="P10" s="73">
        <f>('Old Data'!$N6-$N10)^2+('Old Data'!$X6-$O10)^2</f>
        <v>6.2167771762485167</v>
      </c>
      <c r="Q10" s="62"/>
      <c r="R10" s="90" t="s">
        <v>90</v>
      </c>
      <c r="S10" s="96">
        <v>17.808762894195901</v>
      </c>
      <c r="T10" s="96">
        <v>-18.732084157876098</v>
      </c>
      <c r="U10" s="35"/>
      <c r="V10" s="90" t="s">
        <v>90</v>
      </c>
      <c r="W10" s="96">
        <v>-19.171825604070499</v>
      </c>
      <c r="X10" s="96">
        <v>-17.3723676230683</v>
      </c>
      <c r="Y10" s="35"/>
      <c r="Z10" s="90" t="s">
        <v>90</v>
      </c>
      <c r="AA10" s="96">
        <v>-2.8678102767656402</v>
      </c>
      <c r="AB10" s="96">
        <v>21.376391453316401</v>
      </c>
      <c r="AC10" s="63"/>
      <c r="AD10" s="90" t="s">
        <v>90</v>
      </c>
      <c r="AE10" s="96">
        <v>0.13211743342726501</v>
      </c>
      <c r="AF10" s="96">
        <v>-0.44733996565299</v>
      </c>
      <c r="AG10" s="63"/>
      <c r="AH10" s="37"/>
      <c r="AI10" s="22"/>
      <c r="AJ10" s="8"/>
      <c r="AK10" s="10"/>
      <c r="AL10" s="10"/>
      <c r="AM10" s="10"/>
      <c r="AN10" s="11"/>
      <c r="AO10" s="11"/>
      <c r="AP10" s="11"/>
      <c r="AQ10" s="36"/>
      <c r="AR10" s="11"/>
      <c r="AS10" s="11"/>
      <c r="AT10" s="11"/>
      <c r="AU10" s="12"/>
      <c r="AV10" s="11"/>
      <c r="AW10" s="11"/>
      <c r="AX10" s="15"/>
      <c r="AY10" s="15"/>
      <c r="AZ10" s="15"/>
      <c r="BA10" s="15"/>
      <c r="BB10" s="15"/>
      <c r="BC10" s="15"/>
      <c r="BD10" s="15"/>
      <c r="BE10" s="12"/>
      <c r="BF10" s="11"/>
      <c r="BG10" s="11"/>
      <c r="BH10" s="10"/>
      <c r="BI10" s="10"/>
      <c r="BJ10" s="10"/>
      <c r="BK10" s="23"/>
      <c r="BL10" s="23"/>
      <c r="BM10" s="23"/>
      <c r="BN10" s="23"/>
      <c r="BO10" s="23"/>
      <c r="BP10" s="23"/>
      <c r="BQ10" s="23"/>
      <c r="BR10" s="11"/>
      <c r="BS10" s="45"/>
      <c r="BT10" s="45"/>
      <c r="BU10" s="45"/>
      <c r="BV10" s="45"/>
      <c r="BW10" s="11"/>
      <c r="BX10" s="16"/>
      <c r="BY10" s="16"/>
      <c r="BZ10" s="17"/>
      <c r="CA10" s="18"/>
      <c r="CB10" s="18"/>
      <c r="CC10" s="18"/>
      <c r="CD10" s="18"/>
      <c r="CE10" s="18"/>
      <c r="CF10" s="18"/>
      <c r="CG10" s="19"/>
      <c r="CH10" s="15"/>
      <c r="CI10" s="17"/>
      <c r="CJ10" s="2"/>
      <c r="CK10" s="2"/>
      <c r="CL10" s="10"/>
      <c r="CM10" s="17"/>
      <c r="CN10" s="17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34"/>
      <c r="DB10" s="34"/>
      <c r="DC10" s="34"/>
      <c r="DD10" s="34"/>
      <c r="DE10" s="34"/>
      <c r="DF10" s="34"/>
      <c r="DG10" s="34"/>
      <c r="DH10" s="34"/>
      <c r="DI10" s="34"/>
      <c r="DJ10" s="34"/>
      <c r="DK10" s="34"/>
      <c r="DL10" s="34"/>
      <c r="DM10" s="34"/>
      <c r="DN10" s="34"/>
      <c r="DO10" s="34"/>
      <c r="DP10" s="34"/>
      <c r="DQ10" s="34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  <c r="ED10" s="34"/>
      <c r="EE10" s="34"/>
    </row>
    <row r="11" spans="1:135" customFormat="1">
      <c r="A11" s="71">
        <f>'Old Data'!$I7-'Old Data'!$S7</f>
        <v>291</v>
      </c>
      <c r="B11" s="72">
        <f>VLOOKUP('Old Data'!$F7,$R$6:$T$135,2,FALSE)+VLOOKUP('Old Data'!$P7,$R$6:$T$135,3,FALSE)+$B$2</f>
        <v>299.77430428917808</v>
      </c>
      <c r="C11" s="72">
        <f>VLOOKUP('Old Data'!$P7,$R$6:$T$135,2,FALSE)+VLOOKUP('Old Data'!$F7,$R$6:$T$135,3,FALSE)+$B$2</f>
        <v>96.673015069821204</v>
      </c>
      <c r="D11" s="74">
        <f>('Old Data'!$I7-$B11)^2+('Old Data'!$S7-$C11)^2</f>
        <v>3941.8765740870513</v>
      </c>
      <c r="E11" s="75">
        <f>'Old Data'!$K7-'Old Data'!$U7</f>
        <v>-13</v>
      </c>
      <c r="F11" s="72">
        <f>VLOOKUP('Old Data'!$F7,$V$6:$X$135,2,FALSE)+VLOOKUP('Old Data'!$P7,$V$6:$X$135,3,FALSE)+$C$2</f>
        <v>149.6306939552712</v>
      </c>
      <c r="G11" s="72">
        <f>VLOOKUP('Old Data'!$P7,$V$6:$X$135,2,FALSE)+VLOOKUP('Old Data'!$F7,$V$6:$X$135,3,FALSE)+$C$2</f>
        <v>205.70928347634893</v>
      </c>
      <c r="H11" s="74">
        <f>('Old Data'!$K7-$F11)^2+('Old Data'!$U7-$G11)^2</f>
        <v>2063.6213131719933</v>
      </c>
      <c r="I11" s="75">
        <f>('Old Data'!$L7+'Old Data'!$M7)-('Old Data'!$V7+'Old Data'!$W7)</f>
        <v>4</v>
      </c>
      <c r="J11" s="72">
        <f>VLOOKUP('Old Data'!$F7,$Z$6:$AB$135,2,FALSE)+VLOOKUP('Old Data'!$P7,$Z$6:$AB$135,3,FALSE)+$D$2</f>
        <v>58.8211957640099</v>
      </c>
      <c r="K11" s="72">
        <f>VLOOKUP('Old Data'!$P7,$Z$6:$AB$135,2,FALSE)+VLOOKUP('Old Data'!$F7,$Z$6:$AB$135,3,FALSE)+$D$2</f>
        <v>37.941549312423192</v>
      </c>
      <c r="L11" s="74">
        <f>('Old Data'!$L7+'Old Data'!$M7-$J11)^2+('Old Data'!$V7+'Old Data'!$W7-$K11)^2</f>
        <v>1056.7874154012832</v>
      </c>
      <c r="M11" s="75">
        <f>'Old Data'!$N7-'Old Data'!$X7</f>
        <v>1</v>
      </c>
      <c r="N11" s="72">
        <f>VLOOKUP('Old Data'!$F7,$AD$6:$AF$135,2,FALSE)+VLOOKUP('Old Data'!$P7,$AD$6:$AF$135,3,FALSE)+$E$2</f>
        <v>0.85995294112759746</v>
      </c>
      <c r="O11" s="72">
        <f>VLOOKUP('Old Data'!$P7,$AD$6:$AF$135,2,FALSE)+VLOOKUP('Old Data'!$F7,$AD$6:$AF$135,3,FALSE)+$E$2</f>
        <v>1.2203430657907899</v>
      </c>
      <c r="P11" s="73">
        <f>('Old Data'!$N7-$N11)^2+('Old Data'!$X7-$O11)^2</f>
        <v>1.3482583630856995</v>
      </c>
      <c r="Q11" s="62"/>
      <c r="R11" s="90" t="s">
        <v>41</v>
      </c>
      <c r="S11" s="96">
        <v>-7.8779746776399797</v>
      </c>
      <c r="T11" s="96">
        <v>85.984822852651405</v>
      </c>
      <c r="U11" s="35"/>
      <c r="V11" s="90" t="s">
        <v>41</v>
      </c>
      <c r="W11" s="96">
        <v>-19.4212586502032</v>
      </c>
      <c r="X11" s="96">
        <v>-24.825476717690801</v>
      </c>
      <c r="Y11" s="35"/>
      <c r="Z11" s="90" t="s">
        <v>41</v>
      </c>
      <c r="AA11" s="96">
        <v>20.232851143974699</v>
      </c>
      <c r="AB11" s="96">
        <v>-27.0187270345277</v>
      </c>
      <c r="AC11" s="63"/>
      <c r="AD11" s="90" t="s">
        <v>41</v>
      </c>
      <c r="AE11" s="96">
        <v>-0.23280198908813701</v>
      </c>
      <c r="AF11" s="96">
        <v>0.51847539820728805</v>
      </c>
      <c r="AG11" s="63"/>
      <c r="AH11" s="37"/>
      <c r="AI11" s="22"/>
      <c r="AJ11" s="6"/>
      <c r="AK11" s="10"/>
      <c r="AL11" s="10"/>
      <c r="AM11" s="10"/>
      <c r="AN11" s="11"/>
      <c r="AO11" s="11"/>
      <c r="AP11" s="11"/>
      <c r="AQ11" s="36"/>
      <c r="AR11" s="11"/>
      <c r="AS11" s="11"/>
      <c r="AT11" s="11"/>
      <c r="AU11" s="12"/>
      <c r="AV11" s="11"/>
      <c r="AW11" s="11"/>
      <c r="AX11" s="15"/>
      <c r="AY11" s="15"/>
      <c r="AZ11" s="15"/>
      <c r="BA11" s="15"/>
      <c r="BB11" s="15"/>
      <c r="BC11" s="15"/>
      <c r="BD11" s="15"/>
      <c r="BE11" s="12"/>
      <c r="BF11" s="11"/>
      <c r="BG11" s="11"/>
      <c r="BH11" s="10"/>
      <c r="BI11" s="10"/>
      <c r="BJ11" s="10"/>
      <c r="BK11" s="23"/>
      <c r="BL11" s="23"/>
      <c r="BM11" s="23"/>
      <c r="BN11" s="23"/>
      <c r="BO11" s="23"/>
      <c r="BP11" s="23"/>
      <c r="BQ11" s="23"/>
      <c r="BR11" s="10"/>
      <c r="BS11" s="16"/>
      <c r="BT11" s="16"/>
      <c r="BU11" s="16"/>
      <c r="BV11" s="16"/>
      <c r="BW11" s="11"/>
      <c r="BX11" s="16"/>
      <c r="BY11" s="39"/>
      <c r="BZ11" s="17"/>
      <c r="CA11" s="40"/>
      <c r="CB11" s="40"/>
      <c r="CC11" s="40"/>
      <c r="CD11" s="40"/>
      <c r="CE11" s="40"/>
      <c r="CF11" s="18"/>
      <c r="CG11" s="19"/>
      <c r="CH11" s="15"/>
      <c r="CI11" s="17"/>
      <c r="CJ11" s="2"/>
      <c r="CK11" s="2"/>
      <c r="CL11" s="10"/>
      <c r="CM11" s="17"/>
      <c r="CN11" s="17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34"/>
      <c r="DB11" s="34"/>
      <c r="DC11" s="34"/>
      <c r="DD11" s="34"/>
      <c r="DE11" s="34"/>
      <c r="DF11" s="34"/>
      <c r="DG11" s="41"/>
      <c r="DH11" s="34"/>
      <c r="DI11" s="34"/>
      <c r="DJ11" s="42"/>
      <c r="DK11" s="34"/>
      <c r="DL11" s="34"/>
      <c r="DM11" s="34"/>
      <c r="DN11" s="34"/>
      <c r="DO11" s="34"/>
      <c r="DP11" s="42"/>
      <c r="DQ11" s="42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  <c r="ED11" s="34"/>
      <c r="EE11" s="34"/>
    </row>
    <row r="12" spans="1:135" customFormat="1">
      <c r="A12" s="71">
        <f>'Old Data'!$I8-'Old Data'!$S8</f>
        <v>226</v>
      </c>
      <c r="B12" s="72">
        <f>VLOOKUP('Old Data'!$F8,$R$6:$T$135,2,FALSE)+VLOOKUP('Old Data'!$P8,$R$6:$T$135,3,FALSE)+$B$2</f>
        <v>254.27090181525031</v>
      </c>
      <c r="C12" s="72">
        <f>VLOOKUP('Old Data'!$P8,$R$6:$T$135,2,FALSE)+VLOOKUP('Old Data'!$F8,$R$6:$T$135,3,FALSE)+$B$2</f>
        <v>-8.8325422431983043</v>
      </c>
      <c r="D12" s="74">
        <f>('Old Data'!$I8-$B12)^2+('Old Data'!$S8-$C12)^2</f>
        <v>694.24393877257376</v>
      </c>
      <c r="E12" s="75">
        <f>'Old Data'!$K8-'Old Data'!$U8</f>
        <v>21</v>
      </c>
      <c r="F12" s="72">
        <f>VLOOKUP('Old Data'!$F8,$V$6:$X$135,2,FALSE)+VLOOKUP('Old Data'!$P8,$V$6:$X$135,3,FALSE)+$C$2</f>
        <v>205.19541324440328</v>
      </c>
      <c r="G12" s="72">
        <f>VLOOKUP('Old Data'!$P8,$V$6:$X$135,2,FALSE)+VLOOKUP('Old Data'!$F8,$V$6:$X$135,3,FALSE)+$C$2</f>
        <v>191.46244316152442</v>
      </c>
      <c r="H12" s="74">
        <f>('Old Data'!$K8-$F12)^2+('Old Data'!$U8-$G12)^2</f>
        <v>1100.2019983549749</v>
      </c>
      <c r="I12" s="75">
        <f>('Old Data'!$L8+'Old Data'!$M8)-('Old Data'!$V8+'Old Data'!$W8)</f>
        <v>-34</v>
      </c>
      <c r="J12" s="72">
        <f>VLOOKUP('Old Data'!$F8,$Z$6:$AB$135,2,FALSE)+VLOOKUP('Old Data'!$P8,$Z$6:$AB$135,3,FALSE)+$D$2</f>
        <v>68.504894187234768</v>
      </c>
      <c r="K12" s="72">
        <f>VLOOKUP('Old Data'!$P8,$Z$6:$AB$135,2,FALSE)+VLOOKUP('Old Data'!$F8,$Z$6:$AB$135,3,FALSE)+$D$2</f>
        <v>105.620233770957</v>
      </c>
      <c r="L12" s="74">
        <f>('Old Data'!$L8+'Old Data'!$M8-$J12)^2+('Old Data'!$V8+'Old Data'!$W8-$K12)^2</f>
        <v>2902.3702236864883</v>
      </c>
      <c r="M12" s="75">
        <f>'Old Data'!$N8-'Old Data'!$X8</f>
        <v>2</v>
      </c>
      <c r="N12" s="72">
        <f>VLOOKUP('Old Data'!$F8,$AD$6:$AF$135,2,FALSE)+VLOOKUP('Old Data'!$P8,$AD$6:$AF$135,3,FALSE)+$E$2</f>
        <v>2.0973357192514581</v>
      </c>
      <c r="O12" s="72">
        <f>VLOOKUP('Old Data'!$P8,$AD$6:$AF$135,2,FALSE)+VLOOKUP('Old Data'!$F8,$AD$6:$AF$135,3,FALSE)+$E$2</f>
        <v>0.80203264840608113</v>
      </c>
      <c r="P12" s="73">
        <f>('Old Data'!$N8-$N12)^2+('Old Data'!$X8-$O12)^2</f>
        <v>5.0552571407213147</v>
      </c>
      <c r="Q12" s="62"/>
      <c r="R12" s="90" t="s">
        <v>28</v>
      </c>
      <c r="S12" s="96">
        <v>77.613299564374501</v>
      </c>
      <c r="T12" s="96">
        <v>7.3170254259967802</v>
      </c>
      <c r="U12" s="35"/>
      <c r="V12" s="90" t="s">
        <v>28</v>
      </c>
      <c r="W12" s="96">
        <v>-153.40171446572401</v>
      </c>
      <c r="X12" s="96">
        <v>-40.076968884399598</v>
      </c>
      <c r="Y12" s="35"/>
      <c r="Z12" s="90" t="s">
        <v>28</v>
      </c>
      <c r="AA12" s="96">
        <v>-39.271450068201602</v>
      </c>
      <c r="AB12" s="96">
        <v>11.3202356032146</v>
      </c>
      <c r="AC12" s="63"/>
      <c r="AD12" s="90" t="s">
        <v>28</v>
      </c>
      <c r="AE12" s="96">
        <v>-0.46307152386273998</v>
      </c>
      <c r="AF12" s="96">
        <v>4.4023795845729401E-2</v>
      </c>
      <c r="AG12" s="63"/>
      <c r="AH12" s="46"/>
      <c r="AI12" s="22"/>
      <c r="AJ12" s="6"/>
      <c r="AK12" s="10"/>
      <c r="AL12" s="10"/>
      <c r="AM12" s="10"/>
      <c r="AN12" s="11"/>
      <c r="AO12" s="11"/>
      <c r="AP12" s="11"/>
      <c r="AQ12" s="36"/>
      <c r="AR12" s="11"/>
      <c r="AS12" s="11"/>
      <c r="AT12" s="11"/>
      <c r="AU12" s="12"/>
      <c r="AV12" s="11"/>
      <c r="AW12" s="11"/>
      <c r="AX12" s="15"/>
      <c r="AY12" s="15"/>
      <c r="AZ12" s="15"/>
      <c r="BA12" s="15"/>
      <c r="BB12" s="15"/>
      <c r="BC12" s="15"/>
      <c r="BD12" s="15"/>
      <c r="BE12" s="12"/>
      <c r="BF12" s="11"/>
      <c r="BG12" s="11"/>
      <c r="BH12" s="10"/>
      <c r="BI12" s="10"/>
      <c r="BJ12" s="10"/>
      <c r="BK12" s="23"/>
      <c r="BL12" s="23"/>
      <c r="BM12" s="23"/>
      <c r="BN12" s="23"/>
      <c r="BO12" s="23"/>
      <c r="BP12" s="23"/>
      <c r="BQ12" s="23"/>
      <c r="BR12" s="10"/>
      <c r="BS12" s="16"/>
      <c r="BT12" s="16"/>
      <c r="BU12" s="16"/>
      <c r="BV12" s="16"/>
      <c r="BW12" s="11"/>
      <c r="BX12" s="16"/>
      <c r="BY12" s="16"/>
      <c r="BZ12" s="17"/>
      <c r="CA12" s="18"/>
      <c r="CB12" s="18"/>
      <c r="CC12" s="18"/>
      <c r="CD12" s="18"/>
      <c r="CE12" s="18"/>
      <c r="CF12" s="18"/>
      <c r="CG12" s="19"/>
      <c r="CH12" s="15"/>
      <c r="CI12" s="17"/>
      <c r="CJ12" s="2"/>
      <c r="CK12" s="2"/>
      <c r="CL12" s="10"/>
      <c r="CM12" s="17"/>
      <c r="CN12" s="17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34"/>
      <c r="DB12" s="34"/>
      <c r="DC12" s="34"/>
      <c r="DD12" s="34"/>
      <c r="DE12" s="34"/>
      <c r="DF12" s="34"/>
      <c r="DG12" s="34"/>
      <c r="DH12" s="34"/>
      <c r="DI12" s="34"/>
      <c r="DJ12" s="34"/>
      <c r="DK12" s="34"/>
      <c r="DL12" s="34"/>
      <c r="DM12" s="34"/>
      <c r="DN12" s="34"/>
      <c r="DO12" s="34"/>
      <c r="DP12" s="34"/>
      <c r="DQ12" s="34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  <c r="ED12" s="34"/>
      <c r="EE12" s="34"/>
    </row>
    <row r="13" spans="1:135" customFormat="1">
      <c r="A13" s="71">
        <f>'Old Data'!$I9-'Old Data'!$S9</f>
        <v>50</v>
      </c>
      <c r="B13" s="72">
        <f>VLOOKUP('Old Data'!$F9,$R$6:$T$135,2,FALSE)+VLOOKUP('Old Data'!$P9,$R$6:$T$135,3,FALSE)+$B$2</f>
        <v>220.11968681645041</v>
      </c>
      <c r="C13" s="72">
        <f>VLOOKUP('Old Data'!$P9,$R$6:$T$135,2,FALSE)+VLOOKUP('Old Data'!$F9,$R$6:$T$135,3,FALSE)+$B$2</f>
        <v>132.62775531270637</v>
      </c>
      <c r="D13" s="74">
        <f>('Old Data'!$I9-$B13)^2+('Old Data'!$S9-$C13)^2</f>
        <v>2458.2552710595296</v>
      </c>
      <c r="E13" s="75">
        <f>'Old Data'!$K9-'Old Data'!$U9</f>
        <v>-9</v>
      </c>
      <c r="F13" s="72">
        <f>VLOOKUP('Old Data'!$F9,$V$6:$X$135,2,FALSE)+VLOOKUP('Old Data'!$P9,$V$6:$X$135,3,FALSE)+$C$2</f>
        <v>92.064256194493879</v>
      </c>
      <c r="G13" s="72">
        <f>VLOOKUP('Old Data'!$P9,$V$6:$X$135,2,FALSE)+VLOOKUP('Old Data'!$F9,$V$6:$X$135,3,FALSE)+$C$2</f>
        <v>119.30815679223741</v>
      </c>
      <c r="H13" s="74">
        <f>('Old Data'!$K9-$F13)^2+('Old Data'!$U9-$G13)^2</f>
        <v>4810.2409469527202</v>
      </c>
      <c r="I13" s="75">
        <f>('Old Data'!$L9+'Old Data'!$M9)-('Old Data'!$V9+'Old Data'!$W9)</f>
        <v>-42</v>
      </c>
      <c r="J13" s="72">
        <f>VLOOKUP('Old Data'!$F9,$Z$6:$AB$135,2,FALSE)+VLOOKUP('Old Data'!$P9,$Z$6:$AB$135,3,FALSE)+$D$2</f>
        <v>9.2445265601130941</v>
      </c>
      <c r="K13" s="72">
        <f>VLOOKUP('Old Data'!$P9,$Z$6:$AB$135,2,FALSE)+VLOOKUP('Old Data'!$F9,$Z$6:$AB$135,3,FALSE)+$D$2</f>
        <v>60.294880822606899</v>
      </c>
      <c r="L13" s="74">
        <f>('Old Data'!$L9+'Old Data'!$M9-$J13)^2+('Old Data'!$V9+'Old Data'!$W9-$K13)^2</f>
        <v>41.060528917866321</v>
      </c>
      <c r="M13" s="75">
        <f>'Old Data'!$N9-'Old Data'!$X9</f>
        <v>-1</v>
      </c>
      <c r="N13" s="72">
        <f>VLOOKUP('Old Data'!$F9,$AD$6:$AF$135,2,FALSE)+VLOOKUP('Old Data'!$P9,$AD$6:$AF$135,3,FALSE)+$E$2</f>
        <v>1.1200116161422711</v>
      </c>
      <c r="O13" s="72">
        <f>VLOOKUP('Old Data'!$P9,$AD$6:$AF$135,2,FALSE)+VLOOKUP('Old Data'!$F9,$AD$6:$AF$135,3,FALSE)+$E$2</f>
        <v>0.73004090861482351</v>
      </c>
      <c r="P13" s="73">
        <f>('Old Data'!$N9-$N13)^2+('Old Data'!$X9-$O13)^2</f>
        <v>1.327303931315132</v>
      </c>
      <c r="Q13" s="62"/>
      <c r="R13" s="90" t="s">
        <v>42</v>
      </c>
      <c r="S13" s="96">
        <v>-10.5606771317644</v>
      </c>
      <c r="T13" s="96">
        <v>37.410922577947503</v>
      </c>
      <c r="U13" s="35"/>
      <c r="V13" s="90" t="s">
        <v>42</v>
      </c>
      <c r="W13" s="96">
        <v>34.800769331115497</v>
      </c>
      <c r="X13" s="96">
        <v>22.1820712078705</v>
      </c>
      <c r="Y13" s="35"/>
      <c r="Z13" s="90" t="s">
        <v>42</v>
      </c>
      <c r="AA13" s="96">
        <v>3.9869493705467698</v>
      </c>
      <c r="AB13" s="96">
        <v>-24.747054155334901</v>
      </c>
      <c r="AC13" s="63"/>
      <c r="AD13" s="90" t="s">
        <v>42</v>
      </c>
      <c r="AE13" s="96">
        <v>-0.15520594648244199</v>
      </c>
      <c r="AF13" s="96">
        <v>-0.16282642922568299</v>
      </c>
      <c r="AG13" s="63"/>
      <c r="AH13" s="48"/>
      <c r="AI13" s="38"/>
      <c r="AJ13" s="8"/>
      <c r="AK13" s="10"/>
      <c r="AL13" s="10"/>
      <c r="AM13" s="10"/>
      <c r="AN13" s="11"/>
      <c r="AO13" s="11"/>
      <c r="AP13" s="11"/>
      <c r="AQ13" s="36"/>
      <c r="AR13" s="11"/>
      <c r="AS13" s="11"/>
      <c r="AT13" s="11"/>
      <c r="AU13" s="12"/>
      <c r="AV13" s="11"/>
      <c r="AW13" s="11"/>
      <c r="AX13" s="15"/>
      <c r="AY13" s="15"/>
      <c r="AZ13" s="15"/>
      <c r="BA13" s="15"/>
      <c r="BB13" s="15"/>
      <c r="BC13" s="15"/>
      <c r="BD13" s="15"/>
      <c r="BE13" s="12"/>
      <c r="BF13" s="11"/>
      <c r="BG13" s="11"/>
      <c r="BH13" s="10"/>
      <c r="BI13" s="10"/>
      <c r="BJ13" s="10"/>
      <c r="BK13" s="23"/>
      <c r="BL13" s="23"/>
      <c r="BM13" s="23"/>
      <c r="BN13" s="23"/>
      <c r="BO13" s="23"/>
      <c r="BP13" s="23"/>
      <c r="BQ13" s="23"/>
      <c r="BR13" s="10"/>
      <c r="BS13" s="47"/>
      <c r="BT13" s="47"/>
      <c r="BU13" s="47"/>
      <c r="BV13" s="47"/>
      <c r="BW13" s="11"/>
      <c r="BX13" s="16"/>
      <c r="BY13" s="39"/>
      <c r="BZ13" s="17"/>
      <c r="CA13" s="40"/>
      <c r="CB13" s="40"/>
      <c r="CC13" s="40"/>
      <c r="CD13" s="40"/>
      <c r="CE13" s="40"/>
      <c r="CF13" s="18"/>
      <c r="CG13" s="19"/>
      <c r="CH13" s="15"/>
      <c r="CI13" s="17"/>
      <c r="CJ13" s="10"/>
      <c r="CK13" s="10"/>
      <c r="CL13" s="10"/>
      <c r="CM13" s="17"/>
      <c r="CN13" s="17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34"/>
      <c r="DB13" s="34"/>
      <c r="DC13" s="34"/>
      <c r="DD13" s="41"/>
      <c r="DE13" s="41"/>
      <c r="DF13" s="34"/>
      <c r="DG13" s="34"/>
      <c r="DH13" s="34"/>
      <c r="DI13" s="42"/>
      <c r="DJ13" s="42"/>
      <c r="DK13" s="34"/>
      <c r="DL13" s="34"/>
      <c r="DM13" s="34"/>
      <c r="DN13" s="34"/>
      <c r="DO13" s="34"/>
      <c r="DP13" s="34"/>
      <c r="DQ13" s="34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  <c r="ED13" s="34"/>
      <c r="EE13" s="34"/>
    </row>
    <row r="14" spans="1:135" customFormat="1">
      <c r="A14" s="71">
        <f>'Old Data'!$I10-'Old Data'!$S10</f>
        <v>35</v>
      </c>
      <c r="B14" s="72">
        <f>VLOOKUP('Old Data'!$F10,$R$6:$T$135,2,FALSE)+VLOOKUP('Old Data'!$P10,$R$6:$T$135,3,FALSE)+$B$2</f>
        <v>142.54987451223391</v>
      </c>
      <c r="C14" s="72">
        <f>VLOOKUP('Old Data'!$P10,$R$6:$T$135,2,FALSE)+VLOOKUP('Old Data'!$F10,$R$6:$T$135,3,FALSE)+$B$2</f>
        <v>95.497722586538032</v>
      </c>
      <c r="D14" s="74">
        <f>('Old Data'!$I10-$B14)^2+('Old Data'!$S10-$C14)^2</f>
        <v>1699.8413503919342</v>
      </c>
      <c r="E14" s="75">
        <f>'Old Data'!$K10-'Old Data'!$U10</f>
        <v>42</v>
      </c>
      <c r="F14" s="72">
        <f>VLOOKUP('Old Data'!$F10,$V$6:$X$135,2,FALSE)+VLOOKUP('Old Data'!$P10,$V$6:$X$135,3,FALSE)+$C$2</f>
        <v>224.19987286135699</v>
      </c>
      <c r="G14" s="72">
        <f>VLOOKUP('Old Data'!$P10,$V$6:$X$135,2,FALSE)+VLOOKUP('Old Data'!$F10,$V$6:$X$135,3,FALSE)+$C$2</f>
        <v>251.340457459211</v>
      </c>
      <c r="H14" s="74">
        <f>('Old Data'!$K10-$F14)^2+('Old Data'!$U10-$G14)^2</f>
        <v>10523.478148406301</v>
      </c>
      <c r="I14" s="75">
        <f>('Old Data'!$L10+'Old Data'!$M10)-('Old Data'!$V10+'Old Data'!$W10)</f>
        <v>-19</v>
      </c>
      <c r="J14" s="72">
        <f>VLOOKUP('Old Data'!$F10,$Z$6:$AB$135,2,FALSE)+VLOOKUP('Old Data'!$P10,$Z$6:$AB$135,3,FALSE)+$D$2</f>
        <v>90.34439396261989</v>
      </c>
      <c r="K14" s="72">
        <f>VLOOKUP('Old Data'!$P10,$Z$6:$AB$135,2,FALSE)+VLOOKUP('Old Data'!$F10,$Z$6:$AB$135,3,FALSE)+$D$2</f>
        <v>61.481050490836097</v>
      </c>
      <c r="L14" s="74">
        <f>('Old Data'!$L10+'Old Data'!$M10-$J14)^2+('Old Data'!$V10+'Old Data'!$W10-$K14)^2</f>
        <v>2258.1691696559574</v>
      </c>
      <c r="M14" s="75">
        <f>'Old Data'!$N10-'Old Data'!$X10</f>
        <v>3</v>
      </c>
      <c r="N14" s="72">
        <f>VLOOKUP('Old Data'!$F10,$AD$6:$AF$135,2,FALSE)+VLOOKUP('Old Data'!$P10,$AD$6:$AF$135,3,FALSE)+$E$2</f>
        <v>1.8488720112401291</v>
      </c>
      <c r="O14" s="72">
        <f>VLOOKUP('Old Data'!$P10,$AD$6:$AF$135,2,FALSE)+VLOOKUP('Old Data'!$F10,$AD$6:$AF$135,3,FALSE)+$E$2</f>
        <v>1.5800035557689391</v>
      </c>
      <c r="P14" s="73">
        <f>('Old Data'!$N10-$N14)^2+('Old Data'!$X10-$O14)^2</f>
        <v>3.8215068827488365</v>
      </c>
      <c r="Q14" s="62"/>
      <c r="R14" s="90" t="s">
        <v>120</v>
      </c>
      <c r="S14" s="96">
        <v>40.861079822786699</v>
      </c>
      <c r="T14" s="96">
        <v>-56.192667626493801</v>
      </c>
      <c r="U14" s="35"/>
      <c r="V14" s="90" t="s">
        <v>120</v>
      </c>
      <c r="W14" s="96">
        <v>-7.1943058212895803</v>
      </c>
      <c r="X14" s="96">
        <v>-39.330545477597902</v>
      </c>
      <c r="Y14" s="35"/>
      <c r="Z14" s="90" t="s">
        <v>120</v>
      </c>
      <c r="AA14" s="96">
        <v>6.8349359010167596</v>
      </c>
      <c r="AB14" s="96">
        <v>-4.3189458367059501</v>
      </c>
      <c r="AC14" s="63"/>
      <c r="AD14" s="90" t="s">
        <v>120</v>
      </c>
      <c r="AE14" s="96">
        <v>0.47094257547124801</v>
      </c>
      <c r="AF14" s="96">
        <v>-0.161593085331936</v>
      </c>
      <c r="AG14" s="63"/>
      <c r="AH14" s="49"/>
      <c r="AI14" s="8"/>
      <c r="AJ14" s="8"/>
      <c r="AK14" s="10"/>
      <c r="AL14" s="10"/>
      <c r="AM14" s="10"/>
      <c r="AN14" s="11"/>
      <c r="AO14" s="11"/>
      <c r="AP14" s="11"/>
      <c r="AQ14" s="36"/>
      <c r="AR14" s="11"/>
      <c r="AS14" s="11"/>
      <c r="AT14" s="11"/>
      <c r="AU14" s="12"/>
      <c r="AV14" s="11"/>
      <c r="AW14" s="11"/>
      <c r="AX14" s="15"/>
      <c r="AY14" s="15"/>
      <c r="AZ14" s="15"/>
      <c r="BA14" s="15"/>
      <c r="BB14" s="15"/>
      <c r="BC14" s="15"/>
      <c r="BD14" s="15"/>
      <c r="BE14" s="12"/>
      <c r="BF14" s="11"/>
      <c r="BG14" s="11"/>
      <c r="BH14" s="10"/>
      <c r="BI14" s="10"/>
      <c r="BJ14" s="10"/>
      <c r="BK14" s="23"/>
      <c r="BL14" s="23"/>
      <c r="BM14" s="23"/>
      <c r="BN14" s="23"/>
      <c r="BO14" s="23"/>
      <c r="BP14" s="23"/>
      <c r="BQ14" s="23"/>
      <c r="BR14" s="10"/>
      <c r="BS14" s="16"/>
      <c r="BT14" s="16"/>
      <c r="BU14" s="16"/>
      <c r="BV14" s="16"/>
      <c r="BW14" s="11"/>
      <c r="BX14" s="16"/>
      <c r="BY14" s="16"/>
      <c r="BZ14" s="17"/>
      <c r="CA14" s="18"/>
      <c r="CB14" s="18"/>
      <c r="CC14" s="18"/>
      <c r="CD14" s="18"/>
      <c r="CE14" s="18"/>
      <c r="CF14" s="18"/>
      <c r="CG14" s="19"/>
      <c r="CH14" s="15"/>
      <c r="CI14" s="17"/>
      <c r="CJ14" s="10"/>
      <c r="CK14" s="10"/>
      <c r="CL14" s="10"/>
      <c r="CM14" s="17"/>
      <c r="CN14" s="17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34"/>
      <c r="DB14" s="34"/>
      <c r="DC14" s="34"/>
      <c r="DD14" s="34"/>
      <c r="DE14" s="34"/>
      <c r="DF14" s="34"/>
      <c r="DG14" s="34"/>
      <c r="DH14" s="34"/>
      <c r="DI14" s="34"/>
      <c r="DJ14" s="34"/>
      <c r="DK14" s="34"/>
      <c r="DL14" s="34"/>
      <c r="DM14" s="34"/>
      <c r="DN14" s="34"/>
      <c r="DO14" s="34"/>
      <c r="DP14" s="34"/>
      <c r="DQ14" s="34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  <c r="ED14" s="34"/>
      <c r="EE14" s="34"/>
    </row>
    <row r="15" spans="1:135" customFormat="1">
      <c r="A15" s="71">
        <f>'Old Data'!$I11-'Old Data'!$S11</f>
        <v>13</v>
      </c>
      <c r="B15" s="72">
        <f>VLOOKUP('Old Data'!$F11,$R$6:$T$135,2,FALSE)+VLOOKUP('Old Data'!$P11,$R$6:$T$135,3,FALSE)+$B$2</f>
        <v>98.751769740922512</v>
      </c>
      <c r="C15" s="72">
        <f>VLOOKUP('Old Data'!$P11,$R$6:$T$135,2,FALSE)+VLOOKUP('Old Data'!$F11,$R$6:$T$135,3,FALSE)+$B$2</f>
        <v>120.66592387622219</v>
      </c>
      <c r="D15" s="74">
        <f>('Old Data'!$I11-$B15)^2+('Old Data'!$S11-$C15)^2</f>
        <v>713.43402411065961</v>
      </c>
      <c r="E15" s="75">
        <f>'Old Data'!$K11-'Old Data'!$U11</f>
        <v>-128</v>
      </c>
      <c r="F15" s="72">
        <f>VLOOKUP('Old Data'!$F11,$V$6:$X$135,2,FALSE)+VLOOKUP('Old Data'!$P11,$V$6:$X$135,3,FALSE)+$C$2</f>
        <v>263.28037450280993</v>
      </c>
      <c r="G15" s="72">
        <f>VLOOKUP('Old Data'!$P11,$V$6:$X$135,2,FALSE)+VLOOKUP('Old Data'!$F11,$V$6:$X$135,3,FALSE)+$C$2</f>
        <v>352.78593969844331</v>
      </c>
      <c r="H15" s="74">
        <f>('Old Data'!$K11-$F15)^2+('Old Data'!$U11-$G15)^2</f>
        <v>5936.1489057126291</v>
      </c>
      <c r="I15" s="75">
        <f>('Old Data'!$L11+'Old Data'!$M11)-('Old Data'!$V11+'Old Data'!$W11)</f>
        <v>-32</v>
      </c>
      <c r="J15" s="72">
        <f>VLOOKUP('Old Data'!$F11,$Z$6:$AB$135,2,FALSE)+VLOOKUP('Old Data'!$P11,$Z$6:$AB$135,3,FALSE)+$D$2</f>
        <v>34.45505810998732</v>
      </c>
      <c r="K15" s="72">
        <f>VLOOKUP('Old Data'!$P11,$Z$6:$AB$135,2,FALSE)+VLOOKUP('Old Data'!$F11,$Z$6:$AB$135,3,FALSE)+$D$2</f>
        <v>53.888933083331885</v>
      </c>
      <c r="L15" s="74">
        <f>('Old Data'!$L11+'Old Data'!$M11-$J15)^2+('Old Data'!$V11+'Old Data'!$W11-$K15)^2</f>
        <v>85.636949290031794</v>
      </c>
      <c r="M15" s="75">
        <f>'Old Data'!$N11-'Old Data'!$X11</f>
        <v>3</v>
      </c>
      <c r="N15" s="72">
        <f>VLOOKUP('Old Data'!$F11,$AD$6:$AF$135,2,FALSE)+VLOOKUP('Old Data'!$P11,$AD$6:$AF$135,3,FALSE)+$E$2</f>
        <v>1.4447748172608732</v>
      </c>
      <c r="O15" s="72">
        <f>VLOOKUP('Old Data'!$P11,$AD$6:$AF$135,2,FALSE)+VLOOKUP('Old Data'!$F11,$AD$6:$AF$135,3,FALSE)+$E$2</f>
        <v>1.7481979668063672</v>
      </c>
      <c r="P15" s="73">
        <f>('Old Data'!$N11-$N15)^2+('Old Data'!$X11-$O15)^2</f>
        <v>5.4749215001718667</v>
      </c>
      <c r="Q15" s="62"/>
      <c r="R15" s="90" t="s">
        <v>44</v>
      </c>
      <c r="S15" s="96">
        <v>-14.6140418354878</v>
      </c>
      <c r="T15" s="96">
        <v>-42.991051912930402</v>
      </c>
      <c r="U15" s="35"/>
      <c r="V15" s="90" t="s">
        <v>44</v>
      </c>
      <c r="W15" s="96">
        <v>0.456096071266619</v>
      </c>
      <c r="X15" s="96">
        <v>3.91537606438661</v>
      </c>
      <c r="Y15" s="35"/>
      <c r="Z15" s="90" t="s">
        <v>44</v>
      </c>
      <c r="AA15" s="96">
        <v>7.8366087130519002</v>
      </c>
      <c r="AB15" s="96">
        <v>15.2931748884694</v>
      </c>
      <c r="AC15" s="63"/>
      <c r="AD15" s="90" t="s">
        <v>44</v>
      </c>
      <c r="AE15" s="96">
        <v>0.66915378695095395</v>
      </c>
      <c r="AF15" s="96">
        <v>-7.39222548263401E-2</v>
      </c>
      <c r="AG15" s="63"/>
      <c r="AH15" s="37"/>
      <c r="AI15" s="22"/>
      <c r="AJ15" s="6"/>
      <c r="AK15" s="10"/>
      <c r="AL15" s="10"/>
      <c r="AM15" s="10"/>
      <c r="AN15" s="11"/>
      <c r="AO15" s="11"/>
      <c r="AP15" s="11"/>
      <c r="AQ15" s="36"/>
      <c r="AR15" s="11"/>
      <c r="AS15" s="11"/>
      <c r="AT15" s="11"/>
      <c r="AU15" s="12"/>
      <c r="AV15" s="11"/>
      <c r="AW15" s="11"/>
      <c r="AX15" s="15"/>
      <c r="AY15" s="15"/>
      <c r="AZ15" s="15"/>
      <c r="BA15" s="15"/>
      <c r="BB15" s="15"/>
      <c r="BC15" s="15"/>
      <c r="BD15" s="15"/>
      <c r="BE15" s="12"/>
      <c r="BF15" s="11"/>
      <c r="BG15" s="11"/>
      <c r="BH15" s="10"/>
      <c r="BI15" s="10"/>
      <c r="BJ15" s="10"/>
      <c r="BK15" s="23"/>
      <c r="BL15" s="23"/>
      <c r="BM15" s="23"/>
      <c r="BN15" s="23"/>
      <c r="BO15" s="23"/>
      <c r="BP15" s="23"/>
      <c r="BQ15" s="23"/>
      <c r="BR15" s="10"/>
      <c r="BS15" s="16"/>
      <c r="BT15" s="16"/>
      <c r="BU15" s="16"/>
      <c r="BV15" s="16"/>
      <c r="BW15" s="11"/>
      <c r="BX15" s="16"/>
      <c r="BY15" s="16"/>
      <c r="BZ15" s="17"/>
      <c r="CA15" s="18"/>
      <c r="CB15" s="18"/>
      <c r="CC15" s="18"/>
      <c r="CD15" s="18"/>
      <c r="CE15" s="18"/>
      <c r="CF15" s="18"/>
      <c r="CG15" s="19"/>
      <c r="CH15" s="15"/>
      <c r="CI15" s="17"/>
      <c r="CJ15" s="10"/>
      <c r="CK15" s="10"/>
      <c r="CL15" s="10"/>
      <c r="CM15" s="17"/>
      <c r="CN15" s="17"/>
      <c r="CO15" s="10"/>
      <c r="CP15" s="10"/>
      <c r="CQ15" s="10"/>
      <c r="CR15" s="50"/>
      <c r="CS15" s="10"/>
      <c r="CT15" s="10"/>
      <c r="CU15" s="10"/>
      <c r="CV15" s="10"/>
      <c r="CW15" s="10"/>
      <c r="CX15" s="10"/>
      <c r="CY15" s="10"/>
      <c r="CZ15" s="10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  <c r="EE15" s="34"/>
    </row>
    <row r="16" spans="1:135" customFormat="1">
      <c r="A16" s="71">
        <f>'Old Data'!$I12-'Old Data'!$S12</f>
        <v>-185</v>
      </c>
      <c r="B16" s="72">
        <f>VLOOKUP('Old Data'!$F12,$R$6:$T$135,2,FALSE)+VLOOKUP('Old Data'!$P12,$R$6:$T$135,3,FALSE)+$B$2</f>
        <v>136.02052847252855</v>
      </c>
      <c r="C16" s="72">
        <f>VLOOKUP('Old Data'!$P12,$R$6:$T$135,2,FALSE)+VLOOKUP('Old Data'!$F12,$R$6:$T$135,3,FALSE)+$B$2</f>
        <v>275.39763675352941</v>
      </c>
      <c r="D16" s="74">
        <f>('Old Data'!$I12-$B16)^2+('Old Data'!$S12-$C16)^2</f>
        <v>6827.6497110656419</v>
      </c>
      <c r="E16" s="75">
        <f>'Old Data'!$K12-'Old Data'!$U12</f>
        <v>78</v>
      </c>
      <c r="F16" s="72">
        <f>VLOOKUP('Old Data'!$F12,$V$6:$X$135,2,FALSE)+VLOOKUP('Old Data'!$P12,$V$6:$X$135,3,FALSE)+$C$2</f>
        <v>252.17632742293131</v>
      </c>
      <c r="G16" s="72">
        <f>VLOOKUP('Old Data'!$P12,$V$6:$X$135,2,FALSE)+VLOOKUP('Old Data'!$F12,$V$6:$X$135,3,FALSE)+$C$2</f>
        <v>245.14299973911909</v>
      </c>
      <c r="H16" s="74">
        <f>('Old Data'!$K12-$F16)^2+('Old Data'!$U12-$G16)^2</f>
        <v>2606.8365278414535</v>
      </c>
      <c r="I16" s="75">
        <f>('Old Data'!$L12+'Old Data'!$M12)-('Old Data'!$V12+'Old Data'!$W12)</f>
        <v>64</v>
      </c>
      <c r="J16" s="72">
        <f>VLOOKUP('Old Data'!$F12,$Z$6:$AB$135,2,FALSE)+VLOOKUP('Old Data'!$P12,$Z$6:$AB$135,3,FALSE)+$D$2</f>
        <v>53.119509523800815</v>
      </c>
      <c r="K16" s="72">
        <f>VLOOKUP('Old Data'!$P12,$Z$6:$AB$135,2,FALSE)+VLOOKUP('Old Data'!$F12,$Z$6:$AB$135,3,FALSE)+$D$2</f>
        <v>86.742365381624921</v>
      </c>
      <c r="L16" s="74">
        <f>('Old Data'!$L12+'Old Data'!$M12-$J16)^2+('Old Data'!$V12+'Old Data'!$W12-$K16)^2</f>
        <v>6573.4080378640829</v>
      </c>
      <c r="M16" s="75">
        <f>'Old Data'!$N12-'Old Data'!$X12</f>
        <v>0</v>
      </c>
      <c r="N16" s="72">
        <f>VLOOKUP('Old Data'!$F12,$AD$6:$AF$135,2,FALSE)+VLOOKUP('Old Data'!$P12,$AD$6:$AF$135,3,FALSE)+$E$2</f>
        <v>1.6092694109246812</v>
      </c>
      <c r="O16" s="72">
        <f>VLOOKUP('Old Data'!$P12,$AD$6:$AF$135,2,FALSE)+VLOOKUP('Old Data'!$F12,$AD$6:$AF$135,3,FALSE)+$E$2</f>
        <v>0.34982628681844075</v>
      </c>
      <c r="P16" s="73">
        <f>('Old Data'!$N12-$N16)^2+('Old Data'!$X12-$O16)^2</f>
        <v>2.7121264678870487</v>
      </c>
      <c r="Q16" s="62"/>
      <c r="R16" s="90" t="s">
        <v>12</v>
      </c>
      <c r="S16" s="96">
        <v>40.211303216618099</v>
      </c>
      <c r="T16" s="96">
        <v>20.329329712802</v>
      </c>
      <c r="U16" s="35"/>
      <c r="V16" s="90" t="s">
        <v>12</v>
      </c>
      <c r="W16" s="96">
        <v>-20.0736620597349</v>
      </c>
      <c r="X16" s="96">
        <v>26.411782257160699</v>
      </c>
      <c r="Y16" s="35"/>
      <c r="Z16" s="90" t="s">
        <v>12</v>
      </c>
      <c r="AA16" s="96">
        <v>27.6537448720592</v>
      </c>
      <c r="AB16" s="96">
        <v>57.802815257115</v>
      </c>
      <c r="AC16" s="63"/>
      <c r="AD16" s="90" t="s">
        <v>12</v>
      </c>
      <c r="AE16" s="96">
        <v>0.87345238151232796</v>
      </c>
      <c r="AF16" s="96">
        <v>0.16878288657416901</v>
      </c>
      <c r="AG16" s="63"/>
      <c r="AH16" s="51"/>
      <c r="AI16" s="22"/>
      <c r="AJ16" s="6"/>
      <c r="AK16" s="10"/>
      <c r="AL16" s="10"/>
      <c r="AM16" s="10"/>
      <c r="AN16" s="11"/>
      <c r="AO16" s="11"/>
      <c r="AP16" s="11"/>
      <c r="AQ16" s="36"/>
      <c r="AR16" s="11"/>
      <c r="AS16" s="11"/>
      <c r="AT16" s="11"/>
      <c r="AU16" s="12"/>
      <c r="AV16" s="11"/>
      <c r="AW16" s="11"/>
      <c r="AX16" s="15"/>
      <c r="AY16" s="15"/>
      <c r="AZ16" s="15"/>
      <c r="BA16" s="15"/>
      <c r="BB16" s="15"/>
      <c r="BC16" s="15"/>
      <c r="BD16" s="15"/>
      <c r="BE16" s="12"/>
      <c r="BF16" s="11"/>
      <c r="BG16" s="11"/>
      <c r="BH16" s="10"/>
      <c r="BI16" s="10"/>
      <c r="BJ16" s="10"/>
      <c r="BK16" s="23"/>
      <c r="BL16" s="23"/>
      <c r="BM16" s="23"/>
      <c r="BN16" s="23"/>
      <c r="BO16" s="23"/>
      <c r="BP16" s="23"/>
      <c r="BQ16" s="23"/>
      <c r="BR16" s="10"/>
      <c r="BS16" s="16"/>
      <c r="BT16" s="16"/>
      <c r="BU16" s="16"/>
      <c r="BV16" s="16"/>
      <c r="BW16" s="11"/>
      <c r="BX16" s="16"/>
      <c r="BY16" s="16"/>
      <c r="BZ16" s="17"/>
      <c r="CA16" s="18"/>
      <c r="CB16" s="18"/>
      <c r="CC16" s="18"/>
      <c r="CD16" s="18"/>
      <c r="CE16" s="18"/>
      <c r="CF16" s="18"/>
      <c r="CG16" s="19"/>
      <c r="CH16" s="15"/>
      <c r="CI16" s="17"/>
      <c r="CJ16" s="10"/>
      <c r="CK16" s="10"/>
      <c r="CL16" s="10"/>
      <c r="CM16" s="17"/>
      <c r="CN16" s="17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  <c r="ED16" s="34"/>
      <c r="EE16" s="34"/>
    </row>
    <row r="17" spans="1:135" customFormat="1">
      <c r="A17" s="71">
        <f>'Old Data'!$I13-'Old Data'!$S13</f>
        <v>-208</v>
      </c>
      <c r="B17" s="72">
        <f>VLOOKUP('Old Data'!$F13,$R$6:$T$135,2,FALSE)+VLOOKUP('Old Data'!$P13,$R$6:$T$135,3,FALSE)+$B$2</f>
        <v>68.143633242717812</v>
      </c>
      <c r="C17" s="72">
        <f>VLOOKUP('Old Data'!$P13,$R$6:$T$135,2,FALSE)+VLOOKUP('Old Data'!$F13,$R$6:$T$135,3,FALSE)+$B$2</f>
        <v>297.45898142457401</v>
      </c>
      <c r="D17" s="74">
        <f>('Old Data'!$I13-$B17)^2+('Old Data'!$S13-$C17)^2</f>
        <v>5803.1281463411387</v>
      </c>
      <c r="E17" s="75">
        <f>'Old Data'!$K13-'Old Data'!$U13</f>
        <v>-68</v>
      </c>
      <c r="F17" s="72">
        <f>VLOOKUP('Old Data'!$F13,$V$6:$X$135,2,FALSE)+VLOOKUP('Old Data'!$P13,$V$6:$X$135,3,FALSE)+$C$2</f>
        <v>105.27549881183501</v>
      </c>
      <c r="G17" s="72">
        <f>VLOOKUP('Old Data'!$P13,$V$6:$X$135,2,FALSE)+VLOOKUP('Old Data'!$F13,$V$6:$X$135,3,FALSE)+$C$2</f>
        <v>167.93402254717509</v>
      </c>
      <c r="H17" s="74">
        <f>('Old Data'!$K13-$F17)^2+('Old Data'!$U13-$G17)^2</f>
        <v>1626.8449164793278</v>
      </c>
      <c r="I17" s="75">
        <f>('Old Data'!$L13+'Old Data'!$M13)-('Old Data'!$V13+'Old Data'!$W13)</f>
        <v>0</v>
      </c>
      <c r="J17" s="72">
        <f>VLOOKUP('Old Data'!$F13,$Z$6:$AB$135,2,FALSE)+VLOOKUP('Old Data'!$P13,$Z$6:$AB$135,3,FALSE)+$D$2</f>
        <v>25.387265753280332</v>
      </c>
      <c r="K17" s="72">
        <f>VLOOKUP('Old Data'!$P13,$Z$6:$AB$135,2,FALSE)+VLOOKUP('Old Data'!$F13,$Z$6:$AB$135,3,FALSE)+$D$2</f>
        <v>95.6262619241312</v>
      </c>
      <c r="L17" s="74">
        <f>('Old Data'!$L13+'Old Data'!$M13-$J17)^2+('Old Data'!$V13+'Old Data'!$W13-$K17)^2</f>
        <v>3666.5955268502644</v>
      </c>
      <c r="M17" s="75">
        <f>'Old Data'!$N13-'Old Data'!$X13</f>
        <v>-2</v>
      </c>
      <c r="N17" s="72">
        <f>VLOOKUP('Old Data'!$F13,$AD$6:$AF$135,2,FALSE)+VLOOKUP('Old Data'!$P13,$AD$6:$AF$135,3,FALSE)+$E$2</f>
        <v>1.3240369493143964</v>
      </c>
      <c r="O17" s="72">
        <f>VLOOKUP('Old Data'!$P13,$AD$6:$AF$135,2,FALSE)+VLOOKUP('Old Data'!$F13,$AD$6:$AF$135,3,FALSE)+$E$2</f>
        <v>1.7981329663866772</v>
      </c>
      <c r="P17" s="73">
        <f>('Old Data'!$N13-$N17)^2+('Old Data'!$X13-$O17)^2</f>
        <v>1.5494843110074688</v>
      </c>
      <c r="Q17" s="62"/>
      <c r="R17" s="90" t="s">
        <v>45</v>
      </c>
      <c r="S17" s="96">
        <v>28.818255799584801</v>
      </c>
      <c r="T17" s="96">
        <v>-56.088028579707299</v>
      </c>
      <c r="U17" s="35"/>
      <c r="V17" s="90" t="s">
        <v>45</v>
      </c>
      <c r="W17" s="96">
        <v>23.331737889098999</v>
      </c>
      <c r="X17" s="96">
        <v>-17.209607240874099</v>
      </c>
      <c r="Y17" s="35"/>
      <c r="Z17" s="90" t="s">
        <v>45</v>
      </c>
      <c r="AA17" s="96">
        <v>-8.6609578698071292</v>
      </c>
      <c r="AB17" s="96">
        <v>-4.8243593128495297</v>
      </c>
      <c r="AC17" s="63"/>
      <c r="AD17" s="90" t="s">
        <v>45</v>
      </c>
      <c r="AE17" s="96">
        <v>0.74269230780426299</v>
      </c>
      <c r="AF17" s="96">
        <v>0.31725375951504098</v>
      </c>
      <c r="AG17" s="63"/>
      <c r="AH17" s="31"/>
      <c r="AI17" s="22"/>
      <c r="AJ17" s="6"/>
      <c r="AK17" s="10"/>
      <c r="AL17" s="10"/>
      <c r="AM17" s="10"/>
      <c r="AN17" s="11"/>
      <c r="AO17" s="11"/>
      <c r="AP17" s="11"/>
      <c r="AQ17" s="36"/>
      <c r="AR17" s="11"/>
      <c r="AS17" s="11"/>
      <c r="AT17" s="11"/>
      <c r="AU17" s="12"/>
      <c r="AV17" s="11"/>
      <c r="AW17" s="11"/>
      <c r="AX17" s="15"/>
      <c r="AY17" s="15"/>
      <c r="AZ17" s="15"/>
      <c r="BA17" s="15"/>
      <c r="BB17" s="15"/>
      <c r="BC17" s="15"/>
      <c r="BD17" s="15"/>
      <c r="BE17" s="12"/>
      <c r="BF17" s="11"/>
      <c r="BG17" s="11"/>
      <c r="BH17" s="10"/>
      <c r="BI17" s="10"/>
      <c r="BJ17" s="10"/>
      <c r="BK17" s="23"/>
      <c r="BL17" s="23"/>
      <c r="BM17" s="23"/>
      <c r="BN17" s="23"/>
      <c r="BO17" s="23"/>
      <c r="BP17" s="23"/>
      <c r="BQ17" s="23"/>
      <c r="BR17" s="10"/>
      <c r="BS17" s="15"/>
      <c r="BT17" s="15"/>
      <c r="BU17" s="15"/>
      <c r="BV17" s="15"/>
      <c r="BW17" s="11"/>
      <c r="BX17" s="16"/>
      <c r="BY17" s="16"/>
      <c r="BZ17" s="17"/>
      <c r="CA17" s="18"/>
      <c r="CB17" s="18"/>
      <c r="CC17" s="18"/>
      <c r="CD17" s="18"/>
      <c r="CE17" s="18"/>
      <c r="CF17" s="18"/>
      <c r="CG17" s="19"/>
      <c r="CH17" s="15"/>
      <c r="CI17" s="17"/>
      <c r="CJ17" s="10"/>
      <c r="CK17" s="10"/>
      <c r="CL17" s="10"/>
      <c r="CM17" s="17"/>
      <c r="CN17" s="17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  <c r="ED17" s="34"/>
      <c r="EE17" s="34"/>
    </row>
    <row r="18" spans="1:135" customFormat="1">
      <c r="A18" s="71">
        <f>'Old Data'!$I14-'Old Data'!$S14</f>
        <v>-2</v>
      </c>
      <c r="B18" s="72">
        <f>VLOOKUP('Old Data'!$F14,$R$6:$T$135,2,FALSE)+VLOOKUP('Old Data'!$P14,$R$6:$T$135,3,FALSE)+$B$2</f>
        <v>222.50795980149127</v>
      </c>
      <c r="C18" s="72">
        <f>VLOOKUP('Old Data'!$P14,$R$6:$T$135,2,FALSE)+VLOOKUP('Old Data'!$F14,$R$6:$T$135,3,FALSE)+$B$2</f>
        <v>144.24744040683635</v>
      </c>
      <c r="D18" s="74">
        <f>('Old Data'!$I14-$B18)^2+('Old Data'!$S14-$C18)^2</f>
        <v>3259.2040031538809</v>
      </c>
      <c r="E18" s="75">
        <f>'Old Data'!$K14-'Old Data'!$U14</f>
        <v>-15</v>
      </c>
      <c r="F18" s="72">
        <f>VLOOKUP('Old Data'!$F14,$V$6:$X$135,2,FALSE)+VLOOKUP('Old Data'!$P14,$V$6:$X$135,3,FALSE)+$C$2</f>
        <v>284.71837999302085</v>
      </c>
      <c r="G18" s="72">
        <f>VLOOKUP('Old Data'!$P14,$V$6:$X$135,2,FALSE)+VLOOKUP('Old Data'!$F14,$V$6:$X$135,3,FALSE)+$C$2</f>
        <v>292.79908764569757</v>
      </c>
      <c r="H18" s="74">
        <f>('Old Data'!$K14-$F18)^2+('Old Data'!$U14-$G18)^2</f>
        <v>28699.879956380006</v>
      </c>
      <c r="I18" s="75">
        <f>('Old Data'!$L14+'Old Data'!$M14)-('Old Data'!$V14+'Old Data'!$W14)</f>
        <v>29</v>
      </c>
      <c r="J18" s="72">
        <f>VLOOKUP('Old Data'!$F14,$Z$6:$AB$135,2,FALSE)+VLOOKUP('Old Data'!$P14,$Z$6:$AB$135,3,FALSE)+$D$2</f>
        <v>69.944052776247901</v>
      </c>
      <c r="K18" s="72">
        <f>VLOOKUP('Old Data'!$P14,$Z$6:$AB$135,2,FALSE)+VLOOKUP('Old Data'!$F14,$Z$6:$AB$135,3,FALSE)+$D$2</f>
        <v>103.85805129613249</v>
      </c>
      <c r="L18" s="74">
        <f>('Old Data'!$L14+'Old Data'!$M14-$J18)^2+('Old Data'!$V14+'Old Data'!$W14-$K18)^2</f>
        <v>7898.0345301685666</v>
      </c>
      <c r="M18" s="75">
        <f>'Old Data'!$N14-'Old Data'!$X14</f>
        <v>2</v>
      </c>
      <c r="N18" s="72">
        <f>VLOOKUP('Old Data'!$F14,$AD$6:$AF$135,2,FALSE)+VLOOKUP('Old Data'!$P14,$AD$6:$AF$135,3,FALSE)+$E$2</f>
        <v>2.6710125425721412</v>
      </c>
      <c r="O18" s="72">
        <f>VLOOKUP('Old Data'!$P14,$AD$6:$AF$135,2,FALSE)+VLOOKUP('Old Data'!$F14,$AD$6:$AF$135,3,FALSE)+$E$2</f>
        <v>1.7694487925232552</v>
      </c>
      <c r="P18" s="73">
        <f>('Old Data'!$N14-$N18)^2+('Old Data'!$X14-$O18)^2</f>
        <v>0.7002841914603426</v>
      </c>
      <c r="Q18" s="62"/>
      <c r="R18" s="90" t="s">
        <v>46</v>
      </c>
      <c r="S18" s="96">
        <v>87.551525144308798</v>
      </c>
      <c r="T18" s="96">
        <v>21.253295681994899</v>
      </c>
      <c r="U18" s="35"/>
      <c r="V18" s="90" t="s">
        <v>46</v>
      </c>
      <c r="W18" s="96">
        <v>-53.735482807019999</v>
      </c>
      <c r="X18" s="96">
        <v>62.432893623483402</v>
      </c>
      <c r="Y18" s="35"/>
      <c r="Z18" s="90" t="s">
        <v>46</v>
      </c>
      <c r="AA18" s="96">
        <v>34.074862949389697</v>
      </c>
      <c r="AB18" s="96">
        <v>-12.1130374921618</v>
      </c>
      <c r="AC18" s="63"/>
      <c r="AD18" s="90" t="s">
        <v>46</v>
      </c>
      <c r="AE18" s="96">
        <v>-9.6412507308256901E-2</v>
      </c>
      <c r="AF18" s="96">
        <v>-0.59849940905152599</v>
      </c>
      <c r="AG18" s="63"/>
      <c r="AH18" s="51"/>
      <c r="AI18" s="22"/>
      <c r="AJ18" s="6"/>
      <c r="AK18" s="10"/>
      <c r="AL18" s="10"/>
      <c r="AM18" s="10"/>
      <c r="AN18" s="11"/>
      <c r="AO18" s="11"/>
      <c r="AP18" s="11"/>
      <c r="AQ18" s="36"/>
      <c r="AR18" s="11"/>
      <c r="AS18" s="11"/>
      <c r="AT18" s="11"/>
      <c r="AU18" s="12"/>
      <c r="AV18" s="11"/>
      <c r="AW18" s="11"/>
      <c r="AX18" s="15"/>
      <c r="AY18" s="15"/>
      <c r="AZ18" s="15"/>
      <c r="BA18" s="15"/>
      <c r="BB18" s="15"/>
      <c r="BC18" s="15"/>
      <c r="BD18" s="15"/>
      <c r="BE18" s="12"/>
      <c r="BF18" s="11"/>
      <c r="BG18" s="11"/>
      <c r="BH18" s="10"/>
      <c r="BI18" s="10"/>
      <c r="BJ18" s="10"/>
      <c r="BK18" s="23"/>
      <c r="BL18" s="23"/>
      <c r="BM18" s="23"/>
      <c r="BN18" s="23"/>
      <c r="BO18" s="23"/>
      <c r="BP18" s="23"/>
      <c r="BQ18" s="23"/>
      <c r="BR18" s="10"/>
      <c r="BS18" s="15"/>
      <c r="BT18" s="15"/>
      <c r="BU18" s="15"/>
      <c r="BV18" s="15"/>
      <c r="BW18" s="11"/>
      <c r="BX18" s="16"/>
      <c r="BY18" s="16"/>
      <c r="BZ18" s="17"/>
      <c r="CA18" s="18"/>
      <c r="CB18" s="18"/>
      <c r="CC18" s="18"/>
      <c r="CD18" s="18"/>
      <c r="CE18" s="18"/>
      <c r="CF18" s="18"/>
      <c r="CG18" s="19"/>
      <c r="CH18" s="15"/>
      <c r="CI18" s="17"/>
      <c r="CJ18" s="10"/>
      <c r="CK18" s="10"/>
      <c r="CL18" s="10"/>
      <c r="CM18" s="17"/>
      <c r="CN18" s="17"/>
      <c r="CO18" s="10"/>
      <c r="CP18" s="10"/>
      <c r="CQ18" s="10"/>
      <c r="CR18" s="10"/>
      <c r="CS18" s="10"/>
      <c r="CT18" s="50"/>
      <c r="CU18" s="10"/>
      <c r="CV18" s="10"/>
      <c r="CW18" s="10"/>
      <c r="CX18" s="10"/>
      <c r="CY18" s="10"/>
      <c r="CZ18" s="10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  <c r="ED18" s="34"/>
      <c r="EE18" s="34"/>
    </row>
    <row r="19" spans="1:135" customFormat="1">
      <c r="A19" s="71">
        <f>'Old Data'!$I15-'Old Data'!$S15</f>
        <v>-58</v>
      </c>
      <c r="B19" s="72">
        <f>VLOOKUP('Old Data'!$F15,$R$6:$T$135,2,FALSE)+VLOOKUP('Old Data'!$P15,$R$6:$T$135,3,FALSE)+$B$2</f>
        <v>94.078419370659873</v>
      </c>
      <c r="C19" s="72">
        <f>VLOOKUP('Old Data'!$P15,$R$6:$T$135,2,FALSE)+VLOOKUP('Old Data'!$F15,$R$6:$T$135,3,FALSE)+$B$2</f>
        <v>229.32262010192835</v>
      </c>
      <c r="D19" s="74">
        <f>('Old Data'!$I15-$B19)^2+('Old Data'!$S15-$C19)^2</f>
        <v>6630.0020448055348</v>
      </c>
      <c r="E19" s="75">
        <f>'Old Data'!$K15-'Old Data'!$U15</f>
        <v>-36</v>
      </c>
      <c r="F19" s="72">
        <f>VLOOKUP('Old Data'!$F15,$V$6:$X$135,2,FALSE)+VLOOKUP('Old Data'!$P15,$V$6:$X$135,3,FALSE)+$C$2</f>
        <v>358.75645731687689</v>
      </c>
      <c r="G19" s="72">
        <f>VLOOKUP('Old Data'!$P15,$V$6:$X$135,2,FALSE)+VLOOKUP('Old Data'!$F15,$V$6:$X$135,3,FALSE)+$C$2</f>
        <v>359.30773764045381</v>
      </c>
      <c r="H19" s="74">
        <f>('Old Data'!$K15-$F19)^2+('Old Data'!$U15-$G19)^2</f>
        <v>1208.4905523943296</v>
      </c>
      <c r="I19" s="75">
        <f>('Old Data'!$L15+'Old Data'!$M15)-('Old Data'!$V15+'Old Data'!$W15)</f>
        <v>-13</v>
      </c>
      <c r="J19" s="72">
        <f>VLOOKUP('Old Data'!$F15,$Z$6:$AB$135,2,FALSE)+VLOOKUP('Old Data'!$P15,$Z$6:$AB$135,3,FALSE)+$D$2</f>
        <v>116.63906500173559</v>
      </c>
      <c r="K19" s="72">
        <f>VLOOKUP('Old Data'!$P15,$Z$6:$AB$135,2,FALSE)+VLOOKUP('Old Data'!$F15,$Z$6:$AB$135,3,FALSE)+$D$2</f>
        <v>112.34006978928639</v>
      </c>
      <c r="L19" s="74">
        <f>('Old Data'!$L15+'Old Data'!$M15-$J19)^2+('Old Data'!$V15+'Old Data'!$W15-$K19)^2</f>
        <v>1502.7128262255003</v>
      </c>
      <c r="M19" s="75">
        <f>'Old Data'!$N15-'Old Data'!$X15</f>
        <v>-2</v>
      </c>
      <c r="N19" s="72">
        <f>VLOOKUP('Old Data'!$F15,$AD$6:$AF$135,2,FALSE)+VLOOKUP('Old Data'!$P15,$AD$6:$AF$135,3,FALSE)+$E$2</f>
        <v>1.3207820033595927</v>
      </c>
      <c r="O19" s="72">
        <f>VLOOKUP('Old Data'!$P15,$AD$6:$AF$135,2,FALSE)+VLOOKUP('Old Data'!$F15,$AD$6:$AF$135,3,FALSE)+$E$2</f>
        <v>1.9461722935629668</v>
      </c>
      <c r="P19" s="73">
        <f>('Old Data'!$N15-$N19)^2+('Old Data'!$X15-$O19)^2</f>
        <v>1.2134539285337314</v>
      </c>
      <c r="Q19" s="62"/>
      <c r="R19" s="90" t="s">
        <v>105</v>
      </c>
      <c r="S19" s="96">
        <v>-22.2585626188954</v>
      </c>
      <c r="T19" s="96">
        <v>-33.864019325437603</v>
      </c>
      <c r="U19" s="35"/>
      <c r="V19" s="90" t="s">
        <v>105</v>
      </c>
      <c r="W19" s="96">
        <v>14.4011511246457</v>
      </c>
      <c r="X19" s="96">
        <v>-14.1156842034273</v>
      </c>
      <c r="Y19" s="35"/>
      <c r="Z19" s="90" t="s">
        <v>105</v>
      </c>
      <c r="AA19" s="96">
        <v>7.1132872844236896</v>
      </c>
      <c r="AB19" s="96">
        <v>1.3062691256838701</v>
      </c>
      <c r="AC19" s="63"/>
      <c r="AD19" s="90" t="s">
        <v>105</v>
      </c>
      <c r="AE19" s="96">
        <v>7.1364735588919101E-3</v>
      </c>
      <c r="AF19" s="96">
        <v>-0.34140377153700002</v>
      </c>
      <c r="AG19" s="63"/>
      <c r="AH19" s="31"/>
      <c r="AI19" s="22"/>
      <c r="AJ19" s="2"/>
      <c r="AK19" s="10"/>
      <c r="AL19" s="10"/>
      <c r="AM19" s="10"/>
      <c r="AN19" s="11"/>
      <c r="AO19" s="11"/>
      <c r="AP19" s="11"/>
      <c r="AQ19" s="36"/>
      <c r="AR19" s="11"/>
      <c r="AS19" s="11"/>
      <c r="AT19" s="11"/>
      <c r="AU19" s="12"/>
      <c r="AV19" s="11"/>
      <c r="AW19" s="11"/>
      <c r="AX19" s="15"/>
      <c r="AY19" s="15"/>
      <c r="AZ19" s="15"/>
      <c r="BA19" s="15"/>
      <c r="BB19" s="15"/>
      <c r="BC19" s="15"/>
      <c r="BD19" s="15"/>
      <c r="BE19" s="12"/>
      <c r="BF19" s="11"/>
      <c r="BG19" s="11"/>
      <c r="BH19" s="10"/>
      <c r="BI19" s="10"/>
      <c r="BJ19" s="10"/>
      <c r="BK19" s="23"/>
      <c r="BL19" s="23"/>
      <c r="BM19" s="23"/>
      <c r="BN19" s="23"/>
      <c r="BO19" s="23"/>
      <c r="BP19" s="23"/>
      <c r="BQ19" s="23"/>
      <c r="BR19" s="10"/>
      <c r="BS19" s="15"/>
      <c r="BT19" s="15"/>
      <c r="BU19" s="15"/>
      <c r="BV19" s="15"/>
      <c r="BW19" s="11"/>
      <c r="BX19" s="16"/>
      <c r="BY19" s="16"/>
      <c r="BZ19" s="17"/>
      <c r="CA19" s="18"/>
      <c r="CB19" s="18"/>
      <c r="CC19" s="18"/>
      <c r="CD19" s="18"/>
      <c r="CE19" s="18"/>
      <c r="CF19" s="18"/>
      <c r="CG19" s="19"/>
      <c r="CH19" s="15"/>
      <c r="CI19" s="17"/>
      <c r="CJ19" s="10"/>
      <c r="CK19" s="10"/>
      <c r="CL19" s="10"/>
      <c r="CM19" s="17"/>
      <c r="CN19" s="17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  <c r="ED19" s="34"/>
      <c r="EE19" s="34"/>
    </row>
    <row r="20" spans="1:135" customFormat="1">
      <c r="A20" s="71">
        <f>'Old Data'!$I16-'Old Data'!$S16</f>
        <v>63</v>
      </c>
      <c r="B20" s="72">
        <f>VLOOKUP('Old Data'!$F16,$R$6:$T$135,2,FALSE)+VLOOKUP('Old Data'!$P16,$R$6:$T$135,3,FALSE)+$B$2</f>
        <v>226.7376054588936</v>
      </c>
      <c r="C20" s="72">
        <f>VLOOKUP('Old Data'!$P16,$R$6:$T$135,2,FALSE)+VLOOKUP('Old Data'!$F16,$R$6:$T$135,3,FALSE)+$B$2</f>
        <v>204.007467852437</v>
      </c>
      <c r="D20" s="74">
        <f>('Old Data'!$I16-$B20)^2+('Old Data'!$S16-$C20)^2</f>
        <v>15559.016011954622</v>
      </c>
      <c r="E20" s="75">
        <f>'Old Data'!$K16-'Old Data'!$U16</f>
        <v>-69</v>
      </c>
      <c r="F20" s="72">
        <f>VLOOKUP('Old Data'!$F16,$V$6:$X$135,2,FALSE)+VLOOKUP('Old Data'!$P16,$V$6:$X$135,3,FALSE)+$C$2</f>
        <v>187.98019206535048</v>
      </c>
      <c r="G20" s="72">
        <f>VLOOKUP('Old Data'!$P16,$V$6:$X$135,2,FALSE)+VLOOKUP('Old Data'!$F16,$V$6:$X$135,3,FALSE)+$C$2</f>
        <v>293.06416591083303</v>
      </c>
      <c r="H20" s="74">
        <f>('Old Data'!$K16-$F20)^2+('Old Data'!$U16-$G20)^2</f>
        <v>10166.906167342437</v>
      </c>
      <c r="I20" s="75">
        <f>('Old Data'!$L16+'Old Data'!$M16)-('Old Data'!$V16+'Old Data'!$W16)</f>
        <v>6</v>
      </c>
      <c r="J20" s="72">
        <f>VLOOKUP('Old Data'!$F16,$Z$6:$AB$135,2,FALSE)+VLOOKUP('Old Data'!$P16,$Z$6:$AB$135,3,FALSE)+$D$2</f>
        <v>69.208765905921396</v>
      </c>
      <c r="K20" s="72">
        <f>VLOOKUP('Old Data'!$P16,$Z$6:$AB$135,2,FALSE)+VLOOKUP('Old Data'!$F16,$Z$6:$AB$135,3,FALSE)+$D$2</f>
        <v>57.949292345786695</v>
      </c>
      <c r="L20" s="74">
        <f>('Old Data'!$L16+'Old Data'!$M16-$J20)^2+('Old Data'!$V16+'Old Data'!$W16-$K20)^2</f>
        <v>274.70818248105843</v>
      </c>
      <c r="M20" s="75">
        <f>'Old Data'!$N16-'Old Data'!$X16</f>
        <v>4</v>
      </c>
      <c r="N20" s="72">
        <f>VLOOKUP('Old Data'!$F16,$AD$6:$AF$135,2,FALSE)+VLOOKUP('Old Data'!$P16,$AD$6:$AF$135,3,FALSE)+$E$2</f>
        <v>1.7445461176639931</v>
      </c>
      <c r="O20" s="72">
        <f>VLOOKUP('Old Data'!$P16,$AD$6:$AF$135,2,FALSE)+VLOOKUP('Old Data'!$F16,$AD$6:$AF$135,3,FALSE)+$E$2</f>
        <v>0.99929901237977414</v>
      </c>
      <c r="P20" s="73">
        <f>('Old Data'!$N16-$N20)^2+('Old Data'!$X16-$O20)^2</f>
        <v>10.597980471400223</v>
      </c>
      <c r="Q20" s="62"/>
      <c r="R20" s="90" t="s">
        <v>87</v>
      </c>
      <c r="S20" s="96">
        <v>-28.983090128919901</v>
      </c>
      <c r="T20" s="96">
        <v>102.961176160683</v>
      </c>
      <c r="U20" s="35"/>
      <c r="V20" s="90" t="s">
        <v>87</v>
      </c>
      <c r="W20" s="96">
        <v>-97.153310922960898</v>
      </c>
      <c r="X20" s="96">
        <v>34.985094442395201</v>
      </c>
      <c r="Y20" s="35"/>
      <c r="Z20" s="90" t="s">
        <v>87</v>
      </c>
      <c r="AA20" s="96">
        <v>17.6155890469546</v>
      </c>
      <c r="AB20" s="96">
        <v>-13.8682510430299</v>
      </c>
      <c r="AC20" s="63"/>
      <c r="AD20" s="90" t="s">
        <v>87</v>
      </c>
      <c r="AE20" s="96">
        <v>-0.24225367542729601</v>
      </c>
      <c r="AF20" s="96">
        <v>0.56898778881021195</v>
      </c>
      <c r="AG20" s="63"/>
      <c r="AH20" s="53"/>
      <c r="AI20" s="22"/>
      <c r="AJ20" s="2"/>
      <c r="AK20" s="10"/>
      <c r="AL20" s="10"/>
      <c r="AM20" s="10"/>
      <c r="AN20" s="11"/>
      <c r="AO20" s="11"/>
      <c r="AP20" s="11"/>
      <c r="AQ20" s="36"/>
      <c r="AR20" s="11"/>
      <c r="AS20" s="11"/>
      <c r="AT20" s="11"/>
      <c r="AU20" s="12"/>
      <c r="AV20" s="11"/>
      <c r="AW20" s="11"/>
      <c r="AX20" s="15"/>
      <c r="AY20" s="15"/>
      <c r="AZ20" s="15"/>
      <c r="BA20" s="15"/>
      <c r="BB20" s="15"/>
      <c r="BC20" s="15"/>
      <c r="BD20" s="15"/>
      <c r="BE20" s="12"/>
      <c r="BF20" s="11"/>
      <c r="BG20" s="11"/>
      <c r="BH20" s="10"/>
      <c r="BI20" s="10"/>
      <c r="BJ20" s="10"/>
      <c r="BK20" s="23"/>
      <c r="BL20" s="23"/>
      <c r="BM20" s="23"/>
      <c r="BN20" s="23"/>
      <c r="BO20" s="23"/>
      <c r="BP20" s="23"/>
      <c r="BQ20" s="23"/>
      <c r="BR20" s="10"/>
      <c r="BS20" s="15"/>
      <c r="BT20" s="15"/>
      <c r="BU20" s="15"/>
      <c r="BV20" s="15"/>
      <c r="BW20" s="11"/>
      <c r="BX20" s="16"/>
      <c r="BY20" s="16"/>
      <c r="BZ20" s="17"/>
      <c r="CA20" s="18"/>
      <c r="CB20" s="18"/>
      <c r="CC20" s="18"/>
      <c r="CD20" s="18"/>
      <c r="CE20" s="18"/>
      <c r="CF20" s="18"/>
      <c r="CG20" s="19"/>
      <c r="CH20" s="15"/>
      <c r="CI20" s="17"/>
      <c r="CJ20" s="10"/>
      <c r="CK20" s="10"/>
      <c r="CL20" s="10"/>
      <c r="CM20" s="17"/>
      <c r="CN20" s="17"/>
      <c r="CO20" s="10"/>
      <c r="CP20" s="10"/>
      <c r="CQ20" s="10"/>
      <c r="CR20" s="50"/>
      <c r="CS20" s="10"/>
      <c r="CT20" s="10"/>
      <c r="CU20" s="10"/>
      <c r="CV20" s="10"/>
      <c r="CW20" s="10"/>
      <c r="CX20" s="10"/>
      <c r="CY20" s="10"/>
      <c r="CZ20" s="10"/>
      <c r="DA20" s="34"/>
      <c r="DB20" s="52"/>
      <c r="DC20" s="52"/>
      <c r="DD20" s="52"/>
      <c r="DE20" s="52"/>
      <c r="DF20" s="52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  <c r="ED20" s="34"/>
      <c r="EE20" s="34"/>
    </row>
    <row r="21" spans="1:135" customFormat="1">
      <c r="A21" s="71">
        <f>'Old Data'!$I17-'Old Data'!$S17</f>
        <v>-55</v>
      </c>
      <c r="B21" s="72">
        <f>VLOOKUP('Old Data'!$F17,$R$6:$T$135,2,FALSE)+VLOOKUP('Old Data'!$P17,$R$6:$T$135,3,FALSE)+$B$2</f>
        <v>171.94217127272412</v>
      </c>
      <c r="C21" s="72">
        <f>VLOOKUP('Old Data'!$P17,$R$6:$T$135,2,FALSE)+VLOOKUP('Old Data'!$F17,$R$6:$T$135,3,FALSE)+$B$2</f>
        <v>127.500315458811</v>
      </c>
      <c r="D21" s="74">
        <f>('Old Data'!$I17-$B21)^2+('Old Data'!$S17-$C21)^2</f>
        <v>9594.917967338708</v>
      </c>
      <c r="E21" s="75">
        <f>'Old Data'!$K17-'Old Data'!$U17</f>
        <v>116</v>
      </c>
      <c r="F21" s="72">
        <f>VLOOKUP('Old Data'!$F17,$V$6:$X$135,2,FALSE)+VLOOKUP('Old Data'!$P17,$V$6:$X$135,3,FALSE)+$C$2</f>
        <v>220.8560677206562</v>
      </c>
      <c r="G21" s="72">
        <f>VLOOKUP('Old Data'!$P17,$V$6:$X$135,2,FALSE)+VLOOKUP('Old Data'!$F17,$V$6:$X$135,3,FALSE)+$C$2</f>
        <v>294.29717408182603</v>
      </c>
      <c r="H21" s="74">
        <f>('Old Data'!$K17-$F21)^2+('Old Data'!$U17-$G21)^2</f>
        <v>18212.002692654136</v>
      </c>
      <c r="I21" s="75">
        <f>('Old Data'!$L17+'Old Data'!$M17)-('Old Data'!$V17+'Old Data'!$W17)</f>
        <v>56</v>
      </c>
      <c r="J21" s="72">
        <f>VLOOKUP('Old Data'!$F17,$Z$6:$AB$135,2,FALSE)+VLOOKUP('Old Data'!$P17,$Z$6:$AB$135,3,FALSE)+$D$2</f>
        <v>24.223704545271929</v>
      </c>
      <c r="K21" s="72">
        <f>VLOOKUP('Old Data'!$P17,$Z$6:$AB$135,2,FALSE)+VLOOKUP('Old Data'!$F17,$Z$6:$AB$135,3,FALSE)+$D$2</f>
        <v>58.633783104811897</v>
      </c>
      <c r="L21" s="74">
        <f>('Old Data'!$L17+'Old Data'!$M17-$J21)^2+('Old Data'!$V17+'Old Data'!$W17-$K21)^2</f>
        <v>4348.2235234079617</v>
      </c>
      <c r="M21" s="75">
        <f>'Old Data'!$N17-'Old Data'!$X17</f>
        <v>-3</v>
      </c>
      <c r="N21" s="72">
        <f>VLOOKUP('Old Data'!$F17,$AD$6:$AF$135,2,FALSE)+VLOOKUP('Old Data'!$P17,$AD$6:$AF$135,3,FALSE)+$E$2</f>
        <v>1.1394463444246712</v>
      </c>
      <c r="O21" s="72">
        <f>VLOOKUP('Old Data'!$P17,$AD$6:$AF$135,2,FALSE)+VLOOKUP('Old Data'!$F17,$AD$6:$AF$135,3,FALSE)+$E$2</f>
        <v>1.6364046530548042</v>
      </c>
      <c r="P21" s="73">
        <f>('Old Data'!$N17-$N21)^2+('Old Data'!$X17-$O21)^2</f>
        <v>5.6060282470743843</v>
      </c>
      <c r="Q21" s="62"/>
      <c r="R21" s="90" t="s">
        <v>47</v>
      </c>
      <c r="S21" s="96">
        <v>49.146377871562201</v>
      </c>
      <c r="T21" s="96">
        <v>-52.578811167877603</v>
      </c>
      <c r="U21" s="35"/>
      <c r="V21" s="90" t="s">
        <v>47</v>
      </c>
      <c r="W21" s="96">
        <v>-105.88091426131299</v>
      </c>
      <c r="X21" s="96">
        <v>-11.0754821261703</v>
      </c>
      <c r="Y21" s="35"/>
      <c r="Z21" s="90" t="s">
        <v>47</v>
      </c>
      <c r="AA21" s="96">
        <v>-25.372229095935101</v>
      </c>
      <c r="AB21" s="96">
        <v>7.4742185283357898</v>
      </c>
      <c r="AC21" s="63"/>
      <c r="AD21" s="90" t="s">
        <v>47</v>
      </c>
      <c r="AE21" s="96">
        <v>0.15666267072603701</v>
      </c>
      <c r="AF21" s="96">
        <v>-0.122643879520851</v>
      </c>
      <c r="AG21" s="63"/>
      <c r="AH21" s="37"/>
      <c r="AI21" s="22"/>
      <c r="AJ21" s="2"/>
      <c r="AK21" s="10"/>
      <c r="AL21" s="10"/>
      <c r="AM21" s="10"/>
      <c r="AN21" s="11"/>
      <c r="AO21" s="11"/>
      <c r="AP21" s="11"/>
      <c r="AQ21" s="36"/>
      <c r="AR21" s="11"/>
      <c r="AS21" s="11"/>
      <c r="AT21" s="11"/>
      <c r="AU21" s="12"/>
      <c r="AV21" s="11"/>
      <c r="AW21" s="11"/>
      <c r="AX21" s="15"/>
      <c r="AY21" s="15"/>
      <c r="AZ21" s="15"/>
      <c r="BA21" s="15"/>
      <c r="BB21" s="15"/>
      <c r="BC21" s="15"/>
      <c r="BD21" s="15"/>
      <c r="BE21" s="12"/>
      <c r="BF21" s="11"/>
      <c r="BG21" s="11"/>
      <c r="BH21" s="10"/>
      <c r="BI21" s="10"/>
      <c r="BJ21" s="10"/>
      <c r="BK21" s="23"/>
      <c r="BL21" s="23"/>
      <c r="BM21" s="23"/>
      <c r="BN21" s="23"/>
      <c r="BO21" s="23"/>
      <c r="BP21" s="23"/>
      <c r="BQ21" s="23"/>
      <c r="BR21" s="10"/>
      <c r="BS21" s="15"/>
      <c r="BT21" s="15"/>
      <c r="BU21" s="15"/>
      <c r="BV21" s="15"/>
      <c r="BW21" s="11"/>
      <c r="BX21" s="16"/>
      <c r="BY21" s="16"/>
      <c r="BZ21" s="17"/>
      <c r="CA21" s="18"/>
      <c r="CB21" s="18"/>
      <c r="CC21" s="18"/>
      <c r="CD21" s="18"/>
      <c r="CE21" s="18"/>
      <c r="CF21" s="18"/>
      <c r="CG21" s="19"/>
      <c r="CH21" s="15"/>
      <c r="CI21" s="17"/>
      <c r="CJ21" s="10"/>
      <c r="CK21" s="10"/>
      <c r="CL21" s="10"/>
      <c r="CM21" s="17"/>
      <c r="CN21" s="17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  <c r="ED21" s="34"/>
      <c r="EE21" s="34"/>
    </row>
    <row r="22" spans="1:135" customFormat="1">
      <c r="A22" s="71">
        <f>'Old Data'!$I18-'Old Data'!$S18</f>
        <v>143</v>
      </c>
      <c r="B22" s="72">
        <f>VLOOKUP('Old Data'!$F18,$R$6:$T$135,2,FALSE)+VLOOKUP('Old Data'!$P18,$R$6:$T$135,3,FALSE)+$B$2</f>
        <v>224.83500646344029</v>
      </c>
      <c r="C22" s="72">
        <f>VLOOKUP('Old Data'!$P18,$R$6:$T$135,2,FALSE)+VLOOKUP('Old Data'!$F18,$R$6:$T$135,3,FALSE)+$B$2</f>
        <v>59.334243121874408</v>
      </c>
      <c r="D22" s="74">
        <f>('Old Data'!$I18-$B22)^2+('Old Data'!$S18-$C22)^2</f>
        <v>339.85674279673333</v>
      </c>
      <c r="E22" s="75">
        <f>'Old Data'!$K18-'Old Data'!$U18</f>
        <v>66</v>
      </c>
      <c r="F22" s="72">
        <f>VLOOKUP('Old Data'!$F18,$V$6:$X$135,2,FALSE)+VLOOKUP('Old Data'!$P18,$V$6:$X$135,3,FALSE)+$C$2</f>
        <v>187.21501817247503</v>
      </c>
      <c r="G22" s="72">
        <f>VLOOKUP('Old Data'!$P18,$V$6:$X$135,2,FALSE)+VLOOKUP('Old Data'!$F18,$V$6:$X$135,3,FALSE)+$C$2</f>
        <v>159.37311525281839</v>
      </c>
      <c r="H22" s="74">
        <f>('Old Data'!$K18-$F22)^2+('Old Data'!$U18-$G22)^2</f>
        <v>1030.3083390664704</v>
      </c>
      <c r="I22" s="75">
        <f>('Old Data'!$L18+'Old Data'!$M18)-('Old Data'!$V18+'Old Data'!$W18)</f>
        <v>-32</v>
      </c>
      <c r="J22" s="72">
        <f>VLOOKUP('Old Data'!$F18,$Z$6:$AB$135,2,FALSE)+VLOOKUP('Old Data'!$P18,$Z$6:$AB$135,3,FALSE)+$D$2</f>
        <v>36.882058287321698</v>
      </c>
      <c r="K22" s="72">
        <f>VLOOKUP('Old Data'!$P18,$Z$6:$AB$135,2,FALSE)+VLOOKUP('Old Data'!$F18,$Z$6:$AB$135,3,FALSE)+$D$2</f>
        <v>64.773714072507303</v>
      </c>
      <c r="L22" s="74">
        <f>('Old Data'!$L18+'Old Data'!$M18-$J22)^2+('Old Data'!$V18+'Old Data'!$W18-$K22)^2</f>
        <v>9.8100371474863017</v>
      </c>
      <c r="M22" s="75">
        <f>'Old Data'!$N18-'Old Data'!$X18</f>
        <v>2</v>
      </c>
      <c r="N22" s="72">
        <f>VLOOKUP('Old Data'!$F18,$AD$6:$AF$135,2,FALSE)+VLOOKUP('Old Data'!$P18,$AD$6:$AF$135,3,FALSE)+$E$2</f>
        <v>2.9637042288042279</v>
      </c>
      <c r="O22" s="72">
        <f>VLOOKUP('Old Data'!$P18,$AD$6:$AF$135,2,FALSE)+VLOOKUP('Old Data'!$F18,$AD$6:$AF$135,3,FALSE)+$E$2</f>
        <v>0.55697657647107413</v>
      </c>
      <c r="P22" s="73">
        <f>('Old Data'!$N18-$N22)^2+('Old Data'!$X18-$O22)^2</f>
        <v>1.23894874735259</v>
      </c>
      <c r="Q22" s="62"/>
      <c r="R22" s="90" t="s">
        <v>43</v>
      </c>
      <c r="S22" s="96">
        <v>-42.347866082914202</v>
      </c>
      <c r="T22" s="96">
        <v>42.9705291678221</v>
      </c>
      <c r="U22" s="35"/>
      <c r="V22" s="90" t="s">
        <v>43</v>
      </c>
      <c r="W22" s="96">
        <v>85.713707489861306</v>
      </c>
      <c r="X22" s="96">
        <v>-23.651331675389098</v>
      </c>
      <c r="Y22" s="35"/>
      <c r="Z22" s="90" t="s">
        <v>43</v>
      </c>
      <c r="AA22" s="96">
        <v>-13.5302320213715</v>
      </c>
      <c r="AB22" s="96">
        <v>17.445147559593401</v>
      </c>
      <c r="AC22" s="63"/>
      <c r="AD22" s="90" t="s">
        <v>43</v>
      </c>
      <c r="AE22" s="96">
        <v>0.45532663350699598</v>
      </c>
      <c r="AF22" s="96">
        <v>-0.10692635903210899</v>
      </c>
      <c r="AG22" s="63"/>
      <c r="AH22" s="55"/>
      <c r="AI22" s="22"/>
      <c r="AJ22" s="6"/>
      <c r="AK22" s="10"/>
      <c r="AL22" s="10"/>
      <c r="AM22" s="10"/>
      <c r="AN22" s="11"/>
      <c r="AO22" s="11"/>
      <c r="AP22" s="11"/>
      <c r="AQ22" s="36"/>
      <c r="AR22" s="11"/>
      <c r="AS22" s="11"/>
      <c r="AT22" s="11"/>
      <c r="AU22" s="12"/>
      <c r="AV22" s="11"/>
      <c r="AW22" s="11"/>
      <c r="AX22" s="15"/>
      <c r="AY22" s="15"/>
      <c r="AZ22" s="15"/>
      <c r="BA22" s="15"/>
      <c r="BB22" s="15"/>
      <c r="BC22" s="15"/>
      <c r="BD22" s="15"/>
      <c r="BE22" s="12"/>
      <c r="BF22" s="11"/>
      <c r="BG22" s="11"/>
      <c r="BH22" s="10"/>
      <c r="BI22" s="10"/>
      <c r="BJ22" s="10"/>
      <c r="BK22" s="23"/>
      <c r="BL22" s="23"/>
      <c r="BM22" s="23"/>
      <c r="BN22" s="23"/>
      <c r="BO22" s="23"/>
      <c r="BP22" s="23"/>
      <c r="BQ22" s="23"/>
      <c r="BR22" s="10"/>
      <c r="BS22" s="15"/>
      <c r="BT22" s="15"/>
      <c r="BU22" s="15"/>
      <c r="BV22" s="15"/>
      <c r="BW22" s="11"/>
      <c r="BX22" s="16"/>
      <c r="BY22" s="16"/>
      <c r="BZ22" s="17"/>
      <c r="CA22" s="18"/>
      <c r="CB22" s="18"/>
      <c r="CC22" s="18"/>
      <c r="CD22" s="18"/>
      <c r="CE22" s="18"/>
      <c r="CF22" s="18"/>
      <c r="CG22" s="19"/>
      <c r="CH22" s="15"/>
      <c r="CI22" s="17"/>
      <c r="CJ22" s="10"/>
      <c r="CK22" s="10"/>
      <c r="CL22" s="10"/>
      <c r="CM22" s="17"/>
      <c r="CN22" s="17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  <c r="ED22" s="34"/>
      <c r="EE22" s="34"/>
    </row>
    <row r="23" spans="1:135" customFormat="1">
      <c r="A23" s="71">
        <f>'Old Data'!$I19-'Old Data'!$S19</f>
        <v>154</v>
      </c>
      <c r="B23" s="72">
        <f>VLOOKUP('Old Data'!$F19,$R$6:$T$135,2,FALSE)+VLOOKUP('Old Data'!$P19,$R$6:$T$135,3,FALSE)+$B$2</f>
        <v>160.64878255114169</v>
      </c>
      <c r="C23" s="72">
        <f>VLOOKUP('Old Data'!$P19,$R$6:$T$135,2,FALSE)+VLOOKUP('Old Data'!$F19,$R$6:$T$135,3,FALSE)+$B$2</f>
        <v>56.318925243931602</v>
      </c>
      <c r="D23" s="74">
        <f>('Old Data'!$I19-$B23)^2+('Old Data'!$S19-$C23)^2</f>
        <v>2747.8381302252737</v>
      </c>
      <c r="E23" s="75">
        <f>'Old Data'!$K19-'Old Data'!$U19</f>
        <v>66</v>
      </c>
      <c r="F23" s="72">
        <f>VLOOKUP('Old Data'!$F19,$V$6:$X$135,2,FALSE)+VLOOKUP('Old Data'!$P19,$V$6:$X$135,3,FALSE)+$C$2</f>
        <v>240.80460305081115</v>
      </c>
      <c r="G23" s="72">
        <f>VLOOKUP('Old Data'!$P19,$V$6:$X$135,2,FALSE)+VLOOKUP('Old Data'!$F19,$V$6:$X$135,3,FALSE)+$C$2</f>
        <v>136.02703200193841</v>
      </c>
      <c r="H23" s="74">
        <f>('Old Data'!$K19-$F23)^2+('Old Data'!$U19-$G23)^2</f>
        <v>2622.634443385195</v>
      </c>
      <c r="I23" s="75">
        <f>('Old Data'!$L19+'Old Data'!$M19)-('Old Data'!$V19+'Old Data'!$W19)</f>
        <v>-1</v>
      </c>
      <c r="J23" s="72">
        <f>VLOOKUP('Old Data'!$F19,$Z$6:$AB$135,2,FALSE)+VLOOKUP('Old Data'!$P19,$Z$6:$AB$135,3,FALSE)+$D$2</f>
        <v>35.779501593069426</v>
      </c>
      <c r="K23" s="72">
        <f>VLOOKUP('Old Data'!$P19,$Z$6:$AB$135,2,FALSE)+VLOOKUP('Old Data'!$F19,$Z$6:$AB$135,3,FALSE)+$D$2</f>
        <v>67.197022017662704</v>
      </c>
      <c r="L23" s="74">
        <f>('Old Data'!$L19+'Old Data'!$M19-$J23)^2+('Old Data'!$V19+'Old Data'!$W19-$K23)^2</f>
        <v>973.86180550412928</v>
      </c>
      <c r="M23" s="75">
        <f>'Old Data'!$N19-'Old Data'!$X19</f>
        <v>0</v>
      </c>
      <c r="N23" s="72">
        <f>VLOOKUP('Old Data'!$F19,$AD$6:$AF$135,2,FALSE)+VLOOKUP('Old Data'!$P19,$AD$6:$AF$135,3,FALSE)+$E$2</f>
        <v>1.4442077263810831</v>
      </c>
      <c r="O23" s="72">
        <f>VLOOKUP('Old Data'!$P19,$AD$6:$AF$135,2,FALSE)+VLOOKUP('Old Data'!$F19,$AD$6:$AF$135,3,FALSE)+$E$2</f>
        <v>0.68974321768825109</v>
      </c>
      <c r="P23" s="73">
        <f>('Old Data'!$N19-$N23)^2+('Old Data'!$X19-$O23)^2</f>
        <v>0.2935797751470911</v>
      </c>
      <c r="Q23" s="62"/>
      <c r="R23" s="90" t="s">
        <v>48</v>
      </c>
      <c r="S23" s="96">
        <v>-24.025025756236101</v>
      </c>
      <c r="T23" s="96">
        <v>-39.7845631691617</v>
      </c>
      <c r="U23" s="35"/>
      <c r="V23" s="90" t="s">
        <v>48</v>
      </c>
      <c r="W23" s="96">
        <v>-44.234355759270798</v>
      </c>
      <c r="X23" s="96">
        <v>14.5912984165255</v>
      </c>
      <c r="Y23" s="35"/>
      <c r="Z23" s="90" t="s">
        <v>48</v>
      </c>
      <c r="AA23" s="96">
        <v>-25.432072434877799</v>
      </c>
      <c r="AB23" s="96">
        <v>-4.3100656968869204</v>
      </c>
      <c r="AC23" s="63"/>
      <c r="AD23" s="90" t="s">
        <v>48</v>
      </c>
      <c r="AE23" s="96">
        <v>-0.11703656513089999</v>
      </c>
      <c r="AF23" s="96">
        <v>-0.7368176551458</v>
      </c>
      <c r="AG23" s="63"/>
      <c r="AH23" s="37"/>
      <c r="AI23" s="22"/>
      <c r="AJ23" s="6"/>
      <c r="AK23" s="10"/>
      <c r="AL23" s="10"/>
      <c r="AM23" s="10"/>
      <c r="AN23" s="11"/>
      <c r="AO23" s="11"/>
      <c r="AP23" s="11"/>
      <c r="AQ23" s="36"/>
      <c r="AR23" s="11"/>
      <c r="AS23" s="11"/>
      <c r="AT23" s="11"/>
      <c r="AU23" s="12"/>
      <c r="AV23" s="11"/>
      <c r="AW23" s="11"/>
      <c r="AX23" s="15"/>
      <c r="AY23" s="15"/>
      <c r="AZ23" s="15"/>
      <c r="BA23" s="15"/>
      <c r="BB23" s="15"/>
      <c r="BC23" s="15"/>
      <c r="BD23" s="15"/>
      <c r="BE23" s="12"/>
      <c r="BF23" s="11"/>
      <c r="BG23" s="11"/>
      <c r="BH23" s="10"/>
      <c r="BI23" s="10"/>
      <c r="BJ23" s="10"/>
      <c r="BK23" s="23"/>
      <c r="BL23" s="23"/>
      <c r="BM23" s="23"/>
      <c r="BN23" s="23"/>
      <c r="BO23" s="23"/>
      <c r="BP23" s="23"/>
      <c r="BQ23" s="23"/>
      <c r="BR23" s="10"/>
      <c r="BS23" s="16"/>
      <c r="BT23" s="16"/>
      <c r="BU23" s="16"/>
      <c r="BV23" s="16"/>
      <c r="BW23" s="11"/>
      <c r="BX23" s="16"/>
      <c r="BY23" s="16"/>
      <c r="BZ23" s="17"/>
      <c r="CA23" s="18"/>
      <c r="CB23" s="18"/>
      <c r="CC23" s="18"/>
      <c r="CD23" s="18"/>
      <c r="CE23" s="18"/>
      <c r="CF23" s="18"/>
      <c r="CG23" s="19"/>
      <c r="CH23" s="15"/>
      <c r="CI23" s="17"/>
      <c r="CJ23" s="10"/>
      <c r="CK23" s="10"/>
      <c r="CL23" s="10"/>
      <c r="CM23" s="17"/>
      <c r="CN23" s="17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  <c r="ED23" s="34"/>
      <c r="EE23" s="34"/>
    </row>
    <row r="24" spans="1:135" customFormat="1">
      <c r="A24" s="71">
        <f>'Old Data'!$I20-'Old Data'!$S20</f>
        <v>-5</v>
      </c>
      <c r="B24" s="72">
        <f>VLOOKUP('Old Data'!$F20,$R$6:$T$135,2,FALSE)+VLOOKUP('Old Data'!$P20,$R$6:$T$135,3,FALSE)+$B$2</f>
        <v>310.72456742870099</v>
      </c>
      <c r="C24" s="72">
        <f>VLOOKUP('Old Data'!$P20,$R$6:$T$135,2,FALSE)+VLOOKUP('Old Data'!$F20,$R$6:$T$135,3,FALSE)+$B$2</f>
        <v>187.92790664034564</v>
      </c>
      <c r="D24" s="74">
        <f>('Old Data'!$I20-$B24)^2+('Old Data'!$S20-$C24)^2</f>
        <v>18198.704959267943</v>
      </c>
      <c r="E24" s="75">
        <f>'Old Data'!$K20-'Old Data'!$U20</f>
        <v>80</v>
      </c>
      <c r="F24" s="72">
        <f>VLOOKUP('Old Data'!$F20,$V$6:$X$135,2,FALSE)+VLOOKUP('Old Data'!$P20,$V$6:$X$135,3,FALSE)+$C$2</f>
        <v>171.58266680284859</v>
      </c>
      <c r="G24" s="72">
        <f>VLOOKUP('Old Data'!$P20,$V$6:$X$135,2,FALSE)+VLOOKUP('Old Data'!$F20,$V$6:$X$135,3,FALSE)+$C$2</f>
        <v>123.70732627337749</v>
      </c>
      <c r="H24" s="74">
        <f>('Old Data'!$K20-$F24)^2+('Old Data'!$U20-$G24)^2</f>
        <v>7326.6097311223984</v>
      </c>
      <c r="I24" s="75">
        <f>('Old Data'!$L20+'Old Data'!$M20)-('Old Data'!$V20+'Old Data'!$W20)</f>
        <v>2</v>
      </c>
      <c r="J24" s="72">
        <f>VLOOKUP('Old Data'!$F20,$Z$6:$AB$135,2,FALSE)+VLOOKUP('Old Data'!$P20,$Z$6:$AB$135,3,FALSE)+$D$2</f>
        <v>56.399423807190487</v>
      </c>
      <c r="K24" s="72">
        <f>VLOOKUP('Old Data'!$P20,$Z$6:$AB$135,2,FALSE)+VLOOKUP('Old Data'!$F20,$Z$6:$AB$135,3,FALSE)+$D$2</f>
        <v>61.954216627820394</v>
      </c>
      <c r="L24" s="74">
        <f>('Old Data'!$L20+'Old Data'!$M20-$J24)^2+('Old Data'!$V20+'Old Data'!$W20-$K24)^2</f>
        <v>121.6490119698056</v>
      </c>
      <c r="M24" s="75">
        <f>'Old Data'!$N20-'Old Data'!$X20</f>
        <v>0</v>
      </c>
      <c r="N24" s="72">
        <f>VLOOKUP('Old Data'!$F20,$AD$6:$AF$135,2,FALSE)+VLOOKUP('Old Data'!$P20,$AD$6:$AF$135,3,FALSE)+$E$2</f>
        <v>1.773904909934773</v>
      </c>
      <c r="O24" s="72">
        <f>VLOOKUP('Old Data'!$P20,$AD$6:$AF$135,2,FALSE)+VLOOKUP('Old Data'!$F20,$AD$6:$AF$135,3,FALSE)+$E$2</f>
        <v>0.52248707265697858</v>
      </c>
      <c r="P24" s="73">
        <f>('Old Data'!$N20-$N24)^2+('Old Data'!$X20-$O24)^2</f>
        <v>2.2341634402173476</v>
      </c>
      <c r="Q24" s="62"/>
      <c r="R24" s="90" t="s">
        <v>14</v>
      </c>
      <c r="S24" s="96">
        <v>36.354946312410398</v>
      </c>
      <c r="T24" s="96">
        <v>16.190121643677799</v>
      </c>
      <c r="V24" s="90" t="s">
        <v>14</v>
      </c>
      <c r="W24" s="96">
        <v>71.276203834783203</v>
      </c>
      <c r="X24" s="96">
        <v>-15.0040770002401</v>
      </c>
      <c r="Z24" s="90" t="s">
        <v>14</v>
      </c>
      <c r="AA24" s="96">
        <v>-22.274865692060999</v>
      </c>
      <c r="AB24" s="96">
        <v>9.7993338709762696</v>
      </c>
      <c r="AC24" s="63"/>
      <c r="AD24" s="90" t="s">
        <v>14</v>
      </c>
      <c r="AE24" s="96">
        <v>-3.5394829364933697E-2</v>
      </c>
      <c r="AF24" s="96">
        <v>0.16626368564062999</v>
      </c>
      <c r="AG24" s="63"/>
      <c r="AH24" s="56"/>
      <c r="AI24" s="22"/>
      <c r="AJ24" s="6"/>
      <c r="AK24" s="10"/>
      <c r="AL24" s="10"/>
      <c r="AM24" s="10"/>
      <c r="AN24" s="11"/>
      <c r="AO24" s="11"/>
      <c r="AP24" s="11"/>
      <c r="AQ24" s="36"/>
      <c r="AR24" s="11"/>
      <c r="AS24" s="11"/>
      <c r="AT24" s="11"/>
      <c r="AU24" s="12"/>
      <c r="AV24" s="11"/>
      <c r="AW24" s="11"/>
      <c r="AX24" s="15"/>
      <c r="AY24" s="15"/>
      <c r="AZ24" s="15"/>
      <c r="BA24" s="15"/>
      <c r="BB24" s="15"/>
      <c r="BC24" s="15"/>
      <c r="BD24" s="15"/>
      <c r="BE24" s="12"/>
      <c r="BF24" s="11"/>
      <c r="BG24" s="11"/>
      <c r="BH24" s="10"/>
      <c r="BI24" s="10"/>
      <c r="BJ24" s="10"/>
      <c r="BK24" s="23"/>
      <c r="BL24" s="23"/>
      <c r="BM24" s="23"/>
      <c r="BN24" s="23"/>
      <c r="BO24" s="23"/>
      <c r="BP24" s="23"/>
      <c r="BQ24" s="23"/>
      <c r="BR24" s="10"/>
      <c r="BS24" s="16"/>
      <c r="BT24" s="16"/>
      <c r="BU24" s="16"/>
      <c r="BV24" s="16"/>
      <c r="BW24" s="11"/>
      <c r="BX24" s="16"/>
      <c r="BY24" s="16"/>
      <c r="BZ24" s="17"/>
      <c r="CA24" s="18"/>
      <c r="CB24" s="18"/>
      <c r="CC24" s="18"/>
      <c r="CD24" s="18"/>
      <c r="CE24" s="18"/>
      <c r="CF24" s="18"/>
      <c r="CG24" s="19"/>
      <c r="CH24" s="15"/>
      <c r="CI24" s="17"/>
      <c r="CJ24" s="10"/>
      <c r="CK24" s="10"/>
      <c r="CL24" s="10"/>
      <c r="CM24" s="17"/>
      <c r="CN24" s="17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  <c r="ED24" s="34"/>
      <c r="EE24" s="34"/>
    </row>
    <row r="25" spans="1:135" customFormat="1">
      <c r="A25" s="71">
        <f>'Old Data'!$I21-'Old Data'!$S21</f>
        <v>49</v>
      </c>
      <c r="B25" s="72">
        <f>VLOOKUP('Old Data'!$F21,$R$6:$T$135,2,FALSE)+VLOOKUP('Old Data'!$P21,$R$6:$T$135,3,FALSE)+$B$2</f>
        <v>177.81704906917579</v>
      </c>
      <c r="C25" s="72">
        <f>VLOOKUP('Old Data'!$P21,$R$6:$T$135,2,FALSE)+VLOOKUP('Old Data'!$F21,$R$6:$T$135,3,FALSE)+$B$2</f>
        <v>142.9686115032124</v>
      </c>
      <c r="D25" s="74">
        <f>('Old Data'!$I21-$B25)^2+('Old Data'!$S21-$C25)^2</f>
        <v>7761.5782413334691</v>
      </c>
      <c r="E25" s="75">
        <f>'Old Data'!$K21-'Old Data'!$U21</f>
        <v>326</v>
      </c>
      <c r="F25" s="72">
        <f>VLOOKUP('Old Data'!$F21,$V$6:$X$135,2,FALSE)+VLOOKUP('Old Data'!$P21,$V$6:$X$135,3,FALSE)+$C$2</f>
        <v>404.07456030025639</v>
      </c>
      <c r="G25" s="72">
        <f>VLOOKUP('Old Data'!$P21,$V$6:$X$135,2,FALSE)+VLOOKUP('Old Data'!$F21,$V$6:$X$135,3,FALSE)+$C$2</f>
        <v>45.686642398254492</v>
      </c>
      <c r="H25" s="74">
        <f>('Old Data'!$K21-$F25)^2+('Old Data'!$U21-$G25)^2</f>
        <v>3394.3685301758342</v>
      </c>
      <c r="I25" s="75">
        <f>('Old Data'!$L21+'Old Data'!$M21)-('Old Data'!$V21+'Old Data'!$W21)</f>
        <v>39</v>
      </c>
      <c r="J25" s="72">
        <f>VLOOKUP('Old Data'!$F21,$Z$6:$AB$135,2,FALSE)+VLOOKUP('Old Data'!$P21,$Z$6:$AB$135,3,FALSE)+$D$2</f>
        <v>7.3937952610642981</v>
      </c>
      <c r="K25" s="72">
        <f>VLOOKUP('Old Data'!$P21,$Z$6:$AB$135,2,FALSE)+VLOOKUP('Old Data'!$F21,$Z$6:$AB$135,3,FALSE)+$D$2</f>
        <v>4.8358955834602</v>
      </c>
      <c r="L25" s="74">
        <f>('Old Data'!$L21+'Old Data'!$M21-$J25)^2+('Old Data'!$V21+'Old Data'!$W21-$K25)^2</f>
        <v>2056.3661021360144</v>
      </c>
      <c r="M25" s="75">
        <f>'Old Data'!$N21-'Old Data'!$X21</f>
        <v>2</v>
      </c>
      <c r="N25" s="72">
        <f>VLOOKUP('Old Data'!$F21,$AD$6:$AF$135,2,FALSE)+VLOOKUP('Old Data'!$P21,$AD$6:$AF$135,3,FALSE)+$E$2</f>
        <v>1.1730470480369142</v>
      </c>
      <c r="O25" s="72">
        <f>VLOOKUP('Old Data'!$P21,$AD$6:$AF$135,2,FALSE)+VLOOKUP('Old Data'!$F21,$AD$6:$AF$135,3,FALSE)+$E$2</f>
        <v>0.62226326698941292</v>
      </c>
      <c r="P25" s="73">
        <f>('Old Data'!$N21-$N25)^2+('Old Data'!$X21-$O25)^2</f>
        <v>1.0710627582047991</v>
      </c>
      <c r="Q25" s="62"/>
      <c r="R25" s="90" t="s">
        <v>50</v>
      </c>
      <c r="S25" s="96">
        <v>9.0079200532346704</v>
      </c>
      <c r="T25" s="96">
        <v>48.2521215485637</v>
      </c>
      <c r="V25" s="90" t="s">
        <v>50</v>
      </c>
      <c r="W25" s="96">
        <v>-11.540918146089901</v>
      </c>
      <c r="X25" s="96">
        <v>-14.598074702644199</v>
      </c>
      <c r="Z25" s="90" t="s">
        <v>50</v>
      </c>
      <c r="AA25" s="96">
        <v>-26.983817884267701</v>
      </c>
      <c r="AB25" s="96">
        <v>-4.8834566081331197</v>
      </c>
      <c r="AC25" s="63"/>
      <c r="AD25" s="90" t="s">
        <v>50</v>
      </c>
      <c r="AE25" s="96">
        <v>-6.8388332455885603E-2</v>
      </c>
      <c r="AF25" s="96">
        <v>-0.26501278163708802</v>
      </c>
      <c r="AG25" s="63"/>
      <c r="AH25" s="37"/>
      <c r="AI25" s="22"/>
      <c r="AJ25" s="31"/>
      <c r="AK25" s="10"/>
      <c r="AL25" s="10"/>
      <c r="AM25" s="10"/>
      <c r="AN25" s="11"/>
      <c r="AO25" s="11"/>
      <c r="AP25" s="11"/>
      <c r="AQ25" s="36"/>
      <c r="AR25" s="11"/>
      <c r="AS25" s="11"/>
      <c r="AT25" s="11"/>
      <c r="AU25" s="12"/>
      <c r="AV25" s="11"/>
      <c r="AW25" s="11"/>
      <c r="AX25" s="15"/>
      <c r="AY25" s="15"/>
      <c r="AZ25" s="15"/>
      <c r="BA25" s="15"/>
      <c r="BB25" s="15"/>
      <c r="BC25" s="15"/>
      <c r="BD25" s="15"/>
      <c r="BE25" s="12"/>
      <c r="BF25" s="11"/>
      <c r="BG25" s="11"/>
      <c r="BH25" s="10"/>
      <c r="BI25" s="10"/>
      <c r="BJ25" s="10"/>
      <c r="BK25" s="23"/>
      <c r="BL25" s="23"/>
      <c r="BM25" s="23"/>
      <c r="BN25" s="23"/>
      <c r="BO25" s="23"/>
      <c r="BP25" s="23"/>
      <c r="BQ25" s="23"/>
      <c r="BR25" s="10"/>
      <c r="BS25" s="16"/>
      <c r="BT25" s="15"/>
      <c r="BU25" s="16"/>
      <c r="BV25" s="16"/>
      <c r="BW25" s="11"/>
      <c r="BX25" s="16"/>
      <c r="BY25" s="16"/>
      <c r="BZ25" s="17"/>
      <c r="CA25" s="18"/>
      <c r="CB25" s="18"/>
      <c r="CC25" s="18"/>
      <c r="CD25" s="18"/>
      <c r="CE25" s="18"/>
      <c r="CF25" s="18"/>
      <c r="CG25" s="19"/>
      <c r="CH25" s="15"/>
      <c r="CI25" s="17"/>
      <c r="CJ25" s="10"/>
      <c r="CK25" s="10"/>
      <c r="CL25" s="10"/>
      <c r="CM25" s="17"/>
      <c r="CN25" s="17"/>
      <c r="CO25" s="10"/>
      <c r="CP25" s="10"/>
      <c r="CQ25" s="10"/>
      <c r="CR25" s="50"/>
      <c r="CS25" s="10"/>
      <c r="CT25" s="10"/>
      <c r="CU25" s="10"/>
      <c r="CV25" s="10"/>
      <c r="CW25" s="10"/>
      <c r="CX25" s="10"/>
      <c r="CY25" s="10"/>
      <c r="CZ25" s="10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  <c r="ED25" s="34"/>
      <c r="EE25" s="34"/>
    </row>
    <row r="26" spans="1:135" customFormat="1">
      <c r="A26" s="71">
        <f>'Old Data'!$I22-'Old Data'!$S22</f>
        <v>112</v>
      </c>
      <c r="B26" s="72">
        <f>VLOOKUP('Old Data'!$F22,$R$6:$T$135,2,FALSE)+VLOOKUP('Old Data'!$P22,$R$6:$T$135,3,FALSE)+$B$2</f>
        <v>169.6344999236947</v>
      </c>
      <c r="C26" s="72">
        <f>VLOOKUP('Old Data'!$P22,$R$6:$T$135,2,FALSE)+VLOOKUP('Old Data'!$F22,$R$6:$T$135,3,FALSE)+$B$2</f>
        <v>251.69437473467349</v>
      </c>
      <c r="D26" s="74">
        <f>('Old Data'!$I22-$B26)^2+('Old Data'!$S22-$C26)^2</f>
        <v>29979.173909193698</v>
      </c>
      <c r="E26" s="75">
        <f>'Old Data'!$K22-'Old Data'!$U22</f>
        <v>79</v>
      </c>
      <c r="F26" s="72">
        <f>VLOOKUP('Old Data'!$F22,$V$6:$X$135,2,FALSE)+VLOOKUP('Old Data'!$P22,$V$6:$X$135,3,FALSE)+$C$2</f>
        <v>318.74563435780482</v>
      </c>
      <c r="G26" s="72">
        <f>VLOOKUP('Old Data'!$P22,$V$6:$X$135,2,FALSE)+VLOOKUP('Old Data'!$F22,$V$6:$X$135,3,FALSE)+$C$2</f>
        <v>205.07353391741114</v>
      </c>
      <c r="H26" s="74">
        <f>('Old Data'!$K22-$F26)^2+('Old Data'!$U22-$G26)^2</f>
        <v>34094.758207811654</v>
      </c>
      <c r="I26" s="75">
        <f>('Old Data'!$L22+'Old Data'!$M22)-('Old Data'!$V22+'Old Data'!$W22)</f>
        <v>51</v>
      </c>
      <c r="J26" s="72">
        <f>VLOOKUP('Old Data'!$F22,$Z$6:$AB$135,2,FALSE)+VLOOKUP('Old Data'!$P22,$Z$6:$AB$135,3,FALSE)+$D$2</f>
        <v>89.734098032387507</v>
      </c>
      <c r="K26" s="72">
        <f>VLOOKUP('Old Data'!$P22,$Z$6:$AB$135,2,FALSE)+VLOOKUP('Old Data'!$F22,$Z$6:$AB$135,3,FALSE)+$D$2</f>
        <v>30.466806787489769</v>
      </c>
      <c r="L26" s="74">
        <f>('Old Data'!$L22+'Old Data'!$M22-$J26)^2+('Old Data'!$V22+'Old Data'!$W22-$K26)^2</f>
        <v>149.7078059354655</v>
      </c>
      <c r="M26" s="75">
        <f>'Old Data'!$N22-'Old Data'!$X22</f>
        <v>0</v>
      </c>
      <c r="N26" s="72">
        <f>VLOOKUP('Old Data'!$F22,$AD$6:$AF$135,2,FALSE)+VLOOKUP('Old Data'!$P22,$AD$6:$AF$135,3,FALSE)+$E$2</f>
        <v>1.1164717400072552</v>
      </c>
      <c r="O26" s="72">
        <f>VLOOKUP('Old Data'!$P22,$AD$6:$AF$135,2,FALSE)+VLOOKUP('Old Data'!$F22,$AD$6:$AF$135,3,FALSE)+$E$2</f>
        <v>1.1976953484068771</v>
      </c>
      <c r="P26" s="73">
        <f>('Old Data'!$N22-$N26)^2+('Old Data'!$X22-$O26)^2</f>
        <v>5.2649117002034181E-2</v>
      </c>
      <c r="Q26" s="62"/>
      <c r="R26" s="90" t="s">
        <v>107</v>
      </c>
      <c r="S26" s="96">
        <v>39.153942774764602</v>
      </c>
      <c r="T26" s="96">
        <v>-38.338724104939601</v>
      </c>
      <c r="V26" s="90" t="s">
        <v>107</v>
      </c>
      <c r="W26" s="96">
        <v>-56.940953989209397</v>
      </c>
      <c r="X26" s="96">
        <v>-16.922338570608598</v>
      </c>
      <c r="Z26" s="90" t="s">
        <v>107</v>
      </c>
      <c r="AA26" s="96">
        <v>4.9496901665460902</v>
      </c>
      <c r="AB26" s="96">
        <v>14.637658774062899</v>
      </c>
      <c r="AC26" s="63"/>
      <c r="AD26" s="90" t="s">
        <v>107</v>
      </c>
      <c r="AE26" s="96">
        <v>0.40460976401297299</v>
      </c>
      <c r="AF26" s="96">
        <v>2.2328301018273499E-2</v>
      </c>
      <c r="AG26" s="63"/>
      <c r="AH26" s="37"/>
      <c r="AI26" s="22"/>
      <c r="AJ26" s="31"/>
      <c r="AK26" s="10"/>
      <c r="AL26" s="10"/>
      <c r="AM26" s="10"/>
      <c r="AN26" s="11"/>
      <c r="AO26" s="11"/>
      <c r="AP26" s="11"/>
      <c r="AQ26" s="36"/>
      <c r="AR26" s="11"/>
      <c r="AS26" s="11"/>
      <c r="AT26" s="11"/>
      <c r="AU26" s="12"/>
      <c r="AV26" s="11"/>
      <c r="AW26" s="11"/>
      <c r="AX26" s="15"/>
      <c r="AY26" s="15"/>
      <c r="AZ26" s="15"/>
      <c r="BA26" s="15"/>
      <c r="BB26" s="15"/>
      <c r="BC26" s="15"/>
      <c r="BD26" s="15"/>
      <c r="BE26" s="12"/>
      <c r="BF26" s="11"/>
      <c r="BG26" s="11"/>
      <c r="BH26" s="10"/>
      <c r="BI26" s="10"/>
      <c r="BJ26" s="10"/>
      <c r="BK26" s="23"/>
      <c r="BL26" s="23"/>
      <c r="BM26" s="23"/>
      <c r="BN26" s="23"/>
      <c r="BO26" s="23"/>
      <c r="BP26" s="23"/>
      <c r="BQ26" s="23"/>
      <c r="BR26" s="10"/>
      <c r="BS26" s="16"/>
      <c r="BT26" s="15"/>
      <c r="BU26" s="16"/>
      <c r="BV26" s="16"/>
      <c r="BW26" s="11"/>
      <c r="BX26" s="16"/>
      <c r="BY26" s="16"/>
      <c r="BZ26" s="17"/>
      <c r="CA26" s="18"/>
      <c r="CB26" s="18"/>
      <c r="CC26" s="18"/>
      <c r="CD26" s="18"/>
      <c r="CE26" s="18"/>
      <c r="CF26" s="18"/>
      <c r="CG26" s="19"/>
      <c r="CH26" s="15"/>
      <c r="CI26" s="17"/>
      <c r="CJ26" s="10"/>
      <c r="CK26" s="10"/>
      <c r="CL26" s="10"/>
      <c r="CM26" s="17"/>
      <c r="CN26" s="17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  <c r="ED26" s="34"/>
      <c r="EE26" s="34"/>
    </row>
    <row r="27" spans="1:135" customFormat="1">
      <c r="A27" s="71">
        <f>'Old Data'!$I23-'Old Data'!$S23</f>
        <v>166</v>
      </c>
      <c r="B27" s="72">
        <f>VLOOKUP('Old Data'!$F23,$R$6:$T$135,2,FALSE)+VLOOKUP('Old Data'!$P23,$R$6:$T$135,3,FALSE)+$B$2</f>
        <v>226.81123144107318</v>
      </c>
      <c r="C27" s="72">
        <f>VLOOKUP('Old Data'!$P23,$R$6:$T$135,2,FALSE)+VLOOKUP('Old Data'!$F23,$R$6:$T$135,3,FALSE)+$B$2</f>
        <v>104.41843114978833</v>
      </c>
      <c r="D27" s="74">
        <f>('Old Data'!$I23-$B27)^2+('Old Data'!$S23-$C27)^2</f>
        <v>1438.439845987411</v>
      </c>
      <c r="E27" s="75">
        <f>'Old Data'!$K23-'Old Data'!$U23</f>
        <v>-14</v>
      </c>
      <c r="F27" s="72">
        <f>VLOOKUP('Old Data'!$F23,$V$6:$X$135,2,FALSE)+VLOOKUP('Old Data'!$P23,$V$6:$X$135,3,FALSE)+$C$2</f>
        <v>312.30328193085711</v>
      </c>
      <c r="G27" s="72">
        <f>VLOOKUP('Old Data'!$P23,$V$6:$X$135,2,FALSE)+VLOOKUP('Old Data'!$F23,$V$6:$X$135,3,FALSE)+$C$2</f>
        <v>204.5529811235717</v>
      </c>
      <c r="H27" s="74">
        <f>('Old Data'!$K23-$F27)^2+('Old Data'!$U23-$G27)^2</f>
        <v>9387.0227759160171</v>
      </c>
      <c r="I27" s="75">
        <f>('Old Data'!$L23+'Old Data'!$M23)-('Old Data'!$V23+'Old Data'!$W23)</f>
        <v>109</v>
      </c>
      <c r="J27" s="72">
        <f>VLOOKUP('Old Data'!$F23,$Z$6:$AB$135,2,FALSE)+VLOOKUP('Old Data'!$P23,$Z$6:$AB$135,3,FALSE)+$D$2</f>
        <v>91.568480119255199</v>
      </c>
      <c r="K27" s="72">
        <f>VLOOKUP('Old Data'!$P23,$Z$6:$AB$135,2,FALSE)+VLOOKUP('Old Data'!$F23,$Z$6:$AB$135,3,FALSE)+$D$2</f>
        <v>-3.8271092542967011</v>
      </c>
      <c r="L27" s="74">
        <f>('Old Data'!$L23+'Old Data'!$M23-$J27)^2+('Old Data'!$V23+'Old Data'!$W23-$K27)^2</f>
        <v>714.12545848770571</v>
      </c>
      <c r="M27" s="75">
        <f>'Old Data'!$N23-'Old Data'!$X23</f>
        <v>0</v>
      </c>
      <c r="N27" s="72">
        <f>VLOOKUP('Old Data'!$F23,$AD$6:$AF$135,2,FALSE)+VLOOKUP('Old Data'!$P23,$AD$6:$AF$135,3,FALSE)+$E$2</f>
        <v>1.1971776989954592</v>
      </c>
      <c r="O27" s="72">
        <f>VLOOKUP('Old Data'!$P23,$AD$6:$AF$135,2,FALSE)+VLOOKUP('Old Data'!$F23,$AD$6:$AF$135,3,FALSE)+$E$2</f>
        <v>1.4076583604644499</v>
      </c>
      <c r="P27" s="73">
        <f>('Old Data'!$N23-$N27)^2+('Old Data'!$X23-$O27)^2</f>
        <v>0.99539226491788901</v>
      </c>
      <c r="Q27" s="62"/>
      <c r="R27" s="90" t="s">
        <v>51</v>
      </c>
      <c r="S27" s="96">
        <v>65.974439119263494</v>
      </c>
      <c r="T27" s="96">
        <v>-69.163154358526796</v>
      </c>
      <c r="V27" s="90" t="s">
        <v>51</v>
      </c>
      <c r="W27" s="96">
        <v>54.724551909758397</v>
      </c>
      <c r="X27" s="96">
        <v>-80.763156234031896</v>
      </c>
      <c r="Z27" s="90" t="s">
        <v>51</v>
      </c>
      <c r="AA27" s="96">
        <v>-13.9158055845043</v>
      </c>
      <c r="AB27" s="96">
        <v>-29.6688477764888</v>
      </c>
      <c r="AC27" s="63"/>
      <c r="AD27" s="90" t="s">
        <v>51</v>
      </c>
      <c r="AE27" s="96">
        <v>0.92000926213797896</v>
      </c>
      <c r="AF27" s="96">
        <v>-0.50455810935303902</v>
      </c>
      <c r="AG27" s="63"/>
      <c r="AH27" s="37"/>
      <c r="AI27" s="22"/>
      <c r="AJ27" s="6"/>
      <c r="AK27" s="10"/>
      <c r="AL27" s="10"/>
      <c r="AM27" s="10"/>
      <c r="AN27" s="11"/>
      <c r="AO27" s="11"/>
      <c r="AP27" s="11"/>
      <c r="AQ27" s="36"/>
      <c r="AR27" s="11"/>
      <c r="AS27" s="11"/>
      <c r="AT27" s="11"/>
      <c r="AU27" s="12"/>
      <c r="AV27" s="11"/>
      <c r="AW27" s="11"/>
      <c r="AX27" s="15"/>
      <c r="AY27" s="15"/>
      <c r="AZ27" s="15"/>
      <c r="BA27" s="15"/>
      <c r="BB27" s="15"/>
      <c r="BC27" s="15"/>
      <c r="BD27" s="15"/>
      <c r="BE27" s="12"/>
      <c r="BF27" s="11"/>
      <c r="BG27" s="11"/>
      <c r="BH27" s="10"/>
      <c r="BI27" s="10"/>
      <c r="BJ27" s="10"/>
      <c r="BK27" s="23"/>
      <c r="BL27" s="23"/>
      <c r="BM27" s="23"/>
      <c r="BN27" s="23"/>
      <c r="BO27" s="23"/>
      <c r="BP27" s="23"/>
      <c r="BQ27" s="23"/>
      <c r="BR27" s="10"/>
      <c r="BS27" s="16"/>
      <c r="BT27" s="15"/>
      <c r="BU27" s="16"/>
      <c r="BV27" s="16"/>
      <c r="BW27" s="11"/>
      <c r="BX27" s="16"/>
      <c r="BY27" s="16"/>
      <c r="BZ27" s="17"/>
      <c r="CA27" s="18"/>
      <c r="CB27" s="18"/>
      <c r="CC27" s="18"/>
      <c r="CD27" s="18"/>
      <c r="CE27" s="18"/>
      <c r="CF27" s="18"/>
      <c r="CG27" s="19"/>
      <c r="CH27" s="15"/>
      <c r="CI27" s="17"/>
      <c r="CJ27" s="10"/>
      <c r="CK27" s="10"/>
      <c r="CL27" s="10"/>
      <c r="CM27" s="17"/>
      <c r="CN27" s="17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34"/>
      <c r="DB27" s="52"/>
      <c r="DC27" s="52"/>
      <c r="DD27" s="52"/>
      <c r="DE27" s="52"/>
      <c r="DF27" s="52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  <c r="ED27" s="34"/>
      <c r="EE27" s="34"/>
    </row>
    <row r="28" spans="1:135" customFormat="1">
      <c r="A28" s="71">
        <f>'Old Data'!$I24-'Old Data'!$S24</f>
        <v>150</v>
      </c>
      <c r="B28" s="72">
        <f>VLOOKUP('Old Data'!$F24,$R$6:$T$135,2,FALSE)+VLOOKUP('Old Data'!$P24,$R$6:$T$135,3,FALSE)+$B$2</f>
        <v>195.8473301666105</v>
      </c>
      <c r="C28" s="72">
        <f>VLOOKUP('Old Data'!$P24,$R$6:$T$135,2,FALSE)+VLOOKUP('Old Data'!$F24,$R$6:$T$135,3,FALSE)+$B$2</f>
        <v>84.929871307941596</v>
      </c>
      <c r="D28" s="74">
        <f>('Old Data'!$I24-$B28)^2+('Old Data'!$S24-$C28)^2</f>
        <v>1953.3302028764424</v>
      </c>
      <c r="E28" s="75">
        <f>'Old Data'!$K24-'Old Data'!$U24</f>
        <v>86</v>
      </c>
      <c r="F28" s="72">
        <f>VLOOKUP('Old Data'!$F24,$V$6:$X$135,2,FALSE)+VLOOKUP('Old Data'!$P24,$V$6:$X$135,3,FALSE)+$C$2</f>
        <v>283.28603870746639</v>
      </c>
      <c r="G28" s="72">
        <f>VLOOKUP('Old Data'!$P24,$V$6:$X$135,2,FALSE)+VLOOKUP('Old Data'!$F24,$V$6:$X$135,3,FALSE)+$C$2</f>
        <v>327.53192575226672</v>
      </c>
      <c r="H28" s="74">
        <f>('Old Data'!$K24-$F28)^2+('Old Data'!$U24-$G28)^2</f>
        <v>10849.951662233987</v>
      </c>
      <c r="I28" s="75">
        <f>('Old Data'!$L24+'Old Data'!$M24)-('Old Data'!$V24+'Old Data'!$W24)</f>
        <v>-58</v>
      </c>
      <c r="J28" s="72">
        <f>VLOOKUP('Old Data'!$F24,$Z$6:$AB$135,2,FALSE)+VLOOKUP('Old Data'!$P24,$Z$6:$AB$135,3,FALSE)+$D$2</f>
        <v>39.331991497186081</v>
      </c>
      <c r="K28" s="72">
        <f>VLOOKUP('Old Data'!$P24,$Z$6:$AB$135,2,FALSE)+VLOOKUP('Old Data'!$F24,$Z$6:$AB$135,3,FALSE)+$D$2</f>
        <v>51.66699149388765</v>
      </c>
      <c r="L28" s="74">
        <f>('Old Data'!$L24+'Old Data'!$M24-$J28)^2+('Old Data'!$V24+'Old Data'!$W24-$K28)^2</f>
        <v>1223.1654363373755</v>
      </c>
      <c r="M28" s="75">
        <f>'Old Data'!$N24-'Old Data'!$X24</f>
        <v>2</v>
      </c>
      <c r="N28" s="72">
        <f>VLOOKUP('Old Data'!$F24,$AD$6:$AF$135,2,FALSE)+VLOOKUP('Old Data'!$P24,$AD$6:$AF$135,3,FALSE)+$E$2</f>
        <v>1.0315996301357462</v>
      </c>
      <c r="O28" s="72">
        <f>VLOOKUP('Old Data'!$P24,$AD$6:$AF$135,2,FALSE)+VLOOKUP('Old Data'!$F24,$AD$6:$AF$135,3,FALSE)+$E$2</f>
        <v>1.6577675698408065</v>
      </c>
      <c r="P28" s="73">
        <f>('Old Data'!$N24-$N28)^2+('Old Data'!$X24-$O28)^2</f>
        <v>3.685992591969117</v>
      </c>
      <c r="Q28" s="62"/>
      <c r="R28" s="90" t="s">
        <v>67</v>
      </c>
      <c r="S28" s="96">
        <v>-6.64077427828573</v>
      </c>
      <c r="T28" s="96">
        <v>-13.4372195744706</v>
      </c>
      <c r="V28" s="90" t="s">
        <v>67</v>
      </c>
      <c r="W28" s="96">
        <v>19.9958984117414</v>
      </c>
      <c r="X28" s="96">
        <v>42.259100199948001</v>
      </c>
      <c r="Z28" s="90" t="s">
        <v>67</v>
      </c>
      <c r="AA28" s="96">
        <v>17.839811148412199</v>
      </c>
      <c r="AB28" s="96">
        <v>16.361633693502998</v>
      </c>
      <c r="AC28" s="63"/>
      <c r="AD28" s="90" t="s">
        <v>67</v>
      </c>
      <c r="AE28" s="96">
        <v>-0.171751885848621</v>
      </c>
      <c r="AF28" s="96">
        <v>0.72255460546101902</v>
      </c>
      <c r="AG28" s="63"/>
      <c r="AH28" s="37"/>
      <c r="AI28" s="22"/>
      <c r="AJ28" s="6"/>
      <c r="AK28" s="10"/>
      <c r="AL28" s="10"/>
      <c r="AM28" s="10"/>
      <c r="AN28" s="11"/>
      <c r="AO28" s="11"/>
      <c r="AP28" s="11"/>
      <c r="AQ28" s="36"/>
      <c r="AR28" s="11"/>
      <c r="AS28" s="11"/>
      <c r="AT28" s="11"/>
      <c r="AU28" s="12"/>
      <c r="AV28" s="11"/>
      <c r="AW28" s="11"/>
      <c r="AX28" s="15"/>
      <c r="AY28" s="15"/>
      <c r="AZ28" s="15"/>
      <c r="BA28" s="15"/>
      <c r="BB28" s="15"/>
      <c r="BC28" s="15"/>
      <c r="BD28" s="15"/>
      <c r="BE28" s="12"/>
      <c r="BF28" s="11"/>
      <c r="BG28" s="11"/>
      <c r="BH28" s="10"/>
      <c r="BI28" s="10"/>
      <c r="BJ28" s="10"/>
      <c r="BK28" s="23"/>
      <c r="BL28" s="23"/>
      <c r="BM28" s="23"/>
      <c r="BN28" s="23"/>
      <c r="BO28" s="23"/>
      <c r="BP28" s="23"/>
      <c r="BQ28" s="23"/>
      <c r="BR28" s="10"/>
      <c r="BS28" s="16"/>
      <c r="BT28" s="15"/>
      <c r="BU28" s="16"/>
      <c r="BV28" s="16"/>
      <c r="BW28" s="11"/>
      <c r="BX28" s="16"/>
      <c r="BY28" s="16"/>
      <c r="BZ28" s="17"/>
      <c r="CA28" s="18"/>
      <c r="CB28" s="18"/>
      <c r="CC28" s="18"/>
      <c r="CD28" s="18"/>
      <c r="CE28" s="18"/>
      <c r="CF28" s="18"/>
      <c r="CG28" s="19"/>
      <c r="CH28" s="15"/>
      <c r="CI28" s="17"/>
      <c r="CJ28" s="10"/>
      <c r="CK28" s="10"/>
      <c r="CL28" s="10"/>
      <c r="CM28" s="17"/>
      <c r="CN28" s="17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  <c r="ED28" s="34"/>
      <c r="EE28" s="34"/>
    </row>
    <row r="29" spans="1:135" customFormat="1">
      <c r="A29" s="71">
        <f>'Old Data'!$I25-'Old Data'!$S25</f>
        <v>37</v>
      </c>
      <c r="B29" s="72">
        <f>VLOOKUP('Old Data'!$F25,$R$6:$T$135,2,FALSE)+VLOOKUP('Old Data'!$P25,$R$6:$T$135,3,FALSE)+$B$2</f>
        <v>254.61277468842471</v>
      </c>
      <c r="C29" s="72">
        <f>VLOOKUP('Old Data'!$P25,$R$6:$T$135,2,FALSE)+VLOOKUP('Old Data'!$F25,$R$6:$T$135,3,FALSE)+$B$2</f>
        <v>136.21356409675059</v>
      </c>
      <c r="D29" s="74">
        <f>('Old Data'!$I25-$B29)^2+('Old Data'!$S25-$C29)^2</f>
        <v>20208.97715805488</v>
      </c>
      <c r="E29" s="75">
        <f>'Old Data'!$K25-'Old Data'!$U25</f>
        <v>-53</v>
      </c>
      <c r="F29" s="72">
        <f>VLOOKUP('Old Data'!$F25,$V$6:$X$135,2,FALSE)+VLOOKUP('Old Data'!$P25,$V$6:$X$135,3,FALSE)+$C$2</f>
        <v>221.93703341745967</v>
      </c>
      <c r="G29" s="72">
        <f>VLOOKUP('Old Data'!$P25,$V$6:$X$135,2,FALSE)+VLOOKUP('Old Data'!$F25,$V$6:$X$135,3,FALSE)+$C$2</f>
        <v>129.15005401972081</v>
      </c>
      <c r="H29" s="74">
        <f>('Old Data'!$K25-$F29)^2+('Old Data'!$U25-$G29)^2</f>
        <v>12303.874401712757</v>
      </c>
      <c r="I29" s="75">
        <f>('Old Data'!$L25+'Old Data'!$M25)-('Old Data'!$V25+'Old Data'!$W25)</f>
        <v>83</v>
      </c>
      <c r="J29" s="72">
        <f>VLOOKUP('Old Data'!$F25,$Z$6:$AB$135,2,FALSE)+VLOOKUP('Old Data'!$P25,$Z$6:$AB$135,3,FALSE)+$D$2</f>
        <v>74.016932785658128</v>
      </c>
      <c r="K29" s="72">
        <f>VLOOKUP('Old Data'!$P25,$Z$6:$AB$135,2,FALSE)+VLOOKUP('Old Data'!$F25,$Z$6:$AB$135,3,FALSE)+$D$2</f>
        <v>88.856023711739681</v>
      </c>
      <c r="L29" s="74">
        <f>('Old Data'!$L25+'Old Data'!$M25-$J29)^2+('Old Data'!$V25+'Old Data'!$W25-$K29)^2</f>
        <v>7106.8908848237525</v>
      </c>
      <c r="M29" s="75">
        <f>'Old Data'!$N25-'Old Data'!$X25</f>
        <v>2</v>
      </c>
      <c r="N29" s="72">
        <f>VLOOKUP('Old Data'!$F25,$AD$6:$AF$135,2,FALSE)+VLOOKUP('Old Data'!$P25,$AD$6:$AF$135,3,FALSE)+$E$2</f>
        <v>2.090737863669649</v>
      </c>
      <c r="O29" s="72">
        <f>VLOOKUP('Old Data'!$P25,$AD$6:$AF$135,2,FALSE)+VLOOKUP('Old Data'!$F25,$AD$6:$AF$135,3,FALSE)+$E$2</f>
        <v>1.418556603350793</v>
      </c>
      <c r="P29" s="73">
        <f>('Old Data'!$N25-$N29)^2+('Old Data'!$X25-$O29)^2</f>
        <v>10.964769394690819</v>
      </c>
      <c r="Q29" s="62"/>
      <c r="R29" s="90" t="s">
        <v>128</v>
      </c>
      <c r="S29" s="96">
        <v>1.2315909745423601</v>
      </c>
      <c r="T29" s="96">
        <v>-13.786675803479101</v>
      </c>
      <c r="V29" s="90" t="s">
        <v>128</v>
      </c>
      <c r="W29" s="96">
        <v>7.5974045890889101</v>
      </c>
      <c r="X29" s="96">
        <v>32.482384075844998</v>
      </c>
      <c r="Z29" s="90" t="s">
        <v>128</v>
      </c>
      <c r="AA29" s="96">
        <v>-20.833599794411999</v>
      </c>
      <c r="AB29" s="96">
        <v>-11.9225115522534</v>
      </c>
      <c r="AC29" s="63"/>
      <c r="AD29" s="90" t="s">
        <v>128</v>
      </c>
      <c r="AE29" s="96">
        <v>-5.4709428126746597E-2</v>
      </c>
      <c r="AF29" s="96">
        <v>-0.37450085455745502</v>
      </c>
      <c r="AG29" s="63"/>
      <c r="AH29" s="6"/>
      <c r="AI29" s="43"/>
      <c r="AJ29" s="5"/>
      <c r="AK29" s="10"/>
      <c r="AL29" s="10"/>
      <c r="AM29" s="10"/>
      <c r="AN29" s="11"/>
      <c r="AO29" s="11"/>
      <c r="AP29" s="11"/>
      <c r="AQ29" s="36"/>
      <c r="AR29" s="11"/>
      <c r="AS29" s="11"/>
      <c r="AT29" s="11"/>
      <c r="AU29" s="12"/>
      <c r="AV29" s="11"/>
      <c r="AW29" s="11"/>
      <c r="AX29" s="15"/>
      <c r="AY29" s="15"/>
      <c r="AZ29" s="15"/>
      <c r="BA29" s="15"/>
      <c r="BB29" s="15"/>
      <c r="BC29" s="15"/>
      <c r="BD29" s="15"/>
      <c r="BE29" s="12"/>
      <c r="BF29" s="11"/>
      <c r="BG29" s="11"/>
      <c r="BH29" s="10"/>
      <c r="BI29" s="10"/>
      <c r="BJ29" s="10"/>
      <c r="BK29" s="23"/>
      <c r="BL29" s="23"/>
      <c r="BM29" s="23"/>
      <c r="BN29" s="23"/>
      <c r="BO29" s="23"/>
      <c r="BP29" s="23"/>
      <c r="BQ29" s="23"/>
      <c r="BR29" s="10"/>
      <c r="BS29" s="16"/>
      <c r="BT29" s="15"/>
      <c r="BU29" s="16"/>
      <c r="BV29" s="16"/>
      <c r="BW29" s="11"/>
      <c r="BX29" s="16"/>
      <c r="BY29" s="16"/>
      <c r="BZ29" s="17"/>
      <c r="CA29" s="18"/>
      <c r="CB29" s="18"/>
      <c r="CC29" s="18"/>
      <c r="CD29" s="18"/>
      <c r="CE29" s="18"/>
      <c r="CF29" s="18"/>
      <c r="CG29" s="19"/>
      <c r="CH29" s="15"/>
      <c r="CI29" s="17"/>
      <c r="CJ29" s="10"/>
      <c r="CK29" s="10"/>
      <c r="CL29" s="10"/>
      <c r="CM29" s="17"/>
      <c r="CN29" s="17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  <c r="ED29" s="34"/>
      <c r="EE29" s="34"/>
    </row>
    <row r="30" spans="1:135" customFormat="1">
      <c r="A30" s="71">
        <f>'Old Data'!$I26-'Old Data'!$S26</f>
        <v>215</v>
      </c>
      <c r="B30" s="72">
        <f>VLOOKUP('Old Data'!$F26,$R$6:$T$135,2,FALSE)+VLOOKUP('Old Data'!$P26,$R$6:$T$135,3,FALSE)+$B$2</f>
        <v>287.56943454128611</v>
      </c>
      <c r="C30" s="72">
        <f>VLOOKUP('Old Data'!$P26,$R$6:$T$135,2,FALSE)+VLOOKUP('Old Data'!$F26,$R$6:$T$135,3,FALSE)+$B$2</f>
        <v>75.629335190575176</v>
      </c>
      <c r="D30" s="74">
        <f>('Old Data'!$I26-$B30)^2+('Old Data'!$S26-$C30)^2</f>
        <v>5433.3733028084862</v>
      </c>
      <c r="E30" s="75">
        <f>'Old Data'!$K26-'Old Data'!$U26</f>
        <v>26</v>
      </c>
      <c r="F30" s="72">
        <f>VLOOKUP('Old Data'!$F26,$V$6:$X$135,2,FALSE)+VLOOKUP('Old Data'!$P26,$V$6:$X$135,3,FALSE)+$C$2</f>
        <v>282.74129413219748</v>
      </c>
      <c r="G30" s="72">
        <f>VLOOKUP('Old Data'!$P26,$V$6:$X$135,2,FALSE)+VLOOKUP('Old Data'!$F26,$V$6:$X$135,3,FALSE)+$C$2</f>
        <v>220.03736379410469</v>
      </c>
      <c r="H30" s="74">
        <f>('Old Data'!$K26-$F30)^2+('Old Data'!$U26-$G30)^2</f>
        <v>2771.7265124982196</v>
      </c>
      <c r="I30" s="75">
        <f>('Old Data'!$L26+'Old Data'!$M26)-('Old Data'!$V26+'Old Data'!$W26)</f>
        <v>85</v>
      </c>
      <c r="J30" s="72">
        <f>VLOOKUP('Old Data'!$F26,$Z$6:$AB$135,2,FALSE)+VLOOKUP('Old Data'!$P26,$Z$6:$AB$135,3,FALSE)+$D$2</f>
        <v>59.637627028361791</v>
      </c>
      <c r="K30" s="72">
        <f>VLOOKUP('Old Data'!$P26,$Z$6:$AB$135,2,FALSE)+VLOOKUP('Old Data'!$F26,$Z$6:$AB$135,3,FALSE)+$D$2</f>
        <v>24.53539374517652</v>
      </c>
      <c r="L30" s="74">
        <f>('Old Data'!$L26+'Old Data'!$M26-$J30)^2+('Old Data'!$V26+'Old Data'!$W26-$K30)^2</f>
        <v>3753.1240548356495</v>
      </c>
      <c r="M30" s="75">
        <f>'Old Data'!$N26-'Old Data'!$X26</f>
        <v>-1</v>
      </c>
      <c r="N30" s="72">
        <f>VLOOKUP('Old Data'!$F26,$AD$6:$AF$135,2,FALSE)+VLOOKUP('Old Data'!$P26,$AD$6:$AF$135,3,FALSE)+$E$2</f>
        <v>1.3201977504258839</v>
      </c>
      <c r="O30" s="72">
        <f>VLOOKUP('Old Data'!$P26,$AD$6:$AF$135,2,FALSE)+VLOOKUP('Old Data'!$F26,$AD$6:$AF$135,3,FALSE)+$E$2</f>
        <v>1.8815645323513241</v>
      </c>
      <c r="P30" s="73">
        <f>('Old Data'!$N26-$N30)^2+('Old Data'!$X26-$O30)^2</f>
        <v>0.11655355937495721</v>
      </c>
      <c r="Q30" s="62"/>
      <c r="R30" s="90" t="s">
        <v>13</v>
      </c>
      <c r="S30" s="96">
        <v>-65.151114190886503</v>
      </c>
      <c r="T30" s="96">
        <v>57.329084391177098</v>
      </c>
      <c r="V30" s="90" t="s">
        <v>13</v>
      </c>
      <c r="W30" s="96">
        <v>-16.691756950770401</v>
      </c>
      <c r="X30" s="96">
        <v>43.463420848790498</v>
      </c>
      <c r="Z30" s="90" t="s">
        <v>13</v>
      </c>
      <c r="AA30" s="96">
        <v>19.4095010721623</v>
      </c>
      <c r="AB30" s="96">
        <v>1.6620650570737701</v>
      </c>
      <c r="AC30" s="63"/>
      <c r="AD30" s="90" t="s">
        <v>13</v>
      </c>
      <c r="AE30" s="96">
        <v>-0.26002319499430399</v>
      </c>
      <c r="AF30" s="96">
        <v>0.322223555283848</v>
      </c>
      <c r="AG30" s="63"/>
      <c r="AH30" s="6"/>
      <c r="AI30" s="22"/>
      <c r="AJ30" s="6"/>
      <c r="AK30" s="10"/>
      <c r="AL30" s="10"/>
      <c r="AM30" s="10"/>
      <c r="AN30" s="11"/>
      <c r="AO30" s="11"/>
      <c r="AP30" s="11"/>
      <c r="AQ30" s="36"/>
      <c r="AR30" s="11"/>
      <c r="AS30" s="11"/>
      <c r="AT30" s="11"/>
      <c r="AU30" s="12"/>
      <c r="AV30" s="11"/>
      <c r="AW30" s="11"/>
      <c r="AX30" s="15"/>
      <c r="AY30" s="15"/>
      <c r="AZ30" s="15"/>
      <c r="BA30" s="15"/>
      <c r="BB30" s="15"/>
      <c r="BC30" s="15"/>
      <c r="BD30" s="15"/>
      <c r="BE30" s="12"/>
      <c r="BF30" s="11"/>
      <c r="BG30" s="11"/>
      <c r="BH30" s="10"/>
      <c r="BI30" s="10"/>
      <c r="BJ30" s="10"/>
      <c r="BK30" s="23"/>
      <c r="BL30" s="23"/>
      <c r="BM30" s="23"/>
      <c r="BN30" s="23"/>
      <c r="BO30" s="23"/>
      <c r="BP30" s="23"/>
      <c r="BQ30" s="23"/>
      <c r="BR30" s="10"/>
      <c r="BS30" s="16"/>
      <c r="BT30" s="15"/>
      <c r="BU30" s="16"/>
      <c r="BV30" s="16"/>
      <c r="BW30" s="11"/>
      <c r="BX30" s="16"/>
      <c r="BY30" s="16"/>
      <c r="BZ30" s="17"/>
      <c r="CA30" s="18"/>
      <c r="CB30" s="18"/>
      <c r="CC30" s="18"/>
      <c r="CD30" s="18"/>
      <c r="CE30" s="18"/>
      <c r="CF30" s="18"/>
      <c r="CG30" s="19"/>
      <c r="CH30" s="15"/>
      <c r="CI30" s="17"/>
      <c r="CJ30" s="10"/>
      <c r="CK30" s="10"/>
      <c r="CL30" s="10"/>
      <c r="CM30" s="17"/>
      <c r="CN30" s="17"/>
      <c r="CO30" s="10"/>
      <c r="CP30" s="10"/>
      <c r="CQ30" s="10"/>
      <c r="CR30" s="50"/>
      <c r="CS30" s="10"/>
      <c r="CT30" s="10"/>
      <c r="CU30" s="10"/>
      <c r="CV30" s="10"/>
      <c r="CW30" s="10"/>
      <c r="CX30" s="10"/>
      <c r="CY30" s="10"/>
      <c r="CZ30" s="10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  <c r="ED30" s="34"/>
      <c r="EE30" s="34"/>
    </row>
    <row r="31" spans="1:135" customFormat="1">
      <c r="A31" s="71">
        <f>'Old Data'!$I27-'Old Data'!$S27</f>
        <v>-51</v>
      </c>
      <c r="B31" s="72">
        <f>VLOOKUP('Old Data'!$F27,$R$6:$T$135,2,FALSE)+VLOOKUP('Old Data'!$P27,$R$6:$T$135,3,FALSE)+$B$2</f>
        <v>84.828851630700512</v>
      </c>
      <c r="C31" s="72">
        <f>VLOOKUP('Old Data'!$P27,$R$6:$T$135,2,FALSE)+VLOOKUP('Old Data'!$F27,$R$6:$T$135,3,FALSE)+$B$2</f>
        <v>77.666469307525702</v>
      </c>
      <c r="D31" s="74">
        <f>('Old Data'!$I27-$B31)^2+('Old Data'!$S27-$C31)^2</f>
        <v>2681.7645879493216</v>
      </c>
      <c r="E31" s="75">
        <f>'Old Data'!$K27-'Old Data'!$U27</f>
        <v>4</v>
      </c>
      <c r="F31" s="72">
        <f>VLOOKUP('Old Data'!$F27,$V$6:$X$135,2,FALSE)+VLOOKUP('Old Data'!$P27,$V$6:$X$135,3,FALSE)+$C$2</f>
        <v>249.07247589753857</v>
      </c>
      <c r="G31" s="72">
        <f>VLOOKUP('Old Data'!$P27,$V$6:$X$135,2,FALSE)+VLOOKUP('Old Data'!$F27,$V$6:$X$135,3,FALSE)+$C$2</f>
        <v>258.93838157269181</v>
      </c>
      <c r="H31" s="74">
        <f>('Old Data'!$K27-$F31)^2+('Old Data'!$U27-$G31)^2</f>
        <v>10179.673489811166</v>
      </c>
      <c r="I31" s="75">
        <f>('Old Data'!$L27+'Old Data'!$M27)-('Old Data'!$V27+'Old Data'!$W27)</f>
        <v>-43</v>
      </c>
      <c r="J31" s="72">
        <f>VLOOKUP('Old Data'!$F27,$Z$6:$AB$135,2,FALSE)+VLOOKUP('Old Data'!$P27,$Z$6:$AB$135,3,FALSE)+$D$2</f>
        <v>28.837135702983698</v>
      </c>
      <c r="K31" s="72">
        <f>VLOOKUP('Old Data'!$P27,$Z$6:$AB$135,2,FALSE)+VLOOKUP('Old Data'!$F27,$Z$6:$AB$135,3,FALSE)+$D$2</f>
        <v>85.225823356492327</v>
      </c>
      <c r="L31" s="74">
        <f>('Old Data'!$L27+'Old Data'!$M27-$J31)^2+('Old Data'!$V27+'Old Data'!$W27-$K31)^2</f>
        <v>271.32668259323674</v>
      </c>
      <c r="M31" s="75">
        <f>'Old Data'!$N27-'Old Data'!$X27</f>
        <v>-2</v>
      </c>
      <c r="N31" s="72">
        <f>VLOOKUP('Old Data'!$F27,$AD$6:$AF$135,2,FALSE)+VLOOKUP('Old Data'!$P27,$AD$6:$AF$135,3,FALSE)+$E$2</f>
        <v>0.93069938473485014</v>
      </c>
      <c r="O31" s="72">
        <f>VLOOKUP('Old Data'!$P27,$AD$6:$AF$135,2,FALSE)+VLOOKUP('Old Data'!$F27,$AD$6:$AF$135,3,FALSE)+$E$2</f>
        <v>1.5350342458703579</v>
      </c>
      <c r="P31" s="73">
        <f>('Old Data'!$N27-$N31)^2+('Old Data'!$X27-$O31)^2</f>
        <v>1.0823944972591755</v>
      </c>
      <c r="Q31" s="62"/>
      <c r="R31" s="90" t="s">
        <v>7</v>
      </c>
      <c r="S31" s="96">
        <v>-65.516987118040504</v>
      </c>
      <c r="T31" s="96">
        <v>21.022322455657701</v>
      </c>
      <c r="V31" s="90" t="s">
        <v>7</v>
      </c>
      <c r="W31" s="96">
        <v>49.644561979479498</v>
      </c>
      <c r="X31" s="96">
        <v>-13.0809733383209</v>
      </c>
      <c r="Z31" s="90" t="s">
        <v>7</v>
      </c>
      <c r="AA31" s="96">
        <v>2.25529700176084</v>
      </c>
      <c r="AB31" s="96">
        <v>3.1806247792231401</v>
      </c>
      <c r="AC31" s="63"/>
      <c r="AD31" s="90" t="s">
        <v>7</v>
      </c>
      <c r="AE31" s="96">
        <v>3.2253252638945303E-2</v>
      </c>
      <c r="AF31" s="96">
        <v>0.77694689850951704</v>
      </c>
      <c r="AG31" s="63"/>
      <c r="AH31" s="31"/>
      <c r="AI31" s="4"/>
      <c r="AJ31" s="4"/>
      <c r="AK31" s="10"/>
      <c r="AL31" s="10"/>
      <c r="AM31" s="10"/>
      <c r="AN31" s="11"/>
      <c r="AO31" s="11"/>
      <c r="AP31" s="11"/>
      <c r="AQ31" s="36"/>
      <c r="AR31" s="11"/>
      <c r="AS31" s="11"/>
      <c r="AT31" s="11"/>
      <c r="AU31" s="12"/>
      <c r="AV31" s="11"/>
      <c r="AW31" s="11"/>
      <c r="AX31" s="15"/>
      <c r="AY31" s="15"/>
      <c r="AZ31" s="15"/>
      <c r="BA31" s="15"/>
      <c r="BB31" s="15"/>
      <c r="BC31" s="15"/>
      <c r="BD31" s="15"/>
      <c r="BE31" s="12"/>
      <c r="BF31" s="11"/>
      <c r="BG31" s="11"/>
      <c r="BH31" s="10"/>
      <c r="BI31" s="10"/>
      <c r="BJ31" s="10"/>
      <c r="BK31" s="23"/>
      <c r="BL31" s="23"/>
      <c r="BM31" s="23"/>
      <c r="BN31" s="23"/>
      <c r="BO31" s="23"/>
      <c r="BP31" s="23"/>
      <c r="BQ31" s="23"/>
      <c r="BR31" s="10"/>
      <c r="BS31" s="16"/>
      <c r="BT31" s="15"/>
      <c r="BU31" s="16"/>
      <c r="BV31" s="16"/>
      <c r="BW31" s="11"/>
      <c r="BX31" s="16"/>
      <c r="BY31" s="16"/>
      <c r="BZ31" s="17"/>
      <c r="CA31" s="18"/>
      <c r="CB31" s="18"/>
      <c r="CC31" s="18"/>
      <c r="CD31" s="18"/>
      <c r="CE31" s="18"/>
      <c r="CF31" s="18"/>
      <c r="CG31" s="19"/>
      <c r="CH31" s="15"/>
      <c r="CI31" s="17"/>
      <c r="CJ31" s="10"/>
      <c r="CK31" s="10"/>
      <c r="CL31" s="10"/>
      <c r="CM31" s="17"/>
      <c r="CN31" s="17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  <c r="ED31" s="34"/>
      <c r="EE31" s="34"/>
    </row>
    <row r="32" spans="1:135" customFormat="1">
      <c r="A32" s="71">
        <f>'Old Data'!$I28-'Old Data'!$S28</f>
        <v>39</v>
      </c>
      <c r="B32" s="72">
        <f>VLOOKUP('Old Data'!$F28,$R$6:$T$135,2,FALSE)+VLOOKUP('Old Data'!$P28,$R$6:$T$135,3,FALSE)+$B$2</f>
        <v>83.856043531235713</v>
      </c>
      <c r="C32" s="72">
        <f>VLOOKUP('Old Data'!$P28,$R$6:$T$135,2,FALSE)+VLOOKUP('Old Data'!$F28,$R$6:$T$135,3,FALSE)+$B$2</f>
        <v>174.23428841493921</v>
      </c>
      <c r="D32" s="74">
        <f>('Old Data'!$I28-$B32)^2+('Old Data'!$S28-$C32)^2</f>
        <v>8916.8501587477986</v>
      </c>
      <c r="E32" s="75">
        <f>'Old Data'!$K28-'Old Data'!$U28</f>
        <v>116</v>
      </c>
      <c r="F32" s="72">
        <f>VLOOKUP('Old Data'!$F28,$V$6:$X$135,2,FALSE)+VLOOKUP('Old Data'!$P28,$V$6:$X$135,3,FALSE)+$C$2</f>
        <v>209.51365943702248</v>
      </c>
      <c r="G32" s="72">
        <f>VLOOKUP('Old Data'!$P28,$V$6:$X$135,2,FALSE)+VLOOKUP('Old Data'!$F28,$V$6:$X$135,3,FALSE)+$C$2</f>
        <v>145.91596259240541</v>
      </c>
      <c r="H32" s="74">
        <f>('Old Data'!$K28-$F32)^2+('Old Data'!$U28-$G32)^2</f>
        <v>1387.7410856855518</v>
      </c>
      <c r="I32" s="75">
        <f>('Old Data'!$L28+'Old Data'!$M28)-('Old Data'!$V28+'Old Data'!$W28)</f>
        <v>-6</v>
      </c>
      <c r="J32" s="72">
        <f>VLOOKUP('Old Data'!$F28,$Z$6:$AB$135,2,FALSE)+VLOOKUP('Old Data'!$P28,$Z$6:$AB$135,3,FALSE)+$D$2</f>
        <v>61.795024598999497</v>
      </c>
      <c r="K32" s="72">
        <f>VLOOKUP('Old Data'!$P28,$Z$6:$AB$135,2,FALSE)+VLOOKUP('Old Data'!$F28,$Z$6:$AB$135,3,FALSE)+$D$2</f>
        <v>45.866900146641967</v>
      </c>
      <c r="L32" s="74">
        <f>('Old Data'!$L28+'Old Data'!$M28-$J32)^2+('Old Data'!$V28+'Old Data'!$W28-$K32)^2</f>
        <v>396.39311385939129</v>
      </c>
      <c r="M32" s="75">
        <f>'Old Data'!$N28-'Old Data'!$X28</f>
        <v>2</v>
      </c>
      <c r="N32" s="72">
        <f>VLOOKUP('Old Data'!$F28,$AD$6:$AF$135,2,FALSE)+VLOOKUP('Old Data'!$P28,$AD$6:$AF$135,3,FALSE)+$E$2</f>
        <v>1.4540248123608761</v>
      </c>
      <c r="O32" s="72">
        <f>VLOOKUP('Old Data'!$P28,$AD$6:$AF$135,2,FALSE)+VLOOKUP('Old Data'!$F28,$AD$6:$AF$135,3,FALSE)+$E$2</f>
        <v>0.85518300633574207</v>
      </c>
      <c r="P32" s="73">
        <f>('Old Data'!$N28-$N32)^2+('Old Data'!$X28-$O32)^2</f>
        <v>7.7925956050565421</v>
      </c>
      <c r="Q32" s="62"/>
      <c r="R32" s="90" t="s">
        <v>97</v>
      </c>
      <c r="S32" s="96">
        <v>-37.271364913651396</v>
      </c>
      <c r="T32" s="96">
        <v>20.306965931395599</v>
      </c>
      <c r="V32" s="90" t="s">
        <v>97</v>
      </c>
      <c r="W32" s="96">
        <v>-49.319205679071501</v>
      </c>
      <c r="X32" s="96">
        <v>14.580877256155601</v>
      </c>
      <c r="Z32" s="90" t="s">
        <v>97</v>
      </c>
      <c r="AA32" s="96">
        <v>-27.903059698725698</v>
      </c>
      <c r="AB32" s="96">
        <v>30.597634416458899</v>
      </c>
      <c r="AC32" s="63"/>
      <c r="AD32" s="90" t="s">
        <v>97</v>
      </c>
      <c r="AE32" s="96">
        <v>-0.166270896761961</v>
      </c>
      <c r="AF32" s="96">
        <v>0.103135741224295</v>
      </c>
      <c r="AG32" s="63"/>
      <c r="AH32" s="9"/>
      <c r="AI32" s="21"/>
      <c r="AJ32" s="54"/>
      <c r="AK32" s="10"/>
      <c r="AL32" s="10"/>
      <c r="AM32" s="10"/>
      <c r="AN32" s="11"/>
      <c r="AO32" s="11"/>
      <c r="AP32" s="11"/>
      <c r="AQ32" s="36"/>
      <c r="AR32" s="11"/>
      <c r="AS32" s="11"/>
      <c r="AT32" s="11"/>
      <c r="AU32" s="12"/>
      <c r="AV32" s="11"/>
      <c r="AW32" s="11"/>
      <c r="AX32" s="15"/>
      <c r="AY32" s="15"/>
      <c r="AZ32" s="15"/>
      <c r="BA32" s="15"/>
      <c r="BB32" s="15"/>
      <c r="BC32" s="15"/>
      <c r="BD32" s="15"/>
      <c r="BE32" s="12"/>
      <c r="BF32" s="11"/>
      <c r="BG32" s="11"/>
      <c r="BH32" s="10"/>
      <c r="BI32" s="10"/>
      <c r="BJ32" s="10"/>
      <c r="BK32" s="23"/>
      <c r="BL32" s="23"/>
      <c r="BM32" s="23"/>
      <c r="BN32" s="23"/>
      <c r="BO32" s="23"/>
      <c r="BP32" s="23"/>
      <c r="BQ32" s="23"/>
      <c r="BR32" s="10"/>
      <c r="BS32" s="16"/>
      <c r="BT32" s="15"/>
      <c r="BU32" s="16"/>
      <c r="BV32" s="16"/>
      <c r="BW32" s="11"/>
      <c r="BX32" s="16"/>
      <c r="BY32" s="16"/>
      <c r="BZ32" s="17"/>
      <c r="CA32" s="18"/>
      <c r="CB32" s="18"/>
      <c r="CC32" s="18"/>
      <c r="CD32" s="18"/>
      <c r="CE32" s="18"/>
      <c r="CF32" s="18"/>
      <c r="CG32" s="19"/>
      <c r="CH32" s="15"/>
      <c r="CI32" s="17"/>
      <c r="CJ32" s="10"/>
      <c r="CK32" s="10"/>
      <c r="CL32" s="10"/>
      <c r="CM32" s="17"/>
      <c r="CN32" s="17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  <c r="EE32" s="34"/>
    </row>
    <row r="33" spans="1:136" customFormat="1">
      <c r="A33" s="71">
        <f>'Old Data'!$I29-'Old Data'!$S29</f>
        <v>-120</v>
      </c>
      <c r="B33" s="72">
        <f>VLOOKUP('Old Data'!$F29,$R$6:$T$135,2,FALSE)+VLOOKUP('Old Data'!$P29,$R$6:$T$135,3,FALSE)+$B$2</f>
        <v>201.96183517579001</v>
      </c>
      <c r="C33" s="72">
        <f>VLOOKUP('Old Data'!$P29,$R$6:$T$135,2,FALSE)+VLOOKUP('Old Data'!$F29,$R$6:$T$135,3,FALSE)+$B$2</f>
        <v>199.58598063801878</v>
      </c>
      <c r="D33" s="74">
        <f>('Old Data'!$I29-$B33)^2+('Old Data'!$S29-$C33)^2</f>
        <v>12052.617440319638</v>
      </c>
      <c r="E33" s="75">
        <f>'Old Data'!$K29-'Old Data'!$U29</f>
        <v>172</v>
      </c>
      <c r="F33" s="72">
        <f>VLOOKUP('Old Data'!$F29,$V$6:$X$135,2,FALSE)+VLOOKUP('Old Data'!$P29,$V$6:$X$135,3,FALSE)+$C$2</f>
        <v>288.31790529048618</v>
      </c>
      <c r="G33" s="72">
        <f>VLOOKUP('Old Data'!$P29,$V$6:$X$135,2,FALSE)+VLOOKUP('Old Data'!$F29,$V$6:$X$135,3,FALSE)+$C$2</f>
        <v>132.1072552034872</v>
      </c>
      <c r="H33" s="74">
        <f>('Old Data'!$K29-$F33)^2+('Old Data'!$U29-$G33)^2</f>
        <v>561.98735124120913</v>
      </c>
      <c r="I33" s="75">
        <f>('Old Data'!$L29+'Old Data'!$M29)-('Old Data'!$V29+'Old Data'!$W29)</f>
        <v>107</v>
      </c>
      <c r="J33" s="72">
        <f>VLOOKUP('Old Data'!$F29,$Z$6:$AB$135,2,FALSE)+VLOOKUP('Old Data'!$P29,$Z$6:$AB$135,3,FALSE)+$D$2</f>
        <v>61.131727870698001</v>
      </c>
      <c r="K33" s="72">
        <f>VLOOKUP('Old Data'!$P29,$Z$6:$AB$135,2,FALSE)+VLOOKUP('Old Data'!$F29,$Z$6:$AB$135,3,FALSE)+$D$2</f>
        <v>-21.385461885293097</v>
      </c>
      <c r="L33" s="74">
        <f>('Old Data'!$L29+'Old Data'!$M29-$J33)^2+('Old Data'!$V29+'Old Data'!$W29-$K33)^2</f>
        <v>2561.2363681750267</v>
      </c>
      <c r="M33" s="75">
        <f>'Old Data'!$N29-'Old Data'!$X29</f>
        <v>-2</v>
      </c>
      <c r="N33" s="72">
        <f>VLOOKUP('Old Data'!$F29,$AD$6:$AF$135,2,FALSE)+VLOOKUP('Old Data'!$P29,$AD$6:$AF$135,3,FALSE)+$E$2</f>
        <v>1.1116484131429436</v>
      </c>
      <c r="O33" s="72">
        <f>VLOOKUP('Old Data'!$P29,$AD$6:$AF$135,2,FALSE)+VLOOKUP('Old Data'!$F29,$AD$6:$AF$135,3,FALSE)+$E$2</f>
        <v>1.445722723392836</v>
      </c>
      <c r="P33" s="73">
        <f>('Old Data'!$N29-$N33)^2+('Old Data'!$X29-$O33)^2</f>
        <v>2.4282432207347195</v>
      </c>
      <c r="Q33" s="62"/>
      <c r="R33" s="90" t="s">
        <v>27</v>
      </c>
      <c r="S33" s="96">
        <v>-14.375025784598</v>
      </c>
      <c r="T33" s="96">
        <v>20.848584847032601</v>
      </c>
      <c r="V33" s="90" t="s">
        <v>27</v>
      </c>
      <c r="W33" s="96">
        <v>-39.333742642463697</v>
      </c>
      <c r="X33" s="96">
        <v>-78.862256136948403</v>
      </c>
      <c r="Z33" s="90" t="s">
        <v>27</v>
      </c>
      <c r="AA33" s="96">
        <v>40.3674583884371</v>
      </c>
      <c r="AB33" s="96">
        <v>11.362044238408901</v>
      </c>
      <c r="AC33" s="63"/>
      <c r="AD33" s="90" t="s">
        <v>27</v>
      </c>
      <c r="AE33" s="96">
        <v>0.34727133718930597</v>
      </c>
      <c r="AF33" s="96">
        <v>0.45758484540667799</v>
      </c>
      <c r="AG33" s="63"/>
      <c r="AH33" s="57"/>
      <c r="AI33" s="7"/>
      <c r="AJ33" s="21"/>
      <c r="AK33" s="10"/>
      <c r="AL33" s="10"/>
      <c r="AM33" s="10"/>
      <c r="AN33" s="11"/>
      <c r="AO33" s="11"/>
      <c r="AP33" s="11"/>
      <c r="AQ33" s="36"/>
      <c r="AR33" s="11"/>
      <c r="AS33" s="11"/>
      <c r="AT33" s="11"/>
      <c r="AU33" s="12"/>
      <c r="AV33" s="11"/>
      <c r="AW33" s="11"/>
      <c r="AX33" s="15"/>
      <c r="AY33" s="15"/>
      <c r="AZ33" s="15"/>
      <c r="BA33" s="15"/>
      <c r="BB33" s="15"/>
      <c r="BC33" s="15"/>
      <c r="BD33" s="15"/>
      <c r="BE33" s="12"/>
      <c r="BF33" s="11"/>
      <c r="BG33" s="11"/>
      <c r="BH33" s="10"/>
      <c r="BI33" s="10"/>
      <c r="BJ33" s="10"/>
      <c r="BK33" s="23"/>
      <c r="BL33" s="23"/>
      <c r="BM33" s="23"/>
      <c r="BN33" s="23"/>
      <c r="BO33" s="23"/>
      <c r="BP33" s="23"/>
      <c r="BQ33" s="23"/>
      <c r="BR33" s="10"/>
      <c r="BS33" s="16"/>
      <c r="BT33" s="16"/>
      <c r="BU33" s="16"/>
      <c r="BV33" s="16"/>
      <c r="BW33" s="11"/>
      <c r="BX33" s="16"/>
      <c r="BY33" s="16"/>
      <c r="BZ33" s="17"/>
      <c r="CA33" s="18"/>
      <c r="CB33" s="18"/>
      <c r="CC33" s="18"/>
      <c r="CD33" s="18"/>
      <c r="CE33" s="18"/>
      <c r="CF33" s="18"/>
      <c r="CG33" s="19"/>
      <c r="CH33" s="15"/>
      <c r="CI33" s="17"/>
      <c r="CJ33" s="10"/>
      <c r="CK33" s="10"/>
      <c r="CL33" s="10"/>
      <c r="CM33" s="17"/>
      <c r="CN33" s="17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  <c r="EE33" s="34"/>
    </row>
    <row r="34" spans="1:136" customFormat="1">
      <c r="A34" s="71">
        <f>'Old Data'!$I30-'Old Data'!$S30</f>
        <v>80</v>
      </c>
      <c r="B34" s="72">
        <f>VLOOKUP('Old Data'!$F30,$R$6:$T$135,2,FALSE)+VLOOKUP('Old Data'!$P30,$R$6:$T$135,3,FALSE)+$B$2</f>
        <v>223.91821608441296</v>
      </c>
      <c r="C34" s="72">
        <f>VLOOKUP('Old Data'!$P30,$R$6:$T$135,2,FALSE)+VLOOKUP('Old Data'!$F30,$R$6:$T$135,3,FALSE)+$B$2</f>
        <v>80.321101005499997</v>
      </c>
      <c r="D34" s="74">
        <f>('Old Data'!$I30-$B34)^2+('Old Data'!$S30-$C34)^2</f>
        <v>5082.9918925282227</v>
      </c>
      <c r="E34" s="75">
        <f>'Old Data'!$K30-'Old Data'!$U30</f>
        <v>-39</v>
      </c>
      <c r="F34" s="72">
        <f>VLOOKUP('Old Data'!$F30,$V$6:$X$135,2,FALSE)+VLOOKUP('Old Data'!$P30,$V$6:$X$135,3,FALSE)+$C$2</f>
        <v>322.24326662304969</v>
      </c>
      <c r="G34" s="72">
        <f>VLOOKUP('Old Data'!$P30,$V$6:$X$135,2,FALSE)+VLOOKUP('Old Data'!$F30,$V$6:$X$135,3,FALSE)+$C$2</f>
        <v>325.33345332078227</v>
      </c>
      <c r="H34" s="74">
        <f>('Old Data'!$K30-$F34)^2+('Old Data'!$U30-$G34)^2</f>
        <v>666.38396831164971</v>
      </c>
      <c r="I34" s="75">
        <f>('Old Data'!$L30+'Old Data'!$M30)-('Old Data'!$V30+'Old Data'!$W30)</f>
        <v>15</v>
      </c>
      <c r="J34" s="72">
        <f>VLOOKUP('Old Data'!$F30,$Z$6:$AB$135,2,FALSE)+VLOOKUP('Old Data'!$P30,$Z$6:$AB$135,3,FALSE)+$D$2</f>
        <v>75.173384576956195</v>
      </c>
      <c r="K34" s="72">
        <f>VLOOKUP('Old Data'!$P30,$Z$6:$AB$135,2,FALSE)+VLOOKUP('Old Data'!$F30,$Z$6:$AB$135,3,FALSE)+$D$2</f>
        <v>45.142353806598436</v>
      </c>
      <c r="L34" s="74">
        <f>('Old Data'!$L30+'Old Data'!$M30-$J34)^2+('Old Data'!$V30+'Old Data'!$W30-$K34)^2</f>
        <v>542.67220149623006</v>
      </c>
      <c r="M34" s="75">
        <f>'Old Data'!$N30-'Old Data'!$X30</f>
        <v>2</v>
      </c>
      <c r="N34" s="72">
        <f>VLOOKUP('Old Data'!$F30,$AD$6:$AF$135,2,FALSE)+VLOOKUP('Old Data'!$P30,$AD$6:$AF$135,3,FALSE)+$E$2</f>
        <v>2.1122419916018211</v>
      </c>
      <c r="O34" s="72">
        <f>VLOOKUP('Old Data'!$P30,$AD$6:$AF$135,2,FALSE)+VLOOKUP('Old Data'!$F30,$AD$6:$AF$135,3,FALSE)+$E$2</f>
        <v>1.4004145021975072</v>
      </c>
      <c r="P34" s="73">
        <f>('Old Data'!$N30-$N34)^2+('Old Data'!$X30-$O34)^2</f>
        <v>0.94844605504517854</v>
      </c>
      <c r="Q34" s="62"/>
      <c r="R34" s="90" t="s">
        <v>115</v>
      </c>
      <c r="S34" s="96">
        <v>-58.219147205475501</v>
      </c>
      <c r="T34" s="96">
        <v>70.197937836534095</v>
      </c>
      <c r="V34" s="90" t="s">
        <v>115</v>
      </c>
      <c r="W34" s="96">
        <v>75.503730264944494</v>
      </c>
      <c r="X34" s="96">
        <v>70.693074592529697</v>
      </c>
      <c r="Z34" s="90" t="s">
        <v>115</v>
      </c>
      <c r="AA34" s="96">
        <v>2.2703235842509</v>
      </c>
      <c r="AB34" s="96">
        <v>-13.367635352678301</v>
      </c>
      <c r="AC34" s="63"/>
      <c r="AD34" s="90" t="s">
        <v>115</v>
      </c>
      <c r="AE34" s="96">
        <v>-4.5930376542742499E-2</v>
      </c>
      <c r="AF34" s="96">
        <v>0.20044261305106401</v>
      </c>
      <c r="AG34" s="63"/>
      <c r="AH34" s="31"/>
      <c r="AI34" s="4"/>
      <c r="AJ34" s="4"/>
      <c r="AK34" s="10"/>
      <c r="AL34" s="10"/>
      <c r="AM34" s="10"/>
      <c r="AN34" s="11"/>
      <c r="AO34" s="11"/>
      <c r="AP34" s="11"/>
      <c r="AQ34" s="36"/>
      <c r="AR34" s="11"/>
      <c r="AS34" s="11"/>
      <c r="AT34" s="11"/>
      <c r="AU34" s="12"/>
      <c r="AV34" s="11"/>
      <c r="AW34" s="11"/>
      <c r="AX34" s="15"/>
      <c r="AY34" s="15"/>
      <c r="AZ34" s="15"/>
      <c r="BA34" s="15"/>
      <c r="BB34" s="15"/>
      <c r="BC34" s="15"/>
      <c r="BD34" s="15"/>
      <c r="BE34" s="12"/>
      <c r="BF34" s="11"/>
      <c r="BG34" s="11"/>
      <c r="BH34" s="10"/>
      <c r="BI34" s="10"/>
      <c r="BJ34" s="10"/>
      <c r="BK34" s="23"/>
      <c r="BL34" s="23"/>
      <c r="BM34" s="23"/>
      <c r="BN34" s="23"/>
      <c r="BO34" s="23"/>
      <c r="BP34" s="23"/>
      <c r="BQ34" s="23"/>
      <c r="BR34" s="10"/>
      <c r="BS34" s="16"/>
      <c r="BT34" s="16"/>
      <c r="BU34" s="16"/>
      <c r="BV34" s="16"/>
      <c r="BW34" s="11"/>
      <c r="BX34" s="16"/>
      <c r="BY34" s="16"/>
      <c r="BZ34" s="17"/>
      <c r="CA34" s="18"/>
      <c r="CB34" s="18"/>
      <c r="CC34" s="18"/>
      <c r="CD34" s="18"/>
      <c r="CE34" s="18"/>
      <c r="CF34" s="18"/>
      <c r="CG34" s="19"/>
      <c r="CH34" s="15"/>
      <c r="CI34" s="17"/>
      <c r="CJ34" s="10"/>
      <c r="CK34" s="10"/>
      <c r="CL34" s="10"/>
      <c r="CM34" s="17"/>
      <c r="CN34" s="17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  <c r="EE34" s="34"/>
    </row>
    <row r="35" spans="1:136" customFormat="1">
      <c r="A35" s="71">
        <f>'Old Data'!$I31-'Old Data'!$S31</f>
        <v>-24</v>
      </c>
      <c r="B35" s="72">
        <f>VLOOKUP('Old Data'!$F31,$R$6:$T$135,2,FALSE)+VLOOKUP('Old Data'!$P31,$R$6:$T$135,3,FALSE)+$B$2</f>
        <v>177.94735940123522</v>
      </c>
      <c r="C35" s="72">
        <f>VLOOKUP('Old Data'!$P31,$R$6:$T$135,2,FALSE)+VLOOKUP('Old Data'!$F31,$R$6:$T$135,3,FALSE)+$B$2</f>
        <v>140.02282950576588</v>
      </c>
      <c r="D35" s="74">
        <f>('Old Data'!$I31-$B35)^2+('Old Data'!$S31-$C35)^2</f>
        <v>4511.4705444339907</v>
      </c>
      <c r="E35" s="75">
        <f>'Old Data'!$K31-'Old Data'!$U31</f>
        <v>16</v>
      </c>
      <c r="F35" s="72">
        <f>VLOOKUP('Old Data'!$F31,$V$6:$X$135,2,FALSE)+VLOOKUP('Old Data'!$P31,$V$6:$X$135,3,FALSE)+$C$2</f>
        <v>352.72172170178544</v>
      </c>
      <c r="G35" s="72">
        <f>VLOOKUP('Old Data'!$P31,$V$6:$X$135,2,FALSE)+VLOOKUP('Old Data'!$F31,$V$6:$X$135,3,FALSE)+$C$2</f>
        <v>225.83732795622885</v>
      </c>
      <c r="H35" s="74">
        <f>('Old Data'!$K31-$F35)^2+('Old Data'!$U31-$G35)^2</f>
        <v>7425.7831393205925</v>
      </c>
      <c r="I35" s="75">
        <f>('Old Data'!$L31+'Old Data'!$M31)-('Old Data'!$V31+'Old Data'!$W31)</f>
        <v>96</v>
      </c>
      <c r="J35" s="72">
        <f>VLOOKUP('Old Data'!$F31,$Z$6:$AB$135,2,FALSE)+VLOOKUP('Old Data'!$P31,$Z$6:$AB$135,3,FALSE)+$D$2</f>
        <v>103.62002418243949</v>
      </c>
      <c r="K35" s="72">
        <f>VLOOKUP('Old Data'!$P31,$Z$6:$AB$135,2,FALSE)+VLOOKUP('Old Data'!$F31,$Z$6:$AB$135,3,FALSE)+$D$2</f>
        <v>90.579669268020723</v>
      </c>
      <c r="L35" s="74">
        <f>('Old Data'!$L31+'Old Data'!$M31-$J35)^2+('Old Data'!$V31+'Old Data'!$W31-$K35)^2</f>
        <v>4782.7872356759481</v>
      </c>
      <c r="M35" s="75">
        <f>'Old Data'!$N31-'Old Data'!$X31</f>
        <v>-1</v>
      </c>
      <c r="N35" s="72">
        <f>VLOOKUP('Old Data'!$F31,$AD$6:$AF$135,2,FALSE)+VLOOKUP('Old Data'!$P31,$AD$6:$AF$135,3,FALSE)+$E$2</f>
        <v>1.2469406784408585</v>
      </c>
      <c r="O35" s="72">
        <f>VLOOKUP('Old Data'!$P31,$AD$6:$AF$135,2,FALSE)+VLOOKUP('Old Data'!$F31,$AD$6:$AF$135,3,FALSE)+$E$2</f>
        <v>1.4848336736254892</v>
      </c>
      <c r="P35" s="73">
        <f>('Old Data'!$N31-$N35)^2+('Old Data'!$X31-$O35)^2</f>
        <v>0.32637604249904045</v>
      </c>
      <c r="Q35" s="62"/>
      <c r="R35" s="90" t="s">
        <v>29</v>
      </c>
      <c r="S35" s="96">
        <v>-59.205715012108598</v>
      </c>
      <c r="T35" s="96">
        <v>42.814471646851501</v>
      </c>
      <c r="V35" s="90" t="s">
        <v>29</v>
      </c>
      <c r="W35" s="96">
        <v>47.784357680962401</v>
      </c>
      <c r="X35" s="96">
        <v>38.243334255019697</v>
      </c>
      <c r="Z35" s="90" t="s">
        <v>29</v>
      </c>
      <c r="AA35" s="96">
        <v>-30.968990704385899</v>
      </c>
      <c r="AB35" s="96">
        <v>-6.8783751487412701</v>
      </c>
      <c r="AC35" s="63"/>
      <c r="AD35" s="90" t="s">
        <v>29</v>
      </c>
      <c r="AE35" s="96">
        <v>0.110459768928919</v>
      </c>
      <c r="AF35" s="96">
        <v>-0.11709190171495799</v>
      </c>
      <c r="AG35" s="63"/>
      <c r="AH35" s="9"/>
      <c r="AI35" s="21"/>
      <c r="AJ35" s="54"/>
      <c r="AK35" s="10"/>
      <c r="AL35" s="10"/>
      <c r="AM35" s="10"/>
      <c r="AN35" s="11"/>
      <c r="AO35" s="11"/>
      <c r="AP35" s="11"/>
      <c r="AQ35" s="36"/>
      <c r="AR35" s="11"/>
      <c r="AS35" s="11"/>
      <c r="AT35" s="11"/>
      <c r="AU35" s="12"/>
      <c r="AV35" s="11"/>
      <c r="AW35" s="11"/>
      <c r="AX35" s="15"/>
      <c r="AY35" s="15"/>
      <c r="AZ35" s="15"/>
      <c r="BA35" s="15"/>
      <c r="BB35" s="15"/>
      <c r="BC35" s="15"/>
      <c r="BD35" s="15"/>
      <c r="BE35" s="12"/>
      <c r="BF35" s="11"/>
      <c r="BG35" s="11"/>
      <c r="BH35" s="10"/>
      <c r="BI35" s="10"/>
      <c r="BJ35" s="10"/>
      <c r="BK35" s="23"/>
      <c r="BL35" s="23"/>
      <c r="BM35" s="23"/>
      <c r="BN35" s="23"/>
      <c r="BO35" s="23"/>
      <c r="BP35" s="23"/>
      <c r="BQ35" s="23"/>
      <c r="BR35" s="10"/>
      <c r="BS35" s="16"/>
      <c r="BT35" s="16"/>
      <c r="BU35" s="16"/>
      <c r="BV35" s="16"/>
      <c r="BW35" s="11"/>
      <c r="BX35" s="16"/>
      <c r="BY35" s="16"/>
      <c r="BZ35" s="17"/>
      <c r="CA35" s="18"/>
      <c r="CB35" s="18"/>
      <c r="CC35" s="18"/>
      <c r="CD35" s="18"/>
      <c r="CE35" s="18"/>
      <c r="CF35" s="18"/>
      <c r="CG35" s="19"/>
      <c r="CH35" s="15"/>
      <c r="CI35" s="17"/>
      <c r="CJ35" s="10"/>
      <c r="CK35" s="10"/>
      <c r="CL35" s="10"/>
      <c r="CM35" s="17"/>
      <c r="CN35" s="17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  <c r="EE35" s="34"/>
    </row>
    <row r="36" spans="1:136" customFormat="1" ht="16" thickBot="1">
      <c r="A36" s="71">
        <f>'Old Data'!$I32-'Old Data'!$S32</f>
        <v>-210</v>
      </c>
      <c r="B36" s="72">
        <f>VLOOKUP('Old Data'!$F32,$R$6:$T$135,2,FALSE)+VLOOKUP('Old Data'!$P32,$R$6:$T$135,3,FALSE)+$B$2</f>
        <v>45.204196061649995</v>
      </c>
      <c r="C36" s="72">
        <f>VLOOKUP('Old Data'!$P32,$R$6:$T$135,2,FALSE)+VLOOKUP('Old Data'!$F32,$R$6:$T$135,3,FALSE)+$B$2</f>
        <v>255.1321887407189</v>
      </c>
      <c r="D36" s="74">
        <f>('Old Data'!$I32-$B36)^2+('Old Data'!$S32-$C36)^2</f>
        <v>10034.292527958383</v>
      </c>
      <c r="E36" s="75">
        <f>'Old Data'!$K32-'Old Data'!$U32</f>
        <v>-47</v>
      </c>
      <c r="F36" s="72">
        <f>VLOOKUP('Old Data'!$F32,$V$6:$X$135,2,FALSE)+VLOOKUP('Old Data'!$P32,$V$6:$X$135,3,FALSE)+$C$2</f>
        <v>136.8198461329666</v>
      </c>
      <c r="G36" s="72">
        <f>VLOOKUP('Old Data'!$P32,$V$6:$X$135,2,FALSE)+VLOOKUP('Old Data'!$F32,$V$6:$X$135,3,FALSE)+$C$2</f>
        <v>228.28379250538077</v>
      </c>
      <c r="H36" s="74">
        <f>('Old Data'!$K32-$F36)^2+('Old Data'!$U32-$G36)^2</f>
        <v>5998.8904978228784</v>
      </c>
      <c r="I36" s="75">
        <f>('Old Data'!$L32+'Old Data'!$M32)-('Old Data'!$V32+'Old Data'!$W32)</f>
        <v>-67</v>
      </c>
      <c r="J36" s="72">
        <f>VLOOKUP('Old Data'!$F32,$Z$6:$AB$135,2,FALSE)+VLOOKUP('Old Data'!$P32,$Z$6:$AB$135,3,FALSE)+$D$2</f>
        <v>34.642256694241105</v>
      </c>
      <c r="K36" s="72">
        <f>VLOOKUP('Old Data'!$P32,$Z$6:$AB$135,2,FALSE)+VLOOKUP('Old Data'!$F32,$Z$6:$AB$135,3,FALSE)+$D$2</f>
        <v>35.481610031155448</v>
      </c>
      <c r="L36" s="74">
        <f>('Old Data'!$L32+'Old Data'!$M32-$J36)^2+('Old Data'!$V32+'Old Data'!$W32-$K36)^2</f>
        <v>4424.8241843200958</v>
      </c>
      <c r="M36" s="75">
        <f>'Old Data'!$N32-'Old Data'!$X32</f>
        <v>0</v>
      </c>
      <c r="N36" s="72">
        <f>VLOOKUP('Old Data'!$F32,$AD$6:$AF$135,2,FALSE)+VLOOKUP('Old Data'!$P32,$AD$6:$AF$135,3,FALSE)+$E$2</f>
        <v>0.53298843381145811</v>
      </c>
      <c r="O36" s="72">
        <f>VLOOKUP('Old Data'!$P32,$AD$6:$AF$135,2,FALSE)+VLOOKUP('Old Data'!$F32,$AD$6:$AF$135,3,FALSE)+$E$2</f>
        <v>1.0113937184979882</v>
      </c>
      <c r="P36" s="73">
        <f>('Old Data'!$N32-$N36)^2+('Old Data'!$X32-$O36)^2</f>
        <v>0.21822961977508626</v>
      </c>
      <c r="Q36" s="62"/>
      <c r="R36" s="90" t="s">
        <v>85</v>
      </c>
      <c r="S36" s="96">
        <v>-1.7892652543233201</v>
      </c>
      <c r="T36" s="96">
        <v>-18.044072780236899</v>
      </c>
      <c r="U36" s="6"/>
      <c r="V36" s="90" t="s">
        <v>85</v>
      </c>
      <c r="W36" s="96">
        <v>44.251329641056103</v>
      </c>
      <c r="X36" s="96">
        <v>6.9246384323501102</v>
      </c>
      <c r="Y36" s="6"/>
      <c r="Z36" s="90" t="s">
        <v>85</v>
      </c>
      <c r="AA36" s="96">
        <v>-28.344944757496599</v>
      </c>
      <c r="AB36" s="96">
        <v>16.729233601879699</v>
      </c>
      <c r="AC36" s="63"/>
      <c r="AD36" s="90" t="s">
        <v>85</v>
      </c>
      <c r="AE36" s="96">
        <v>1.04648954472968</v>
      </c>
      <c r="AF36" s="96">
        <v>-0.54299241052581504</v>
      </c>
      <c r="AG36" s="63"/>
      <c r="AH36" s="37"/>
      <c r="AI36" s="22"/>
      <c r="AJ36" s="6"/>
      <c r="AK36" s="10"/>
      <c r="AL36" s="10"/>
      <c r="AM36" s="10"/>
      <c r="AN36" s="11"/>
      <c r="AO36" s="11"/>
      <c r="AP36" s="11"/>
      <c r="AQ36" s="36"/>
      <c r="AR36" s="11"/>
      <c r="AS36" s="11"/>
      <c r="AT36" s="11"/>
      <c r="AU36" s="12"/>
      <c r="AV36" s="11"/>
      <c r="AW36" s="11"/>
      <c r="AX36" s="15"/>
      <c r="AY36" s="15"/>
      <c r="AZ36" s="15"/>
      <c r="BA36" s="15"/>
      <c r="BB36" s="15"/>
      <c r="BC36" s="15"/>
      <c r="BD36" s="15"/>
      <c r="BE36" s="12"/>
      <c r="BF36" s="11"/>
      <c r="BG36" s="11"/>
      <c r="BH36" s="10"/>
      <c r="BI36" s="10"/>
      <c r="BJ36" s="10"/>
      <c r="BK36" s="23"/>
      <c r="BL36" s="23"/>
      <c r="BM36" s="23"/>
      <c r="BN36" s="23"/>
      <c r="BO36" s="23"/>
      <c r="BP36" s="23"/>
      <c r="BQ36" s="23"/>
      <c r="BR36" s="10"/>
      <c r="BS36" s="16"/>
      <c r="BT36" s="16"/>
      <c r="BU36" s="16"/>
      <c r="BV36" s="16"/>
      <c r="BW36" s="11"/>
      <c r="BX36" s="16"/>
      <c r="BY36" s="16"/>
      <c r="BZ36" s="17"/>
      <c r="CA36" s="18"/>
      <c r="CB36" s="18"/>
      <c r="CC36" s="18"/>
      <c r="CD36" s="18"/>
      <c r="CE36" s="18"/>
      <c r="CF36" s="18"/>
      <c r="CG36" s="19"/>
      <c r="CH36" s="15"/>
      <c r="CI36" s="17"/>
      <c r="CJ36" s="10"/>
      <c r="CK36" s="10"/>
      <c r="CL36" s="10"/>
      <c r="CM36" s="17"/>
      <c r="CN36" s="17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  <c r="EE36" s="34"/>
    </row>
    <row r="37" spans="1:136" customFormat="1" ht="16" thickTop="1">
      <c r="A37" s="71">
        <f>'Old Data'!$I33-'Old Data'!$S33</f>
        <v>27</v>
      </c>
      <c r="B37" s="72">
        <f>VLOOKUP('Old Data'!$F33,$R$6:$T$135,2,FALSE)+VLOOKUP('Old Data'!$P33,$R$6:$T$135,3,FALSE)+$B$2</f>
        <v>239.6678715157432</v>
      </c>
      <c r="C37" s="72">
        <f>VLOOKUP('Old Data'!$P33,$R$6:$T$135,2,FALSE)+VLOOKUP('Old Data'!$F33,$R$6:$T$135,3,FALSE)+$B$2</f>
        <v>104.1134620492475</v>
      </c>
      <c r="D37" s="74">
        <f>('Old Data'!$I33-$B37)^2+('Old Data'!$S33-$C37)^2</f>
        <v>13677.220510438543</v>
      </c>
      <c r="E37" s="75">
        <f>'Old Data'!$K33-'Old Data'!$U33</f>
        <v>262</v>
      </c>
      <c r="F37" s="72">
        <f>VLOOKUP('Old Data'!$F33,$V$6:$X$135,2,FALSE)+VLOOKUP('Old Data'!$P33,$V$6:$X$135,3,FALSE)+$C$2</f>
        <v>385.37593963607588</v>
      </c>
      <c r="G37" s="72">
        <f>VLOOKUP('Old Data'!$P33,$V$6:$X$135,2,FALSE)+VLOOKUP('Old Data'!$F33,$V$6:$X$135,3,FALSE)+$C$2</f>
        <v>280.36581414590853</v>
      </c>
      <c r="H37" s="74">
        <f>('Old Data'!$K33-$F37)^2+('Old Data'!$U33-$G37)^2</f>
        <v>13054.757051145652</v>
      </c>
      <c r="I37" s="75">
        <f>('Old Data'!$L33+'Old Data'!$M33)-('Old Data'!$V33+'Old Data'!$W33)</f>
        <v>0</v>
      </c>
      <c r="J37" s="72">
        <f>VLOOKUP('Old Data'!$F33,$Z$6:$AB$135,2,FALSE)+VLOOKUP('Old Data'!$P33,$Z$6:$AB$135,3,FALSE)+$D$2</f>
        <v>60.709854479560498</v>
      </c>
      <c r="K37" s="72">
        <f>VLOOKUP('Old Data'!$P33,$Z$6:$AB$135,2,FALSE)+VLOOKUP('Old Data'!$F33,$Z$6:$AB$135,3,FALSE)+$D$2</f>
        <v>53.385099425014147</v>
      </c>
      <c r="L37" s="74">
        <f>('Old Data'!$L33+'Old Data'!$M33-$J37)^2+('Old Data'!$V33+'Old Data'!$W33-$K37)^2</f>
        <v>6535.6552715480575</v>
      </c>
      <c r="M37" s="75">
        <f>'Old Data'!$N33-'Old Data'!$X33</f>
        <v>5</v>
      </c>
      <c r="N37" s="72">
        <f>VLOOKUP('Old Data'!$F33,$AD$6:$AF$135,2,FALSE)+VLOOKUP('Old Data'!$P33,$AD$6:$AF$135,3,FALSE)+$E$2</f>
        <v>2.3479236787372253</v>
      </c>
      <c r="O37" s="72">
        <f>VLOOKUP('Old Data'!$P33,$AD$6:$AF$135,2,FALSE)+VLOOKUP('Old Data'!$F33,$AD$6:$AF$135,3,FALSE)+$E$2</f>
        <v>1.4349196703543441</v>
      </c>
      <c r="P37" s="73">
        <f>('Old Data'!$N33-$N37)^2+('Old Data'!$X33-$O37)^2</f>
        <v>9.0925032741725111</v>
      </c>
      <c r="Q37" s="62"/>
      <c r="R37" s="90" t="s">
        <v>52</v>
      </c>
      <c r="S37" s="96">
        <v>-55.887017803348598</v>
      </c>
      <c r="T37" s="96">
        <v>58.245094725457498</v>
      </c>
      <c r="U37" s="6"/>
      <c r="V37" s="90" t="s">
        <v>52</v>
      </c>
      <c r="W37" s="96">
        <v>-27.9777866750646</v>
      </c>
      <c r="X37" s="96">
        <v>-58.048693337774402</v>
      </c>
      <c r="Y37" s="6"/>
      <c r="Z37" s="90" t="s">
        <v>52</v>
      </c>
      <c r="AA37" s="96">
        <v>-18.420849079183899</v>
      </c>
      <c r="AB37" s="96">
        <v>-25.048981460927202</v>
      </c>
      <c r="AC37" s="63"/>
      <c r="AD37" s="90" t="s">
        <v>52</v>
      </c>
      <c r="AE37" s="96">
        <v>-0.28228526568644902</v>
      </c>
      <c r="AF37" s="96">
        <v>-7.8533260951028597E-2</v>
      </c>
      <c r="AG37" s="63"/>
      <c r="AH37" s="37"/>
      <c r="AI37" s="22"/>
      <c r="AJ37" s="6"/>
      <c r="AK37" s="10"/>
      <c r="AL37" s="10"/>
      <c r="AM37" s="10"/>
      <c r="AN37" s="11"/>
      <c r="AO37" s="11"/>
      <c r="AP37" s="11"/>
      <c r="AQ37" s="36"/>
      <c r="AR37" s="11"/>
      <c r="AS37" s="11"/>
      <c r="AT37" s="11"/>
      <c r="AU37" s="12"/>
      <c r="AV37" s="11"/>
      <c r="AW37" s="11"/>
      <c r="AX37" s="15"/>
      <c r="AY37" s="15"/>
      <c r="AZ37" s="15"/>
      <c r="BA37" s="15"/>
      <c r="BB37" s="15"/>
      <c r="BC37" s="15"/>
      <c r="BD37" s="15"/>
      <c r="BE37" s="12"/>
      <c r="BF37" s="11"/>
      <c r="BG37" s="11"/>
      <c r="BH37" s="10"/>
      <c r="BI37" s="10"/>
      <c r="BJ37" s="10"/>
      <c r="BK37" s="23"/>
      <c r="BL37" s="23"/>
      <c r="BM37" s="23"/>
      <c r="BN37" s="23"/>
      <c r="BO37" s="23"/>
      <c r="BP37" s="23"/>
      <c r="BQ37" s="23"/>
      <c r="BR37" s="10"/>
      <c r="BS37" s="16"/>
      <c r="BT37" s="16"/>
      <c r="BU37" s="16"/>
      <c r="BV37" s="16"/>
      <c r="BW37" s="11"/>
      <c r="BX37" s="16"/>
      <c r="BY37" s="16"/>
      <c r="BZ37" s="17"/>
      <c r="CA37" s="18"/>
      <c r="CB37" s="18"/>
      <c r="CC37" s="18"/>
      <c r="CD37" s="18"/>
      <c r="CE37" s="18"/>
      <c r="CF37" s="18"/>
      <c r="CG37" s="19"/>
      <c r="CH37" s="15"/>
      <c r="CI37" s="17"/>
      <c r="CJ37" s="10"/>
      <c r="CK37" s="10"/>
      <c r="CL37" s="10"/>
      <c r="CM37" s="17"/>
      <c r="CN37" s="17"/>
      <c r="CO37" s="10"/>
      <c r="CP37" s="58"/>
      <c r="CQ37" s="58"/>
      <c r="CR37" s="58"/>
      <c r="CS37" s="58"/>
      <c r="CT37" s="59"/>
      <c r="CU37" s="59"/>
      <c r="CV37" s="59"/>
      <c r="CW37" s="59"/>
      <c r="CX37" s="59"/>
      <c r="CY37" s="59"/>
      <c r="CZ37" s="59"/>
      <c r="DA37" s="42"/>
      <c r="DB37" s="42"/>
      <c r="DC37" s="42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41"/>
      <c r="DU37" s="41"/>
      <c r="DV37" s="34"/>
      <c r="DW37" s="34"/>
      <c r="DX37" s="34"/>
      <c r="DY37" s="34"/>
      <c r="DZ37" s="34"/>
      <c r="EA37" s="42"/>
      <c r="EB37" s="42"/>
      <c r="EC37" s="42"/>
      <c r="ED37" s="42"/>
      <c r="EE37" s="42"/>
      <c r="EF37" s="60"/>
    </row>
    <row r="38" spans="1:136" customFormat="1">
      <c r="A38" s="71">
        <f>'Old Data'!$I34-'Old Data'!$S34</f>
        <v>183</v>
      </c>
      <c r="B38" s="72">
        <f>VLOOKUP('Old Data'!$F34,$R$6:$T$135,2,FALSE)+VLOOKUP('Old Data'!$P34,$R$6:$T$135,3,FALSE)+$B$2</f>
        <v>168.56588193219162</v>
      </c>
      <c r="C38" s="72">
        <f>VLOOKUP('Old Data'!$P34,$R$6:$T$135,2,FALSE)+VLOOKUP('Old Data'!$F34,$R$6:$T$135,3,FALSE)+$B$2</f>
        <v>124.26566104234846</v>
      </c>
      <c r="D38" s="74">
        <f>('Old Data'!$I34-$B38)^2+('Old Data'!$S34-$C38)^2</f>
        <v>16600.706480492136</v>
      </c>
      <c r="E38" s="75">
        <f>'Old Data'!$K34-'Old Data'!$U34</f>
        <v>-331</v>
      </c>
      <c r="F38" s="72">
        <f>VLOOKUP('Old Data'!$F34,$V$6:$X$135,2,FALSE)+VLOOKUP('Old Data'!$P34,$V$6:$X$135,3,FALSE)+$C$2</f>
        <v>118.1193439939436</v>
      </c>
      <c r="G38" s="72">
        <f>VLOOKUP('Old Data'!$P34,$V$6:$X$135,2,FALSE)+VLOOKUP('Old Data'!$F34,$V$6:$X$135,3,FALSE)+$C$2</f>
        <v>271.89581305719776</v>
      </c>
      <c r="H38" s="74">
        <f>('Old Data'!$K34-$F38)^2+('Old Data'!$U34-$G38)^2</f>
        <v>23514.695442319287</v>
      </c>
      <c r="I38" s="75">
        <f>('Old Data'!$L34+'Old Data'!$M34)-('Old Data'!$V34+'Old Data'!$W34)</f>
        <v>-13</v>
      </c>
      <c r="J38" s="72">
        <f>VLOOKUP('Old Data'!$F34,$Z$6:$AB$135,2,FALSE)+VLOOKUP('Old Data'!$P34,$Z$6:$AB$135,3,FALSE)+$D$2</f>
        <v>18.2539668455426</v>
      </c>
      <c r="K38" s="72">
        <f>VLOOKUP('Old Data'!$P34,$Z$6:$AB$135,2,FALSE)+VLOOKUP('Old Data'!$F34,$Z$6:$AB$135,3,FALSE)+$D$2</f>
        <v>36.937198521262687</v>
      </c>
      <c r="L38" s="74">
        <f>('Old Data'!$L34+'Old Data'!$M34-$J38)^2+('Old Data'!$V34+'Old Data'!$W34-$K38)^2</f>
        <v>522.0505415009178</v>
      </c>
      <c r="M38" s="75">
        <f>'Old Data'!$N34-'Old Data'!$X34</f>
        <v>3</v>
      </c>
      <c r="N38" s="72">
        <f>VLOOKUP('Old Data'!$F34,$AD$6:$AF$135,2,FALSE)+VLOOKUP('Old Data'!$P34,$AD$6:$AF$135,3,FALSE)+$E$2</f>
        <v>1.2945040126018621</v>
      </c>
      <c r="O38" s="72">
        <f>VLOOKUP('Old Data'!$P34,$AD$6:$AF$135,2,FALSE)+VLOOKUP('Old Data'!$F34,$AD$6:$AF$135,3,FALSE)+$E$2</f>
        <v>1.3505984390927639</v>
      </c>
      <c r="P38" s="73">
        <f>('Old Data'!$N34-$N38)^2+('Old Data'!$X34-$O38)^2</f>
        <v>4.7328327067109601</v>
      </c>
      <c r="Q38" s="62"/>
      <c r="R38" s="90" t="s">
        <v>54</v>
      </c>
      <c r="S38" s="96">
        <v>-31.473612605179898</v>
      </c>
      <c r="T38" s="96">
        <v>-38.006976581249802</v>
      </c>
      <c r="U38" s="6"/>
      <c r="V38" s="90" t="s">
        <v>54</v>
      </c>
      <c r="W38" s="96">
        <v>100.31855630796601</v>
      </c>
      <c r="X38" s="96">
        <v>-45.032177216477699</v>
      </c>
      <c r="Y38" s="6"/>
      <c r="Z38" s="90" t="s">
        <v>54</v>
      </c>
      <c r="AA38" s="96">
        <v>-22.408989031704699</v>
      </c>
      <c r="AB38" s="96">
        <v>-20.7944321391751</v>
      </c>
      <c r="AC38" s="63"/>
      <c r="AD38" s="90" t="s">
        <v>54</v>
      </c>
      <c r="AE38" s="96">
        <v>1.0551509208069301</v>
      </c>
      <c r="AF38" s="96">
        <v>-5.8188997736496099E-2</v>
      </c>
      <c r="AG38" s="63"/>
      <c r="AH38" s="37"/>
      <c r="AI38" s="22"/>
      <c r="AJ38" s="6"/>
      <c r="AK38" s="10"/>
      <c r="AL38" s="10"/>
      <c r="AM38" s="10"/>
      <c r="AN38" s="11"/>
      <c r="AO38" s="11"/>
      <c r="AP38" s="11"/>
      <c r="AQ38" s="36"/>
      <c r="AR38" s="11"/>
      <c r="AS38" s="11"/>
      <c r="AT38" s="11"/>
      <c r="AU38" s="12"/>
      <c r="AV38" s="11"/>
      <c r="AW38" s="11"/>
      <c r="AX38" s="15"/>
      <c r="AY38" s="15"/>
      <c r="AZ38" s="15"/>
      <c r="BA38" s="15"/>
      <c r="BB38" s="15"/>
      <c r="BC38" s="15"/>
      <c r="BD38" s="15"/>
      <c r="BE38" s="12"/>
      <c r="BF38" s="11"/>
      <c r="BG38" s="11"/>
      <c r="BH38" s="10"/>
      <c r="BI38" s="10"/>
      <c r="BJ38" s="10"/>
      <c r="BK38" s="23"/>
      <c r="BL38" s="23"/>
      <c r="BM38" s="23"/>
      <c r="BN38" s="23"/>
      <c r="BO38" s="23"/>
      <c r="BP38" s="23"/>
      <c r="BQ38" s="23"/>
      <c r="BR38" s="10"/>
      <c r="BS38" s="16"/>
      <c r="BT38" s="16"/>
      <c r="BU38" s="16"/>
      <c r="BV38" s="16"/>
      <c r="BW38" s="11"/>
      <c r="BX38" s="16"/>
      <c r="BY38" s="16"/>
      <c r="BZ38" s="17"/>
      <c r="CA38" s="18"/>
      <c r="CB38" s="18"/>
      <c r="CC38" s="18"/>
      <c r="CD38" s="18"/>
      <c r="CE38" s="18"/>
      <c r="CF38" s="18"/>
      <c r="CG38" s="19"/>
      <c r="CH38" s="15"/>
      <c r="CI38" s="17"/>
      <c r="CJ38" s="10"/>
      <c r="CK38" s="10"/>
      <c r="CL38" s="10"/>
      <c r="CM38" s="17"/>
      <c r="CN38" s="17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</row>
    <row r="39" spans="1:136" customFormat="1">
      <c r="A39" s="71">
        <f>'Old Data'!$I35-'Old Data'!$S35</f>
        <v>-42</v>
      </c>
      <c r="B39" s="72">
        <f>VLOOKUP('Old Data'!$F35,$R$6:$T$135,2,FALSE)+VLOOKUP('Old Data'!$P35,$R$6:$T$135,3,FALSE)+$B$2</f>
        <v>74.437543119519901</v>
      </c>
      <c r="C39" s="72">
        <f>VLOOKUP('Old Data'!$P35,$R$6:$T$135,2,FALSE)+VLOOKUP('Old Data'!$F35,$R$6:$T$135,3,FALSE)+$B$2</f>
        <v>90.317379833092204</v>
      </c>
      <c r="D39" s="74">
        <f>('Old Data'!$I35-$B39)^2+('Old Data'!$S35-$C39)^2</f>
        <v>517.00503253403087</v>
      </c>
      <c r="E39" s="75">
        <f>'Old Data'!$K35-'Old Data'!$U35</f>
        <v>40</v>
      </c>
      <c r="F39" s="72">
        <f>VLOOKUP('Old Data'!$F35,$V$6:$X$135,2,FALSE)+VLOOKUP('Old Data'!$P35,$V$6:$X$135,3,FALSE)+$C$2</f>
        <v>206.00638465334609</v>
      </c>
      <c r="G39" s="72">
        <f>VLOOKUP('Old Data'!$P35,$V$6:$X$135,2,FALSE)+VLOOKUP('Old Data'!$F35,$V$6:$X$135,3,FALSE)+$C$2</f>
        <v>280.55697113679469</v>
      </c>
      <c r="H39" s="74">
        <f>('Old Data'!$K35-$F39)^2+('Old Data'!$U35-$G39)^2</f>
        <v>6733.217520946695</v>
      </c>
      <c r="I39" s="75">
        <f>('Old Data'!$L35+'Old Data'!$M35)-('Old Data'!$V35+'Old Data'!$W35)</f>
        <v>-30</v>
      </c>
      <c r="J39" s="72">
        <f>VLOOKUP('Old Data'!$F35,$Z$6:$AB$135,2,FALSE)+VLOOKUP('Old Data'!$P35,$Z$6:$AB$135,3,FALSE)+$D$2</f>
        <v>41.066759451771816</v>
      </c>
      <c r="K39" s="72">
        <f>VLOOKUP('Old Data'!$P35,$Z$6:$AB$135,2,FALSE)+VLOOKUP('Old Data'!$F35,$Z$6:$AB$135,3,FALSE)+$D$2</f>
        <v>25.497985492420298</v>
      </c>
      <c r="L39" s="74">
        <f>('Old Data'!$L35+'Old Data'!$M35-$J39)^2+('Old Data'!$V35+'Old Data'!$W35-$K39)^2</f>
        <v>1471.4737001794683</v>
      </c>
      <c r="M39" s="75">
        <f>'Old Data'!$N35-'Old Data'!$X35</f>
        <v>-3</v>
      </c>
      <c r="N39" s="72">
        <f>VLOOKUP('Old Data'!$F35,$AD$6:$AF$135,2,FALSE)+VLOOKUP('Old Data'!$P35,$AD$6:$AF$135,3,FALSE)+$E$2</f>
        <v>1.509937319433982</v>
      </c>
      <c r="O39" s="72">
        <f>VLOOKUP('Old Data'!$P35,$AD$6:$AF$135,2,FALSE)+VLOOKUP('Old Data'!$F35,$AD$6:$AF$135,3,FALSE)+$E$2</f>
        <v>2.2046063168339463</v>
      </c>
      <c r="P39" s="73">
        <f>('Old Data'!$N35-$N39)^2+('Old Data'!$X35-$O39)^2</f>
        <v>3.4834745473040831</v>
      </c>
      <c r="Q39" s="62"/>
      <c r="R39" s="90" t="s">
        <v>116</v>
      </c>
      <c r="S39" s="96">
        <v>-28.223315919825598</v>
      </c>
      <c r="T39" s="96">
        <v>-11.3372045846913</v>
      </c>
      <c r="U39" s="6"/>
      <c r="V39" s="90" t="s">
        <v>116</v>
      </c>
      <c r="W39" s="96">
        <v>33.793206857596999</v>
      </c>
      <c r="X39" s="96">
        <v>20.500988215686402</v>
      </c>
      <c r="Y39" s="6"/>
      <c r="Z39" s="90" t="s">
        <v>116</v>
      </c>
      <c r="AA39" s="96">
        <v>-6.2687732283312201</v>
      </c>
      <c r="AB39" s="96">
        <v>-33.174302685268998</v>
      </c>
      <c r="AC39" s="63"/>
      <c r="AD39" s="90" t="s">
        <v>116</v>
      </c>
      <c r="AE39" s="96">
        <v>0.407510197175392</v>
      </c>
      <c r="AF39" s="96">
        <v>-0.42137310827671398</v>
      </c>
      <c r="AG39" s="63"/>
      <c r="AH39" s="37"/>
      <c r="AI39" s="22"/>
      <c r="AJ39" s="6"/>
      <c r="AK39" s="10"/>
      <c r="AL39" s="10"/>
      <c r="AM39" s="10"/>
      <c r="AN39" s="11"/>
      <c r="AO39" s="11"/>
      <c r="AP39" s="11"/>
      <c r="AQ39" s="36"/>
      <c r="AR39" s="11"/>
      <c r="AS39" s="11"/>
      <c r="AT39" s="11"/>
      <c r="AU39" s="12"/>
      <c r="AV39" s="11"/>
      <c r="AW39" s="11"/>
      <c r="AX39" s="15"/>
      <c r="AY39" s="15"/>
      <c r="AZ39" s="15"/>
      <c r="BA39" s="15"/>
      <c r="BB39" s="15"/>
      <c r="BC39" s="15"/>
      <c r="BD39" s="15"/>
      <c r="BE39" s="12"/>
      <c r="BF39" s="11"/>
      <c r="BG39" s="11"/>
      <c r="BH39" s="10"/>
      <c r="BI39" s="10"/>
      <c r="BJ39" s="10"/>
      <c r="BK39" s="23"/>
      <c r="BL39" s="23"/>
      <c r="BM39" s="23"/>
      <c r="BN39" s="23"/>
      <c r="BO39" s="23"/>
      <c r="BP39" s="23"/>
      <c r="BQ39" s="23"/>
      <c r="BR39" s="10"/>
      <c r="BS39" s="16"/>
      <c r="BT39" s="16"/>
      <c r="BU39" s="16"/>
      <c r="BV39" s="16"/>
      <c r="BW39" s="11"/>
      <c r="BX39" s="16"/>
      <c r="BY39" s="16"/>
      <c r="BZ39" s="17"/>
      <c r="CA39" s="18"/>
      <c r="CB39" s="18"/>
      <c r="CC39" s="18"/>
      <c r="CD39" s="18"/>
      <c r="CE39" s="18"/>
      <c r="CF39" s="18"/>
      <c r="CG39" s="19"/>
      <c r="CH39" s="15"/>
      <c r="CI39" s="17"/>
      <c r="CJ39" s="10"/>
      <c r="CK39" s="10"/>
      <c r="CL39" s="10"/>
      <c r="CM39" s="17"/>
      <c r="CN39" s="17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</row>
    <row r="40" spans="1:136" customFormat="1">
      <c r="A40" s="71">
        <f>'Old Data'!$I36-'Old Data'!$S36</f>
        <v>112</v>
      </c>
      <c r="B40" s="72">
        <f>VLOOKUP('Old Data'!$F36,$R$6:$T$135,2,FALSE)+VLOOKUP('Old Data'!$P36,$R$6:$T$135,3,FALSE)+$B$2</f>
        <v>188.65297796972408</v>
      </c>
      <c r="C40" s="72">
        <f>VLOOKUP('Old Data'!$P36,$R$6:$T$135,2,FALSE)+VLOOKUP('Old Data'!$F36,$R$6:$T$135,3,FALSE)+$B$2</f>
        <v>87.095401618004402</v>
      </c>
      <c r="D40" s="74">
        <f>('Old Data'!$I36-$B40)^2+('Old Data'!$S36-$C40)^2</f>
        <v>4881.2125626436264</v>
      </c>
      <c r="E40" s="75">
        <f>'Old Data'!$K36-'Old Data'!$U36</f>
        <v>-142</v>
      </c>
      <c r="F40" s="72">
        <f>VLOOKUP('Old Data'!$F36,$V$6:$X$135,2,FALSE)+VLOOKUP('Old Data'!$P36,$V$6:$X$135,3,FALSE)+$C$2</f>
        <v>226.44837039547602</v>
      </c>
      <c r="G40" s="72">
        <f>VLOOKUP('Old Data'!$P36,$V$6:$X$135,2,FALSE)+VLOOKUP('Old Data'!$F36,$V$6:$X$135,3,FALSE)+$C$2</f>
        <v>314.05888520003248</v>
      </c>
      <c r="H40" s="74">
        <f>('Old Data'!$K36-$F40)^2+('Old Data'!$U36-$G40)^2</f>
        <v>3623.7578347287126</v>
      </c>
      <c r="I40" s="75">
        <f>('Old Data'!$L36+'Old Data'!$M36)-('Old Data'!$V36+'Old Data'!$W36)</f>
        <v>-42</v>
      </c>
      <c r="J40" s="72">
        <f>VLOOKUP('Old Data'!$F36,$Z$6:$AB$135,2,FALSE)+VLOOKUP('Old Data'!$P36,$Z$6:$AB$135,3,FALSE)+$D$2</f>
        <v>41.352164377550039</v>
      </c>
      <c r="K40" s="72">
        <f>VLOOKUP('Old Data'!$P36,$Z$6:$AB$135,2,FALSE)+VLOOKUP('Old Data'!$F36,$Z$6:$AB$135,3,FALSE)+$D$2</f>
        <v>49.337924842246338</v>
      </c>
      <c r="L40" s="74">
        <f>('Old Data'!$L36+'Old Data'!$M36-$J40)^2+('Old Data'!$V36+'Old Data'!$W36-$K40)^2</f>
        <v>951.39985899384965</v>
      </c>
      <c r="M40" s="75">
        <f>'Old Data'!$N36-'Old Data'!$X36</f>
        <v>4</v>
      </c>
      <c r="N40" s="72">
        <f>VLOOKUP('Old Data'!$F36,$AD$6:$AF$135,2,FALSE)+VLOOKUP('Old Data'!$P36,$AD$6:$AF$135,3,FALSE)+$E$2</f>
        <v>2.1450466132843604</v>
      </c>
      <c r="O40" s="72">
        <f>VLOOKUP('Old Data'!$P36,$AD$6:$AF$135,2,FALSE)+VLOOKUP('Old Data'!$F36,$AD$6:$AF$135,3,FALSE)+$E$2</f>
        <v>1.0805615409830804</v>
      </c>
      <c r="P40" s="73">
        <f>('Old Data'!$N36-$N40)^2+('Old Data'!$X36-$O40)^2</f>
        <v>4.6084653107395503</v>
      </c>
      <c r="Q40" s="62"/>
      <c r="R40" s="90" t="s">
        <v>55</v>
      </c>
      <c r="S40" s="96">
        <v>-28.326171272583998</v>
      </c>
      <c r="T40" s="96">
        <v>37.774328423726303</v>
      </c>
      <c r="U40" s="6"/>
      <c r="V40" s="90" t="s">
        <v>55</v>
      </c>
      <c r="W40" s="96">
        <v>-10.489949364908201</v>
      </c>
      <c r="X40" s="96">
        <v>8.2480966652084398</v>
      </c>
      <c r="Y40" s="6"/>
      <c r="Z40" s="90" t="s">
        <v>55</v>
      </c>
      <c r="AA40" s="96">
        <v>-7.1696753852316704</v>
      </c>
      <c r="AB40" s="96">
        <v>28.904986414328299</v>
      </c>
      <c r="AC40" s="63"/>
      <c r="AD40" s="90" t="s">
        <v>55</v>
      </c>
      <c r="AE40" s="96">
        <v>-0.19706893301633699</v>
      </c>
      <c r="AF40" s="96">
        <v>-0.113846226497558</v>
      </c>
      <c r="AG40" s="63"/>
      <c r="AH40" s="37"/>
      <c r="AI40" s="22"/>
      <c r="AJ40" s="6"/>
      <c r="AK40" s="10"/>
      <c r="AL40" s="10"/>
      <c r="AM40" s="10"/>
      <c r="AN40" s="11"/>
      <c r="AO40" s="11"/>
      <c r="AP40" s="11"/>
      <c r="AQ40" s="36"/>
      <c r="AR40" s="11"/>
      <c r="AS40" s="11"/>
      <c r="AT40" s="11"/>
      <c r="AU40" s="12"/>
      <c r="AV40" s="11"/>
      <c r="AW40" s="11"/>
      <c r="AX40" s="15"/>
      <c r="AY40" s="15"/>
      <c r="AZ40" s="15"/>
      <c r="BA40" s="15"/>
      <c r="BB40" s="15"/>
      <c r="BC40" s="15"/>
      <c r="BD40" s="15"/>
      <c r="BE40" s="12"/>
      <c r="BF40" s="11"/>
      <c r="BG40" s="11"/>
      <c r="BH40" s="10"/>
      <c r="BI40" s="10"/>
      <c r="BJ40" s="10"/>
      <c r="BK40" s="23"/>
      <c r="BL40" s="23"/>
      <c r="BM40" s="23"/>
      <c r="BN40" s="23"/>
      <c r="BO40" s="23"/>
      <c r="BP40" s="23"/>
      <c r="BQ40" s="23"/>
      <c r="BR40" s="10"/>
      <c r="BS40" s="16"/>
      <c r="BT40" s="16"/>
      <c r="BU40" s="16"/>
      <c r="BV40" s="16"/>
      <c r="BW40" s="11"/>
      <c r="BX40" s="16"/>
      <c r="BY40" s="16"/>
      <c r="BZ40" s="17"/>
      <c r="CA40" s="18"/>
      <c r="CB40" s="18"/>
      <c r="CC40" s="18"/>
      <c r="CD40" s="18"/>
      <c r="CE40" s="18"/>
      <c r="CF40" s="18"/>
      <c r="CG40" s="19"/>
      <c r="CH40" s="15"/>
      <c r="CI40" s="17"/>
      <c r="CJ40" s="10"/>
      <c r="CK40" s="10"/>
      <c r="CL40" s="10"/>
      <c r="CM40" s="17"/>
      <c r="CN40" s="17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</row>
    <row r="41" spans="1:136" customFormat="1">
      <c r="A41" s="71">
        <f>'Old Data'!$I37-'Old Data'!$S37</f>
        <v>-48</v>
      </c>
      <c r="B41" s="72">
        <f>VLOOKUP('Old Data'!$F37,$R$6:$T$135,2,FALSE)+VLOOKUP('Old Data'!$P37,$R$6:$T$135,3,FALSE)+$B$2</f>
        <v>172.18319199146839</v>
      </c>
      <c r="C41" s="72">
        <f>VLOOKUP('Old Data'!$P37,$R$6:$T$135,2,FALSE)+VLOOKUP('Old Data'!$F37,$R$6:$T$135,3,FALSE)+$B$2</f>
        <v>170.9167576818258</v>
      </c>
      <c r="D41" s="74">
        <f>('Old Data'!$I37-$B41)^2+('Old Data'!$S37-$C41)^2</f>
        <v>5735.590988724708</v>
      </c>
      <c r="E41" s="75">
        <f>'Old Data'!$K37-'Old Data'!$U37</f>
        <v>-28</v>
      </c>
      <c r="F41" s="72">
        <f>VLOOKUP('Old Data'!$F37,$V$6:$X$135,2,FALSE)+VLOOKUP('Old Data'!$P37,$V$6:$X$135,3,FALSE)+$C$2</f>
        <v>215.86416457855535</v>
      </c>
      <c r="G41" s="72">
        <f>VLOOKUP('Old Data'!$P37,$V$6:$X$135,2,FALSE)+VLOOKUP('Old Data'!$F37,$V$6:$X$135,3,FALSE)+$C$2</f>
        <v>322.5413916905124</v>
      </c>
      <c r="H41" s="74">
        <f>('Old Data'!$K37-$F41)^2+('Old Data'!$U37-$G41)^2</f>
        <v>6758.2574318170991</v>
      </c>
      <c r="I41" s="75">
        <f>('Old Data'!$L37+'Old Data'!$M37)-('Old Data'!$V37+'Old Data'!$W37)</f>
        <v>-101</v>
      </c>
      <c r="J41" s="72">
        <f>VLOOKUP('Old Data'!$F37,$Z$6:$AB$135,2,FALSE)+VLOOKUP('Old Data'!$P37,$Z$6:$AB$135,3,FALSE)+$D$2</f>
        <v>72.194622516085602</v>
      </c>
      <c r="K41" s="72">
        <f>VLOOKUP('Old Data'!$P37,$Z$6:$AB$135,2,FALSE)+VLOOKUP('Old Data'!$F37,$Z$6:$AB$135,3,FALSE)+$D$2</f>
        <v>119.67269829837016</v>
      </c>
      <c r="L41" s="74">
        <f>('Old Data'!$L37+'Old Data'!$M37-$J41)^2+('Old Data'!$V37+'Old Data'!$W37-$K41)^2</f>
        <v>1650.0207249701466</v>
      </c>
      <c r="M41" s="75">
        <f>'Old Data'!$N37-'Old Data'!$X37</f>
        <v>1</v>
      </c>
      <c r="N41" s="72">
        <f>VLOOKUP('Old Data'!$F37,$AD$6:$AF$135,2,FALSE)+VLOOKUP('Old Data'!$P37,$AD$6:$AF$135,3,FALSE)+$E$2</f>
        <v>1.986787997267633</v>
      </c>
      <c r="O41" s="72">
        <f>VLOOKUP('Old Data'!$P37,$AD$6:$AF$135,2,FALSE)+VLOOKUP('Old Data'!$F37,$AD$6:$AF$135,3,FALSE)+$E$2</f>
        <v>1.473144269659016</v>
      </c>
      <c r="P41" s="73">
        <f>('Old Data'!$N37-$N41)^2+('Old Data'!$X37-$O41)^2</f>
        <v>0.22404005692736373</v>
      </c>
      <c r="Q41" s="62"/>
      <c r="R41" s="90" t="s">
        <v>15</v>
      </c>
      <c r="S41" s="96">
        <v>68.221018658487594</v>
      </c>
      <c r="T41" s="96">
        <v>51.313523049533003</v>
      </c>
      <c r="U41" s="6"/>
      <c r="V41" s="90" t="s">
        <v>15</v>
      </c>
      <c r="W41" s="96">
        <v>-61.929936194674397</v>
      </c>
      <c r="X41" s="96">
        <v>42.039310400509002</v>
      </c>
      <c r="Y41" s="6"/>
      <c r="Z41" s="90" t="s">
        <v>15</v>
      </c>
      <c r="AA41" s="96">
        <v>-57.059199504131101</v>
      </c>
      <c r="AB41" s="96">
        <v>13.685706051554501</v>
      </c>
      <c r="AC41" s="63"/>
      <c r="AD41" s="90" t="s">
        <v>15</v>
      </c>
      <c r="AE41" s="96">
        <v>-2.2704020434821299E-2</v>
      </c>
      <c r="AF41" s="96">
        <v>-0.222313095981267</v>
      </c>
      <c r="AG41" s="63"/>
      <c r="AH41" s="37"/>
      <c r="AI41" s="22"/>
      <c r="AJ41" s="6"/>
      <c r="AK41" s="10"/>
      <c r="AL41" s="10"/>
      <c r="AM41" s="10"/>
      <c r="AN41" s="11"/>
      <c r="AO41" s="11"/>
      <c r="AP41" s="11"/>
      <c r="AQ41" s="36"/>
      <c r="AR41" s="11"/>
      <c r="AS41" s="11"/>
      <c r="AT41" s="11"/>
      <c r="AU41" s="12"/>
      <c r="AV41" s="11"/>
      <c r="AW41" s="11"/>
      <c r="AX41" s="15"/>
      <c r="AY41" s="15"/>
      <c r="AZ41" s="15"/>
      <c r="BA41" s="15"/>
      <c r="BB41" s="15"/>
      <c r="BC41" s="15"/>
      <c r="BD41" s="15"/>
      <c r="BE41" s="12"/>
      <c r="BF41" s="11"/>
      <c r="BG41" s="11"/>
      <c r="BH41" s="10"/>
      <c r="BI41" s="10"/>
      <c r="BJ41" s="10"/>
      <c r="BK41" s="23"/>
      <c r="BL41" s="23"/>
      <c r="BM41" s="23"/>
      <c r="BN41" s="23"/>
      <c r="BO41" s="23"/>
      <c r="BP41" s="23"/>
      <c r="BQ41" s="23"/>
      <c r="BR41" s="10"/>
      <c r="BS41" s="16"/>
      <c r="BT41" s="16"/>
      <c r="BU41" s="16"/>
      <c r="BV41" s="16"/>
      <c r="BW41" s="11"/>
      <c r="BX41" s="16"/>
      <c r="BY41" s="16"/>
      <c r="BZ41" s="17"/>
      <c r="CA41" s="18"/>
      <c r="CB41" s="18"/>
      <c r="CC41" s="18"/>
      <c r="CD41" s="18"/>
      <c r="CE41" s="18"/>
      <c r="CF41" s="18"/>
      <c r="CG41" s="19"/>
      <c r="CH41" s="15"/>
      <c r="CI41" s="17"/>
      <c r="CJ41" s="10"/>
      <c r="CK41" s="10"/>
      <c r="CL41" s="10"/>
      <c r="CM41" s="17"/>
      <c r="CN41" s="17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</row>
    <row r="42" spans="1:136" customFormat="1">
      <c r="A42" s="71">
        <f>'Old Data'!$I38-'Old Data'!$S38</f>
        <v>-97</v>
      </c>
      <c r="B42" s="72">
        <f>VLOOKUP('Old Data'!$F38,$R$6:$T$135,2,FALSE)+VLOOKUP('Old Data'!$P38,$R$6:$T$135,3,FALSE)+$B$2</f>
        <v>132.80329733593732</v>
      </c>
      <c r="C42" s="72">
        <f>VLOOKUP('Old Data'!$P38,$R$6:$T$135,2,FALSE)+VLOOKUP('Old Data'!$F38,$R$6:$T$135,3,FALSE)+$B$2</f>
        <v>104.3117292942608</v>
      </c>
      <c r="D42" s="74">
        <f>('Old Data'!$I38-$B42)^2+('Old Data'!$S38-$C42)^2</f>
        <v>13479.88061754119</v>
      </c>
      <c r="E42" s="75">
        <f>'Old Data'!$K38-'Old Data'!$U38</f>
        <v>-80</v>
      </c>
      <c r="F42" s="72">
        <f>VLOOKUP('Old Data'!$F38,$V$6:$X$135,2,FALSE)+VLOOKUP('Old Data'!$P38,$V$6:$X$135,3,FALSE)+$C$2</f>
        <v>266.8340784850401</v>
      </c>
      <c r="G42" s="72">
        <f>VLOOKUP('Old Data'!$P38,$V$6:$X$135,2,FALSE)+VLOOKUP('Old Data'!$F38,$V$6:$X$135,3,FALSE)+$C$2</f>
        <v>251.6094617988777</v>
      </c>
      <c r="H42" s="74">
        <f>('Old Data'!$K38-$F42)^2+('Old Data'!$U38-$G42)^2</f>
        <v>27766.157474178763</v>
      </c>
      <c r="I42" s="75">
        <f>('Old Data'!$L38+'Old Data'!$M38)-('Old Data'!$V38+'Old Data'!$W38)</f>
        <v>-19</v>
      </c>
      <c r="J42" s="72">
        <f>VLOOKUP('Old Data'!$F38,$Z$6:$AB$135,2,FALSE)+VLOOKUP('Old Data'!$P38,$Z$6:$AB$135,3,FALSE)+$D$2</f>
        <v>32.944123991893591</v>
      </c>
      <c r="K42" s="72">
        <f>VLOOKUP('Old Data'!$P38,$Z$6:$AB$135,2,FALSE)+VLOOKUP('Old Data'!$F38,$Z$6:$AB$135,3,FALSE)+$D$2</f>
        <v>54.042635290091546</v>
      </c>
      <c r="L42" s="74">
        <f>('Old Data'!$L38+'Old Data'!$M38-$J42)^2+('Old Data'!$V38+'Old Data'!$W38-$K42)^2</f>
        <v>393.83122238822284</v>
      </c>
      <c r="M42" s="75">
        <f>'Old Data'!$N38-'Old Data'!$X38</f>
        <v>1</v>
      </c>
      <c r="N42" s="72">
        <f>VLOOKUP('Old Data'!$F38,$AD$6:$AF$135,2,FALSE)+VLOOKUP('Old Data'!$P38,$AD$6:$AF$135,3,FALSE)+$E$2</f>
        <v>1.008572508183768</v>
      </c>
      <c r="O42" s="72">
        <f>VLOOKUP('Old Data'!$P38,$AD$6:$AF$135,2,FALSE)+VLOOKUP('Old Data'!$F38,$AD$6:$AF$135,3,FALSE)+$E$2</f>
        <v>1.4889155685399822</v>
      </c>
      <c r="P42" s="73">
        <f>('Old Data'!$N38-$N42)^2+('Old Data'!$X38-$O42)^2</f>
        <v>4.2269907512422984</v>
      </c>
      <c r="Q42" s="62"/>
      <c r="R42" s="90" t="s">
        <v>56</v>
      </c>
      <c r="S42" s="96">
        <v>34.3369651434625</v>
      </c>
      <c r="T42" s="96">
        <v>-89.585021622798706</v>
      </c>
      <c r="U42" s="6"/>
      <c r="V42" s="90" t="s">
        <v>56</v>
      </c>
      <c r="W42" s="96">
        <v>6.2854370451395702</v>
      </c>
      <c r="X42" s="96">
        <v>-51.270040331470803</v>
      </c>
      <c r="Y42" s="6"/>
      <c r="Z42" s="90" t="s">
        <v>56</v>
      </c>
      <c r="AA42" s="96">
        <v>-21.338772470951699</v>
      </c>
      <c r="AB42" s="96">
        <v>-29.402619018068801</v>
      </c>
      <c r="AC42" s="63"/>
      <c r="AD42" s="90" t="s">
        <v>56</v>
      </c>
      <c r="AE42" s="96">
        <v>-0.155477335921724</v>
      </c>
      <c r="AF42" s="96">
        <v>-0.64844800285445303</v>
      </c>
      <c r="AG42" s="63"/>
      <c r="AH42" s="37"/>
      <c r="AI42" s="22"/>
      <c r="AJ42" s="6"/>
      <c r="AK42" s="10"/>
      <c r="AL42" s="10"/>
      <c r="AM42" s="10"/>
      <c r="AN42" s="11"/>
      <c r="AO42" s="11"/>
      <c r="AP42" s="11"/>
      <c r="AQ42" s="36"/>
      <c r="AR42" s="11"/>
      <c r="AS42" s="11"/>
      <c r="AT42" s="11"/>
      <c r="AU42" s="12"/>
      <c r="AV42" s="11"/>
      <c r="AW42" s="11"/>
      <c r="AX42" s="15"/>
      <c r="AY42" s="15"/>
      <c r="AZ42" s="15"/>
      <c r="BA42" s="15"/>
      <c r="BB42" s="15"/>
      <c r="BC42" s="15"/>
      <c r="BD42" s="15"/>
      <c r="BE42" s="12"/>
      <c r="BF42" s="11"/>
      <c r="BG42" s="11"/>
      <c r="BH42" s="10"/>
      <c r="BI42" s="10"/>
      <c r="BJ42" s="10"/>
      <c r="BK42" s="23"/>
      <c r="BL42" s="23"/>
      <c r="BM42" s="23"/>
      <c r="BN42" s="23"/>
      <c r="BO42" s="23"/>
      <c r="BP42" s="23"/>
      <c r="BQ42" s="23"/>
      <c r="BR42" s="10"/>
      <c r="BS42" s="16"/>
      <c r="BT42" s="16"/>
      <c r="BU42" s="16"/>
      <c r="BV42" s="16"/>
      <c r="BW42" s="11"/>
      <c r="BX42" s="16"/>
      <c r="BY42" s="16"/>
      <c r="BZ42" s="17"/>
      <c r="CA42" s="18"/>
      <c r="CB42" s="18"/>
      <c r="CC42" s="18"/>
      <c r="CD42" s="18"/>
      <c r="CE42" s="18"/>
      <c r="CF42" s="18"/>
      <c r="CG42" s="19"/>
      <c r="CH42" s="15"/>
      <c r="CI42" s="17"/>
      <c r="CJ42" s="10"/>
      <c r="CK42" s="10"/>
      <c r="CL42" s="10"/>
      <c r="CM42" s="17"/>
      <c r="CN42" s="17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42"/>
      <c r="DZ42" s="34"/>
      <c r="EA42" s="34"/>
      <c r="EB42" s="34"/>
      <c r="EC42" s="34"/>
      <c r="ED42" s="34"/>
      <c r="EE42" s="34"/>
    </row>
    <row r="43" spans="1:136" customFormat="1">
      <c r="A43" s="71">
        <f>'Old Data'!$I39-'Old Data'!$S39</f>
        <v>38</v>
      </c>
      <c r="B43" s="72">
        <f>VLOOKUP('Old Data'!$F39,$R$6:$T$135,2,FALSE)+VLOOKUP('Old Data'!$P39,$R$6:$T$135,3,FALSE)+$B$2</f>
        <v>123.92659709273221</v>
      </c>
      <c r="C43" s="72">
        <f>VLOOKUP('Old Data'!$P39,$R$6:$T$135,2,FALSE)+VLOOKUP('Old Data'!$F39,$R$6:$T$135,3,FALSE)+$B$2</f>
        <v>195.19647272881141</v>
      </c>
      <c r="D43" s="74">
        <f>('Old Data'!$I39-$B43)^2+('Old Data'!$S39-$C43)^2</f>
        <v>8222.7061118960173</v>
      </c>
      <c r="E43" s="75">
        <f>'Old Data'!$K39-'Old Data'!$U39</f>
        <v>270</v>
      </c>
      <c r="F43" s="72">
        <f>VLOOKUP('Old Data'!$F39,$V$6:$X$135,2,FALSE)+VLOOKUP('Old Data'!$P39,$V$6:$X$135,3,FALSE)+$C$2</f>
        <v>165.99011851178301</v>
      </c>
      <c r="G43" s="72">
        <f>VLOOKUP('Old Data'!$P39,$V$6:$X$135,2,FALSE)+VLOOKUP('Old Data'!$F39,$V$6:$X$135,3,FALSE)+$C$2</f>
        <v>266.0657695265586</v>
      </c>
      <c r="H43" s="74">
        <f>('Old Data'!$K39-$F43)^2+('Old Data'!$U39-$G43)^2</f>
        <v>68988.206881514459</v>
      </c>
      <c r="I43" s="75">
        <f>('Old Data'!$L39+'Old Data'!$M39)-('Old Data'!$V39+'Old Data'!$W39)</f>
        <v>-19</v>
      </c>
      <c r="J43" s="72">
        <f>VLOOKUP('Old Data'!$F39,$Z$6:$AB$135,2,FALSE)+VLOOKUP('Old Data'!$P39,$Z$6:$AB$135,3,FALSE)+$D$2</f>
        <v>87.850634200511792</v>
      </c>
      <c r="K43" s="72">
        <f>VLOOKUP('Old Data'!$P39,$Z$6:$AB$135,2,FALSE)+VLOOKUP('Old Data'!$F39,$Z$6:$AB$135,3,FALSE)+$D$2</f>
        <v>103.54243869609201</v>
      </c>
      <c r="L43" s="74">
        <f>('Old Data'!$L39+'Old Data'!$M39-$J43)^2+('Old Data'!$V39+'Old Data'!$W39-$K43)^2</f>
        <v>13848.799432734984</v>
      </c>
      <c r="M43" s="75">
        <f>'Old Data'!$N39-'Old Data'!$X39</f>
        <v>2</v>
      </c>
      <c r="N43" s="72">
        <f>VLOOKUP('Old Data'!$F39,$AD$6:$AF$135,2,FALSE)+VLOOKUP('Old Data'!$P39,$AD$6:$AF$135,3,FALSE)+$E$2</f>
        <v>1.239128181697233</v>
      </c>
      <c r="O43" s="72">
        <f>VLOOKUP('Old Data'!$P39,$AD$6:$AF$135,2,FALSE)+VLOOKUP('Old Data'!$F39,$AD$6:$AF$135,3,FALSE)+$E$2</f>
        <v>2.1169064027863462</v>
      </c>
      <c r="P43" s="73">
        <f>('Old Data'!$N39-$N43)^2+('Old Data'!$X39-$O43)^2</f>
        <v>4.3481494730780286</v>
      </c>
      <c r="Q43" s="62"/>
      <c r="R43" s="90" t="s">
        <v>57</v>
      </c>
      <c r="S43" s="96">
        <v>47.179996243023801</v>
      </c>
      <c r="T43" s="96">
        <v>-17.070785006481401</v>
      </c>
      <c r="U43" s="6"/>
      <c r="V43" s="90" t="s">
        <v>57</v>
      </c>
      <c r="W43" s="96">
        <v>-167.37122037168501</v>
      </c>
      <c r="X43" s="96">
        <v>-10.5115361966996</v>
      </c>
      <c r="Y43" s="6"/>
      <c r="Z43" s="90" t="s">
        <v>57</v>
      </c>
      <c r="AA43" s="96">
        <v>-31.961341643903001</v>
      </c>
      <c r="AB43" s="96">
        <v>-27.053872023547299</v>
      </c>
      <c r="AC43" s="63"/>
      <c r="AD43" s="90" t="s">
        <v>57</v>
      </c>
      <c r="AE43" s="96">
        <v>-4.81646280380023E-3</v>
      </c>
      <c r="AF43" s="96">
        <v>-0.50898961509469998</v>
      </c>
      <c r="AG43" s="63"/>
      <c r="AH43" s="37"/>
      <c r="AI43" s="22"/>
      <c r="AJ43" s="6"/>
      <c r="AK43" s="10"/>
      <c r="AL43" s="10"/>
      <c r="AM43" s="10"/>
      <c r="AN43" s="11"/>
      <c r="AO43" s="11"/>
      <c r="AP43" s="11"/>
      <c r="AQ43" s="36"/>
      <c r="AR43" s="11"/>
      <c r="AS43" s="11"/>
      <c r="AT43" s="11"/>
      <c r="AU43" s="12"/>
      <c r="AV43" s="11"/>
      <c r="AW43" s="11"/>
      <c r="AX43" s="15"/>
      <c r="AY43" s="15"/>
      <c r="AZ43" s="15"/>
      <c r="BA43" s="15"/>
      <c r="BB43" s="15"/>
      <c r="BC43" s="15"/>
      <c r="BD43" s="15"/>
      <c r="BE43" s="12"/>
      <c r="BF43" s="11"/>
      <c r="BG43" s="11"/>
      <c r="BH43" s="10"/>
      <c r="BI43" s="10"/>
      <c r="BJ43" s="10"/>
      <c r="BK43" s="23"/>
      <c r="BL43" s="23"/>
      <c r="BM43" s="23"/>
      <c r="BN43" s="23"/>
      <c r="BO43" s="23"/>
      <c r="BP43" s="23"/>
      <c r="BQ43" s="23"/>
      <c r="BR43" s="10"/>
      <c r="BS43" s="16"/>
      <c r="BT43" s="16"/>
      <c r="BU43" s="16"/>
      <c r="BV43" s="16"/>
      <c r="BW43" s="11"/>
      <c r="BX43" s="16"/>
      <c r="BY43" s="16"/>
      <c r="BZ43" s="17"/>
      <c r="CA43" s="18"/>
      <c r="CB43" s="18"/>
      <c r="CC43" s="18"/>
      <c r="CD43" s="18"/>
      <c r="CE43" s="18"/>
      <c r="CF43" s="18"/>
      <c r="CG43" s="19"/>
      <c r="CH43" s="15"/>
      <c r="CI43" s="17"/>
      <c r="CJ43" s="10"/>
      <c r="CK43" s="10"/>
      <c r="CL43" s="10"/>
      <c r="CM43" s="17"/>
      <c r="CN43" s="17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</row>
    <row r="44" spans="1:136" customFormat="1">
      <c r="A44" s="71">
        <f>'Old Data'!$I40-'Old Data'!$S40</f>
        <v>-97</v>
      </c>
      <c r="B44" s="72">
        <f>VLOOKUP('Old Data'!$F40,$R$6:$T$135,2,FALSE)+VLOOKUP('Old Data'!$P40,$R$6:$T$135,3,FALSE)+$B$2</f>
        <v>189.37682599016762</v>
      </c>
      <c r="C44" s="72">
        <f>VLOOKUP('Old Data'!$P40,$R$6:$T$135,2,FALSE)+VLOOKUP('Old Data'!$F40,$R$6:$T$135,3,FALSE)+$B$2</f>
        <v>257.82535204584963</v>
      </c>
      <c r="D44" s="74">
        <f>('Old Data'!$I40-$B44)^2+('Old Data'!$S40-$C44)^2</f>
        <v>654.06168696803786</v>
      </c>
      <c r="E44" s="75">
        <f>'Old Data'!$K40-'Old Data'!$U40</f>
        <v>31</v>
      </c>
      <c r="F44" s="72">
        <f>VLOOKUP('Old Data'!$F40,$V$6:$X$135,2,FALSE)+VLOOKUP('Old Data'!$P40,$V$6:$X$135,3,FALSE)+$C$2</f>
        <v>221.75321121065164</v>
      </c>
      <c r="G44" s="72">
        <f>VLOOKUP('Old Data'!$P40,$V$6:$X$135,2,FALSE)+VLOOKUP('Old Data'!$F40,$V$6:$X$135,3,FALSE)+$C$2</f>
        <v>180.81052277943709</v>
      </c>
      <c r="H44" s="74">
        <f>('Old Data'!$K40-$F44)^2+('Old Data'!$U40-$G44)^2</f>
        <v>5093.1502916269319</v>
      </c>
      <c r="I44" s="75">
        <f>('Old Data'!$L40+'Old Data'!$M40)-('Old Data'!$V40+'Old Data'!$W40)</f>
        <v>31</v>
      </c>
      <c r="J44" s="72">
        <f>VLOOKUP('Old Data'!$F40,$Z$6:$AB$135,2,FALSE)+VLOOKUP('Old Data'!$P40,$Z$6:$AB$135,3,FALSE)+$D$2</f>
        <v>77.510376950882232</v>
      </c>
      <c r="K44" s="72">
        <f>VLOOKUP('Old Data'!$P40,$Z$6:$AB$135,2,FALSE)+VLOOKUP('Old Data'!$F40,$Z$6:$AB$135,3,FALSE)+$D$2</f>
        <v>36.726676089394914</v>
      </c>
      <c r="L44" s="74">
        <f>('Old Data'!$L40+'Old Data'!$M40-$J44)^2+('Old Data'!$V40+'Old Data'!$W40-$K44)^2</f>
        <v>5535.4979291163854</v>
      </c>
      <c r="M44" s="75">
        <f>'Old Data'!$N40-'Old Data'!$X40</f>
        <v>-3</v>
      </c>
      <c r="N44" s="72">
        <f>VLOOKUP('Old Data'!$F40,$AD$6:$AF$135,2,FALSE)+VLOOKUP('Old Data'!$P40,$AD$6:$AF$135,3,FALSE)+$E$2</f>
        <v>1.8784636396505188</v>
      </c>
      <c r="O44" s="72">
        <f>VLOOKUP('Old Data'!$P40,$AD$6:$AF$135,2,FALSE)+VLOOKUP('Old Data'!$F40,$AD$6:$AF$135,3,FALSE)+$E$2</f>
        <v>1.8204703694575062</v>
      </c>
      <c r="P44" s="73">
        <f>('Old Data'!$N40-$N44)^2+('Old Data'!$X40-$O44)^2</f>
        <v>10.124179758384686</v>
      </c>
      <c r="Q44" s="62"/>
      <c r="R44" s="90" t="s">
        <v>58</v>
      </c>
      <c r="S44" s="96">
        <v>10.1956912834885</v>
      </c>
      <c r="T44" s="96">
        <v>50.1645531625743</v>
      </c>
      <c r="U44" s="6"/>
      <c r="V44" s="90" t="s">
        <v>58</v>
      </c>
      <c r="W44" s="96">
        <v>-65.573365700963606</v>
      </c>
      <c r="X44" s="96">
        <v>-18.286351513069601</v>
      </c>
      <c r="Y44" s="6"/>
      <c r="Z44" s="90" t="s">
        <v>58</v>
      </c>
      <c r="AA44" s="96">
        <v>16.2374665903282</v>
      </c>
      <c r="AB44" s="96">
        <v>13.483904610209899</v>
      </c>
      <c r="AC44" s="63"/>
      <c r="AD44" s="90" t="s">
        <v>58</v>
      </c>
      <c r="AE44" s="96">
        <v>-1.0999980402886999E-2</v>
      </c>
      <c r="AF44" s="96">
        <v>0.30175582359241299</v>
      </c>
      <c r="AG44" s="63"/>
      <c r="AH44" s="37"/>
      <c r="AI44" s="22"/>
      <c r="AJ44" s="6"/>
      <c r="AK44" s="10"/>
      <c r="AL44" s="10"/>
      <c r="AM44" s="10"/>
      <c r="AN44" s="11"/>
      <c r="AO44" s="11"/>
      <c r="AP44" s="11"/>
      <c r="AQ44" s="36"/>
      <c r="AR44" s="11"/>
      <c r="AS44" s="11"/>
      <c r="AT44" s="11"/>
      <c r="AU44" s="12"/>
      <c r="AV44" s="11"/>
      <c r="AW44" s="11"/>
      <c r="AX44" s="15"/>
      <c r="AY44" s="15"/>
      <c r="AZ44" s="15"/>
      <c r="BA44" s="15"/>
      <c r="BB44" s="15"/>
      <c r="BC44" s="15"/>
      <c r="BD44" s="15"/>
      <c r="BE44" s="12"/>
      <c r="BF44" s="11"/>
      <c r="BG44" s="11"/>
      <c r="BH44" s="10"/>
      <c r="BI44" s="10"/>
      <c r="BJ44" s="10"/>
      <c r="BK44" s="23"/>
      <c r="BL44" s="23"/>
      <c r="BM44" s="23"/>
      <c r="BN44" s="23"/>
      <c r="BO44" s="23"/>
      <c r="BP44" s="23"/>
      <c r="BQ44" s="23"/>
      <c r="BR44" s="10"/>
      <c r="BS44" s="16"/>
      <c r="BT44" s="16"/>
      <c r="BU44" s="16"/>
      <c r="BV44" s="16"/>
      <c r="BW44" s="11"/>
      <c r="BX44" s="16"/>
      <c r="BY44" s="16"/>
      <c r="BZ44" s="17"/>
      <c r="CA44" s="18"/>
      <c r="CB44" s="18"/>
      <c r="CC44" s="18"/>
      <c r="CD44" s="18"/>
      <c r="CE44" s="18"/>
      <c r="CF44" s="18"/>
      <c r="CG44" s="19"/>
      <c r="CH44" s="15"/>
      <c r="CI44" s="17"/>
      <c r="CJ44" s="10"/>
      <c r="CK44" s="10"/>
      <c r="CL44" s="10"/>
      <c r="CM44" s="17"/>
      <c r="CN44" s="17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34"/>
      <c r="DB44" s="34"/>
      <c r="DC44" s="34"/>
      <c r="DD44" s="34"/>
      <c r="DE44" s="34"/>
      <c r="DF44" s="34"/>
      <c r="DG44" s="34"/>
      <c r="DH44" s="61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</row>
    <row r="45" spans="1:136" customFormat="1">
      <c r="A45" s="71">
        <f>'Old Data'!$I41-'Old Data'!$S41</f>
        <v>117</v>
      </c>
      <c r="B45" s="72">
        <f>VLOOKUP('Old Data'!$F41,$R$6:$T$135,2,FALSE)+VLOOKUP('Old Data'!$P41,$R$6:$T$135,3,FALSE)+$B$2</f>
        <v>176.21186748153531</v>
      </c>
      <c r="C45" s="72">
        <f>VLOOKUP('Old Data'!$P41,$R$6:$T$135,2,FALSE)+VLOOKUP('Old Data'!$F41,$R$6:$T$135,3,FALSE)+$B$2</f>
        <v>141.75136204124158</v>
      </c>
      <c r="D45" s="74">
        <f>('Old Data'!$I41-$B45)^2+('Old Data'!$S41-$C45)^2</f>
        <v>5032.9806743216059</v>
      </c>
      <c r="E45" s="75">
        <f>'Old Data'!$K41-'Old Data'!$U41</f>
        <v>103</v>
      </c>
      <c r="F45" s="72">
        <f>VLOOKUP('Old Data'!$F41,$V$6:$X$135,2,FALSE)+VLOOKUP('Old Data'!$P41,$V$6:$X$135,3,FALSE)+$C$2</f>
        <v>304.28019256698497</v>
      </c>
      <c r="G45" s="72">
        <f>VLOOKUP('Old Data'!$P41,$V$6:$X$135,2,FALSE)+VLOOKUP('Old Data'!$F41,$V$6:$X$135,3,FALSE)+$C$2</f>
        <v>252.13450604654506</v>
      </c>
      <c r="H45" s="74">
        <f>('Old Data'!$K41-$F45)^2+('Old Data'!$U41-$G45)^2</f>
        <v>15643.750652895289</v>
      </c>
      <c r="I45" s="75">
        <f>('Old Data'!$L41+'Old Data'!$M41)-('Old Data'!$V41+'Old Data'!$W41)</f>
        <v>-138</v>
      </c>
      <c r="J45" s="72">
        <f>VLOOKUP('Old Data'!$F41,$Z$6:$AB$135,2,FALSE)+VLOOKUP('Old Data'!$P41,$Z$6:$AB$135,3,FALSE)+$D$2</f>
        <v>54.036429771645615</v>
      </c>
      <c r="K45" s="72">
        <f>VLOOKUP('Old Data'!$P41,$Z$6:$AB$135,2,FALSE)+VLOOKUP('Old Data'!$F41,$Z$6:$AB$135,3,FALSE)+$D$2</f>
        <v>63.600713098245727</v>
      </c>
      <c r="L45" s="74">
        <f>('Old Data'!$L41+'Old Data'!$M41-$J45)^2+('Old Data'!$V41+'Old Data'!$W41-$K45)^2</f>
        <v>11163.509633241618</v>
      </c>
      <c r="M45" s="75">
        <f>'Old Data'!$N41-'Old Data'!$X41</f>
        <v>1</v>
      </c>
      <c r="N45" s="72">
        <f>VLOOKUP('Old Data'!$F41,$AD$6:$AF$135,2,FALSE)+VLOOKUP('Old Data'!$P41,$AD$6:$AF$135,3,FALSE)+$E$2</f>
        <v>1.0355895303339611</v>
      </c>
      <c r="O45" s="72">
        <f>VLOOKUP('Old Data'!$P41,$AD$6:$AF$135,2,FALSE)+VLOOKUP('Old Data'!$F41,$AD$6:$AF$135,3,FALSE)+$E$2</f>
        <v>0.98306875975797203</v>
      </c>
      <c r="P45" s="73">
        <f>('Old Data'!$N41-$N45)^2+('Old Data'!$X41-$O45)^2</f>
        <v>0.93037422089760302</v>
      </c>
      <c r="Q45" s="62"/>
      <c r="R45" s="90" t="s">
        <v>8</v>
      </c>
      <c r="S45" s="96">
        <v>-24.915078493991398</v>
      </c>
      <c r="T45" s="96">
        <v>39.399387421925802</v>
      </c>
      <c r="U45" s="6"/>
      <c r="V45" s="90" t="s">
        <v>8</v>
      </c>
      <c r="W45" s="96">
        <v>95.211468431306997</v>
      </c>
      <c r="X45" s="96">
        <v>22.581704652477001</v>
      </c>
      <c r="Y45" s="6"/>
      <c r="Z45" s="90" t="s">
        <v>8</v>
      </c>
      <c r="AA45" s="96">
        <v>16.556597727614498</v>
      </c>
      <c r="AB45" s="96">
        <v>6.7502517148854002</v>
      </c>
      <c r="AC45" s="63"/>
      <c r="AD45" s="90" t="s">
        <v>8</v>
      </c>
      <c r="AE45" s="96">
        <v>-0.10783334055096699</v>
      </c>
      <c r="AF45" s="96">
        <v>0.64853918822506995</v>
      </c>
      <c r="AG45" s="63"/>
      <c r="AH45" s="37"/>
      <c r="AI45" s="22"/>
      <c r="AJ45" s="6"/>
      <c r="AK45" s="10"/>
      <c r="AL45" s="10"/>
      <c r="AM45" s="10"/>
      <c r="AN45" s="11"/>
      <c r="AO45" s="11"/>
      <c r="AP45" s="11"/>
      <c r="AQ45" s="36"/>
      <c r="AR45" s="11"/>
      <c r="AS45" s="11"/>
      <c r="AT45" s="11"/>
      <c r="AU45" s="12"/>
      <c r="AV45" s="11"/>
      <c r="AW45" s="11"/>
      <c r="AX45" s="15"/>
      <c r="AY45" s="15"/>
      <c r="AZ45" s="15"/>
      <c r="BA45" s="15"/>
      <c r="BB45" s="15"/>
      <c r="BC45" s="15"/>
      <c r="BD45" s="15"/>
      <c r="BE45" s="12"/>
      <c r="BF45" s="11"/>
      <c r="BG45" s="11"/>
      <c r="BH45" s="10"/>
      <c r="BI45" s="10"/>
      <c r="BJ45" s="10"/>
      <c r="BK45" s="23"/>
      <c r="BL45" s="23"/>
      <c r="BM45" s="23"/>
      <c r="BN45" s="23"/>
      <c r="BO45" s="23"/>
      <c r="BP45" s="23"/>
      <c r="BQ45" s="23"/>
      <c r="BR45" s="10"/>
      <c r="BS45" s="16"/>
      <c r="BT45" s="16"/>
      <c r="BU45" s="16"/>
      <c r="BV45" s="16"/>
      <c r="BW45" s="11"/>
      <c r="BX45" s="16"/>
      <c r="BY45" s="16"/>
      <c r="BZ45" s="17"/>
      <c r="CA45" s="18"/>
      <c r="CB45" s="18"/>
      <c r="CC45" s="18"/>
      <c r="CD45" s="18"/>
      <c r="CE45" s="18"/>
      <c r="CF45" s="18"/>
      <c r="CG45" s="19"/>
      <c r="CH45" s="15"/>
      <c r="CI45" s="17"/>
      <c r="CJ45" s="10"/>
      <c r="CK45" s="10"/>
      <c r="CL45" s="10"/>
      <c r="CM45" s="17"/>
      <c r="CN45" s="17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</row>
    <row r="46" spans="1:136" customFormat="1">
      <c r="A46" s="71">
        <f>'Old Data'!$I42-'Old Data'!$S42</f>
        <v>114</v>
      </c>
      <c r="B46" s="72">
        <f>VLOOKUP('Old Data'!$F42,$R$6:$T$135,2,FALSE)+VLOOKUP('Old Data'!$P42,$R$6:$T$135,3,FALSE)+$B$2</f>
        <v>141.3374435397927</v>
      </c>
      <c r="C46" s="72">
        <f>VLOOKUP('Old Data'!$P42,$R$6:$T$135,2,FALSE)+VLOOKUP('Old Data'!$F42,$R$6:$T$135,3,FALSE)+$B$2</f>
        <v>164.98292753093142</v>
      </c>
      <c r="D46" s="74">
        <f>('Old Data'!$I42-$B46)^2+('Old Data'!$S42-$C46)^2</f>
        <v>9475.8316925303407</v>
      </c>
      <c r="E46" s="75">
        <f>'Old Data'!$K42-'Old Data'!$U42</f>
        <v>-65</v>
      </c>
      <c r="F46" s="72">
        <f>VLOOKUP('Old Data'!$F42,$V$6:$X$135,2,FALSE)+VLOOKUP('Old Data'!$P42,$V$6:$X$135,3,FALSE)+$C$2</f>
        <v>206.22412204006008</v>
      </c>
      <c r="G46" s="72">
        <f>VLOOKUP('Old Data'!$P42,$V$6:$X$135,2,FALSE)+VLOOKUP('Old Data'!$F42,$V$6:$X$135,3,FALSE)+$C$2</f>
        <v>196.09957513379621</v>
      </c>
      <c r="H46" s="74">
        <f>('Old Data'!$K42-$F46)^2+('Old Data'!$U42-$G46)^2</f>
        <v>2960.898311910345</v>
      </c>
      <c r="I46" s="75">
        <f>('Old Data'!$L42+'Old Data'!$M42)-('Old Data'!$V42+'Old Data'!$W42)</f>
        <v>104</v>
      </c>
      <c r="J46" s="72">
        <f>VLOOKUP('Old Data'!$F42,$Z$6:$AB$135,2,FALSE)+VLOOKUP('Old Data'!$P42,$Z$6:$AB$135,3,FALSE)+$D$2</f>
        <v>70.377532065081255</v>
      </c>
      <c r="K46" s="72">
        <f>VLOOKUP('Old Data'!$P42,$Z$6:$AB$135,2,FALSE)+VLOOKUP('Old Data'!$F42,$Z$6:$AB$135,3,FALSE)+$D$2</f>
        <v>99.059711183643259</v>
      </c>
      <c r="L46" s="74">
        <f>('Old Data'!$L42+'Old Data'!$M42-$J46)^2+('Old Data'!$V42+'Old Data'!$W42-$K46)^2</f>
        <v>14061.839864035739</v>
      </c>
      <c r="M46" s="75">
        <f>'Old Data'!$N42-'Old Data'!$X42</f>
        <v>-1</v>
      </c>
      <c r="N46" s="72">
        <f>VLOOKUP('Old Data'!$F42,$AD$6:$AF$135,2,FALSE)+VLOOKUP('Old Data'!$P42,$AD$6:$AF$135,3,FALSE)+$E$2</f>
        <v>1.7846654106081541</v>
      </c>
      <c r="O46" s="72">
        <f>VLOOKUP('Old Data'!$P42,$AD$6:$AF$135,2,FALSE)+VLOOKUP('Old Data'!$F42,$AD$6:$AF$135,3,FALSE)+$E$2</f>
        <v>1.4493094309588621</v>
      </c>
      <c r="P46" s="73">
        <f>('Old Data'!$N42-$N46)^2+('Old Data'!$X42-$O46)^2</f>
        <v>0.91895990943571526</v>
      </c>
      <c r="Q46" s="62"/>
      <c r="R46" s="90" t="s">
        <v>91</v>
      </c>
      <c r="S46" s="96">
        <v>20.420272486211999</v>
      </c>
      <c r="T46" s="96">
        <v>4.3354668338602096</v>
      </c>
      <c r="U46" s="6"/>
      <c r="V46" s="90" t="s">
        <v>91</v>
      </c>
      <c r="W46" s="96">
        <v>-13.936366461023001</v>
      </c>
      <c r="X46" s="96">
        <v>35.973439298252899</v>
      </c>
      <c r="Y46" s="6"/>
      <c r="Z46" s="90" t="s">
        <v>91</v>
      </c>
      <c r="AA46" s="96">
        <v>-0.953623950331137</v>
      </c>
      <c r="AB46" s="96">
        <v>-12.3051933483003</v>
      </c>
      <c r="AC46" s="63"/>
      <c r="AD46" s="90" t="s">
        <v>91</v>
      </c>
      <c r="AE46" s="96">
        <v>-0.33751245643109701</v>
      </c>
      <c r="AF46" s="96">
        <v>0.44051475689446801</v>
      </c>
      <c r="AG46" s="63"/>
      <c r="AH46" s="37"/>
      <c r="AI46" s="22"/>
      <c r="AJ46" s="6"/>
      <c r="AK46" s="10"/>
      <c r="AL46" s="10"/>
      <c r="AM46" s="10"/>
      <c r="AN46" s="11"/>
      <c r="AO46" s="11"/>
      <c r="AP46" s="11"/>
      <c r="AQ46" s="36"/>
      <c r="AR46" s="11"/>
      <c r="AS46" s="11"/>
      <c r="AT46" s="11"/>
      <c r="AU46" s="12"/>
      <c r="AV46" s="11"/>
      <c r="AW46" s="11"/>
      <c r="AX46" s="15"/>
      <c r="AY46" s="15"/>
      <c r="AZ46" s="15"/>
      <c r="BA46" s="15"/>
      <c r="BB46" s="15"/>
      <c r="BC46" s="15"/>
      <c r="BD46" s="15"/>
      <c r="BE46" s="12"/>
      <c r="BF46" s="11"/>
      <c r="BG46" s="11"/>
      <c r="BH46" s="10"/>
      <c r="BI46" s="10"/>
      <c r="BJ46" s="10"/>
      <c r="BK46" s="23"/>
      <c r="BL46" s="23"/>
      <c r="BM46" s="23"/>
      <c r="BN46" s="23"/>
      <c r="BO46" s="23"/>
      <c r="BP46" s="23"/>
      <c r="BQ46" s="23"/>
      <c r="BR46" s="10"/>
      <c r="BS46" s="16"/>
      <c r="BT46" s="16"/>
      <c r="BU46" s="16"/>
      <c r="BV46" s="16"/>
      <c r="BW46" s="11"/>
      <c r="BX46" s="16"/>
      <c r="BY46" s="16"/>
      <c r="BZ46" s="17"/>
      <c r="CA46" s="18"/>
      <c r="CB46" s="18"/>
      <c r="CC46" s="18"/>
      <c r="CD46" s="18"/>
      <c r="CE46" s="18"/>
      <c r="CF46" s="18"/>
      <c r="CG46" s="19"/>
      <c r="CH46" s="15"/>
      <c r="CI46" s="17"/>
      <c r="CJ46" s="10"/>
      <c r="CK46" s="10"/>
      <c r="CL46" s="10"/>
      <c r="CM46" s="17"/>
      <c r="CN46" s="17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</row>
    <row r="47" spans="1:136" customFormat="1">
      <c r="A47" s="71">
        <f>'Old Data'!$I43-'Old Data'!$S43</f>
        <v>113</v>
      </c>
      <c r="B47" s="72">
        <f>VLOOKUP('Old Data'!$F43,$R$6:$T$135,2,FALSE)+VLOOKUP('Old Data'!$P43,$R$6:$T$135,3,FALSE)+$B$2</f>
        <v>274.6070395417662</v>
      </c>
      <c r="C47" s="72">
        <f>VLOOKUP('Old Data'!$P43,$R$6:$T$135,2,FALSE)+VLOOKUP('Old Data'!$F43,$R$6:$T$135,3,FALSE)+$B$2</f>
        <v>133.78837791113011</v>
      </c>
      <c r="D47" s="74">
        <f>('Old Data'!$I43-$B47)^2+('Old Data'!$S43-$C47)^2</f>
        <v>17797.574081249331</v>
      </c>
      <c r="E47" s="75">
        <f>'Old Data'!$K43-'Old Data'!$U43</f>
        <v>165</v>
      </c>
      <c r="F47" s="72">
        <f>VLOOKUP('Old Data'!$F43,$V$6:$X$135,2,FALSE)+VLOOKUP('Old Data'!$P43,$V$6:$X$135,3,FALSE)+$C$2</f>
        <v>322.30821564920177</v>
      </c>
      <c r="G47" s="72">
        <f>VLOOKUP('Old Data'!$P43,$V$6:$X$135,2,FALSE)+VLOOKUP('Old Data'!$F43,$V$6:$X$135,3,FALSE)+$C$2</f>
        <v>182.90847986778471</v>
      </c>
      <c r="H47" s="74">
        <f>('Old Data'!$K43-$F47)^2+('Old Data'!$U43-$G47)^2</f>
        <v>347.01041560608877</v>
      </c>
      <c r="I47" s="75">
        <f>('Old Data'!$L43+'Old Data'!$M43)-('Old Data'!$V43+'Old Data'!$W43)</f>
        <v>2</v>
      </c>
      <c r="J47" s="72">
        <f>VLOOKUP('Old Data'!$F43,$Z$6:$AB$135,2,FALSE)+VLOOKUP('Old Data'!$P43,$Z$6:$AB$135,3,FALSE)+$D$2</f>
        <v>55.265591523501946</v>
      </c>
      <c r="K47" s="72">
        <f>VLOOKUP('Old Data'!$P43,$Z$6:$AB$135,2,FALSE)+VLOOKUP('Old Data'!$F43,$Z$6:$AB$135,3,FALSE)+$D$2</f>
        <v>55.501165695345321</v>
      </c>
      <c r="L47" s="74">
        <f>('Old Data'!$L43+'Old Data'!$M43-$J47)^2+('Old Data'!$V43+'Old Data'!$W43-$K47)^2</f>
        <v>90.058253191372046</v>
      </c>
      <c r="M47" s="75">
        <f>'Old Data'!$N43-'Old Data'!$X43</f>
        <v>-2</v>
      </c>
      <c r="N47" s="72">
        <f>VLOOKUP('Old Data'!$F43,$AD$6:$AF$135,2,FALSE)+VLOOKUP('Old Data'!$P43,$AD$6:$AF$135,3,FALSE)+$E$2</f>
        <v>0.96894797126989607</v>
      </c>
      <c r="O47" s="72">
        <f>VLOOKUP('Old Data'!$P43,$AD$6:$AF$135,2,FALSE)+VLOOKUP('Old Data'!$F43,$AD$6:$AF$135,3,FALSE)+$E$2</f>
        <v>1.1126020171077342</v>
      </c>
      <c r="P47" s="73">
        <f>('Old Data'!$N43-$N47)^2+('Old Data'!$X43-$O47)^2</f>
        <v>1.7263353510693094</v>
      </c>
      <c r="Q47" s="62"/>
      <c r="R47" s="90" t="s">
        <v>60</v>
      </c>
      <c r="S47" s="96">
        <v>-9.3357632342325196</v>
      </c>
      <c r="T47" s="96">
        <v>47.534953599261399</v>
      </c>
      <c r="U47" s="6"/>
      <c r="V47" s="90" t="s">
        <v>60</v>
      </c>
      <c r="W47" s="96">
        <v>-38.382348097575303</v>
      </c>
      <c r="X47" s="96">
        <v>-10.241745469602201</v>
      </c>
      <c r="Y47" s="6"/>
      <c r="Z47" s="90" t="s">
        <v>60</v>
      </c>
      <c r="AA47" s="96">
        <v>14.991274209511401</v>
      </c>
      <c r="AB47" s="96">
        <v>-16.992616300904299</v>
      </c>
      <c r="AC47" s="63"/>
      <c r="AD47" s="90" t="s">
        <v>60</v>
      </c>
      <c r="AE47" s="96">
        <v>0.75825050470302302</v>
      </c>
      <c r="AF47" s="96">
        <v>-0.25043772518707103</v>
      </c>
      <c r="AG47" s="63"/>
      <c r="AH47" s="37"/>
      <c r="AI47" s="22"/>
      <c r="AJ47" s="6"/>
      <c r="AK47" s="10"/>
      <c r="AL47" s="10"/>
      <c r="AM47" s="10"/>
      <c r="AN47" s="11"/>
      <c r="AO47" s="11"/>
      <c r="AP47" s="11"/>
      <c r="AQ47" s="36"/>
      <c r="AR47" s="11"/>
      <c r="AS47" s="11"/>
      <c r="AT47" s="11"/>
      <c r="AU47" s="12"/>
      <c r="AV47" s="11"/>
      <c r="AW47" s="11"/>
      <c r="AX47" s="15"/>
      <c r="AY47" s="15"/>
      <c r="AZ47" s="15"/>
      <c r="BA47" s="15"/>
      <c r="BB47" s="15"/>
      <c r="BC47" s="15"/>
      <c r="BD47" s="15"/>
      <c r="BE47" s="12"/>
      <c r="BF47" s="11"/>
      <c r="BG47" s="11"/>
      <c r="BH47" s="10"/>
      <c r="BI47" s="10"/>
      <c r="BJ47" s="10"/>
      <c r="BK47" s="23"/>
      <c r="BL47" s="23"/>
      <c r="BM47" s="23"/>
      <c r="BN47" s="23"/>
      <c r="BO47" s="23"/>
      <c r="BP47" s="23"/>
      <c r="BQ47" s="23"/>
      <c r="BR47" s="10"/>
      <c r="BS47" s="16"/>
      <c r="BT47" s="16"/>
      <c r="BU47" s="16"/>
      <c r="BV47" s="16"/>
      <c r="BW47" s="11"/>
      <c r="BX47" s="16"/>
      <c r="BY47" s="16"/>
      <c r="BZ47" s="17"/>
      <c r="CA47" s="18"/>
      <c r="CB47" s="18"/>
      <c r="CC47" s="18"/>
      <c r="CD47" s="18"/>
      <c r="CE47" s="18"/>
      <c r="CF47" s="18"/>
      <c r="CG47" s="19"/>
      <c r="CH47" s="15"/>
      <c r="CI47" s="17"/>
      <c r="CJ47" s="10"/>
      <c r="CK47" s="10"/>
      <c r="CL47" s="10"/>
      <c r="CM47" s="17"/>
      <c r="CN47" s="17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</row>
    <row r="48" spans="1:136" customFormat="1">
      <c r="A48" s="71">
        <f>'Old Data'!$I44-'Old Data'!$S44</f>
        <v>-14</v>
      </c>
      <c r="B48" s="72">
        <f>VLOOKUP('Old Data'!$F44,$R$6:$T$135,2,FALSE)+VLOOKUP('Old Data'!$P44,$R$6:$T$135,3,FALSE)+$B$2</f>
        <v>114.01412611127751</v>
      </c>
      <c r="C48" s="72">
        <f>VLOOKUP('Old Data'!$P44,$R$6:$T$135,2,FALSE)+VLOOKUP('Old Data'!$F44,$R$6:$T$135,3,FALSE)+$B$2</f>
        <v>312.46817028483429</v>
      </c>
      <c r="D48" s="74">
        <f>('Old Data'!$I44-$B48)^2+('Old Data'!$S44-$C48)^2</f>
        <v>17831.055366741541</v>
      </c>
      <c r="E48" s="75">
        <f>'Old Data'!$K44-'Old Data'!$U44</f>
        <v>-227</v>
      </c>
      <c r="F48" s="72">
        <f>VLOOKUP('Old Data'!$F44,$V$6:$X$135,2,FALSE)+VLOOKUP('Old Data'!$P44,$V$6:$X$135,3,FALSE)+$C$2</f>
        <v>167.99640831562044</v>
      </c>
      <c r="G48" s="72">
        <f>VLOOKUP('Old Data'!$P44,$V$6:$X$135,2,FALSE)+VLOOKUP('Old Data'!$F44,$V$6:$X$135,3,FALSE)+$C$2</f>
        <v>209.13870844976628</v>
      </c>
      <c r="H48" s="74">
        <f>('Old Data'!$K44-$F48)^2+('Old Data'!$U44-$G48)^2</f>
        <v>21491.120685567526</v>
      </c>
      <c r="I48" s="75">
        <f>('Old Data'!$L44+'Old Data'!$M44)-('Old Data'!$V44+'Old Data'!$W44)</f>
        <v>89</v>
      </c>
      <c r="J48" s="72">
        <f>VLOOKUP('Old Data'!$F44,$Z$6:$AB$135,2,FALSE)+VLOOKUP('Old Data'!$P44,$Z$6:$AB$135,3,FALSE)+$D$2</f>
        <v>123.05676773076209</v>
      </c>
      <c r="K48" s="72">
        <f>VLOOKUP('Old Data'!$P44,$Z$6:$AB$135,2,FALSE)+VLOOKUP('Old Data'!$F44,$Z$6:$AB$135,3,FALSE)+$D$2</f>
        <v>85.256849938083704</v>
      </c>
      <c r="L48" s="74">
        <f>('Old Data'!$L44+'Old Data'!$M44-$J48)^2+('Old Data'!$V44+'Old Data'!$W44-$K48)^2</f>
        <v>1460.6048874097303</v>
      </c>
      <c r="M48" s="75">
        <f>'Old Data'!$N44-'Old Data'!$X44</f>
        <v>1</v>
      </c>
      <c r="N48" s="72">
        <f>VLOOKUP('Old Data'!$F44,$AD$6:$AF$135,2,FALSE)+VLOOKUP('Old Data'!$P44,$AD$6:$AF$135,3,FALSE)+$E$2</f>
        <v>2.0930170480386692</v>
      </c>
      <c r="O48" s="72">
        <f>VLOOKUP('Old Data'!$P44,$AD$6:$AF$135,2,FALSE)+VLOOKUP('Old Data'!$F44,$AD$6:$AF$135,3,FALSE)+$E$2</f>
        <v>1.3369771727497852</v>
      </c>
      <c r="P48" s="73">
        <f>('Old Data'!$N44-$N48)^2+('Old Data'!$X44-$O48)^2</f>
        <v>1.262217344603358</v>
      </c>
      <c r="Q48" s="62"/>
      <c r="R48" s="90" t="s">
        <v>53</v>
      </c>
      <c r="S48" s="96">
        <v>-15.8116365705002</v>
      </c>
      <c r="T48" s="96">
        <v>-34.427175764673699</v>
      </c>
      <c r="U48" s="6"/>
      <c r="V48" s="90" t="s">
        <v>53</v>
      </c>
      <c r="W48" s="96">
        <v>64.197670288643707</v>
      </c>
      <c r="X48" s="96">
        <v>4.0058874935822599</v>
      </c>
      <c r="Y48" s="6"/>
      <c r="Z48" s="90" t="s">
        <v>53</v>
      </c>
      <c r="AA48" s="96">
        <v>2.8647436485162698</v>
      </c>
      <c r="AB48" s="96">
        <v>-14.4642617487125</v>
      </c>
      <c r="AC48" s="63"/>
      <c r="AD48" s="90" t="s">
        <v>53</v>
      </c>
      <c r="AE48" s="96">
        <v>-0.11844775981674301</v>
      </c>
      <c r="AF48" s="96">
        <v>-0.30947352714628501</v>
      </c>
      <c r="AG48" s="63"/>
      <c r="AH48" s="37"/>
      <c r="AI48" s="22"/>
      <c r="AJ48" s="6"/>
      <c r="AK48" s="10"/>
      <c r="AL48" s="10"/>
      <c r="AM48" s="10"/>
      <c r="AN48" s="11"/>
      <c r="AO48" s="11"/>
      <c r="AP48" s="11"/>
      <c r="AQ48" s="36"/>
      <c r="AR48" s="11"/>
      <c r="AS48" s="11"/>
      <c r="AT48" s="11"/>
      <c r="AU48" s="12"/>
      <c r="AV48" s="11"/>
      <c r="AW48" s="11"/>
      <c r="AX48" s="15"/>
      <c r="AY48" s="15"/>
      <c r="AZ48" s="15"/>
      <c r="BA48" s="15"/>
      <c r="BB48" s="15"/>
      <c r="BC48" s="15"/>
      <c r="BD48" s="15"/>
      <c r="BE48" s="12"/>
      <c r="BF48" s="11"/>
      <c r="BG48" s="11"/>
      <c r="BH48" s="10"/>
      <c r="BI48" s="10"/>
      <c r="BJ48" s="10"/>
      <c r="BK48" s="23"/>
      <c r="BL48" s="23"/>
      <c r="BM48" s="23"/>
      <c r="BN48" s="23"/>
      <c r="BO48" s="23"/>
      <c r="BP48" s="23"/>
      <c r="BQ48" s="23"/>
      <c r="BR48" s="10"/>
      <c r="BS48" s="16"/>
      <c r="BT48" s="16"/>
      <c r="BU48" s="16"/>
      <c r="BV48" s="16"/>
      <c r="BW48" s="11"/>
      <c r="BX48" s="16"/>
      <c r="BY48" s="16"/>
      <c r="BZ48" s="17"/>
      <c r="CA48" s="18"/>
      <c r="CB48" s="18"/>
      <c r="CC48" s="18"/>
      <c r="CD48" s="18"/>
      <c r="CE48" s="18"/>
      <c r="CF48" s="18"/>
      <c r="CG48" s="19"/>
      <c r="CH48" s="15"/>
      <c r="CI48" s="17"/>
      <c r="CJ48" s="10"/>
      <c r="CK48" s="10"/>
      <c r="CL48" s="10"/>
      <c r="CM48" s="17"/>
      <c r="CN48" s="17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</row>
    <row r="49" spans="1:135" customFormat="1">
      <c r="A49" s="71">
        <f>'Old Data'!$I45-'Old Data'!$S45</f>
        <v>39</v>
      </c>
      <c r="B49" s="72">
        <f>VLOOKUP('Old Data'!$F45,$R$6:$T$135,2,FALSE)+VLOOKUP('Old Data'!$P45,$R$6:$T$135,3,FALSE)+$B$2</f>
        <v>136.53847745442738</v>
      </c>
      <c r="C49" s="72">
        <f>VLOOKUP('Old Data'!$P45,$R$6:$T$135,2,FALSE)+VLOOKUP('Old Data'!$F45,$R$6:$T$135,3,FALSE)+$B$2</f>
        <v>160.5354888650686</v>
      </c>
      <c r="D49" s="74">
        <f>('Old Data'!$I45-$B49)^2+('Old Data'!$S45-$C49)^2</f>
        <v>2324.2375831513355</v>
      </c>
      <c r="E49" s="75">
        <f>'Old Data'!$K45-'Old Data'!$U45</f>
        <v>226</v>
      </c>
      <c r="F49" s="72">
        <f>VLOOKUP('Old Data'!$F45,$V$6:$X$135,2,FALSE)+VLOOKUP('Old Data'!$P45,$V$6:$X$135,3,FALSE)+$C$2</f>
        <v>247.64070479894605</v>
      </c>
      <c r="G49" s="72">
        <f>VLOOKUP('Old Data'!$P45,$V$6:$X$135,2,FALSE)+VLOOKUP('Old Data'!$F45,$V$6:$X$135,3,FALSE)+$C$2</f>
        <v>182.71895590022001</v>
      </c>
      <c r="H49" s="74">
        <f>('Old Data'!$K45-$F49)^2+('Old Data'!$U45-$G49)^2</f>
        <v>17238.254951155075</v>
      </c>
      <c r="I49" s="75">
        <f>('Old Data'!$L45+'Old Data'!$M45)-('Old Data'!$V45+'Old Data'!$W45)</f>
        <v>37</v>
      </c>
      <c r="J49" s="72">
        <f>VLOOKUP('Old Data'!$F45,$Z$6:$AB$135,2,FALSE)+VLOOKUP('Old Data'!$P45,$Z$6:$AB$135,3,FALSE)+$D$2</f>
        <v>84.260561603499184</v>
      </c>
      <c r="K49" s="72">
        <f>VLOOKUP('Old Data'!$P45,$Z$6:$AB$135,2,FALSE)+VLOOKUP('Old Data'!$F45,$Z$6:$AB$135,3,FALSE)+$D$2</f>
        <v>49.69102747614297</v>
      </c>
      <c r="L49" s="74">
        <f>('Old Data'!$L45+'Old Data'!$M45-$J49)^2+('Old Data'!$V45+'Old Data'!$W45-$K49)^2</f>
        <v>761.56672809369206</v>
      </c>
      <c r="M49" s="75">
        <f>'Old Data'!$N45-'Old Data'!$X45</f>
        <v>0</v>
      </c>
      <c r="N49" s="72">
        <f>VLOOKUP('Old Data'!$F45,$AD$6:$AF$135,2,FALSE)+VLOOKUP('Old Data'!$P45,$AD$6:$AF$135,3,FALSE)+$E$2</f>
        <v>0.99556412820898399</v>
      </c>
      <c r="O49" s="72">
        <f>VLOOKUP('Old Data'!$P45,$AD$6:$AF$135,2,FALSE)+VLOOKUP('Old Data'!$F45,$AD$6:$AF$135,3,FALSE)+$E$2</f>
        <v>1.317253457697739</v>
      </c>
      <c r="P49" s="73">
        <f>('Old Data'!$N45-$N49)^2+('Old Data'!$X45-$O49)^2</f>
        <v>1.4750342615662713</v>
      </c>
      <c r="Q49" s="62"/>
      <c r="R49" s="90" t="s">
        <v>62</v>
      </c>
      <c r="S49" s="96">
        <v>-9.5121273508841604</v>
      </c>
      <c r="T49" s="96">
        <v>-60.861090460034099</v>
      </c>
      <c r="U49" s="6"/>
      <c r="V49" s="90" t="s">
        <v>62</v>
      </c>
      <c r="W49" s="96">
        <v>5.1134440404759296</v>
      </c>
      <c r="X49" s="96">
        <v>-40.942181639584597</v>
      </c>
      <c r="Y49" s="6"/>
      <c r="Z49" s="90" t="s">
        <v>62</v>
      </c>
      <c r="AA49" s="96">
        <v>-5.8931528778999702</v>
      </c>
      <c r="AB49" s="96">
        <v>-16.6000906871969</v>
      </c>
      <c r="AC49" s="63"/>
      <c r="AD49" s="90" t="s">
        <v>62</v>
      </c>
      <c r="AE49" s="96">
        <v>0.135894899565836</v>
      </c>
      <c r="AF49" s="96">
        <v>-0.57069536382604602</v>
      </c>
      <c r="AG49" s="63"/>
      <c r="AH49" s="37"/>
      <c r="AI49" s="22"/>
      <c r="AJ49" s="6"/>
      <c r="AK49" s="10"/>
      <c r="AL49" s="10"/>
      <c r="AM49" s="10"/>
      <c r="AN49" s="11"/>
      <c r="AO49" s="11"/>
      <c r="AP49" s="11"/>
      <c r="AQ49" s="36"/>
      <c r="AR49" s="11"/>
      <c r="AS49" s="11"/>
      <c r="AT49" s="11"/>
      <c r="AU49" s="12"/>
      <c r="AV49" s="11"/>
      <c r="AW49" s="11"/>
      <c r="AX49" s="15"/>
      <c r="AY49" s="15"/>
      <c r="AZ49" s="15"/>
      <c r="BA49" s="15"/>
      <c r="BB49" s="15"/>
      <c r="BC49" s="15"/>
      <c r="BD49" s="15"/>
      <c r="BE49" s="12"/>
      <c r="BF49" s="11"/>
      <c r="BG49" s="11"/>
      <c r="BH49" s="10"/>
      <c r="BI49" s="10"/>
      <c r="BJ49" s="10"/>
      <c r="BK49" s="23"/>
      <c r="BL49" s="23"/>
      <c r="BM49" s="23"/>
      <c r="BN49" s="23"/>
      <c r="BO49" s="23"/>
      <c r="BP49" s="23"/>
      <c r="BQ49" s="23"/>
      <c r="BR49" s="10"/>
      <c r="BS49" s="16"/>
      <c r="BT49" s="16"/>
      <c r="BU49" s="16"/>
      <c r="BV49" s="16"/>
      <c r="BW49" s="11"/>
      <c r="BX49" s="16"/>
      <c r="BY49" s="16"/>
      <c r="BZ49" s="17"/>
      <c r="CA49" s="18"/>
      <c r="CB49" s="18"/>
      <c r="CC49" s="18"/>
      <c r="CD49" s="18"/>
      <c r="CE49" s="18"/>
      <c r="CF49" s="18"/>
      <c r="CG49" s="19"/>
      <c r="CH49" s="15"/>
      <c r="CI49" s="17"/>
      <c r="CJ49" s="10"/>
      <c r="CK49" s="10"/>
      <c r="CL49" s="10"/>
      <c r="CM49" s="17"/>
      <c r="CN49" s="17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</row>
    <row r="50" spans="1:135" customFormat="1">
      <c r="A50" s="71">
        <f>'Old Data'!$I46-'Old Data'!$S46</f>
        <v>-134</v>
      </c>
      <c r="B50" s="72">
        <f>VLOOKUP('Old Data'!$F46,$R$6:$T$135,2,FALSE)+VLOOKUP('Old Data'!$P46,$R$6:$T$135,3,FALSE)+$B$2</f>
        <v>122.47400166265803</v>
      </c>
      <c r="C50" s="72">
        <f>VLOOKUP('Old Data'!$P46,$R$6:$T$135,2,FALSE)+VLOOKUP('Old Data'!$F46,$R$6:$T$135,3,FALSE)+$B$2</f>
        <v>150.26551128180267</v>
      </c>
      <c r="D50" s="74">
        <f>('Old Data'!$I46-$B50)^2+('Old Data'!$S46-$C50)^2</f>
        <v>5651.3532059654772</v>
      </c>
      <c r="E50" s="75">
        <f>'Old Data'!$K46-'Old Data'!$U46</f>
        <v>-58</v>
      </c>
      <c r="F50" s="72">
        <f>VLOOKUP('Old Data'!$F46,$V$6:$X$135,2,FALSE)+VLOOKUP('Old Data'!$P46,$V$6:$X$135,3,FALSE)+$C$2</f>
        <v>188.14831485823271</v>
      </c>
      <c r="G50" s="72">
        <f>VLOOKUP('Old Data'!$P46,$V$6:$X$135,2,FALSE)+VLOOKUP('Old Data'!$F46,$V$6:$X$135,3,FALSE)+$C$2</f>
        <v>291.16334718971308</v>
      </c>
      <c r="H50" s="74">
        <f>('Old Data'!$K46-$F50)^2+('Old Data'!$U46-$G50)^2</f>
        <v>4770.6105363468932</v>
      </c>
      <c r="I50" s="75">
        <f>('Old Data'!$L46+'Old Data'!$M46)-('Old Data'!$V46+'Old Data'!$W46)</f>
        <v>65</v>
      </c>
      <c r="J50" s="72">
        <f>VLOOKUP('Old Data'!$F46,$Z$6:$AB$135,2,FALSE)+VLOOKUP('Old Data'!$P46,$Z$6:$AB$135,3,FALSE)+$D$2</f>
        <v>93.027125293296592</v>
      </c>
      <c r="K50" s="72">
        <f>VLOOKUP('Old Data'!$P46,$Z$6:$AB$135,2,FALSE)+VLOOKUP('Old Data'!$F46,$Z$6:$AB$135,3,FALSE)+$D$2</f>
        <v>38.232759847656993</v>
      </c>
      <c r="L50" s="74">
        <f>('Old Data'!$L46+'Old Data'!$M46-$J50)^2+('Old Data'!$V46+'Old Data'!$W46-$K50)^2</f>
        <v>862.50666410996519</v>
      </c>
      <c r="M50" s="75">
        <f>'Old Data'!$N46-'Old Data'!$X46</f>
        <v>-1</v>
      </c>
      <c r="N50" s="72">
        <f>VLOOKUP('Old Data'!$F46,$AD$6:$AF$135,2,FALSE)+VLOOKUP('Old Data'!$P46,$AD$6:$AF$135,3,FALSE)+$E$2</f>
        <v>0.3993563715739592</v>
      </c>
      <c r="O50" s="72">
        <f>VLOOKUP('Old Data'!$P46,$AD$6:$AF$135,2,FALSE)+VLOOKUP('Old Data'!$F46,$AD$6:$AF$135,3,FALSE)+$E$2</f>
        <v>2.3282049930505009</v>
      </c>
      <c r="P50" s="73">
        <f>('Old Data'!$N46-$N50)^2+('Old Data'!$X46-$O50)^2</f>
        <v>1.9236140150809993</v>
      </c>
      <c r="Q50" s="62"/>
      <c r="R50" s="90" t="s">
        <v>122</v>
      </c>
      <c r="S50" s="96">
        <v>7.0441025860165203</v>
      </c>
      <c r="T50" s="96">
        <v>-64.973879802164404</v>
      </c>
      <c r="U50" s="6"/>
      <c r="V50" s="90" t="s">
        <v>122</v>
      </c>
      <c r="W50" s="96">
        <v>85.7243016130152</v>
      </c>
      <c r="X50" s="96">
        <v>-16.9588988296838</v>
      </c>
      <c r="Y50" s="6"/>
      <c r="Z50" s="90" t="s">
        <v>122</v>
      </c>
      <c r="AA50" s="96">
        <v>-6.3873947608792196</v>
      </c>
      <c r="AB50" s="96">
        <v>36.884971729449397</v>
      </c>
      <c r="AC50" s="63"/>
      <c r="AD50" s="90" t="s">
        <v>122</v>
      </c>
      <c r="AE50" s="96">
        <v>-0.22805158749559601</v>
      </c>
      <c r="AF50" s="96">
        <v>-0.273086347750016</v>
      </c>
      <c r="AG50" s="63"/>
      <c r="AH50" s="37"/>
      <c r="AI50" s="22"/>
      <c r="AJ50" s="6"/>
      <c r="AK50" s="10"/>
      <c r="AL50" s="10"/>
      <c r="AM50" s="10"/>
      <c r="AN50" s="11"/>
      <c r="AO50" s="11"/>
      <c r="AP50" s="11"/>
      <c r="AQ50" s="36"/>
      <c r="AR50" s="11"/>
      <c r="AS50" s="11"/>
      <c r="AT50" s="11"/>
      <c r="AU50" s="12"/>
      <c r="AV50" s="11"/>
      <c r="AW50" s="11"/>
      <c r="AX50" s="15"/>
      <c r="AY50" s="15"/>
      <c r="AZ50" s="15"/>
      <c r="BA50" s="15"/>
      <c r="BB50" s="15"/>
      <c r="BC50" s="15"/>
      <c r="BD50" s="15"/>
      <c r="BE50" s="12"/>
      <c r="BF50" s="11"/>
      <c r="BG50" s="11"/>
      <c r="BH50" s="10"/>
      <c r="BI50" s="10"/>
      <c r="BJ50" s="10"/>
      <c r="BK50" s="23"/>
      <c r="BL50" s="23"/>
      <c r="BM50" s="23"/>
      <c r="BN50" s="23"/>
      <c r="BO50" s="23"/>
      <c r="BP50" s="23"/>
      <c r="BQ50" s="23"/>
      <c r="BR50" s="10"/>
      <c r="BS50" s="16"/>
      <c r="BT50" s="16"/>
      <c r="BU50" s="16"/>
      <c r="BV50" s="16"/>
      <c r="BW50" s="11"/>
      <c r="BX50" s="16"/>
      <c r="BY50" s="16"/>
      <c r="BZ50" s="17"/>
      <c r="CA50" s="18"/>
      <c r="CB50" s="18"/>
      <c r="CC50" s="18"/>
      <c r="CD50" s="18"/>
      <c r="CE50" s="18"/>
      <c r="CF50" s="18"/>
      <c r="CG50" s="19"/>
      <c r="CH50" s="15"/>
      <c r="CI50" s="17"/>
      <c r="CJ50" s="10"/>
      <c r="CK50" s="10"/>
      <c r="CL50" s="10"/>
      <c r="CM50" s="17"/>
      <c r="CN50" s="17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</row>
    <row r="51" spans="1:135" customFormat="1">
      <c r="A51" s="71">
        <f>'Old Data'!$I47-'Old Data'!$S47</f>
        <v>-49</v>
      </c>
      <c r="B51" s="72">
        <f>VLOOKUP('Old Data'!$F47,$R$6:$T$135,2,FALSE)+VLOOKUP('Old Data'!$P47,$R$6:$T$135,3,FALSE)+$B$2</f>
        <v>-6.5998329384609917</v>
      </c>
      <c r="C51" s="72">
        <f>VLOOKUP('Old Data'!$P47,$R$6:$T$135,2,FALSE)+VLOOKUP('Old Data'!$F47,$R$6:$T$135,3,FALSE)+$B$2</f>
        <v>224.33934423506741</v>
      </c>
      <c r="D51" s="74">
        <f>('Old Data'!$I47-$B51)^2+('Old Data'!$S47-$C51)^2</f>
        <v>21625.156663429825</v>
      </c>
      <c r="E51" s="75">
        <f>'Old Data'!$K47-'Old Data'!$U47</f>
        <v>40</v>
      </c>
      <c r="F51" s="72">
        <f>VLOOKUP('Old Data'!$F47,$V$6:$X$135,2,FALSE)+VLOOKUP('Old Data'!$P47,$V$6:$X$135,3,FALSE)+$C$2</f>
        <v>156.52637793288139</v>
      </c>
      <c r="G51" s="72">
        <f>VLOOKUP('Old Data'!$P47,$V$6:$X$135,2,FALSE)+VLOOKUP('Old Data'!$F47,$V$6:$X$135,3,FALSE)+$C$2</f>
        <v>190.58390875015772</v>
      </c>
      <c r="H51" s="74">
        <f>('Old Data'!$K47-$F51)^2+('Old Data'!$U47-$G51)^2</f>
        <v>57486.260124866203</v>
      </c>
      <c r="I51" s="75">
        <f>('Old Data'!$L47+'Old Data'!$M47)-('Old Data'!$V47+'Old Data'!$W47)</f>
        <v>-2</v>
      </c>
      <c r="J51" s="72">
        <f>VLOOKUP('Old Data'!$F47,$Z$6:$AB$135,2,FALSE)+VLOOKUP('Old Data'!$P47,$Z$6:$AB$135,3,FALSE)+$D$2</f>
        <v>56.444668425483698</v>
      </c>
      <c r="K51" s="72">
        <f>VLOOKUP('Old Data'!$P47,$Z$6:$AB$135,2,FALSE)+VLOOKUP('Old Data'!$F47,$Z$6:$AB$135,3,FALSE)+$D$2</f>
        <v>-9.5795656745566049</v>
      </c>
      <c r="L51" s="74">
        <f>('Old Data'!$L47+'Old Data'!$M47-$J51)^2+('Old Data'!$V47+'Old Data'!$W47-$K51)^2</f>
        <v>2396.4036468444988</v>
      </c>
      <c r="M51" s="75">
        <f>'Old Data'!$N47-'Old Data'!$X47</f>
        <v>-1</v>
      </c>
      <c r="N51" s="72">
        <f>VLOOKUP('Old Data'!$F47,$AD$6:$AF$135,2,FALSE)+VLOOKUP('Old Data'!$P47,$AD$6:$AF$135,3,FALSE)+$E$2</f>
        <v>1.187148332702584</v>
      </c>
      <c r="O51" s="72">
        <f>VLOOKUP('Old Data'!$P47,$AD$6:$AF$135,2,FALSE)+VLOOKUP('Old Data'!$F47,$AD$6:$AF$135,3,FALSE)+$E$2</f>
        <v>2.4086726329504859</v>
      </c>
      <c r="P51" s="73">
        <f>('Old Data'!$N47-$N51)^2+('Old Data'!$X47-$O51)^2</f>
        <v>0.20203781935603971</v>
      </c>
      <c r="Q51" s="62"/>
      <c r="R51" s="90" t="s">
        <v>64</v>
      </c>
      <c r="S51" s="96">
        <v>19.775180193352501</v>
      </c>
      <c r="T51" s="96">
        <v>29.8337920075112</v>
      </c>
      <c r="U51" s="6"/>
      <c r="V51" s="90" t="s">
        <v>64</v>
      </c>
      <c r="W51" s="96">
        <v>-10.8011091905407</v>
      </c>
      <c r="X51" s="96">
        <v>12.907913719844901</v>
      </c>
      <c r="Y51" s="6"/>
      <c r="Z51" s="90" t="s">
        <v>64</v>
      </c>
      <c r="AA51" s="96">
        <v>21.395365086481199</v>
      </c>
      <c r="AB51" s="96">
        <v>7.8507015085377603</v>
      </c>
      <c r="AC51" s="63"/>
      <c r="AD51" s="90" t="s">
        <v>64</v>
      </c>
      <c r="AE51" s="96">
        <v>-0.90777952918570604</v>
      </c>
      <c r="AF51" s="96">
        <v>0.23367342785033099</v>
      </c>
      <c r="AG51" s="63"/>
      <c r="AH51" s="37"/>
      <c r="AI51" s="22"/>
      <c r="AJ51" s="6"/>
      <c r="AK51" s="10"/>
      <c r="AL51" s="10"/>
      <c r="AM51" s="10"/>
      <c r="AN51" s="11"/>
      <c r="AO51" s="11"/>
      <c r="AP51" s="11"/>
      <c r="AQ51" s="36"/>
      <c r="AR51" s="11"/>
      <c r="AS51" s="11"/>
      <c r="AT51" s="11"/>
      <c r="AU51" s="12"/>
      <c r="AV51" s="11"/>
      <c r="AW51" s="11"/>
      <c r="AX51" s="15"/>
      <c r="AY51" s="15"/>
      <c r="AZ51" s="15"/>
      <c r="BA51" s="15"/>
      <c r="BB51" s="15"/>
      <c r="BC51" s="15"/>
      <c r="BD51" s="15"/>
      <c r="BE51" s="12"/>
      <c r="BF51" s="11"/>
      <c r="BG51" s="11"/>
      <c r="BH51" s="10"/>
      <c r="BI51" s="10"/>
      <c r="BJ51" s="10"/>
      <c r="BK51" s="23"/>
      <c r="BL51" s="23"/>
      <c r="BM51" s="23"/>
      <c r="BN51" s="23"/>
      <c r="BO51" s="23"/>
      <c r="BP51" s="23"/>
      <c r="BQ51" s="23"/>
      <c r="BR51" s="10"/>
      <c r="BS51" s="16"/>
      <c r="BT51" s="16"/>
      <c r="BU51" s="16"/>
      <c r="BV51" s="16"/>
      <c r="BW51" s="11"/>
      <c r="BX51" s="16"/>
      <c r="BY51" s="16"/>
      <c r="BZ51" s="17"/>
      <c r="CA51" s="18"/>
      <c r="CB51" s="18"/>
      <c r="CC51" s="18"/>
      <c r="CD51" s="18"/>
      <c r="CE51" s="18"/>
      <c r="CF51" s="18"/>
      <c r="CG51" s="19"/>
      <c r="CH51" s="15"/>
      <c r="CI51" s="17"/>
      <c r="CJ51" s="10"/>
      <c r="CK51" s="10"/>
      <c r="CL51" s="10"/>
      <c r="CM51" s="17"/>
      <c r="CN51" s="17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</row>
    <row r="52" spans="1:135" customFormat="1">
      <c r="A52" s="71">
        <f>'Old Data'!$I48-'Old Data'!$S48</f>
        <v>217</v>
      </c>
      <c r="B52" s="72">
        <f>VLOOKUP('Old Data'!$F48,$R$6:$T$135,2,FALSE)+VLOOKUP('Old Data'!$P48,$R$6:$T$135,3,FALSE)+$B$2</f>
        <v>296.21992081417284</v>
      </c>
      <c r="C52" s="72">
        <f>VLOOKUP('Old Data'!$P48,$R$6:$T$135,2,FALSE)+VLOOKUP('Old Data'!$F48,$R$6:$T$135,3,FALSE)+$B$2</f>
        <v>100.06250923080411</v>
      </c>
      <c r="D52" s="74">
        <f>('Old Data'!$I48-$B52)^2+('Old Data'!$S48-$C52)^2</f>
        <v>475.25073828322905</v>
      </c>
      <c r="E52" s="75">
        <f>'Old Data'!$K48-'Old Data'!$U48</f>
        <v>124</v>
      </c>
      <c r="F52" s="72">
        <f>VLOOKUP('Old Data'!$F48,$V$6:$X$135,2,FALSE)+VLOOKUP('Old Data'!$P48,$V$6:$X$135,3,FALSE)+$C$2</f>
        <v>327.27113847947288</v>
      </c>
      <c r="G52" s="72">
        <f>VLOOKUP('Old Data'!$P48,$V$6:$X$135,2,FALSE)+VLOOKUP('Old Data'!$F48,$V$6:$X$135,3,FALSE)+$C$2</f>
        <v>152.4894145508392</v>
      </c>
      <c r="H52" s="74">
        <f>('Old Data'!$K48-$F52)^2+('Old Data'!$U48-$G52)^2</f>
        <v>1859.2792130382406</v>
      </c>
      <c r="I52" s="75">
        <f>('Old Data'!$L48+'Old Data'!$M48)-('Old Data'!$V48+'Old Data'!$W48)</f>
        <v>46</v>
      </c>
      <c r="J52" s="72">
        <f>VLOOKUP('Old Data'!$F48,$Z$6:$AB$135,2,FALSE)+VLOOKUP('Old Data'!$P48,$Z$6:$AB$135,3,FALSE)+$D$2</f>
        <v>82.285741199965202</v>
      </c>
      <c r="K52" s="72">
        <f>VLOOKUP('Old Data'!$P48,$Z$6:$AB$135,2,FALSE)+VLOOKUP('Old Data'!$F48,$Z$6:$AB$135,3,FALSE)+$D$2</f>
        <v>36.468610807429201</v>
      </c>
      <c r="L52" s="74">
        <f>('Old Data'!$L48+'Old Data'!$M48-$J52)^2+('Old Data'!$V48+'Old Data'!$W48-$K52)^2</f>
        <v>2503.105884639805</v>
      </c>
      <c r="M52" s="75">
        <f>'Old Data'!$N48-'Old Data'!$X48</f>
        <v>3</v>
      </c>
      <c r="N52" s="72">
        <f>VLOOKUP('Old Data'!$F48,$AD$6:$AF$135,2,FALSE)+VLOOKUP('Old Data'!$P48,$AD$6:$AF$135,3,FALSE)+$E$2</f>
        <v>2.4014777203089461</v>
      </c>
      <c r="O52" s="72">
        <f>VLOOKUP('Old Data'!$P48,$AD$6:$AF$135,2,FALSE)+VLOOKUP('Old Data'!$F48,$AD$6:$AF$135,3,FALSE)+$E$2</f>
        <v>0.34749491060082316</v>
      </c>
      <c r="P52" s="73">
        <f>('Old Data'!$N48-$N52)^2+('Old Data'!$X48-$O52)^2</f>
        <v>0.47898163218005019</v>
      </c>
      <c r="Q52" s="62"/>
      <c r="R52" s="90" t="s">
        <v>65</v>
      </c>
      <c r="S52" s="96">
        <v>50.849919193847199</v>
      </c>
      <c r="T52" s="96">
        <v>-68.684913633725898</v>
      </c>
      <c r="U52" s="6"/>
      <c r="V52" s="90" t="s">
        <v>65</v>
      </c>
      <c r="W52" s="96">
        <v>-62.631300871133803</v>
      </c>
      <c r="X52" s="96">
        <v>-18.131631898961199</v>
      </c>
      <c r="Y52" s="6"/>
      <c r="Z52" s="90" t="s">
        <v>65</v>
      </c>
      <c r="AA52" s="96">
        <v>30.9212597234655</v>
      </c>
      <c r="AB52" s="96">
        <v>-1.5129029857701599</v>
      </c>
      <c r="AC52" s="63"/>
      <c r="AD52" s="90" t="s">
        <v>65</v>
      </c>
      <c r="AE52" s="96">
        <v>-0.46800406377040898</v>
      </c>
      <c r="AF52" s="96">
        <v>-0.275372044469615</v>
      </c>
      <c r="AG52" s="63"/>
      <c r="AH52" s="37"/>
      <c r="AI52" s="22"/>
      <c r="AJ52" s="6"/>
      <c r="AK52" s="10"/>
      <c r="AL52" s="10"/>
      <c r="AM52" s="10"/>
      <c r="AN52" s="11"/>
      <c r="AO52" s="11"/>
      <c r="AP52" s="11"/>
      <c r="AQ52" s="36"/>
      <c r="AR52" s="11"/>
      <c r="AS52" s="11"/>
      <c r="AT52" s="11"/>
      <c r="AU52" s="12"/>
      <c r="AV52" s="11"/>
      <c r="AW52" s="11"/>
      <c r="AX52" s="15"/>
      <c r="AY52" s="15"/>
      <c r="AZ52" s="15"/>
      <c r="BA52" s="15"/>
      <c r="BB52" s="15"/>
      <c r="BC52" s="15"/>
      <c r="BD52" s="15"/>
      <c r="BE52" s="12"/>
      <c r="BF52" s="11"/>
      <c r="BG52" s="11"/>
      <c r="BH52" s="10"/>
      <c r="BI52" s="10"/>
      <c r="BJ52" s="10"/>
      <c r="BK52" s="23"/>
      <c r="BL52" s="23"/>
      <c r="BM52" s="23"/>
      <c r="BN52" s="23"/>
      <c r="BO52" s="23"/>
      <c r="BP52" s="23"/>
      <c r="BQ52" s="23"/>
      <c r="BR52" s="10"/>
      <c r="BS52" s="16"/>
      <c r="BT52" s="16"/>
      <c r="BU52" s="16"/>
      <c r="BV52" s="16"/>
      <c r="BW52" s="11"/>
      <c r="BX52" s="16"/>
      <c r="BY52" s="16"/>
      <c r="BZ52" s="17"/>
      <c r="CA52" s="18"/>
      <c r="CB52" s="18"/>
      <c r="CC52" s="18"/>
      <c r="CD52" s="18"/>
      <c r="CE52" s="18"/>
      <c r="CF52" s="18"/>
      <c r="CG52" s="19"/>
      <c r="CH52" s="15"/>
      <c r="CI52" s="17"/>
      <c r="CJ52" s="10"/>
      <c r="CK52" s="10"/>
      <c r="CL52" s="10"/>
      <c r="CM52" s="17"/>
      <c r="CN52" s="17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</row>
    <row r="53" spans="1:135" customFormat="1">
      <c r="A53" s="71">
        <f>'Old Data'!$I49-'Old Data'!$S49</f>
        <v>39</v>
      </c>
      <c r="B53" s="72">
        <f>VLOOKUP('Old Data'!$F49,$R$6:$T$135,2,FALSE)+VLOOKUP('Old Data'!$P49,$R$6:$T$135,3,FALSE)+$B$2</f>
        <v>232.45994898228361</v>
      </c>
      <c r="C53" s="72">
        <f>VLOOKUP('Old Data'!$P49,$R$6:$T$135,2,FALSE)+VLOOKUP('Old Data'!$F49,$R$6:$T$135,3,FALSE)+$B$2</f>
        <v>156.67490043488257</v>
      </c>
      <c r="D53" s="74">
        <f>('Old Data'!$I49-$B53)^2+('Old Data'!$S49-$C53)^2</f>
        <v>8347.8576627713737</v>
      </c>
      <c r="E53" s="75">
        <f>'Old Data'!$K49-'Old Data'!$U49</f>
        <v>-114</v>
      </c>
      <c r="F53" s="72">
        <f>VLOOKUP('Old Data'!$F49,$V$6:$X$135,2,FALSE)+VLOOKUP('Old Data'!$P49,$V$6:$X$135,3,FALSE)+$C$2</f>
        <v>198.16203883799329</v>
      </c>
      <c r="G53" s="72">
        <f>VLOOKUP('Old Data'!$P49,$V$6:$X$135,2,FALSE)+VLOOKUP('Old Data'!$F49,$V$6:$X$135,3,FALSE)+$C$2</f>
        <v>203.0186533755498</v>
      </c>
      <c r="H53" s="74">
        <f>('Old Data'!$K49-$F53)^2+('Old Data'!$U49-$G53)^2</f>
        <v>8906.7423194969597</v>
      </c>
      <c r="I53" s="75">
        <f>('Old Data'!$L49+'Old Data'!$M49)-('Old Data'!$V49+'Old Data'!$W49)</f>
        <v>60</v>
      </c>
      <c r="J53" s="72">
        <f>VLOOKUP('Old Data'!$F49,$Z$6:$AB$135,2,FALSE)+VLOOKUP('Old Data'!$P49,$Z$6:$AB$135,3,FALSE)+$D$2</f>
        <v>51.253872507840136</v>
      </c>
      <c r="K53" s="72">
        <f>VLOOKUP('Old Data'!$P49,$Z$6:$AB$135,2,FALSE)+VLOOKUP('Old Data'!$F49,$Z$6:$AB$135,3,FALSE)+$D$2</f>
        <v>53.397712961787597</v>
      </c>
      <c r="L53" s="74">
        <f>('Old Data'!$L49+'Old Data'!$M49-$J53)^2+('Old Data'!$V49+'Old Data'!$W49-$K53)^2</f>
        <v>10821.828282064838</v>
      </c>
      <c r="M53" s="75">
        <f>'Old Data'!$N49-'Old Data'!$X49</f>
        <v>2</v>
      </c>
      <c r="N53" s="72">
        <f>VLOOKUP('Old Data'!$F49,$AD$6:$AF$135,2,FALSE)+VLOOKUP('Old Data'!$P49,$AD$6:$AF$135,3,FALSE)+$E$2</f>
        <v>1.2899137946917671</v>
      </c>
      <c r="O53" s="72">
        <f>VLOOKUP('Old Data'!$P49,$AD$6:$AF$135,2,FALSE)+VLOOKUP('Old Data'!$F49,$AD$6:$AF$135,3,FALSE)+$E$2</f>
        <v>0.90708084479271456</v>
      </c>
      <c r="P53" s="73">
        <f>('Old Data'!$N49-$N53)^2+('Old Data'!$X49-$O53)^2</f>
        <v>1.3270180779589107</v>
      </c>
      <c r="Q53" s="62"/>
      <c r="R53" s="90" t="s">
        <v>61</v>
      </c>
      <c r="S53" s="96">
        <v>13.255748645103001</v>
      </c>
      <c r="T53" s="96">
        <v>86.650620370434794</v>
      </c>
      <c r="U53" s="6"/>
      <c r="V53" s="90" t="s">
        <v>61</v>
      </c>
      <c r="W53" s="96">
        <v>-15.521867153029399</v>
      </c>
      <c r="X53" s="96">
        <v>28.385116796028299</v>
      </c>
      <c r="Y53" s="6"/>
      <c r="Z53" s="90" t="s">
        <v>61</v>
      </c>
      <c r="AA53" s="96">
        <v>37.106147346711197</v>
      </c>
      <c r="AB53" s="96">
        <v>-15.2558259059577</v>
      </c>
      <c r="AC53" s="63"/>
      <c r="AD53" s="90" t="s">
        <v>61</v>
      </c>
      <c r="AE53" s="96">
        <v>-0.475888122105943</v>
      </c>
      <c r="AF53" s="96">
        <v>-0.58456434512489197</v>
      </c>
      <c r="AG53" s="63"/>
      <c r="AH53" s="37"/>
      <c r="AI53" s="22"/>
      <c r="AJ53" s="6"/>
      <c r="AK53" s="10"/>
      <c r="AL53" s="10"/>
      <c r="AM53" s="10"/>
      <c r="AN53" s="11"/>
      <c r="AO53" s="11"/>
      <c r="AP53" s="11"/>
      <c r="AQ53" s="36"/>
      <c r="AR53" s="11"/>
      <c r="AS53" s="11"/>
      <c r="AT53" s="11"/>
      <c r="AU53" s="12"/>
      <c r="AV53" s="11"/>
      <c r="AW53" s="11"/>
      <c r="AX53" s="15"/>
      <c r="AY53" s="15"/>
      <c r="AZ53" s="15"/>
      <c r="BA53" s="15"/>
      <c r="BB53" s="15"/>
      <c r="BC53" s="15"/>
      <c r="BD53" s="15"/>
      <c r="BE53" s="12"/>
      <c r="BF53" s="11"/>
      <c r="BG53" s="11"/>
      <c r="BH53" s="10"/>
      <c r="BI53" s="10"/>
      <c r="BJ53" s="10"/>
      <c r="BK53" s="23"/>
      <c r="BL53" s="23"/>
      <c r="BM53" s="23"/>
      <c r="BN53" s="23"/>
      <c r="BO53" s="23"/>
      <c r="BP53" s="23"/>
      <c r="BQ53" s="23"/>
      <c r="BR53" s="10"/>
      <c r="BS53" s="16"/>
      <c r="BT53" s="16"/>
      <c r="BU53" s="16"/>
      <c r="BV53" s="16"/>
      <c r="BW53" s="11"/>
      <c r="BX53" s="16"/>
      <c r="BY53" s="16"/>
      <c r="BZ53" s="17"/>
      <c r="CA53" s="18"/>
      <c r="CB53" s="18"/>
      <c r="CC53" s="18"/>
      <c r="CD53" s="18"/>
      <c r="CE53" s="18"/>
      <c r="CF53" s="18"/>
      <c r="CG53" s="19"/>
      <c r="CH53" s="15"/>
      <c r="CI53" s="17"/>
      <c r="CJ53" s="10"/>
      <c r="CK53" s="10"/>
      <c r="CL53" s="10"/>
      <c r="CM53" s="17"/>
      <c r="CN53" s="17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</row>
    <row r="54" spans="1:135" customFormat="1">
      <c r="A54" s="71">
        <f>'Old Data'!$I50-'Old Data'!$S50</f>
        <v>52</v>
      </c>
      <c r="B54" s="72">
        <f>VLOOKUP('Old Data'!$F50,$R$6:$T$135,2,FALSE)+VLOOKUP('Old Data'!$P50,$R$6:$T$135,3,FALSE)+$B$2</f>
        <v>193.42111269595651</v>
      </c>
      <c r="C54" s="72">
        <f>VLOOKUP('Old Data'!$P50,$R$6:$T$135,2,FALSE)+VLOOKUP('Old Data'!$F50,$R$6:$T$135,3,FALSE)+$B$2</f>
        <v>185.3365419372268</v>
      </c>
      <c r="D54" s="74">
        <f>('Old Data'!$I50-$B54)^2+('Old Data'!$S50-$C54)^2</f>
        <v>4727.7277814478657</v>
      </c>
      <c r="E54" s="75">
        <f>'Old Data'!$K50-'Old Data'!$U50</f>
        <v>104</v>
      </c>
      <c r="F54" s="72">
        <f>VLOOKUP('Old Data'!$F50,$V$6:$X$135,2,FALSE)+VLOOKUP('Old Data'!$P50,$V$6:$X$135,3,FALSE)+$C$2</f>
        <v>226.49276433012395</v>
      </c>
      <c r="G54" s="72">
        <f>VLOOKUP('Old Data'!$P50,$V$6:$X$135,2,FALSE)+VLOOKUP('Old Data'!$F50,$V$6:$X$135,3,FALSE)+$C$2</f>
        <v>168.34884181544771</v>
      </c>
      <c r="H54" s="74">
        <f>('Old Data'!$K50-$F54)^2+('Old Data'!$U50-$G54)^2</f>
        <v>4650.4389878501597</v>
      </c>
      <c r="I54" s="75">
        <f>('Old Data'!$L50+'Old Data'!$M50)-('Old Data'!$V50+'Old Data'!$W50)</f>
        <v>18</v>
      </c>
      <c r="J54" s="72">
        <f>VLOOKUP('Old Data'!$F50,$Z$6:$AB$135,2,FALSE)+VLOOKUP('Old Data'!$P50,$Z$6:$AB$135,3,FALSE)+$D$2</f>
        <v>63.19733429262385</v>
      </c>
      <c r="K54" s="72">
        <f>VLOOKUP('Old Data'!$P50,$Z$6:$AB$135,2,FALSE)+VLOOKUP('Old Data'!$F50,$Z$6:$AB$135,3,FALSE)+$D$2</f>
        <v>79.551231388231145</v>
      </c>
      <c r="L54" s="74">
        <f>('Old Data'!$L50+'Old Data'!$M50-$J54)^2+('Old Data'!$V50+'Old Data'!$W50-$K54)^2</f>
        <v>1003.3351371810044</v>
      </c>
      <c r="M54" s="75">
        <f>'Old Data'!$N50-'Old Data'!$X50</f>
        <v>-1</v>
      </c>
      <c r="N54" s="72">
        <f>VLOOKUP('Old Data'!$F50,$AD$6:$AF$135,2,FALSE)+VLOOKUP('Old Data'!$P50,$AD$6:$AF$135,3,FALSE)+$E$2</f>
        <v>1.973570906948487</v>
      </c>
      <c r="O54" s="72">
        <f>VLOOKUP('Old Data'!$P50,$AD$6:$AF$135,2,FALSE)+VLOOKUP('Old Data'!$F50,$AD$6:$AF$135,3,FALSE)+$E$2</f>
        <v>0.77689311674669015</v>
      </c>
      <c r="P54" s="73">
        <f>('Old Data'!$N50-$N54)^2+('Old Data'!$X50-$O54)^2</f>
        <v>2.4438307587181254</v>
      </c>
      <c r="Q54" s="62"/>
      <c r="R54" s="90" t="s">
        <v>66</v>
      </c>
      <c r="S54" s="96">
        <v>87.0353320812563</v>
      </c>
      <c r="T54" s="96">
        <v>14.5797352429267</v>
      </c>
      <c r="U54" s="6"/>
      <c r="V54" s="90" t="s">
        <v>66</v>
      </c>
      <c r="W54" s="96">
        <v>-98.796761101800001</v>
      </c>
      <c r="X54" s="96">
        <v>-78.116225026356702</v>
      </c>
      <c r="Y54" s="6"/>
      <c r="Z54" s="90" t="s">
        <v>66</v>
      </c>
      <c r="AA54" s="96">
        <v>-4.9821818253052603</v>
      </c>
      <c r="AB54" s="96">
        <v>-38.989065616427702</v>
      </c>
      <c r="AC54" s="63"/>
      <c r="AD54" s="90" t="s">
        <v>66</v>
      </c>
      <c r="AE54" s="96">
        <v>7.5528973070328699E-3</v>
      </c>
      <c r="AF54" s="96">
        <v>-9.7667257403250496E-2</v>
      </c>
      <c r="AG54" s="63"/>
      <c r="AH54" s="37"/>
      <c r="AI54" s="22"/>
      <c r="AJ54" s="6"/>
      <c r="AK54" s="10"/>
      <c r="AL54" s="10"/>
      <c r="AM54" s="10"/>
      <c r="AN54" s="11"/>
      <c r="AO54" s="11"/>
      <c r="AP54" s="11"/>
      <c r="AQ54" s="36"/>
      <c r="AR54" s="11"/>
      <c r="AS54" s="11"/>
      <c r="AT54" s="11"/>
      <c r="AU54" s="12"/>
      <c r="AV54" s="11"/>
      <c r="AW54" s="11"/>
      <c r="AX54" s="15"/>
      <c r="AY54" s="15"/>
      <c r="AZ54" s="15"/>
      <c r="BA54" s="15"/>
      <c r="BB54" s="15"/>
      <c r="BC54" s="15"/>
      <c r="BD54" s="15"/>
      <c r="BE54" s="12"/>
      <c r="BF54" s="11"/>
      <c r="BG54" s="11"/>
      <c r="BH54" s="10"/>
      <c r="BI54" s="10"/>
      <c r="BJ54" s="10"/>
      <c r="BK54" s="23"/>
      <c r="BL54" s="23"/>
      <c r="BM54" s="23"/>
      <c r="BN54" s="23"/>
      <c r="BO54" s="23"/>
      <c r="BP54" s="23"/>
      <c r="BQ54" s="23"/>
      <c r="BR54" s="10"/>
      <c r="BS54" s="16"/>
      <c r="BT54" s="16"/>
      <c r="BU54" s="16"/>
      <c r="BV54" s="16"/>
      <c r="BW54" s="11"/>
      <c r="BX54" s="16"/>
      <c r="BY54" s="16"/>
      <c r="BZ54" s="17"/>
      <c r="CA54" s="18"/>
      <c r="CB54" s="18"/>
      <c r="CC54" s="18"/>
      <c r="CD54" s="18"/>
      <c r="CE54" s="18"/>
      <c r="CF54" s="18"/>
      <c r="CG54" s="19"/>
      <c r="CH54" s="15"/>
      <c r="CI54" s="17"/>
      <c r="CJ54" s="10"/>
      <c r="CK54" s="10"/>
      <c r="CL54" s="10"/>
      <c r="CM54" s="17"/>
      <c r="CN54" s="17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34"/>
      <c r="DB54" s="34"/>
      <c r="DC54" s="34"/>
      <c r="DD54" s="34"/>
      <c r="DE54" s="34"/>
      <c r="DF54" s="34"/>
      <c r="DG54" s="34"/>
      <c r="DH54" s="61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</row>
    <row r="55" spans="1:135" customFormat="1">
      <c r="A55" s="71">
        <f>'Old Data'!$I51-'Old Data'!$S51</f>
        <v>68</v>
      </c>
      <c r="B55" s="72">
        <f>VLOOKUP('Old Data'!$F51,$R$6:$T$135,2,FALSE)+VLOOKUP('Old Data'!$P51,$R$6:$T$135,3,FALSE)+$B$2</f>
        <v>176.36033789230319</v>
      </c>
      <c r="C55" s="72">
        <f>VLOOKUP('Old Data'!$P51,$R$6:$T$135,2,FALSE)+VLOOKUP('Old Data'!$F51,$R$6:$T$135,3,FALSE)+$B$2</f>
        <v>116.52861490985362</v>
      </c>
      <c r="D55" s="74">
        <f>('Old Data'!$I51-$B55)^2+('Old Data'!$S51-$C55)^2</f>
        <v>7100.6519239144563</v>
      </c>
      <c r="E55" s="75">
        <f>'Old Data'!$K51-'Old Data'!$U51</f>
        <v>32</v>
      </c>
      <c r="F55" s="72">
        <f>VLOOKUP('Old Data'!$F51,$V$6:$X$135,2,FALSE)+VLOOKUP('Old Data'!$P51,$V$6:$X$135,3,FALSE)+$C$2</f>
        <v>246.2868723529659</v>
      </c>
      <c r="G55" s="72">
        <f>VLOOKUP('Old Data'!$P51,$V$6:$X$135,2,FALSE)+VLOOKUP('Old Data'!$F51,$V$6:$X$135,3,FALSE)+$C$2</f>
        <v>155.4685753613486</v>
      </c>
      <c r="H55" s="74">
        <f>('Old Data'!$K51-$F55)^2+('Old Data'!$U51-$G55)^2</f>
        <v>6956.7702665471861</v>
      </c>
      <c r="I55" s="75">
        <f>('Old Data'!$L51+'Old Data'!$M51)-('Old Data'!$V51+'Old Data'!$W51)</f>
        <v>26</v>
      </c>
      <c r="J55" s="72">
        <f>VLOOKUP('Old Data'!$F51,$Z$6:$AB$135,2,FALSE)+VLOOKUP('Old Data'!$P51,$Z$6:$AB$135,3,FALSE)+$D$2</f>
        <v>70.875257349022704</v>
      </c>
      <c r="K55" s="72">
        <f>VLOOKUP('Old Data'!$P51,$Z$6:$AB$135,2,FALSE)+VLOOKUP('Old Data'!$F51,$Z$6:$AB$135,3,FALSE)+$D$2</f>
        <v>28.461235778676564</v>
      </c>
      <c r="L55" s="74">
        <f>('Old Data'!$L51+'Old Data'!$M51-$J55)^2+('Old Data'!$V51+'Old Data'!$W51-$K55)^2</f>
        <v>2823.8306641904351</v>
      </c>
      <c r="M55" s="75">
        <f>'Old Data'!$N51-'Old Data'!$X51</f>
        <v>1</v>
      </c>
      <c r="N55" s="72">
        <f>VLOOKUP('Old Data'!$F51,$AD$6:$AF$135,2,FALSE)+VLOOKUP('Old Data'!$P51,$AD$6:$AF$135,3,FALSE)+$E$2</f>
        <v>2.2211135141431542</v>
      </c>
      <c r="O55" s="72">
        <f>VLOOKUP('Old Data'!$P51,$AD$6:$AF$135,2,FALSE)+VLOOKUP('Old Data'!$F51,$AD$6:$AF$135,3,FALSE)+$E$2</f>
        <v>0.66968706512293008</v>
      </c>
      <c r="P55" s="73">
        <f>('Old Data'!$N51-$N55)^2+('Old Data'!$X51-$O55)^2</f>
        <v>0.15799782108383825</v>
      </c>
      <c r="Q55" s="62"/>
      <c r="R55" s="90" t="s">
        <v>205</v>
      </c>
      <c r="S55" s="96">
        <v>-56.334463187848002</v>
      </c>
      <c r="T55" s="96">
        <v>42.011900121180602</v>
      </c>
      <c r="U55" s="6"/>
      <c r="V55" s="90" t="s">
        <v>205</v>
      </c>
      <c r="W55" s="96">
        <v>62.434769015623601</v>
      </c>
      <c r="X55" s="96">
        <v>2.1579594868888399</v>
      </c>
      <c r="Y55" s="6"/>
      <c r="Z55" s="90" t="s">
        <v>205</v>
      </c>
      <c r="AA55" s="96">
        <v>9.6199969464941901</v>
      </c>
      <c r="AB55" s="96">
        <v>-2.4127007718772999</v>
      </c>
      <c r="AC55" s="63"/>
      <c r="AD55" s="90" t="s">
        <v>205</v>
      </c>
      <c r="AE55" s="96">
        <v>-0.517256042748238</v>
      </c>
      <c r="AF55" s="96">
        <v>-0.158292419282581</v>
      </c>
      <c r="AG55" s="63"/>
      <c r="AH55" s="37"/>
      <c r="AI55" s="22"/>
      <c r="AJ55" s="6"/>
      <c r="AK55" s="10"/>
      <c r="AL55" s="10"/>
      <c r="AM55" s="10"/>
      <c r="AN55" s="11"/>
      <c r="AO55" s="11"/>
      <c r="AP55" s="11"/>
      <c r="AQ55" s="36"/>
      <c r="AR55" s="11"/>
      <c r="AS55" s="11"/>
      <c r="AT55" s="11"/>
      <c r="AU55" s="12"/>
      <c r="AV55" s="11"/>
      <c r="AW55" s="11"/>
      <c r="AX55" s="15"/>
      <c r="AY55" s="15"/>
      <c r="AZ55" s="15"/>
      <c r="BA55" s="15"/>
      <c r="BB55" s="15"/>
      <c r="BC55" s="15"/>
      <c r="BD55" s="15"/>
      <c r="BE55" s="12"/>
      <c r="BF55" s="11"/>
      <c r="BG55" s="11"/>
      <c r="BH55" s="10"/>
      <c r="BI55" s="10"/>
      <c r="BJ55" s="10"/>
      <c r="BK55" s="23"/>
      <c r="BL55" s="23"/>
      <c r="BM55" s="23"/>
      <c r="BN55" s="23"/>
      <c r="BO55" s="23"/>
      <c r="BP55" s="23"/>
      <c r="BQ55" s="23"/>
      <c r="BR55" s="10"/>
      <c r="BS55" s="16"/>
      <c r="BT55" s="16"/>
      <c r="BU55" s="16"/>
      <c r="BV55" s="16"/>
      <c r="BW55" s="11"/>
      <c r="BX55" s="16"/>
      <c r="BY55" s="16"/>
      <c r="BZ55" s="17"/>
      <c r="CA55" s="18"/>
      <c r="CB55" s="18"/>
      <c r="CC55" s="18"/>
      <c r="CD55" s="18"/>
      <c r="CE55" s="18"/>
      <c r="CF55" s="18"/>
      <c r="CG55" s="19"/>
      <c r="CH55" s="15"/>
      <c r="CI55" s="17"/>
      <c r="CJ55" s="10"/>
      <c r="CK55" s="10"/>
      <c r="CL55" s="10"/>
      <c r="CM55" s="17"/>
      <c r="CN55" s="17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</row>
    <row r="56" spans="1:135" customFormat="1">
      <c r="A56" s="71">
        <f>'Old Data'!$I52-'Old Data'!$S52</f>
        <v>-90</v>
      </c>
      <c r="B56" s="72">
        <f>VLOOKUP('Old Data'!$F52,$R$6:$T$135,2,FALSE)+VLOOKUP('Old Data'!$P52,$R$6:$T$135,3,FALSE)+$B$2</f>
        <v>179.72473032414305</v>
      </c>
      <c r="C56" s="72">
        <f>VLOOKUP('Old Data'!$P52,$R$6:$T$135,2,FALSE)+VLOOKUP('Old Data'!$F52,$R$6:$T$135,3,FALSE)+$B$2</f>
        <v>212.41139930744652</v>
      </c>
      <c r="D56" s="74">
        <f>('Old Data'!$I52-$B56)^2+('Old Data'!$S52-$C56)^2</f>
        <v>9347.2982960701192</v>
      </c>
      <c r="E56" s="75">
        <f>'Old Data'!$K52-'Old Data'!$U52</f>
        <v>85</v>
      </c>
      <c r="F56" s="72">
        <f>VLOOKUP('Old Data'!$F52,$V$6:$X$135,2,FALSE)+VLOOKUP('Old Data'!$P52,$V$6:$X$135,3,FALSE)+$C$2</f>
        <v>214.2541415258577</v>
      </c>
      <c r="G56" s="72">
        <f>VLOOKUP('Old Data'!$P52,$V$6:$X$135,2,FALSE)+VLOOKUP('Old Data'!$F52,$V$6:$X$135,3,FALSE)+$C$2</f>
        <v>254.81399177485432</v>
      </c>
      <c r="H56" s="74">
        <f>('Old Data'!$K52-$F56)^2+('Old Data'!$U52-$G56)^2</f>
        <v>27077.286191409003</v>
      </c>
      <c r="I56" s="75">
        <f>('Old Data'!$L52+'Old Data'!$M52)-('Old Data'!$V52+'Old Data'!$W52)</f>
        <v>58</v>
      </c>
      <c r="J56" s="72">
        <f>VLOOKUP('Old Data'!$F52,$Z$6:$AB$135,2,FALSE)+VLOOKUP('Old Data'!$P52,$Z$6:$AB$135,3,FALSE)+$D$2</f>
        <v>65.591935510658502</v>
      </c>
      <c r="K56" s="72">
        <f>VLOOKUP('Old Data'!$P52,$Z$6:$AB$135,2,FALSE)+VLOOKUP('Old Data'!$F52,$Z$6:$AB$135,3,FALSE)+$D$2</f>
        <v>40.324014096812832</v>
      </c>
      <c r="L56" s="74">
        <f>('Old Data'!$L52+'Old Data'!$M52-$J56)^2+('Old Data'!$V52+'Old Data'!$W52-$K56)^2</f>
        <v>1683.6635976779576</v>
      </c>
      <c r="M56" s="75">
        <f>'Old Data'!$N52-'Old Data'!$X52</f>
        <v>1</v>
      </c>
      <c r="N56" s="72">
        <f>VLOOKUP('Old Data'!$F52,$AD$6:$AF$135,2,FALSE)+VLOOKUP('Old Data'!$P52,$AD$6:$AF$135,3,FALSE)+$E$2</f>
        <v>1.6520674653994776</v>
      </c>
      <c r="O56" s="72">
        <f>VLOOKUP('Old Data'!$P52,$AD$6:$AF$135,2,FALSE)+VLOOKUP('Old Data'!$F52,$AD$6:$AF$135,3,FALSE)+$E$2</f>
        <v>1.447451076241332</v>
      </c>
      <c r="P56" s="73">
        <f>('Old Data'!$N52-$N56)^2+('Old Data'!$X52-$O56)^2</f>
        <v>2.1222324309814509</v>
      </c>
      <c r="Q56" s="62"/>
      <c r="R56" s="90" t="s">
        <v>69</v>
      </c>
      <c r="S56" s="96">
        <v>55.701621716465098</v>
      </c>
      <c r="T56" s="96">
        <v>33.267788248292597</v>
      </c>
      <c r="U56" s="6"/>
      <c r="V56" s="90" t="s">
        <v>69</v>
      </c>
      <c r="W56" s="96">
        <v>-10.9922627188033</v>
      </c>
      <c r="X56" s="96">
        <v>-16.300887295578701</v>
      </c>
      <c r="Y56" s="6"/>
      <c r="Z56" s="90" t="s">
        <v>69</v>
      </c>
      <c r="AA56" s="96">
        <v>10.0570849495065</v>
      </c>
      <c r="AB56" s="96">
        <v>-5.6387774281559802</v>
      </c>
      <c r="AC56" s="63"/>
      <c r="AD56" s="90" t="s">
        <v>69</v>
      </c>
      <c r="AE56" s="96">
        <v>-7.0690025850517202E-2</v>
      </c>
      <c r="AF56" s="96">
        <v>-0.206853606865813</v>
      </c>
      <c r="AG56" s="63"/>
      <c r="AH56" s="37"/>
      <c r="AI56" s="22"/>
      <c r="AJ56" s="6"/>
      <c r="AK56" s="10"/>
      <c r="AL56" s="10"/>
      <c r="AM56" s="10"/>
      <c r="AN56" s="11"/>
      <c r="AO56" s="11"/>
      <c r="AP56" s="11"/>
      <c r="AQ56" s="36"/>
      <c r="AR56" s="11"/>
      <c r="AS56" s="11"/>
      <c r="AT56" s="11"/>
      <c r="AU56" s="12"/>
      <c r="AV56" s="11"/>
      <c r="AW56" s="11"/>
      <c r="AX56" s="15"/>
      <c r="AY56" s="15"/>
      <c r="AZ56" s="15"/>
      <c r="BA56" s="15"/>
      <c r="BB56" s="15"/>
      <c r="BC56" s="15"/>
      <c r="BD56" s="15"/>
      <c r="BE56" s="12"/>
      <c r="BF56" s="11"/>
      <c r="BG56" s="11"/>
      <c r="BH56" s="10"/>
      <c r="BI56" s="10"/>
      <c r="BJ56" s="10"/>
      <c r="BK56" s="23"/>
      <c r="BL56" s="23"/>
      <c r="BM56" s="23"/>
      <c r="BN56" s="23"/>
      <c r="BO56" s="23"/>
      <c r="BP56" s="23"/>
      <c r="BQ56" s="23"/>
      <c r="BR56" s="10"/>
      <c r="BS56" s="16"/>
      <c r="BT56" s="16"/>
      <c r="BU56" s="16"/>
      <c r="BV56" s="16"/>
      <c r="BW56" s="11"/>
      <c r="BX56" s="16"/>
      <c r="BY56" s="16"/>
      <c r="BZ56" s="17"/>
      <c r="CA56" s="18"/>
      <c r="CB56" s="18"/>
      <c r="CC56" s="18"/>
      <c r="CD56" s="18"/>
      <c r="CE56" s="18"/>
      <c r="CF56" s="18"/>
      <c r="CG56" s="19"/>
      <c r="CH56" s="15"/>
      <c r="CI56" s="17"/>
      <c r="CJ56" s="10"/>
      <c r="CK56" s="10"/>
      <c r="CL56" s="10"/>
      <c r="CM56" s="17"/>
      <c r="CN56" s="17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</row>
    <row r="57" spans="1:135" customFormat="1">
      <c r="A57" s="71">
        <f>'Old Data'!$I53-'Old Data'!$S53</f>
        <v>-123</v>
      </c>
      <c r="B57" s="72">
        <f>VLOOKUP('Old Data'!$F53,$R$6:$T$135,2,FALSE)+VLOOKUP('Old Data'!$P53,$R$6:$T$135,3,FALSE)+$B$2</f>
        <v>148.78290394789889</v>
      </c>
      <c r="C57" s="72">
        <f>VLOOKUP('Old Data'!$P53,$R$6:$T$135,2,FALSE)+VLOOKUP('Old Data'!$F53,$R$6:$T$135,3,FALSE)+$B$2</f>
        <v>214.39238569646858</v>
      </c>
      <c r="D57" s="74">
        <f>('Old Data'!$I53-$B57)^2+('Old Data'!$S53-$C57)^2</f>
        <v>25885.414877574432</v>
      </c>
      <c r="E57" s="75">
        <f>'Old Data'!$K53-'Old Data'!$U53</f>
        <v>48</v>
      </c>
      <c r="F57" s="72">
        <f>VLOOKUP('Old Data'!$F53,$V$6:$X$135,2,FALSE)+VLOOKUP('Old Data'!$P53,$V$6:$X$135,3,FALSE)+$C$2</f>
        <v>204.99843672433539</v>
      </c>
      <c r="G57" s="72">
        <f>VLOOKUP('Old Data'!$P53,$V$6:$X$135,2,FALSE)+VLOOKUP('Old Data'!$F53,$V$6:$X$135,3,FALSE)+$C$2</f>
        <v>237.0130118959232</v>
      </c>
      <c r="H57" s="74">
        <f>('Old Data'!$K53-$F57)^2+('Old Data'!$U53-$G57)^2</f>
        <v>5000.4792682647749</v>
      </c>
      <c r="I57" s="75">
        <f>('Old Data'!$L53+'Old Data'!$M53)-('Old Data'!$V53+'Old Data'!$W53)</f>
        <v>-142</v>
      </c>
      <c r="J57" s="72">
        <f>VLOOKUP('Old Data'!$F53,$Z$6:$AB$135,2,FALSE)+VLOOKUP('Old Data'!$P53,$Z$6:$AB$135,3,FALSE)+$D$2</f>
        <v>61.422024163996895</v>
      </c>
      <c r="K57" s="72">
        <f>VLOOKUP('Old Data'!$P53,$Z$6:$AB$135,2,FALSE)+VLOOKUP('Old Data'!$F53,$Z$6:$AB$135,3,FALSE)+$D$2</f>
        <v>75.658478659324061</v>
      </c>
      <c r="L57" s="74">
        <f>('Old Data'!$L53+'Old Data'!$M53-$J57)^2+('Old Data'!$V53+'Old Data'!$W53-$K57)^2</f>
        <v>10017.354348092007</v>
      </c>
      <c r="M57" s="75">
        <f>'Old Data'!$N53-'Old Data'!$X53</f>
        <v>0</v>
      </c>
      <c r="N57" s="72">
        <f>VLOOKUP('Old Data'!$F53,$AD$6:$AF$135,2,FALSE)+VLOOKUP('Old Data'!$P53,$AD$6:$AF$135,3,FALSE)+$E$2</f>
        <v>0.9123482227202151</v>
      </c>
      <c r="O57" s="72">
        <f>VLOOKUP('Old Data'!$P53,$AD$6:$AF$135,2,FALSE)+VLOOKUP('Old Data'!$F53,$AD$6:$AF$135,3,FALSE)+$E$2</f>
        <v>2.5032832028884613</v>
      </c>
      <c r="P57" s="73">
        <f>('Old Data'!$N53-$N57)^2+('Old Data'!$X53-$O57)^2</f>
        <v>4.6050175197121899</v>
      </c>
      <c r="Q57" s="62"/>
      <c r="R57" s="90" t="s">
        <v>25</v>
      </c>
      <c r="S57" s="96">
        <v>20.9604071261125</v>
      </c>
      <c r="T57" s="96">
        <v>93.231452910644506</v>
      </c>
      <c r="U57" s="6"/>
      <c r="V57" s="90" t="s">
        <v>25</v>
      </c>
      <c r="W57" s="96">
        <v>23.305175926239201</v>
      </c>
      <c r="X57" s="96">
        <v>17.660906383676199</v>
      </c>
      <c r="Y57" s="6"/>
      <c r="Z57" s="90" t="s">
        <v>25</v>
      </c>
      <c r="AA57" s="96">
        <v>-10.8066313185131</v>
      </c>
      <c r="AB57" s="96">
        <v>-1.8059712803269301</v>
      </c>
      <c r="AC57" s="63"/>
      <c r="AD57" s="90" t="s">
        <v>25</v>
      </c>
      <c r="AE57" s="96">
        <v>0.126547071531982</v>
      </c>
      <c r="AF57" s="96">
        <v>0.18857157946884401</v>
      </c>
      <c r="AG57" s="63"/>
      <c r="AH57" s="37"/>
      <c r="AI57" s="22"/>
      <c r="AJ57" s="6"/>
      <c r="AK57" s="10"/>
      <c r="AL57" s="10"/>
      <c r="AM57" s="10"/>
      <c r="AN57" s="11"/>
      <c r="AO57" s="11"/>
      <c r="AP57" s="11"/>
      <c r="AQ57" s="36"/>
      <c r="AR57" s="11"/>
      <c r="AS57" s="11"/>
      <c r="AT57" s="11"/>
      <c r="AU57" s="12"/>
      <c r="AV57" s="11"/>
      <c r="AW57" s="11"/>
      <c r="AX57" s="15"/>
      <c r="AY57" s="15"/>
      <c r="AZ57" s="15"/>
      <c r="BA57" s="15"/>
      <c r="BB57" s="15"/>
      <c r="BC57" s="15"/>
      <c r="BD57" s="15"/>
      <c r="BE57" s="12"/>
      <c r="BF57" s="11"/>
      <c r="BG57" s="11"/>
      <c r="BH57" s="10"/>
      <c r="BI57" s="10"/>
      <c r="BJ57" s="10"/>
      <c r="BK57" s="23"/>
      <c r="BL57" s="23"/>
      <c r="BM57" s="23"/>
      <c r="BN57" s="23"/>
      <c r="BO57" s="23"/>
      <c r="BP57" s="23"/>
      <c r="BQ57" s="23"/>
      <c r="BR57" s="10"/>
      <c r="BS57" s="16"/>
      <c r="BT57" s="16"/>
      <c r="BU57" s="16"/>
      <c r="BV57" s="16"/>
      <c r="BW57" s="11"/>
      <c r="BX57" s="16"/>
      <c r="BY57" s="16"/>
      <c r="BZ57" s="17"/>
      <c r="CA57" s="18"/>
      <c r="CB57" s="18"/>
      <c r="CC57" s="18"/>
      <c r="CD57" s="18"/>
      <c r="CE57" s="18"/>
      <c r="CF57" s="18"/>
      <c r="CG57" s="19"/>
      <c r="CH57" s="15"/>
      <c r="CI57" s="17"/>
      <c r="CJ57" s="10"/>
      <c r="CK57" s="10"/>
      <c r="CL57" s="10"/>
      <c r="CM57" s="17"/>
      <c r="CN57" s="17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</row>
    <row r="58" spans="1:135" customFormat="1">
      <c r="A58" s="71">
        <f>'Old Data'!$I54-'Old Data'!$S54</f>
        <v>-175</v>
      </c>
      <c r="B58" s="72">
        <f>VLOOKUP('Old Data'!$F54,$R$6:$T$135,2,FALSE)+VLOOKUP('Old Data'!$P54,$R$6:$T$135,3,FALSE)+$B$2</f>
        <v>180.79992092887849</v>
      </c>
      <c r="C58" s="72">
        <f>VLOOKUP('Old Data'!$P54,$R$6:$T$135,2,FALSE)+VLOOKUP('Old Data'!$F54,$R$6:$T$135,3,FALSE)+$B$2</f>
        <v>184.70993807169751</v>
      </c>
      <c r="D58" s="74">
        <f>('Old Data'!$I54-$B58)^2+('Old Data'!$S54-$C58)^2</f>
        <v>18121.19293908709</v>
      </c>
      <c r="E58" s="75">
        <f>'Old Data'!$K54-'Old Data'!$U54</f>
        <v>-85</v>
      </c>
      <c r="F58" s="72">
        <f>VLOOKUP('Old Data'!$F54,$V$6:$X$135,2,FALSE)+VLOOKUP('Old Data'!$P54,$V$6:$X$135,3,FALSE)+$C$2</f>
        <v>261.17919178552398</v>
      </c>
      <c r="G58" s="72">
        <f>VLOOKUP('Old Data'!$P54,$V$6:$X$135,2,FALSE)+VLOOKUP('Old Data'!$F54,$V$6:$X$135,3,FALSE)+$C$2</f>
        <v>310.13278141184128</v>
      </c>
      <c r="H58" s="74">
        <f>('Old Data'!$K54-$F58)^2+('Old Data'!$U54-$G58)^2</f>
        <v>9402.9009761041216</v>
      </c>
      <c r="I58" s="75">
        <f>('Old Data'!$L54+'Old Data'!$M54)-('Old Data'!$V54+'Old Data'!$W54)</f>
        <v>1</v>
      </c>
      <c r="J58" s="72">
        <f>VLOOKUP('Old Data'!$F54,$Z$6:$AB$135,2,FALSE)+VLOOKUP('Old Data'!$P54,$Z$6:$AB$135,3,FALSE)+$D$2</f>
        <v>40.459528506218568</v>
      </c>
      <c r="K58" s="72">
        <f>VLOOKUP('Old Data'!$P54,$Z$6:$AB$135,2,FALSE)+VLOOKUP('Old Data'!$F54,$Z$6:$AB$135,3,FALSE)+$D$2</f>
        <v>53.459507302557597</v>
      </c>
      <c r="L58" s="74">
        <f>('Old Data'!$L54+'Old Data'!$M54-$J58)^2+('Old Data'!$V54+'Old Data'!$W54-$K58)^2</f>
        <v>1106.859592144029</v>
      </c>
      <c r="M58" s="75">
        <f>'Old Data'!$N54-'Old Data'!$X54</f>
        <v>-1</v>
      </c>
      <c r="N58" s="72">
        <f>VLOOKUP('Old Data'!$F54,$AD$6:$AF$135,2,FALSE)+VLOOKUP('Old Data'!$P54,$AD$6:$AF$135,3,FALSE)+$E$2</f>
        <v>2.6355623732719002</v>
      </c>
      <c r="O58" s="72">
        <f>VLOOKUP('Old Data'!$P54,$AD$6:$AF$135,2,FALSE)+VLOOKUP('Old Data'!$F54,$AD$6:$AF$135,3,FALSE)+$E$2</f>
        <v>0.84442190301084141</v>
      </c>
      <c r="P58" s="73">
        <f>('Old Data'!$N54-$N58)^2+('Old Data'!$X54-$O58)^2</f>
        <v>6.9703935676693796</v>
      </c>
      <c r="Q58" s="62"/>
      <c r="R58" s="90" t="s">
        <v>123</v>
      </c>
      <c r="S58" s="96">
        <v>43.368100577427299</v>
      </c>
      <c r="T58" s="96">
        <v>46.6702589565528</v>
      </c>
      <c r="U58" s="6"/>
      <c r="V58" s="90" t="s">
        <v>123</v>
      </c>
      <c r="W58" s="96">
        <v>20.656879931661301</v>
      </c>
      <c r="X58" s="96">
        <v>23.420778023507001</v>
      </c>
      <c r="Y58" s="6"/>
      <c r="Z58" s="90" t="s">
        <v>123</v>
      </c>
      <c r="AA58" s="96">
        <v>49.040180229613</v>
      </c>
      <c r="AB58" s="96">
        <v>36.751945288495698</v>
      </c>
      <c r="AC58" s="63"/>
      <c r="AD58" s="90" t="s">
        <v>123</v>
      </c>
      <c r="AE58" s="96">
        <v>0.316181663118762</v>
      </c>
      <c r="AF58" s="96">
        <v>-0.29425252568461702</v>
      </c>
      <c r="AG58" s="63"/>
      <c r="AH58" s="37"/>
      <c r="AI58" s="22"/>
      <c r="AJ58" s="6"/>
      <c r="AK58" s="10"/>
      <c r="AL58" s="10"/>
      <c r="AM58" s="10"/>
      <c r="AN58" s="11"/>
      <c r="AO58" s="11"/>
      <c r="AP58" s="11"/>
      <c r="AQ58" s="36"/>
      <c r="AR58" s="11"/>
      <c r="AS58" s="11"/>
      <c r="AT58" s="11"/>
      <c r="AU58" s="12"/>
      <c r="AV58" s="11"/>
      <c r="AW58" s="11"/>
      <c r="AX58" s="15"/>
      <c r="AY58" s="15"/>
      <c r="AZ58" s="15"/>
      <c r="BA58" s="15"/>
      <c r="BB58" s="15"/>
      <c r="BC58" s="15"/>
      <c r="BD58" s="15"/>
      <c r="BE58" s="12"/>
      <c r="BF58" s="11"/>
      <c r="BG58" s="11"/>
      <c r="BH58" s="10"/>
      <c r="BI58" s="10"/>
      <c r="BJ58" s="10"/>
      <c r="BK58" s="23"/>
      <c r="BL58" s="23"/>
      <c r="BM58" s="23"/>
      <c r="BN58" s="23"/>
      <c r="BO58" s="23"/>
      <c r="BP58" s="23"/>
      <c r="BQ58" s="23"/>
      <c r="BR58" s="10"/>
      <c r="BS58" s="16"/>
      <c r="BT58" s="16"/>
      <c r="BU58" s="16"/>
      <c r="BV58" s="16"/>
      <c r="BW58" s="11"/>
      <c r="BX58" s="16"/>
      <c r="BY58" s="16"/>
      <c r="BZ58" s="17"/>
      <c r="CA58" s="18"/>
      <c r="CB58" s="18"/>
      <c r="CC58" s="18"/>
      <c r="CD58" s="18"/>
      <c r="CE58" s="18"/>
      <c r="CF58" s="18"/>
      <c r="CG58" s="19"/>
      <c r="CH58" s="15"/>
      <c r="CI58" s="17"/>
      <c r="CJ58" s="10"/>
      <c r="CK58" s="10"/>
      <c r="CL58" s="10"/>
      <c r="CM58" s="17"/>
      <c r="CN58" s="17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</row>
    <row r="59" spans="1:135" customFormat="1">
      <c r="A59" s="71">
        <f>'Old Data'!$I55-'Old Data'!$S55</f>
        <v>0</v>
      </c>
      <c r="B59" s="72">
        <f>VLOOKUP('Old Data'!$F55,$R$6:$T$135,2,FALSE)+VLOOKUP('Old Data'!$P55,$R$6:$T$135,3,FALSE)+$B$2</f>
        <v>78.179418770907503</v>
      </c>
      <c r="C59" s="72">
        <f>VLOOKUP('Old Data'!$P55,$R$6:$T$135,2,FALSE)+VLOOKUP('Old Data'!$F55,$R$6:$T$135,3,FALSE)+$B$2</f>
        <v>161.05564216107331</v>
      </c>
      <c r="D59" s="74">
        <f>('Old Data'!$I55-$B59)^2+('Old Data'!$S55-$C59)^2</f>
        <v>32050.94139127262</v>
      </c>
      <c r="E59" s="75">
        <f>'Old Data'!$K55-'Old Data'!$U55</f>
        <v>0</v>
      </c>
      <c r="F59" s="72">
        <f>VLOOKUP('Old Data'!$F55,$V$6:$X$135,2,FALSE)+VLOOKUP('Old Data'!$P55,$V$6:$X$135,3,FALSE)+$C$2</f>
        <v>182.4857610924721</v>
      </c>
      <c r="G59" s="72">
        <f>VLOOKUP('Old Data'!$P55,$V$6:$X$135,2,FALSE)+VLOOKUP('Old Data'!$F55,$V$6:$X$135,3,FALSE)+$C$2</f>
        <v>168.16677432087391</v>
      </c>
      <c r="H59" s="74">
        <f>('Old Data'!$K55-$F59)^2+('Old Data'!$U55-$G59)^2</f>
        <v>61581.116986986541</v>
      </c>
      <c r="I59" s="75">
        <f>('Old Data'!$L55+'Old Data'!$M55)-('Old Data'!$V55+'Old Data'!$W55)</f>
        <v>0</v>
      </c>
      <c r="J59" s="72">
        <f>VLOOKUP('Old Data'!$F55,$Z$6:$AB$135,2,FALSE)+VLOOKUP('Old Data'!$P55,$Z$6:$AB$135,3,FALSE)+$D$2</f>
        <v>43.048534674677356</v>
      </c>
      <c r="K59" s="72">
        <f>VLOOKUP('Old Data'!$P55,$Z$6:$AB$135,2,FALSE)+VLOOKUP('Old Data'!$F55,$Z$6:$AB$135,3,FALSE)+$D$2</f>
        <v>24.157852282605589</v>
      </c>
      <c r="L59" s="74">
        <f>('Old Data'!$L55+'Old Data'!$M55-$J59)^2+('Old Data'!$V55+'Old Data'!$W55-$K59)^2</f>
        <v>2436.7781645450905</v>
      </c>
      <c r="M59" s="75">
        <f>'Old Data'!$N55-'Old Data'!$X55</f>
        <v>0</v>
      </c>
      <c r="N59" s="72">
        <f>VLOOKUP('Old Data'!$F55,$AD$6:$AF$135,2,FALSE)+VLOOKUP('Old Data'!$P55,$AD$6:$AF$135,3,FALSE)+$E$2</f>
        <v>0.95772310480033007</v>
      </c>
      <c r="O59" s="72">
        <f>VLOOKUP('Old Data'!$P55,$AD$6:$AF$135,2,FALSE)+VLOOKUP('Old Data'!$F55,$AD$6:$AF$135,3,FALSE)+$E$2</f>
        <v>1.2063892992711276</v>
      </c>
      <c r="P59" s="73">
        <f>('Old Data'!$N55-$N59)^2+('Old Data'!$X55-$O59)^2</f>
        <v>2.3726086868642664</v>
      </c>
      <c r="Q59" s="62"/>
      <c r="R59" s="90" t="s">
        <v>124</v>
      </c>
      <c r="S59" s="96">
        <v>28.488769536133201</v>
      </c>
      <c r="T59" s="96">
        <v>-70.610449279335398</v>
      </c>
      <c r="U59" s="6"/>
      <c r="V59" s="90" t="s">
        <v>124</v>
      </c>
      <c r="W59" s="96">
        <v>182.65415735224801</v>
      </c>
      <c r="X59" s="96">
        <v>-18.874076374768499</v>
      </c>
      <c r="Y59" s="6"/>
      <c r="Z59" s="90" t="s">
        <v>124</v>
      </c>
      <c r="AA59" s="96">
        <v>-24.5574721081273</v>
      </c>
      <c r="AB59" s="96">
        <v>-22.2079021653757</v>
      </c>
      <c r="AC59" s="63"/>
      <c r="AD59" s="90" t="s">
        <v>124</v>
      </c>
      <c r="AE59" s="96">
        <v>0.25922752023002399</v>
      </c>
      <c r="AF59" s="96">
        <v>-0.79572941310837697</v>
      </c>
      <c r="AG59" s="63"/>
      <c r="AH59" s="37"/>
      <c r="AI59" s="22"/>
      <c r="AJ59" s="6"/>
      <c r="AK59" s="10"/>
      <c r="AL59" s="10"/>
      <c r="AM59" s="10"/>
      <c r="AN59" s="11"/>
      <c r="AO59" s="11"/>
      <c r="AP59" s="11"/>
      <c r="AQ59" s="36"/>
      <c r="AR59" s="11"/>
      <c r="AS59" s="11"/>
      <c r="AT59" s="11"/>
      <c r="AU59" s="12"/>
      <c r="AV59" s="11"/>
      <c r="AW59" s="11"/>
      <c r="AX59" s="15"/>
      <c r="AY59" s="15"/>
      <c r="AZ59" s="15"/>
      <c r="BA59" s="15"/>
      <c r="BB59" s="15"/>
      <c r="BC59" s="15"/>
      <c r="BD59" s="15"/>
      <c r="BE59" s="12"/>
      <c r="BF59" s="11"/>
      <c r="BG59" s="11"/>
      <c r="BH59" s="10"/>
      <c r="BI59" s="10"/>
      <c r="BJ59" s="10"/>
      <c r="BK59" s="23"/>
      <c r="BL59" s="23"/>
      <c r="BM59" s="23"/>
      <c r="BN59" s="23"/>
      <c r="BO59" s="23"/>
      <c r="BP59" s="23"/>
      <c r="BQ59" s="23"/>
      <c r="BR59" s="10"/>
      <c r="BS59" s="16"/>
      <c r="BT59" s="16"/>
      <c r="BU59" s="16"/>
      <c r="BV59" s="16"/>
      <c r="BW59" s="11"/>
      <c r="BX59" s="16"/>
      <c r="BY59" s="16"/>
      <c r="BZ59" s="17"/>
      <c r="CA59" s="18"/>
      <c r="CB59" s="18"/>
      <c r="CC59" s="18"/>
      <c r="CD59" s="18"/>
      <c r="CE59" s="18"/>
      <c r="CF59" s="18"/>
      <c r="CG59" s="19"/>
      <c r="CH59" s="15"/>
      <c r="CI59" s="17"/>
      <c r="CJ59" s="10"/>
      <c r="CK59" s="10"/>
      <c r="CL59" s="10"/>
      <c r="CM59" s="17"/>
      <c r="CN59" s="17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</row>
    <row r="60" spans="1:135" customFormat="1">
      <c r="A60" s="71">
        <f>'Old Data'!$I56-'Old Data'!$S56</f>
        <v>41</v>
      </c>
      <c r="B60" s="72">
        <f>VLOOKUP('Old Data'!$F56,$R$6:$T$135,2,FALSE)+VLOOKUP('Old Data'!$P56,$R$6:$T$135,3,FALSE)+$B$2</f>
        <v>231.40720153034292</v>
      </c>
      <c r="C60" s="72">
        <f>VLOOKUP('Old Data'!$P56,$R$6:$T$135,2,FALSE)+VLOOKUP('Old Data'!$F56,$R$6:$T$135,3,FALSE)+$B$2</f>
        <v>176.0222670809452</v>
      </c>
      <c r="D60" s="74">
        <f>('Old Data'!$I56-$B60)^2+('Old Data'!$S56-$C60)^2</f>
        <v>157.85007731365664</v>
      </c>
      <c r="E60" s="75">
        <f>'Old Data'!$K56-'Old Data'!$U56</f>
        <v>41</v>
      </c>
      <c r="F60" s="72">
        <f>VLOOKUP('Old Data'!$F56,$V$6:$X$135,2,FALSE)+VLOOKUP('Old Data'!$P56,$V$6:$X$135,3,FALSE)+$C$2</f>
        <v>283.3860523859812</v>
      </c>
      <c r="G60" s="72">
        <f>VLOOKUP('Old Data'!$P56,$V$6:$X$135,2,FALSE)+VLOOKUP('Old Data'!$F56,$V$6:$X$135,3,FALSE)+$C$2</f>
        <v>275.73810328663359</v>
      </c>
      <c r="H60" s="74">
        <f>('Old Data'!$K56-$F60)^2+('Old Data'!$U56-$G60)^2</f>
        <v>1208.6569611695074</v>
      </c>
      <c r="I60" s="75">
        <f>('Old Data'!$L56+'Old Data'!$M56)-('Old Data'!$V56+'Old Data'!$W56)</f>
        <v>132</v>
      </c>
      <c r="J60" s="72">
        <f>VLOOKUP('Old Data'!$F56,$Z$6:$AB$135,2,FALSE)+VLOOKUP('Old Data'!$P56,$Z$6:$AB$135,3,FALSE)+$D$2</f>
        <v>50.930394884080748</v>
      </c>
      <c r="K60" s="72">
        <f>VLOOKUP('Old Data'!$P56,$Z$6:$AB$135,2,FALSE)+VLOOKUP('Old Data'!$F56,$Z$6:$AB$135,3,FALSE)+$D$2</f>
        <v>15.024205388956801</v>
      </c>
      <c r="L60" s="74">
        <f>('Old Data'!$L56+'Old Data'!$M56-$J60)^2+('Old Data'!$V56+'Old Data'!$W56-$K60)^2</f>
        <v>13871.185602108009</v>
      </c>
      <c r="M60" s="75">
        <f>'Old Data'!$N56-'Old Data'!$X56</f>
        <v>-2</v>
      </c>
      <c r="N60" s="72">
        <f>VLOOKUP('Old Data'!$F56,$AD$6:$AF$135,2,FALSE)+VLOOKUP('Old Data'!$P56,$AD$6:$AF$135,3,FALSE)+$E$2</f>
        <v>2.018890919545826</v>
      </c>
      <c r="O60" s="72">
        <f>VLOOKUP('Old Data'!$P56,$AD$6:$AF$135,2,FALSE)+VLOOKUP('Old Data'!$F56,$AD$6:$AF$135,3,FALSE)+$E$2</f>
        <v>1.1279831061568582</v>
      </c>
      <c r="P60" s="73">
        <f>('Old Data'!$N56-$N60)^2+('Old Data'!$X56-$O60)^2</f>
        <v>4.5425859567670637</v>
      </c>
      <c r="Q60" s="62"/>
      <c r="R60" s="90" t="s">
        <v>95</v>
      </c>
      <c r="S60" s="96">
        <v>-31.483944757840298</v>
      </c>
      <c r="T60" s="96">
        <v>4.5159513849370398</v>
      </c>
      <c r="U60" s="6"/>
      <c r="V60" s="90" t="s">
        <v>95</v>
      </c>
      <c r="W60" s="96">
        <v>33.087405514310603</v>
      </c>
      <c r="X60" s="96">
        <v>32.8937911720489</v>
      </c>
      <c r="Y60" s="6"/>
      <c r="Z60" s="90" t="s">
        <v>95</v>
      </c>
      <c r="AA60" s="96">
        <v>4.64649600468434</v>
      </c>
      <c r="AB60" s="96">
        <v>39.695626341470302</v>
      </c>
      <c r="AC60" s="63"/>
      <c r="AD60" s="90" t="s">
        <v>95</v>
      </c>
      <c r="AE60" s="96">
        <v>0.188999188072107</v>
      </c>
      <c r="AF60" s="96">
        <v>0.50945132098851698</v>
      </c>
      <c r="AG60" s="63"/>
      <c r="AH60" s="37"/>
      <c r="AI60" s="22"/>
      <c r="AJ60" s="6"/>
      <c r="AK60" s="10"/>
      <c r="AL60" s="10"/>
      <c r="AM60" s="10"/>
      <c r="AN60" s="11"/>
      <c r="AO60" s="11"/>
      <c r="AP60" s="11"/>
      <c r="AQ60" s="36"/>
      <c r="AR60" s="11"/>
      <c r="AS60" s="11"/>
      <c r="AT60" s="11"/>
      <c r="AU60" s="12"/>
      <c r="AV60" s="11"/>
      <c r="AW60" s="11"/>
      <c r="AX60" s="15"/>
      <c r="AY60" s="15"/>
      <c r="AZ60" s="15"/>
      <c r="BA60" s="15"/>
      <c r="BB60" s="15"/>
      <c r="BC60" s="15"/>
      <c r="BD60" s="15"/>
      <c r="BE60" s="12"/>
      <c r="BF60" s="11"/>
      <c r="BG60" s="11"/>
      <c r="BH60" s="10"/>
      <c r="BI60" s="10"/>
      <c r="BJ60" s="10"/>
      <c r="BK60" s="23"/>
      <c r="BL60" s="23"/>
      <c r="BM60" s="23"/>
      <c r="BN60" s="23"/>
      <c r="BO60" s="23"/>
      <c r="BP60" s="23"/>
      <c r="BQ60" s="23"/>
      <c r="BR60" s="10"/>
      <c r="BS60" s="16"/>
      <c r="BT60" s="16"/>
      <c r="BU60" s="16"/>
      <c r="BV60" s="16"/>
      <c r="BW60" s="11"/>
      <c r="BX60" s="16"/>
      <c r="BY60" s="16"/>
      <c r="BZ60" s="17"/>
      <c r="CA60" s="18"/>
      <c r="CB60" s="18"/>
      <c r="CC60" s="18"/>
      <c r="CD60" s="18"/>
      <c r="CE60" s="18"/>
      <c r="CF60" s="18"/>
      <c r="CG60" s="19"/>
      <c r="CH60" s="15"/>
      <c r="CI60" s="17"/>
      <c r="CJ60" s="10"/>
      <c r="CK60" s="10"/>
      <c r="CL60" s="10"/>
      <c r="CM60" s="17"/>
      <c r="CN60" s="17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</row>
    <row r="61" spans="1:135" customFormat="1">
      <c r="A61" s="71">
        <f>'Old Data'!$I57-'Old Data'!$S57</f>
        <v>-89</v>
      </c>
      <c r="B61" s="72">
        <f>VLOOKUP('Old Data'!$F57,$R$6:$T$135,2,FALSE)+VLOOKUP('Old Data'!$P57,$R$6:$T$135,3,FALSE)+$B$2</f>
        <v>73.206863193399414</v>
      </c>
      <c r="C61" s="72">
        <f>VLOOKUP('Old Data'!$P57,$R$6:$T$135,2,FALSE)+VLOOKUP('Old Data'!$F57,$R$6:$T$135,3,FALSE)+$B$2</f>
        <v>235.6562170296778</v>
      </c>
      <c r="D61" s="74">
        <f>('Old Data'!$I57-$B61)^2+('Old Data'!$S57-$C61)^2</f>
        <v>8300.8996666422536</v>
      </c>
      <c r="E61" s="75">
        <f>'Old Data'!$K57-'Old Data'!$U57</f>
        <v>54</v>
      </c>
      <c r="F61" s="72">
        <f>VLOOKUP('Old Data'!$F57,$V$6:$X$135,2,FALSE)+VLOOKUP('Old Data'!$P57,$V$6:$X$135,3,FALSE)+$C$2</f>
        <v>207.79400169937981</v>
      </c>
      <c r="G61" s="72">
        <f>VLOOKUP('Old Data'!$P57,$V$6:$X$135,2,FALSE)+VLOOKUP('Old Data'!$F57,$V$6:$X$135,3,FALSE)+$C$2</f>
        <v>278.91926405301314</v>
      </c>
      <c r="H61" s="74">
        <f>('Old Data'!$K57-$F61)^2+('Old Data'!$U57-$G61)^2</f>
        <v>8450.7424464634078</v>
      </c>
      <c r="I61" s="75">
        <f>('Old Data'!$L57+'Old Data'!$M57)-('Old Data'!$V57+'Old Data'!$W57)</f>
        <v>-46</v>
      </c>
      <c r="J61" s="72">
        <f>VLOOKUP('Old Data'!$F57,$Z$6:$AB$135,2,FALSE)+VLOOKUP('Old Data'!$P57,$Z$6:$AB$135,3,FALSE)+$D$2</f>
        <v>65.93154792077523</v>
      </c>
      <c r="K61" s="72">
        <f>VLOOKUP('Old Data'!$P57,$Z$6:$AB$135,2,FALSE)+VLOOKUP('Old Data'!$F57,$Z$6:$AB$135,3,FALSE)+$D$2</f>
        <v>69.285211597903697</v>
      </c>
      <c r="L61" s="74">
        <f>('Old Data'!$L57+'Old Data'!$M57-$J61)^2+('Old Data'!$V57+'Old Data'!$W57-$K61)^2</f>
        <v>1396.5980383052517</v>
      </c>
      <c r="M61" s="75">
        <f>'Old Data'!$N57-'Old Data'!$X57</f>
        <v>1</v>
      </c>
      <c r="N61" s="72">
        <f>VLOOKUP('Old Data'!$F57,$AD$6:$AF$135,2,FALSE)+VLOOKUP('Old Data'!$P57,$AD$6:$AF$135,3,FALSE)+$E$2</f>
        <v>0.7312302839073741</v>
      </c>
      <c r="O61" s="72">
        <f>VLOOKUP('Old Data'!$P57,$AD$6:$AF$135,2,FALSE)+VLOOKUP('Old Data'!$F57,$AD$6:$AF$135,3,FALSE)+$E$2</f>
        <v>1.3139309864830884</v>
      </c>
      <c r="P61" s="73">
        <f>('Old Data'!$N57-$N61)^2+('Old Data'!$X57-$O61)^2</f>
        <v>5.6180067159670823</v>
      </c>
      <c r="Q61" s="62"/>
      <c r="R61" s="90" t="s">
        <v>121</v>
      </c>
      <c r="S61" s="96">
        <v>15.8792074376606</v>
      </c>
      <c r="T61" s="96">
        <v>16.201684347419398</v>
      </c>
      <c r="U61" s="6"/>
      <c r="V61" s="90" t="s">
        <v>121</v>
      </c>
      <c r="W61" s="96">
        <v>-64.138650968109403</v>
      </c>
      <c r="X61" s="96">
        <v>41.1980042459708</v>
      </c>
      <c r="Y61" s="6"/>
      <c r="Z61" s="90" t="s">
        <v>121</v>
      </c>
      <c r="AA61" s="96">
        <v>46.567118787664498</v>
      </c>
      <c r="AB61" s="96">
        <v>23.433501147889501</v>
      </c>
      <c r="AC61" s="63"/>
      <c r="AD61" s="90" t="s">
        <v>121</v>
      </c>
      <c r="AE61" s="96">
        <v>4.3354418096109203E-2</v>
      </c>
      <c r="AF61" s="96">
        <v>0.323152281527811</v>
      </c>
      <c r="AG61" s="63"/>
      <c r="AH61" s="37"/>
      <c r="AI61" s="22"/>
      <c r="AJ61" s="6"/>
      <c r="AK61" s="10"/>
      <c r="AL61" s="10"/>
      <c r="AM61" s="10"/>
      <c r="AN61" s="11"/>
      <c r="AO61" s="11"/>
      <c r="AP61" s="11"/>
      <c r="AQ61" s="36"/>
      <c r="AR61" s="11"/>
      <c r="AS61" s="11"/>
      <c r="AT61" s="11"/>
      <c r="AU61" s="12"/>
      <c r="AV61" s="11"/>
      <c r="AW61" s="11"/>
      <c r="AX61" s="15"/>
      <c r="AY61" s="15"/>
      <c r="AZ61" s="15"/>
      <c r="BA61" s="15"/>
      <c r="BB61" s="15"/>
      <c r="BC61" s="15"/>
      <c r="BD61" s="15"/>
      <c r="BE61" s="12"/>
      <c r="BF61" s="11"/>
      <c r="BG61" s="11"/>
      <c r="BH61" s="10"/>
      <c r="BI61" s="10"/>
      <c r="BJ61" s="10"/>
      <c r="BK61" s="23"/>
      <c r="BL61" s="23"/>
      <c r="BM61" s="23"/>
      <c r="BN61" s="23"/>
      <c r="BO61" s="23"/>
      <c r="BP61" s="23"/>
      <c r="BQ61" s="23"/>
      <c r="BR61" s="10"/>
      <c r="BS61" s="16"/>
      <c r="BT61" s="16"/>
      <c r="BU61" s="16"/>
      <c r="BV61" s="16"/>
      <c r="BW61" s="11"/>
      <c r="BX61" s="16"/>
      <c r="BY61" s="16"/>
      <c r="BZ61" s="17"/>
      <c r="CA61" s="18"/>
      <c r="CB61" s="18"/>
      <c r="CC61" s="18"/>
      <c r="CD61" s="18"/>
      <c r="CE61" s="18"/>
      <c r="CF61" s="18"/>
      <c r="CG61" s="19"/>
      <c r="CH61" s="15"/>
      <c r="CI61" s="17"/>
      <c r="CJ61" s="10"/>
      <c r="CK61" s="10"/>
      <c r="CL61" s="10"/>
      <c r="CM61" s="17"/>
      <c r="CN61" s="17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</row>
    <row r="62" spans="1:135" customFormat="1">
      <c r="A62" s="71">
        <f>'Old Data'!$I58-'Old Data'!$S58</f>
        <v>95</v>
      </c>
      <c r="B62" s="72">
        <f>VLOOKUP('Old Data'!$F58,$R$6:$T$135,2,FALSE)+VLOOKUP('Old Data'!$P58,$R$6:$T$135,3,FALSE)+$B$2</f>
        <v>218.66648723275401</v>
      </c>
      <c r="C62" s="72">
        <f>VLOOKUP('Old Data'!$P58,$R$6:$T$135,2,FALSE)+VLOOKUP('Old Data'!$F58,$R$6:$T$135,3,FALSE)+$B$2</f>
        <v>205.50426994278462</v>
      </c>
      <c r="D62" s="74">
        <f>('Old Data'!$I58-$B62)^2+('Old Data'!$S58-$C62)^2</f>
        <v>13597.644194555614</v>
      </c>
      <c r="E62" s="75">
        <f>'Old Data'!$K58-'Old Data'!$U58</f>
        <v>-93</v>
      </c>
      <c r="F62" s="72">
        <f>VLOOKUP('Old Data'!$F58,$V$6:$X$135,2,FALSE)+VLOOKUP('Old Data'!$P58,$V$6:$X$135,3,FALSE)+$C$2</f>
        <v>107.21667281289319</v>
      </c>
      <c r="G62" s="72">
        <f>VLOOKUP('Old Data'!$P58,$V$6:$X$135,2,FALSE)+VLOOKUP('Old Data'!$F58,$V$6:$X$135,3,FALSE)+$C$2</f>
        <v>142.91731812270589</v>
      </c>
      <c r="H62" s="74">
        <f>('Old Data'!$K58-$F62)^2+('Old Data'!$U58-$G62)^2</f>
        <v>1654.7869554193514</v>
      </c>
      <c r="I62" s="75">
        <f>('Old Data'!$L58+'Old Data'!$M58)-('Old Data'!$V58+'Old Data'!$W58)</f>
        <v>6</v>
      </c>
      <c r="J62" s="72">
        <f>VLOOKUP('Old Data'!$F58,$Z$6:$AB$135,2,FALSE)+VLOOKUP('Old Data'!$P58,$Z$6:$AB$135,3,FALSE)+$D$2</f>
        <v>99.295886305319499</v>
      </c>
      <c r="K62" s="72">
        <f>VLOOKUP('Old Data'!$P58,$Z$6:$AB$135,2,FALSE)+VLOOKUP('Old Data'!$F58,$Z$6:$AB$135,3,FALSE)+$D$2</f>
        <v>71.922648790287226</v>
      </c>
      <c r="L62" s="74">
        <f>('Old Data'!$L58+'Old Data'!$M58-$J62)^2+('Old Data'!$V58+'Old Data'!$W58-$K62)^2</f>
        <v>2226.6992307542209</v>
      </c>
      <c r="M62" s="75">
        <f>'Old Data'!$N58-'Old Data'!$X58</f>
        <v>0</v>
      </c>
      <c r="N62" s="72">
        <f>VLOOKUP('Old Data'!$F58,$AD$6:$AF$135,2,FALSE)+VLOOKUP('Old Data'!$P58,$AD$6:$AF$135,3,FALSE)+$E$2</f>
        <v>1.6108464615538411</v>
      </c>
      <c r="O62" s="72">
        <f>VLOOKUP('Old Data'!$P58,$AD$6:$AF$135,2,FALSE)+VLOOKUP('Old Data'!$F58,$AD$6:$AF$135,3,FALSE)+$E$2</f>
        <v>1.5606178150394432</v>
      </c>
      <c r="P62" s="73">
        <f>('Old Data'!$N58-$N62)^2+('Old Data'!$X58-$O62)^2</f>
        <v>0.344497180945879</v>
      </c>
      <c r="Q62" s="62"/>
      <c r="R62" s="90" t="s">
        <v>207</v>
      </c>
      <c r="S62" s="96">
        <v>-74.507992556549993</v>
      </c>
      <c r="T62" s="96">
        <v>165.48217748399799</v>
      </c>
      <c r="U62" s="6"/>
      <c r="V62" s="90" t="s">
        <v>207</v>
      </c>
      <c r="W62" s="96">
        <v>-60.864572188868003</v>
      </c>
      <c r="X62" s="96">
        <v>72.103163936332706</v>
      </c>
      <c r="Y62" s="6"/>
      <c r="Z62" s="90" t="s">
        <v>207</v>
      </c>
      <c r="AA62" s="96">
        <v>75.354976002142294</v>
      </c>
      <c r="AB62" s="96">
        <v>18.152663057833699</v>
      </c>
      <c r="AC62" s="63"/>
      <c r="AD62" s="90" t="s">
        <v>207</v>
      </c>
      <c r="AE62" s="96">
        <v>0.34394124140777299</v>
      </c>
      <c r="AF62" s="96">
        <v>0.29966688887426901</v>
      </c>
      <c r="AG62" s="63"/>
      <c r="AH62" s="37"/>
      <c r="AI62" s="22"/>
      <c r="AJ62" s="6"/>
      <c r="AK62" s="10"/>
      <c r="AL62" s="10"/>
      <c r="AM62" s="10"/>
      <c r="AN62" s="11"/>
      <c r="AO62" s="11"/>
      <c r="AP62" s="11"/>
      <c r="AQ62" s="36"/>
      <c r="AR62" s="11"/>
      <c r="AS62" s="11"/>
      <c r="AT62" s="11"/>
      <c r="AU62" s="12"/>
      <c r="AV62" s="11"/>
      <c r="AW62" s="11"/>
      <c r="AX62" s="15"/>
      <c r="AY62" s="15"/>
      <c r="AZ62" s="15"/>
      <c r="BA62" s="15"/>
      <c r="BB62" s="15"/>
      <c r="BC62" s="15"/>
      <c r="BD62" s="15"/>
      <c r="BE62" s="12"/>
      <c r="BF62" s="11"/>
      <c r="BG62" s="11"/>
      <c r="BH62" s="10"/>
      <c r="BI62" s="10"/>
      <c r="BJ62" s="10"/>
      <c r="BK62" s="23"/>
      <c r="BL62" s="23"/>
      <c r="BM62" s="23"/>
      <c r="BN62" s="23"/>
      <c r="BO62" s="23"/>
      <c r="BP62" s="23"/>
      <c r="BQ62" s="23"/>
      <c r="BR62" s="10"/>
      <c r="BS62" s="16"/>
      <c r="BT62" s="16"/>
      <c r="BU62" s="16"/>
      <c r="BV62" s="16"/>
      <c r="BW62" s="11"/>
      <c r="BX62" s="16"/>
      <c r="BY62" s="16"/>
      <c r="BZ62" s="17"/>
      <c r="CA62" s="18"/>
      <c r="CB62" s="18"/>
      <c r="CC62" s="18"/>
      <c r="CD62" s="18"/>
      <c r="CE62" s="18"/>
      <c r="CF62" s="18"/>
      <c r="CG62" s="19"/>
      <c r="CH62" s="15"/>
      <c r="CI62" s="17"/>
      <c r="CJ62" s="10"/>
      <c r="CK62" s="10"/>
      <c r="CL62" s="10"/>
      <c r="CM62" s="17"/>
      <c r="CN62" s="17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</row>
    <row r="63" spans="1:135" customFormat="1">
      <c r="A63" s="71">
        <f>'Old Data'!$I59-'Old Data'!$S59</f>
        <v>-196</v>
      </c>
      <c r="B63" s="72">
        <f>VLOOKUP('Old Data'!$F59,$R$6:$T$135,2,FALSE)+VLOOKUP('Old Data'!$P59,$R$6:$T$135,3,FALSE)+$B$2</f>
        <v>138.41165680155203</v>
      </c>
      <c r="C63" s="72">
        <f>VLOOKUP('Old Data'!$P59,$R$6:$T$135,2,FALSE)+VLOOKUP('Old Data'!$F59,$R$6:$T$135,3,FALSE)+$B$2</f>
        <v>209.18963298486017</v>
      </c>
      <c r="D63" s="74">
        <f>('Old Data'!$I59-$B63)^2+('Old Data'!$S59-$C63)^2</f>
        <v>7995.1803254467013</v>
      </c>
      <c r="E63" s="75">
        <f>'Old Data'!$K59-'Old Data'!$U59</f>
        <v>252</v>
      </c>
      <c r="F63" s="72">
        <f>VLOOKUP('Old Data'!$F59,$V$6:$X$135,2,FALSE)+VLOOKUP('Old Data'!$P59,$V$6:$X$135,3,FALSE)+$C$2</f>
        <v>363.17711033495902</v>
      </c>
      <c r="G63" s="72">
        <f>VLOOKUP('Old Data'!$P59,$V$6:$X$135,2,FALSE)+VLOOKUP('Old Data'!$F59,$V$6:$X$135,3,FALSE)+$C$2</f>
        <v>265.50137289124109</v>
      </c>
      <c r="H63" s="74">
        <f>('Old Data'!$K59-$F63)^2+('Old Data'!$U59-$G63)^2</f>
        <v>12656.001539109864</v>
      </c>
      <c r="I63" s="75">
        <f>('Old Data'!$L59+'Old Data'!$M59)-('Old Data'!$V59+'Old Data'!$W59)</f>
        <v>52</v>
      </c>
      <c r="J63" s="72">
        <f>VLOOKUP('Old Data'!$F59,$Z$6:$AB$135,2,FALSE)+VLOOKUP('Old Data'!$P59,$Z$6:$AB$135,3,FALSE)+$D$2</f>
        <v>112.08731140638069</v>
      </c>
      <c r="K63" s="72">
        <f>VLOOKUP('Old Data'!$P59,$Z$6:$AB$135,2,FALSE)+VLOOKUP('Old Data'!$F59,$Z$6:$AB$135,3,FALSE)+$D$2</f>
        <v>67.447294547755689</v>
      </c>
      <c r="L63" s="74">
        <f>('Old Data'!$L59+'Old Data'!$M59-$J63)^2+('Old Data'!$V59+'Old Data'!$W59-$K63)^2</f>
        <v>197.57006455516986</v>
      </c>
      <c r="M63" s="75">
        <f>'Old Data'!$N59-'Old Data'!$X59</f>
        <v>-2</v>
      </c>
      <c r="N63" s="72">
        <f>VLOOKUP('Old Data'!$F59,$AD$6:$AF$135,2,FALSE)+VLOOKUP('Old Data'!$P59,$AD$6:$AF$135,3,FALSE)+$E$2</f>
        <v>0.22329447072845299</v>
      </c>
      <c r="O63" s="72">
        <f>VLOOKUP('Old Data'!$P59,$AD$6:$AF$135,2,FALSE)+VLOOKUP('Old Data'!$F59,$AD$6:$AF$135,3,FALSE)+$E$2</f>
        <v>2.0012224339590161</v>
      </c>
      <c r="P63" s="73">
        <f>('Old Data'!$N59-$N63)^2+('Old Data'!$X59-$O63)^2</f>
        <v>4.9861915002684103E-2</v>
      </c>
      <c r="Q63" s="62"/>
      <c r="R63" s="90" t="s">
        <v>30</v>
      </c>
      <c r="S63" s="96">
        <v>-13.1245028280608</v>
      </c>
      <c r="T63" s="96">
        <v>-61.819471528692198</v>
      </c>
      <c r="U63" s="6"/>
      <c r="V63" s="90" t="s">
        <v>30</v>
      </c>
      <c r="W63" s="96">
        <v>22.235636804412401</v>
      </c>
      <c r="X63" s="96">
        <v>-16.794966483437101</v>
      </c>
      <c r="Y63" s="6"/>
      <c r="Z63" s="90" t="s">
        <v>30</v>
      </c>
      <c r="AA63" s="96">
        <v>-11.266249174175901</v>
      </c>
      <c r="AB63" s="96">
        <v>20.783182416581699</v>
      </c>
      <c r="AC63" s="63"/>
      <c r="AD63" s="90" t="s">
        <v>30</v>
      </c>
      <c r="AE63" s="96">
        <v>0.29630552502740698</v>
      </c>
      <c r="AF63" s="96">
        <v>0.17647352018270501</v>
      </c>
      <c r="AG63" s="63"/>
      <c r="AH63" s="37"/>
      <c r="AI63" s="22"/>
      <c r="AJ63" s="6"/>
      <c r="AK63" s="10"/>
      <c r="AL63" s="10"/>
      <c r="AM63" s="10"/>
      <c r="AN63" s="11"/>
      <c r="AO63" s="11"/>
      <c r="AP63" s="11"/>
      <c r="AQ63" s="36"/>
      <c r="AR63" s="11"/>
      <c r="AS63" s="11"/>
      <c r="AT63" s="11"/>
      <c r="AU63" s="12"/>
      <c r="AV63" s="11"/>
      <c r="AW63" s="11"/>
      <c r="AX63" s="15"/>
      <c r="AY63" s="15"/>
      <c r="AZ63" s="15"/>
      <c r="BA63" s="15"/>
      <c r="BB63" s="15"/>
      <c r="BC63" s="15"/>
      <c r="BD63" s="15"/>
      <c r="BE63" s="12"/>
      <c r="BF63" s="11"/>
      <c r="BG63" s="11"/>
      <c r="BH63" s="10"/>
      <c r="BI63" s="10"/>
      <c r="BJ63" s="10"/>
      <c r="BK63" s="23"/>
      <c r="BL63" s="23"/>
      <c r="BM63" s="23"/>
      <c r="BN63" s="23"/>
      <c r="BO63" s="23"/>
      <c r="BP63" s="23"/>
      <c r="BQ63" s="23"/>
      <c r="BR63" s="10"/>
      <c r="BS63" s="16"/>
      <c r="BT63" s="16"/>
      <c r="BU63" s="16"/>
      <c r="BV63" s="16"/>
      <c r="BW63" s="11"/>
      <c r="BX63" s="39"/>
      <c r="BY63" s="39"/>
      <c r="BZ63" s="17"/>
      <c r="CA63" s="40"/>
      <c r="CB63" s="40"/>
      <c r="CC63" s="40"/>
      <c r="CD63" s="40"/>
      <c r="CE63" s="40"/>
      <c r="CF63" s="18"/>
      <c r="CG63" s="19"/>
      <c r="CH63" s="15"/>
      <c r="CI63" s="17"/>
      <c r="CJ63" s="10"/>
      <c r="CK63" s="10"/>
      <c r="CL63" s="10"/>
      <c r="CM63" s="17"/>
      <c r="CN63" s="17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34"/>
      <c r="DB63" s="34"/>
      <c r="DC63" s="34"/>
      <c r="DD63" s="34"/>
      <c r="DE63" s="34"/>
      <c r="DF63" s="34"/>
      <c r="DG63" s="41"/>
      <c r="DH63" s="41"/>
      <c r="DI63" s="34"/>
      <c r="DJ63" s="34"/>
      <c r="DK63" s="34"/>
      <c r="DL63" s="34"/>
      <c r="DM63" s="34"/>
      <c r="DN63" s="34"/>
      <c r="DO63" s="34"/>
      <c r="DP63" s="34"/>
      <c r="DQ63" s="34"/>
      <c r="DR63" s="42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</row>
    <row r="64" spans="1:135" customFormat="1">
      <c r="A64" s="71">
        <f>'Old Data'!$I60-'Old Data'!$S60</f>
        <v>110</v>
      </c>
      <c r="B64" s="72">
        <f>VLOOKUP('Old Data'!$F60,$R$6:$T$135,2,FALSE)+VLOOKUP('Old Data'!$P60,$R$6:$T$135,3,FALSE)+$B$2</f>
        <v>179.00999131694334</v>
      </c>
      <c r="C64" s="72">
        <f>VLOOKUP('Old Data'!$P60,$R$6:$T$135,2,FALSE)+VLOOKUP('Old Data'!$F60,$R$6:$T$135,3,FALSE)+$B$2</f>
        <v>86.124902340802208</v>
      </c>
      <c r="D64" s="74">
        <f>('Old Data'!$I60-$B64)^2+('Old Data'!$S60-$C64)^2</f>
        <v>229.2155702760607</v>
      </c>
      <c r="E64" s="75">
        <f>'Old Data'!$K60-'Old Data'!$U60</f>
        <v>203</v>
      </c>
      <c r="F64" s="72">
        <f>VLOOKUP('Old Data'!$F60,$V$6:$X$135,2,FALSE)+VLOOKUP('Old Data'!$P60,$V$6:$X$135,3,FALSE)+$C$2</f>
        <v>233.97442454496439</v>
      </c>
      <c r="G64" s="72">
        <f>VLOOKUP('Old Data'!$P60,$V$6:$X$135,2,FALSE)+VLOOKUP('Old Data'!$F60,$V$6:$X$135,3,FALSE)+$C$2</f>
        <v>96.093362873849003</v>
      </c>
      <c r="H64" s="74">
        <f>('Old Data'!$K60-$F64)^2+('Old Data'!$U60-$G64)^2</f>
        <v>3135.7907959542163</v>
      </c>
      <c r="I64" s="75">
        <f>('Old Data'!$L60+'Old Data'!$M60)-('Old Data'!$V60+'Old Data'!$W60)</f>
        <v>-13</v>
      </c>
      <c r="J64" s="72">
        <f>VLOOKUP('Old Data'!$F60,$Z$6:$AB$135,2,FALSE)+VLOOKUP('Old Data'!$P60,$Z$6:$AB$135,3,FALSE)+$D$2</f>
        <v>41.808638850719831</v>
      </c>
      <c r="K64" s="72">
        <f>VLOOKUP('Old Data'!$P60,$Z$6:$AB$135,2,FALSE)+VLOOKUP('Old Data'!$F60,$Z$6:$AB$135,3,FALSE)+$D$2</f>
        <v>50.504096193053108</v>
      </c>
      <c r="L64" s="74">
        <f>('Old Data'!$L60+'Old Data'!$M60-$J64)^2+('Old Data'!$V60+'Old Data'!$W60-$K64)^2</f>
        <v>1651.6393428446954</v>
      </c>
      <c r="M64" s="75">
        <f>'Old Data'!$N60-'Old Data'!$X60</f>
        <v>3</v>
      </c>
      <c r="N64" s="72">
        <f>VLOOKUP('Old Data'!$F60,$AD$6:$AF$135,2,FALSE)+VLOOKUP('Old Data'!$P60,$AD$6:$AF$135,3,FALSE)+$E$2</f>
        <v>1.8849707061967322</v>
      </c>
      <c r="O64" s="72">
        <f>VLOOKUP('Old Data'!$P60,$AD$6:$AF$135,2,FALSE)+VLOOKUP('Old Data'!$F60,$AD$6:$AF$135,3,FALSE)+$E$2</f>
        <v>0.46661492004947003</v>
      </c>
      <c r="P64" s="73">
        <f>('Old Data'!$N60-$N64)^2+('Old Data'!$X60-$O64)^2</f>
        <v>1.4610198096521871</v>
      </c>
      <c r="Q64" s="62"/>
      <c r="R64" s="90" t="s">
        <v>70</v>
      </c>
      <c r="S64" s="96">
        <v>30.926492004953602</v>
      </c>
      <c r="T64" s="96">
        <v>-8.4778170753291207</v>
      </c>
      <c r="U64" s="6"/>
      <c r="V64" s="90" t="s">
        <v>70</v>
      </c>
      <c r="W64" s="96">
        <v>57.295773676352702</v>
      </c>
      <c r="X64" s="96">
        <v>-2.4144197459900498</v>
      </c>
      <c r="Y64" s="6"/>
      <c r="Z64" s="90" t="s">
        <v>70</v>
      </c>
      <c r="AA64" s="96">
        <v>35.183822893623002</v>
      </c>
      <c r="AB64" s="96">
        <v>-7.7356582288335298</v>
      </c>
      <c r="AC64" s="63"/>
      <c r="AD64" s="90" t="s">
        <v>70</v>
      </c>
      <c r="AE64" s="96">
        <v>-3.1754620245991898E-2</v>
      </c>
      <c r="AF64" s="96">
        <v>2.0150977535676001E-2</v>
      </c>
      <c r="AG64" s="63"/>
      <c r="AH64" s="37"/>
      <c r="AI64" s="22"/>
      <c r="AJ64" s="6"/>
      <c r="AK64" s="10"/>
      <c r="AL64" s="10"/>
      <c r="AM64" s="10"/>
      <c r="AN64" s="11"/>
      <c r="AO64" s="11"/>
      <c r="AP64" s="11"/>
      <c r="AQ64" s="36"/>
      <c r="AR64" s="11"/>
      <c r="AS64" s="11"/>
      <c r="AT64" s="11"/>
      <c r="AU64" s="12"/>
      <c r="AV64" s="11"/>
      <c r="AW64" s="11"/>
      <c r="AX64" s="15"/>
      <c r="AY64" s="15"/>
      <c r="AZ64" s="15"/>
      <c r="BA64" s="15"/>
      <c r="BB64" s="15"/>
      <c r="BC64" s="15"/>
      <c r="BD64" s="15"/>
      <c r="BE64" s="12"/>
      <c r="BF64" s="11"/>
      <c r="BG64" s="11"/>
      <c r="BH64" s="10"/>
      <c r="BI64" s="10"/>
      <c r="BJ64" s="10"/>
      <c r="BK64" s="23"/>
      <c r="BL64" s="23"/>
      <c r="BM64" s="23"/>
      <c r="BN64" s="23"/>
      <c r="BO64" s="23"/>
      <c r="BP64" s="23"/>
      <c r="BQ64" s="23"/>
      <c r="BR64" s="10"/>
      <c r="BS64" s="16"/>
      <c r="BT64" s="16"/>
      <c r="BU64" s="16"/>
      <c r="BV64" s="16"/>
      <c r="BW64" s="11"/>
      <c r="BX64" s="16"/>
      <c r="BY64" s="16"/>
      <c r="BZ64" s="17"/>
      <c r="CA64" s="18"/>
      <c r="CB64" s="18"/>
      <c r="CC64" s="18"/>
      <c r="CD64" s="18"/>
      <c r="CE64" s="18"/>
      <c r="CF64" s="18"/>
      <c r="CG64" s="19"/>
      <c r="CH64" s="15"/>
      <c r="CI64" s="17"/>
      <c r="CJ64" s="10"/>
      <c r="CK64" s="10"/>
      <c r="CL64" s="10"/>
      <c r="CM64" s="17"/>
      <c r="CN64" s="17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</row>
    <row r="65" spans="1:135" customFormat="1">
      <c r="A65" s="71">
        <f>'Old Data'!$I61-'Old Data'!$S61</f>
        <v>-3</v>
      </c>
      <c r="B65" s="72">
        <f>VLOOKUP('Old Data'!$F61,$R$6:$T$135,2,FALSE)+VLOOKUP('Old Data'!$P61,$R$6:$T$135,3,FALSE)+$B$2</f>
        <v>206.48121066427211</v>
      </c>
      <c r="C65" s="72">
        <f>VLOOKUP('Old Data'!$P61,$R$6:$T$135,2,FALSE)+VLOOKUP('Old Data'!$F61,$R$6:$T$135,3,FALSE)+$B$2</f>
        <v>158.96149163338382</v>
      </c>
      <c r="D65" s="74">
        <f>('Old Data'!$I61-$B65)^2+('Old Data'!$S61-$C65)^2</f>
        <v>1411.3022349046182</v>
      </c>
      <c r="E65" s="75">
        <f>'Old Data'!$K61-'Old Data'!$U61</f>
        <v>-12</v>
      </c>
      <c r="F65" s="72">
        <f>VLOOKUP('Old Data'!$F61,$V$6:$X$135,2,FALSE)+VLOOKUP('Old Data'!$P61,$V$6:$X$135,3,FALSE)+$C$2</f>
        <v>235.71170721032288</v>
      </c>
      <c r="G65" s="72">
        <f>VLOOKUP('Old Data'!$P61,$V$6:$X$135,2,FALSE)+VLOOKUP('Old Data'!$F61,$V$6:$X$135,3,FALSE)+$C$2</f>
        <v>195.52064718548138</v>
      </c>
      <c r="H65" s="74">
        <f>('Old Data'!$K61-$F65)^2+('Old Data'!$U61-$G65)^2</f>
        <v>22422.113018680804</v>
      </c>
      <c r="I65" s="75">
        <f>('Old Data'!$L61+'Old Data'!$M61)-('Old Data'!$V61+'Old Data'!$W61)</f>
        <v>26</v>
      </c>
      <c r="J65" s="72">
        <f>VLOOKUP('Old Data'!$F61,$Z$6:$AB$135,2,FALSE)+VLOOKUP('Old Data'!$P61,$Z$6:$AB$135,3,FALSE)+$D$2</f>
        <v>110.99813889567899</v>
      </c>
      <c r="K65" s="72">
        <f>VLOOKUP('Old Data'!$P61,$Z$6:$AB$135,2,FALSE)+VLOOKUP('Old Data'!$F61,$Z$6:$AB$135,3,FALSE)+$D$2</f>
        <v>38.952781202550959</v>
      </c>
      <c r="L65" s="74">
        <f>('Old Data'!$L61+'Old Data'!$M61-$J65)^2+('Old Data'!$V61+'Old Data'!$W61-$K65)^2</f>
        <v>4927.7696556066667</v>
      </c>
      <c r="M65" s="75">
        <f>'Old Data'!$N61-'Old Data'!$X61</f>
        <v>-2</v>
      </c>
      <c r="N65" s="72">
        <f>VLOOKUP('Old Data'!$F61,$AD$6:$AF$135,2,FALSE)+VLOOKUP('Old Data'!$P61,$AD$6:$AF$135,3,FALSE)+$E$2</f>
        <v>0.6181653549401791</v>
      </c>
      <c r="O65" s="72">
        <f>VLOOKUP('Old Data'!$P61,$AD$6:$AF$135,2,FALSE)+VLOOKUP('Old Data'!$F61,$AD$6:$AF$135,3,FALSE)+$E$2</f>
        <v>1.49021167398996</v>
      </c>
      <c r="P65" s="73">
        <f>('Old Data'!$N61-$N65)^2+('Old Data'!$X61-$O65)^2</f>
        <v>0.64201254338443636</v>
      </c>
      <c r="Q65" s="62"/>
      <c r="R65" s="90" t="s">
        <v>125</v>
      </c>
      <c r="S65" s="96">
        <v>-53.954544838754302</v>
      </c>
      <c r="T65" s="96">
        <v>-44.608072101251899</v>
      </c>
      <c r="U65" s="6"/>
      <c r="V65" s="90" t="s">
        <v>125</v>
      </c>
      <c r="W65" s="96">
        <v>19.106622725115798</v>
      </c>
      <c r="X65" s="96">
        <v>-51.693524315879301</v>
      </c>
      <c r="Y65" s="6"/>
      <c r="Z65" s="90" t="s">
        <v>125</v>
      </c>
      <c r="AA65" s="96">
        <v>2.8560521982080198</v>
      </c>
      <c r="AB65" s="96">
        <v>-11.0981648686139</v>
      </c>
      <c r="AC65" s="63"/>
      <c r="AD65" s="90" t="s">
        <v>125</v>
      </c>
      <c r="AE65" s="96">
        <v>0.14531717426888799</v>
      </c>
      <c r="AF65" s="96">
        <v>-0.27335374687457398</v>
      </c>
      <c r="AG65" s="63"/>
      <c r="AH65" s="37"/>
      <c r="AI65" s="22"/>
      <c r="AJ65" s="6"/>
      <c r="AK65" s="10"/>
      <c r="AL65" s="10"/>
      <c r="AM65" s="10"/>
      <c r="AN65" s="11"/>
      <c r="AO65" s="11"/>
      <c r="AP65" s="11"/>
      <c r="AQ65" s="36"/>
      <c r="AR65" s="11"/>
      <c r="AS65" s="11"/>
      <c r="AT65" s="11"/>
      <c r="AU65" s="12"/>
      <c r="AV65" s="11"/>
      <c r="AW65" s="11"/>
      <c r="AX65" s="15"/>
      <c r="AY65" s="15"/>
      <c r="AZ65" s="15"/>
      <c r="BA65" s="15"/>
      <c r="BB65" s="15"/>
      <c r="BC65" s="15"/>
      <c r="BD65" s="15"/>
      <c r="BE65" s="12"/>
      <c r="BF65" s="11"/>
      <c r="BG65" s="11"/>
      <c r="BH65" s="10"/>
      <c r="BI65" s="10"/>
      <c r="BJ65" s="10"/>
      <c r="BK65" s="23"/>
      <c r="BL65" s="23"/>
      <c r="BM65" s="23"/>
      <c r="BN65" s="23"/>
      <c r="BO65" s="23"/>
      <c r="BP65" s="23"/>
      <c r="BQ65" s="23"/>
      <c r="BR65" s="10"/>
      <c r="BS65" s="16"/>
      <c r="BT65" s="16"/>
      <c r="BU65" s="16"/>
      <c r="BV65" s="16"/>
      <c r="BW65" s="11"/>
      <c r="BX65" s="16"/>
      <c r="BY65" s="16"/>
      <c r="BZ65" s="17"/>
      <c r="CA65" s="18"/>
      <c r="CB65" s="18"/>
      <c r="CC65" s="18"/>
      <c r="CD65" s="18"/>
      <c r="CE65" s="18"/>
      <c r="CF65" s="18"/>
      <c r="CG65" s="19"/>
      <c r="CH65" s="15"/>
      <c r="CI65" s="17"/>
      <c r="CJ65" s="10"/>
      <c r="CK65" s="10"/>
      <c r="CL65" s="10"/>
      <c r="CM65" s="17"/>
      <c r="CN65" s="17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</row>
    <row r="66" spans="1:135" customFormat="1">
      <c r="A66" s="71">
        <f>'Old Data'!$I62-'Old Data'!$S62</f>
        <v>276</v>
      </c>
      <c r="B66" s="72">
        <f>VLOOKUP('Old Data'!$F62,$R$6:$T$135,2,FALSE)+VLOOKUP('Old Data'!$P62,$R$6:$T$135,3,FALSE)+$B$2</f>
        <v>320.21015989405419</v>
      </c>
      <c r="C66" s="72">
        <f>VLOOKUP('Old Data'!$P62,$R$6:$T$135,2,FALSE)+VLOOKUP('Old Data'!$F62,$R$6:$T$135,3,FALSE)+$B$2</f>
        <v>68.731060776878209</v>
      </c>
      <c r="D66" s="74">
        <f>('Old Data'!$I62-$B66)^2+('Old Data'!$S62-$C66)^2</f>
        <v>341.66803151901127</v>
      </c>
      <c r="E66" s="75">
        <f>'Old Data'!$K62-'Old Data'!$U62</f>
        <v>109</v>
      </c>
      <c r="F66" s="72">
        <f>VLOOKUP('Old Data'!$F62,$V$6:$X$135,2,FALSE)+VLOOKUP('Old Data'!$P62,$V$6:$X$135,3,FALSE)+$C$2</f>
        <v>204.2857327159694</v>
      </c>
      <c r="G66" s="72">
        <f>VLOOKUP('Old Data'!$P62,$V$6:$X$135,2,FALSE)+VLOOKUP('Old Data'!$F62,$V$6:$X$135,3,FALSE)+$C$2</f>
        <v>116.6469963227859</v>
      </c>
      <c r="H66" s="74">
        <f>('Old Data'!$K62-$F66)^2+('Old Data'!$U62-$G66)^2</f>
        <v>1682.521422223851</v>
      </c>
      <c r="I66" s="75">
        <f>('Old Data'!$L62+'Old Data'!$M62)-('Old Data'!$V62+'Old Data'!$W62)</f>
        <v>-12</v>
      </c>
      <c r="J66" s="72">
        <f>VLOOKUP('Old Data'!$F62,$Z$6:$AB$135,2,FALSE)+VLOOKUP('Old Data'!$P62,$Z$6:$AB$135,3,FALSE)+$D$2</f>
        <v>76.058148073174493</v>
      </c>
      <c r="K66" s="72">
        <f>VLOOKUP('Old Data'!$P62,$Z$6:$AB$135,2,FALSE)+VLOOKUP('Old Data'!$F62,$Z$6:$AB$135,3,FALSE)+$D$2</f>
        <v>75.10782545392334</v>
      </c>
      <c r="L66" s="74">
        <f>('Old Data'!$L62+'Old Data'!$M62-$J66)^2+('Old Data'!$V62+'Old Data'!$W62-$K66)^2</f>
        <v>702.17827502561681</v>
      </c>
      <c r="M66" s="75">
        <f>'Old Data'!$N62-'Old Data'!$X62</f>
        <v>0</v>
      </c>
      <c r="N66" s="72">
        <f>VLOOKUP('Old Data'!$F62,$AD$6:$AF$135,2,FALSE)+VLOOKUP('Old Data'!$P62,$AD$6:$AF$135,3,FALSE)+$E$2</f>
        <v>1.523792867941393</v>
      </c>
      <c r="O66" s="72">
        <f>VLOOKUP('Old Data'!$P62,$AD$6:$AF$135,2,FALSE)+VLOOKUP('Old Data'!$F62,$AD$6:$AF$135,3,FALSE)+$E$2</f>
        <v>0.90518342300467913</v>
      </c>
      <c r="P66" s="73">
        <f>('Old Data'!$N62-$N66)^2+('Old Data'!$X62-$O66)^2</f>
        <v>0.28334915177937919</v>
      </c>
      <c r="Q66" s="62"/>
      <c r="R66" s="90" t="s">
        <v>71</v>
      </c>
      <c r="S66" s="96">
        <v>-49.219048835558297</v>
      </c>
      <c r="T66" s="96">
        <v>3.7618453625018602</v>
      </c>
      <c r="U66" s="6"/>
      <c r="V66" s="90" t="s">
        <v>71</v>
      </c>
      <c r="W66" s="96">
        <v>-54.962725503184998</v>
      </c>
      <c r="X66" s="96">
        <v>3.7592198656272302</v>
      </c>
      <c r="Y66" s="6"/>
      <c r="Z66" s="90" t="s">
        <v>71</v>
      </c>
      <c r="AA66" s="96">
        <v>24.7919733121207</v>
      </c>
      <c r="AB66" s="96">
        <v>-17.332484921769499</v>
      </c>
      <c r="AC66" s="63"/>
      <c r="AD66" s="90" t="s">
        <v>71</v>
      </c>
      <c r="AE66" s="96">
        <v>-0.162370561387293</v>
      </c>
      <c r="AF66" s="96">
        <v>-0.114496316086343</v>
      </c>
      <c r="AG66" s="63"/>
      <c r="AH66" s="37"/>
      <c r="AI66" s="22"/>
      <c r="AJ66" s="6"/>
      <c r="AK66" s="10"/>
      <c r="AL66" s="10"/>
      <c r="AM66" s="10"/>
      <c r="AN66" s="11"/>
      <c r="AO66" s="11"/>
      <c r="AP66" s="11"/>
      <c r="AQ66" s="36"/>
      <c r="AR66" s="11"/>
      <c r="AS66" s="11"/>
      <c r="AT66" s="11"/>
      <c r="AU66" s="12"/>
      <c r="AV66" s="11"/>
      <c r="AW66" s="11"/>
      <c r="AX66" s="15"/>
      <c r="AY66" s="15"/>
      <c r="AZ66" s="15"/>
      <c r="BA66" s="15"/>
      <c r="BB66" s="15"/>
      <c r="BC66" s="15"/>
      <c r="BD66" s="15"/>
      <c r="BE66" s="12"/>
      <c r="BF66" s="11"/>
      <c r="BG66" s="11"/>
      <c r="BH66" s="10"/>
      <c r="BI66" s="10"/>
      <c r="BJ66" s="10"/>
      <c r="BK66" s="23"/>
      <c r="BL66" s="23"/>
      <c r="BM66" s="23"/>
      <c r="BN66" s="23"/>
      <c r="BO66" s="23"/>
      <c r="BP66" s="23"/>
      <c r="BQ66" s="23"/>
      <c r="BR66" s="10"/>
      <c r="BS66" s="16"/>
      <c r="BT66" s="16"/>
      <c r="BU66" s="16"/>
      <c r="BV66" s="16"/>
      <c r="BW66" s="11"/>
      <c r="BX66" s="16"/>
      <c r="BY66" s="16"/>
      <c r="BZ66" s="17"/>
      <c r="CA66" s="18"/>
      <c r="CB66" s="18"/>
      <c r="CC66" s="18"/>
      <c r="CD66" s="18"/>
      <c r="CE66" s="18"/>
      <c r="CF66" s="18"/>
      <c r="CG66" s="19"/>
      <c r="CH66" s="15"/>
      <c r="CI66" s="17"/>
      <c r="CJ66" s="10"/>
      <c r="CK66" s="10"/>
      <c r="CL66" s="10"/>
      <c r="CM66" s="17"/>
      <c r="CN66" s="17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</row>
    <row r="67" spans="1:135" customFormat="1">
      <c r="A67" s="71">
        <f>'Old Data'!$I63-'Old Data'!$S63</f>
        <v>190</v>
      </c>
      <c r="B67" s="72">
        <f>VLOOKUP('Old Data'!$F63,$R$6:$T$135,2,FALSE)+VLOOKUP('Old Data'!$P63,$R$6:$T$135,3,FALSE)+$B$2</f>
        <v>296.24886826763179</v>
      </c>
      <c r="C67" s="72">
        <f>VLOOKUP('Old Data'!$P63,$R$6:$T$135,2,FALSE)+VLOOKUP('Old Data'!$F63,$R$6:$T$135,3,FALSE)+$B$2</f>
        <v>121.77308477034211</v>
      </c>
      <c r="D67" s="74">
        <f>('Old Data'!$I63-$B67)^2+('Old Data'!$S63-$C67)^2</f>
        <v>8573.3547849160568</v>
      </c>
      <c r="E67" s="75">
        <f>'Old Data'!$K63-'Old Data'!$U63</f>
        <v>-115</v>
      </c>
      <c r="F67" s="72">
        <f>VLOOKUP('Old Data'!$F63,$V$6:$X$135,2,FALSE)+VLOOKUP('Old Data'!$P63,$V$6:$X$135,3,FALSE)+$C$2</f>
        <v>171.3785122979277</v>
      </c>
      <c r="G67" s="72">
        <f>VLOOKUP('Old Data'!$P63,$V$6:$X$135,2,FALSE)+VLOOKUP('Old Data'!$F63,$V$6:$X$135,3,FALSE)+$C$2</f>
        <v>201.6000717993137</v>
      </c>
      <c r="H67" s="74">
        <f>('Old Data'!$K63-$F67)^2+('Old Data'!$U63-$G67)^2</f>
        <v>20895.675573922061</v>
      </c>
      <c r="I67" s="75">
        <f>('Old Data'!$L63+'Old Data'!$M63)-('Old Data'!$V63+'Old Data'!$W63)</f>
        <v>29</v>
      </c>
      <c r="J67" s="72">
        <f>VLOOKUP('Old Data'!$F63,$Z$6:$AB$135,2,FALSE)+VLOOKUP('Old Data'!$P63,$Z$6:$AB$135,3,FALSE)+$D$2</f>
        <v>47.144582418692366</v>
      </c>
      <c r="K67" s="72">
        <f>VLOOKUP('Old Data'!$P63,$Z$6:$AB$135,2,FALSE)+VLOOKUP('Old Data'!$F63,$Z$6:$AB$135,3,FALSE)+$D$2</f>
        <v>-10.9529169280747</v>
      </c>
      <c r="L67" s="74">
        <f>('Old Data'!$L63+'Old Data'!$M63-$J67)^2+('Old Data'!$V63+'Old Data'!$W63-$K67)^2</f>
        <v>449.19226038202544</v>
      </c>
      <c r="M67" s="75">
        <f>'Old Data'!$N63-'Old Data'!$X63</f>
        <v>1</v>
      </c>
      <c r="N67" s="72">
        <f>VLOOKUP('Old Data'!$F63,$AD$6:$AF$135,2,FALSE)+VLOOKUP('Old Data'!$P63,$AD$6:$AF$135,3,FALSE)+$E$2</f>
        <v>1.3132701384936649</v>
      </c>
      <c r="O67" s="72">
        <f>VLOOKUP('Old Data'!$P63,$AD$6:$AF$135,2,FALSE)+VLOOKUP('Old Data'!$F63,$AD$6:$AF$135,3,FALSE)+$E$2</f>
        <v>1.4356016544272585</v>
      </c>
      <c r="P67" s="73">
        <f>('Old Data'!$N63-$N67)^2+('Old Data'!$X63-$O67)^2</f>
        <v>0.66134670402427487</v>
      </c>
      <c r="Q67" s="62"/>
      <c r="R67" s="90" t="s">
        <v>78</v>
      </c>
      <c r="S67" s="96">
        <v>9.1397423877065798</v>
      </c>
      <c r="T67" s="96">
        <v>-69.267260904133593</v>
      </c>
      <c r="U67" s="6"/>
      <c r="V67" s="90" t="s">
        <v>78</v>
      </c>
      <c r="W67" s="96">
        <v>33.7761475757681</v>
      </c>
      <c r="X67" s="96">
        <v>-40.338966437495202</v>
      </c>
      <c r="Y67" s="6"/>
      <c r="Z67" s="90" t="s">
        <v>78</v>
      </c>
      <c r="AA67" s="96">
        <v>19.760131349561</v>
      </c>
      <c r="AB67" s="96">
        <v>-14.749344979217</v>
      </c>
      <c r="AC67" s="63"/>
      <c r="AD67" s="90" t="s">
        <v>78</v>
      </c>
      <c r="AE67" s="96">
        <v>0.122758683312139</v>
      </c>
      <c r="AF67" s="96">
        <v>-6.3106889483631495E-2</v>
      </c>
      <c r="AG67" s="63"/>
      <c r="AH67" s="37"/>
      <c r="AI67" s="22"/>
      <c r="AJ67" s="6"/>
      <c r="AK67" s="10"/>
      <c r="AL67" s="10"/>
      <c r="AM67" s="10"/>
      <c r="AN67" s="11"/>
      <c r="AO67" s="11"/>
      <c r="AP67" s="11"/>
      <c r="AQ67" s="36"/>
      <c r="AR67" s="11"/>
      <c r="AS67" s="11"/>
      <c r="AT67" s="11"/>
      <c r="AU67" s="12"/>
      <c r="AV67" s="11"/>
      <c r="AW67" s="11"/>
      <c r="AX67" s="15"/>
      <c r="AY67" s="15"/>
      <c r="AZ67" s="15"/>
      <c r="BA67" s="15"/>
      <c r="BB67" s="15"/>
      <c r="BC67" s="15"/>
      <c r="BD67" s="15"/>
      <c r="BE67" s="12"/>
      <c r="BF67" s="11"/>
      <c r="BG67" s="11"/>
      <c r="BH67" s="10"/>
      <c r="BI67" s="10"/>
      <c r="BJ67" s="10"/>
      <c r="BK67" s="23"/>
      <c r="BL67" s="23"/>
      <c r="BM67" s="23"/>
      <c r="BN67" s="23"/>
      <c r="BO67" s="23"/>
      <c r="BP67" s="23"/>
      <c r="BQ67" s="23"/>
      <c r="BR67" s="10"/>
      <c r="BS67" s="16"/>
      <c r="BT67" s="16"/>
      <c r="BU67" s="16"/>
      <c r="BV67" s="16"/>
      <c r="BW67" s="11"/>
      <c r="BX67" s="16"/>
      <c r="BY67" s="16"/>
      <c r="BZ67" s="17"/>
      <c r="CA67" s="18"/>
      <c r="CB67" s="18"/>
      <c r="CC67" s="18"/>
      <c r="CD67" s="18"/>
      <c r="CE67" s="18"/>
      <c r="CF67" s="18"/>
      <c r="CG67" s="19"/>
      <c r="CH67" s="15"/>
      <c r="CI67" s="17"/>
      <c r="CJ67" s="10"/>
      <c r="CK67" s="10"/>
      <c r="CL67" s="10"/>
      <c r="CM67" s="17"/>
      <c r="CN67" s="17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</row>
    <row r="68" spans="1:135" customFormat="1">
      <c r="A68" s="71">
        <f>'Old Data'!$I64-'Old Data'!$S64</f>
        <v>284</v>
      </c>
      <c r="B68" s="72">
        <f>VLOOKUP('Old Data'!$F64,$R$6:$T$135,2,FALSE)+VLOOKUP('Old Data'!$P64,$R$6:$T$135,3,FALSE)+$B$2</f>
        <v>246.54444772035791</v>
      </c>
      <c r="C68" s="72">
        <f>VLOOKUP('Old Data'!$P64,$R$6:$T$135,2,FALSE)+VLOOKUP('Old Data'!$F64,$R$6:$T$135,3,FALSE)+$B$2</f>
        <v>171.13661132139791</v>
      </c>
      <c r="D68" s="74">
        <f>('Old Data'!$I64-$B68)^2+('Old Data'!$S64-$C68)^2</f>
        <v>21775.309865298404</v>
      </c>
      <c r="E68" s="75">
        <f>'Old Data'!$K64-'Old Data'!$U64</f>
        <v>-34</v>
      </c>
      <c r="F68" s="72">
        <f>VLOOKUP('Old Data'!$F64,$V$6:$X$135,2,FALSE)+VLOOKUP('Old Data'!$P64,$V$6:$X$135,3,FALSE)+$C$2</f>
        <v>214.52881382825029</v>
      </c>
      <c r="G68" s="72">
        <f>VLOOKUP('Old Data'!$P64,$V$6:$X$135,2,FALSE)+VLOOKUP('Old Data'!$F64,$V$6:$X$135,3,FALSE)+$C$2</f>
        <v>280.88826543153942</v>
      </c>
      <c r="H68" s="74">
        <f>('Old Data'!$K64-$F68)^2+('Old Data'!$U64-$G68)^2</f>
        <v>9049.516648554827</v>
      </c>
      <c r="I68" s="75">
        <f>('Old Data'!$L64+'Old Data'!$M64)-('Old Data'!$V64+'Old Data'!$W64)</f>
        <v>-113</v>
      </c>
      <c r="J68" s="72">
        <f>VLOOKUP('Old Data'!$F64,$Z$6:$AB$135,2,FALSE)+VLOOKUP('Old Data'!$P64,$Z$6:$AB$135,3,FALSE)+$D$2</f>
        <v>72.948040251155305</v>
      </c>
      <c r="K68" s="72">
        <f>VLOOKUP('Old Data'!$P64,$Z$6:$AB$135,2,FALSE)+VLOOKUP('Old Data'!$F64,$Z$6:$AB$135,3,FALSE)+$D$2</f>
        <v>86.065367702534161</v>
      </c>
      <c r="L68" s="74">
        <f>('Old Data'!$L64+'Old Data'!$M64-$J68)^2+('Old Data'!$V64+'Old Data'!$W64-$K68)^2</f>
        <v>5006.3546753362862</v>
      </c>
      <c r="M68" s="75">
        <f>'Old Data'!$N64-'Old Data'!$X64</f>
        <v>1</v>
      </c>
      <c r="N68" s="72">
        <f>VLOOKUP('Old Data'!$F64,$AD$6:$AF$135,2,FALSE)+VLOOKUP('Old Data'!$P64,$AD$6:$AF$135,3,FALSE)+$E$2</f>
        <v>0.80103096294942833</v>
      </c>
      <c r="O68" s="72">
        <f>VLOOKUP('Old Data'!$P64,$AD$6:$AF$135,2,FALSE)+VLOOKUP('Old Data'!$F64,$AD$6:$AF$135,3,FALSE)+$E$2</f>
        <v>2.2988672876863041</v>
      </c>
      <c r="P68" s="73">
        <f>('Old Data'!$N64-$N68)^2+('Old Data'!$X64-$O68)^2</f>
        <v>3.1245829828275511</v>
      </c>
      <c r="Q68" s="62"/>
      <c r="R68" s="90" t="s">
        <v>16</v>
      </c>
      <c r="S68" s="96">
        <v>31.482824066427501</v>
      </c>
      <c r="T68" s="96">
        <v>-64.8660300735406</v>
      </c>
      <c r="U68" s="6"/>
      <c r="V68" s="90" t="s">
        <v>16</v>
      </c>
      <c r="W68" s="96">
        <v>38.739228243096697</v>
      </c>
      <c r="X68" s="96">
        <v>-13.647988080419999</v>
      </c>
      <c r="Y68" s="6"/>
      <c r="Z68" s="90" t="s">
        <v>16</v>
      </c>
      <c r="AA68" s="96">
        <v>-18.624914209163499</v>
      </c>
      <c r="AB68" s="96">
        <v>14.096083913268</v>
      </c>
      <c r="AC68" s="63"/>
      <c r="AD68" s="90" t="s">
        <v>16</v>
      </c>
      <c r="AE68" s="96">
        <v>4.9680700790563003E-3</v>
      </c>
      <c r="AF68" s="96">
        <v>-0.49450992597787902</v>
      </c>
      <c r="AG68" s="63"/>
      <c r="AH68" s="37"/>
      <c r="AI68" s="22"/>
      <c r="AJ68" s="6"/>
      <c r="AK68" s="10"/>
      <c r="AL68" s="10"/>
      <c r="AM68" s="10"/>
      <c r="AN68" s="11"/>
      <c r="AO68" s="11"/>
      <c r="AP68" s="11"/>
      <c r="AQ68" s="36"/>
      <c r="AR68" s="11"/>
      <c r="AS68" s="11"/>
      <c r="AT68" s="11"/>
      <c r="AU68" s="12"/>
      <c r="AV68" s="11"/>
      <c r="AW68" s="11"/>
      <c r="AX68" s="15"/>
      <c r="AY68" s="15"/>
      <c r="AZ68" s="15"/>
      <c r="BA68" s="15"/>
      <c r="BB68" s="15"/>
      <c r="BC68" s="15"/>
      <c r="BD68" s="15"/>
      <c r="BE68" s="12"/>
      <c r="BF68" s="11"/>
      <c r="BG68" s="11"/>
      <c r="BH68" s="10"/>
      <c r="BI68" s="10"/>
      <c r="BJ68" s="10"/>
      <c r="BK68" s="23"/>
      <c r="BL68" s="23"/>
      <c r="BM68" s="23"/>
      <c r="BN68" s="23"/>
      <c r="BO68" s="23"/>
      <c r="BP68" s="23"/>
      <c r="BQ68" s="23"/>
      <c r="BR68" s="10"/>
      <c r="BS68" s="16"/>
      <c r="BT68" s="16"/>
      <c r="BU68" s="16"/>
      <c r="BV68" s="16"/>
      <c r="BW68" s="11"/>
      <c r="BX68" s="16"/>
      <c r="BY68" s="16"/>
      <c r="BZ68" s="17"/>
      <c r="CA68" s="18"/>
      <c r="CB68" s="18"/>
      <c r="CC68" s="18"/>
      <c r="CD68" s="18"/>
      <c r="CE68" s="18"/>
      <c r="CF68" s="18"/>
      <c r="CG68" s="19"/>
      <c r="CH68" s="15"/>
      <c r="CI68" s="17"/>
      <c r="CJ68" s="10"/>
      <c r="CK68" s="10"/>
      <c r="CL68" s="10"/>
      <c r="CM68" s="17"/>
      <c r="CN68" s="17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</row>
    <row r="69" spans="1:135" customFormat="1">
      <c r="A69" s="71">
        <f>'Old Data'!$I65-'Old Data'!$S65</f>
        <v>184</v>
      </c>
      <c r="B69" s="72">
        <f>VLOOKUP('Old Data'!$F65,$R$6:$T$135,2,FALSE)+VLOOKUP('Old Data'!$P65,$R$6:$T$135,3,FALSE)+$B$2</f>
        <v>180.70493016181751</v>
      </c>
      <c r="C69" s="72">
        <f>VLOOKUP('Old Data'!$P65,$R$6:$T$135,2,FALSE)+VLOOKUP('Old Data'!$F65,$R$6:$T$135,3,FALSE)+$B$2</f>
        <v>113.60609927811748</v>
      </c>
      <c r="D69" s="74">
        <f>('Old Data'!$I65-$B69)^2+('Old Data'!$S65-$C69)^2</f>
        <v>7113.5253334766967</v>
      </c>
      <c r="E69" s="75">
        <f>'Old Data'!$K65-'Old Data'!$U65</f>
        <v>46</v>
      </c>
      <c r="F69" s="72">
        <f>VLOOKUP('Old Data'!$F65,$V$6:$X$135,2,FALSE)+VLOOKUP('Old Data'!$P65,$V$6:$X$135,3,FALSE)+$C$2</f>
        <v>275.31893499755398</v>
      </c>
      <c r="G69" s="72">
        <f>VLOOKUP('Old Data'!$P65,$V$6:$X$135,2,FALSE)+VLOOKUP('Old Data'!$F65,$V$6:$X$135,3,FALSE)+$C$2</f>
        <v>216.20829423086988</v>
      </c>
      <c r="H69" s="74">
        <f>('Old Data'!$K65-$F69)^2+('Old Data'!$U65-$G69)^2</f>
        <v>7832.6797824331888</v>
      </c>
      <c r="I69" s="75">
        <f>('Old Data'!$L65+'Old Data'!$M65)-('Old Data'!$V65+'Old Data'!$W65)</f>
        <v>-57</v>
      </c>
      <c r="J69" s="72">
        <f>VLOOKUP('Old Data'!$F65,$Z$6:$AB$135,2,FALSE)+VLOOKUP('Old Data'!$P65,$Z$6:$AB$135,3,FALSE)+$D$2</f>
        <v>58.512948823461599</v>
      </c>
      <c r="K69" s="72">
        <f>VLOOKUP('Old Data'!$P65,$Z$6:$AB$135,2,FALSE)+VLOOKUP('Old Data'!$F65,$Z$6:$AB$135,3,FALSE)+$D$2</f>
        <v>86.402348160078532</v>
      </c>
      <c r="L69" s="74">
        <f>('Old Data'!$L65+'Old Data'!$M65-$J69)^2+('Old Data'!$V65+'Old Data'!$W65-$K69)^2</f>
        <v>818.08880725285439</v>
      </c>
      <c r="M69" s="75">
        <f>'Old Data'!$N65-'Old Data'!$X65</f>
        <v>1</v>
      </c>
      <c r="N69" s="72">
        <f>VLOOKUP('Old Data'!$F65,$AD$6:$AF$135,2,FALSE)+VLOOKUP('Old Data'!$P65,$AD$6:$AF$135,3,FALSE)+$E$2</f>
        <v>1.7890772553956511</v>
      </c>
      <c r="O69" s="72">
        <f>VLOOKUP('Old Data'!$P65,$AD$6:$AF$135,2,FALSE)+VLOOKUP('Old Data'!$F65,$AD$6:$AF$135,3,FALSE)+$E$2</f>
        <v>2.0002659594248842</v>
      </c>
      <c r="P69" s="73">
        <f>('Old Data'!$N65-$N69)^2+('Old Data'!$X65-$O69)^2</f>
        <v>1.4663339641345448</v>
      </c>
      <c r="Q69" s="62"/>
      <c r="R69" s="90" t="s">
        <v>126</v>
      </c>
      <c r="S69" s="96">
        <v>93.773127270478597</v>
      </c>
      <c r="T69" s="96">
        <v>-27.691056620782899</v>
      </c>
      <c r="U69" s="6"/>
      <c r="V69" s="90" t="s">
        <v>126</v>
      </c>
      <c r="W69" s="96">
        <v>-24.4439854813068</v>
      </c>
      <c r="X69" s="96">
        <v>29.517921536744101</v>
      </c>
      <c r="Y69" s="6"/>
      <c r="Z69" s="90" t="s">
        <v>126</v>
      </c>
      <c r="AA69" s="96">
        <v>-20.802674376415599</v>
      </c>
      <c r="AB69" s="96">
        <v>-4.4548642539743897</v>
      </c>
      <c r="AC69" s="63"/>
      <c r="AD69" s="90" t="s">
        <v>126</v>
      </c>
      <c r="AE69" s="96">
        <v>-0.24526477203038899</v>
      </c>
      <c r="AF69" s="96">
        <v>-0.27458278264834302</v>
      </c>
      <c r="AG69" s="63"/>
      <c r="AH69" s="37"/>
      <c r="AI69" s="22"/>
      <c r="AJ69" s="6"/>
      <c r="AK69" s="10"/>
      <c r="AL69" s="10"/>
      <c r="AM69" s="10"/>
      <c r="AN69" s="11"/>
      <c r="AO69" s="11"/>
      <c r="AP69" s="11"/>
      <c r="AQ69" s="36"/>
      <c r="AR69" s="11"/>
      <c r="AS69" s="11"/>
      <c r="AT69" s="11"/>
      <c r="AU69" s="12"/>
      <c r="AV69" s="11"/>
      <c r="AW69" s="11"/>
      <c r="AX69" s="15"/>
      <c r="AY69" s="15"/>
      <c r="AZ69" s="15"/>
      <c r="BA69" s="15"/>
      <c r="BB69" s="15"/>
      <c r="BC69" s="15"/>
      <c r="BD69" s="15"/>
      <c r="BE69" s="12"/>
      <c r="BF69" s="11"/>
      <c r="BG69" s="11"/>
      <c r="BH69" s="10"/>
      <c r="BI69" s="10"/>
      <c r="BJ69" s="10"/>
      <c r="BK69" s="23"/>
      <c r="BL69" s="23"/>
      <c r="BM69" s="23"/>
      <c r="BN69" s="23"/>
      <c r="BO69" s="23"/>
      <c r="BP69" s="23"/>
      <c r="BQ69" s="23"/>
      <c r="BR69" s="10"/>
      <c r="BS69" s="16"/>
      <c r="BT69" s="16"/>
      <c r="BU69" s="16"/>
      <c r="BV69" s="16"/>
      <c r="BW69" s="11"/>
      <c r="BX69" s="16"/>
      <c r="BY69" s="16"/>
      <c r="BZ69" s="17"/>
      <c r="CA69" s="18"/>
      <c r="CB69" s="18"/>
      <c r="CC69" s="18"/>
      <c r="CD69" s="18"/>
      <c r="CE69" s="18"/>
      <c r="CF69" s="18"/>
      <c r="CG69" s="19"/>
      <c r="CH69" s="15"/>
      <c r="CI69" s="17"/>
      <c r="CJ69" s="10"/>
      <c r="CK69" s="10"/>
      <c r="CL69" s="10"/>
      <c r="CM69" s="17"/>
      <c r="CN69" s="17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</row>
    <row r="70" spans="1:135" customFormat="1">
      <c r="A70" s="71">
        <f>'Old Data'!$I66-'Old Data'!$S66</f>
        <v>-92</v>
      </c>
      <c r="B70" s="72">
        <f>VLOOKUP('Old Data'!$F66,$R$6:$T$135,2,FALSE)+VLOOKUP('Old Data'!$P66,$R$6:$T$135,3,FALSE)+$B$2</f>
        <v>182.85583235322736</v>
      </c>
      <c r="C70" s="72">
        <f>VLOOKUP('Old Data'!$P66,$R$6:$T$135,2,FALSE)+VLOOKUP('Old Data'!$F66,$R$6:$T$135,3,FALSE)+$B$2</f>
        <v>174.74510319976491</v>
      </c>
      <c r="D70" s="74">
        <f>('Old Data'!$I66-$B70)^2+('Old Data'!$S66-$C70)^2</f>
        <v>6241.2054496850042</v>
      </c>
      <c r="E70" s="75">
        <f>'Old Data'!$K66-'Old Data'!$U66</f>
        <v>189</v>
      </c>
      <c r="F70" s="72">
        <f>VLOOKUP('Old Data'!$F66,$V$6:$X$135,2,FALSE)+VLOOKUP('Old Data'!$P66,$V$6:$X$135,3,FALSE)+$C$2</f>
        <v>225.6311178360765</v>
      </c>
      <c r="G70" s="72">
        <f>VLOOKUP('Old Data'!$P66,$V$6:$X$135,2,FALSE)+VLOOKUP('Old Data'!$F66,$V$6:$X$135,3,FALSE)+$C$2</f>
        <v>38.191258241488782</v>
      </c>
      <c r="H70" s="74">
        <f>('Old Data'!$K66-$F70)^2+('Old Data'!$U66-$G70)^2</f>
        <v>63.686657317992463</v>
      </c>
      <c r="I70" s="75">
        <f>('Old Data'!$L66+'Old Data'!$M66)-('Old Data'!$V66+'Old Data'!$W66)</f>
        <v>58</v>
      </c>
      <c r="J70" s="72">
        <f>VLOOKUP('Old Data'!$F66,$Z$6:$AB$135,2,FALSE)+VLOOKUP('Old Data'!$P66,$Z$6:$AB$135,3,FALSE)+$D$2</f>
        <v>90.085506345514489</v>
      </c>
      <c r="K70" s="72">
        <f>VLOOKUP('Old Data'!$P66,$Z$6:$AB$135,2,FALSE)+VLOOKUP('Old Data'!$F66,$Z$6:$AB$135,3,FALSE)+$D$2</f>
        <v>4.9843443453202951</v>
      </c>
      <c r="L70" s="74">
        <f>('Old Data'!$L66+'Old Data'!$M66-$J70)^2+('Old Data'!$V66+'Old Data'!$W66-$K70)^2</f>
        <v>452.6469894207421</v>
      </c>
      <c r="M70" s="75">
        <f>'Old Data'!$N66-'Old Data'!$X66</f>
        <v>0</v>
      </c>
      <c r="N70" s="72">
        <f>VLOOKUP('Old Data'!$F66,$AD$6:$AF$135,2,FALSE)+VLOOKUP('Old Data'!$P66,$AD$6:$AF$135,3,FALSE)+$E$2</f>
        <v>1.5895916220594586</v>
      </c>
      <c r="O70" s="72">
        <f>VLOOKUP('Old Data'!$P66,$AD$6:$AF$135,2,FALSE)+VLOOKUP('Old Data'!$F66,$AD$6:$AF$135,3,FALSE)+$E$2</f>
        <v>0.89663072955521861</v>
      </c>
      <c r="P70" s="73">
        <f>('Old Data'!$N66-$N70)^2+('Old Data'!$X66-$O70)^2</f>
        <v>6.4134140804162811</v>
      </c>
      <c r="Q70" s="62"/>
      <c r="R70" s="90" t="s">
        <v>73</v>
      </c>
      <c r="S70" s="96">
        <v>-5.5601881365505497</v>
      </c>
      <c r="T70" s="96">
        <v>-33.2536672284253</v>
      </c>
      <c r="U70" s="6"/>
      <c r="V70" s="90" t="s">
        <v>73</v>
      </c>
      <c r="W70" s="96">
        <v>-0.37360408397522299</v>
      </c>
      <c r="X70" s="96">
        <v>-28.6639118880355</v>
      </c>
      <c r="Y70" s="6"/>
      <c r="Z70" s="90" t="s">
        <v>73</v>
      </c>
      <c r="AA70" s="96">
        <v>-16.010429054948901</v>
      </c>
      <c r="AB70" s="96">
        <v>-27.020858233477899</v>
      </c>
      <c r="AC70" s="63"/>
      <c r="AD70" s="90" t="s">
        <v>73</v>
      </c>
      <c r="AE70" s="96">
        <v>7.2840951730811801E-2</v>
      </c>
      <c r="AF70" s="96">
        <v>-0.23866527915990801</v>
      </c>
      <c r="AG70" s="63"/>
      <c r="AH70" s="37"/>
      <c r="AI70" s="22"/>
      <c r="AJ70" s="6"/>
      <c r="AK70" s="10"/>
      <c r="AL70" s="10"/>
      <c r="AM70" s="10"/>
      <c r="AN70" s="11"/>
      <c r="AO70" s="11"/>
      <c r="AP70" s="11"/>
      <c r="AQ70" s="36"/>
      <c r="AR70" s="11"/>
      <c r="AS70" s="11"/>
      <c r="AT70" s="11"/>
      <c r="AU70" s="12"/>
      <c r="AV70" s="11"/>
      <c r="AW70" s="11"/>
      <c r="AX70" s="15"/>
      <c r="AY70" s="15"/>
      <c r="AZ70" s="15"/>
      <c r="BA70" s="15"/>
      <c r="BB70" s="15"/>
      <c r="BC70" s="15"/>
      <c r="BD70" s="15"/>
      <c r="BE70" s="12"/>
      <c r="BF70" s="11"/>
      <c r="BG70" s="11"/>
      <c r="BH70" s="10"/>
      <c r="BI70" s="10"/>
      <c r="BJ70" s="10"/>
      <c r="BK70" s="23"/>
      <c r="BL70" s="23"/>
      <c r="BM70" s="23"/>
      <c r="BN70" s="23"/>
      <c r="BO70" s="23"/>
      <c r="BP70" s="23"/>
      <c r="BQ70" s="23"/>
      <c r="BR70" s="10"/>
      <c r="BS70" s="16"/>
      <c r="BT70" s="16"/>
      <c r="BU70" s="16"/>
      <c r="BV70" s="16"/>
      <c r="BW70" s="11"/>
      <c r="BX70" s="16"/>
      <c r="BY70" s="16"/>
      <c r="BZ70" s="17"/>
      <c r="CA70" s="18"/>
      <c r="CB70" s="18"/>
      <c r="CC70" s="18"/>
      <c r="CD70" s="18"/>
      <c r="CE70" s="18"/>
      <c r="CF70" s="18"/>
      <c r="CG70" s="19"/>
      <c r="CH70" s="15"/>
      <c r="CI70" s="17"/>
      <c r="CJ70" s="10"/>
      <c r="CK70" s="10"/>
      <c r="CL70" s="10"/>
      <c r="CM70" s="17"/>
      <c r="CN70" s="17"/>
      <c r="CO70" s="10"/>
      <c r="CP70" s="10"/>
      <c r="CQ70" s="10"/>
      <c r="CR70" s="10"/>
      <c r="CS70" s="10"/>
      <c r="CT70" s="50"/>
      <c r="CU70" s="10"/>
      <c r="CV70" s="10"/>
      <c r="CW70" s="10"/>
      <c r="CX70" s="10"/>
      <c r="CY70" s="10"/>
      <c r="CZ70" s="10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</row>
    <row r="71" spans="1:135" customFormat="1">
      <c r="A71" s="71">
        <f>'Old Data'!$I67-'Old Data'!$S67</f>
        <v>179</v>
      </c>
      <c r="B71" s="72">
        <f>VLOOKUP('Old Data'!$F67,$R$6:$T$135,2,FALSE)+VLOOKUP('Old Data'!$P67,$R$6:$T$135,3,FALSE)+$B$2</f>
        <v>346.15701466265398</v>
      </c>
      <c r="C71" s="72">
        <f>VLOOKUP('Old Data'!$P67,$R$6:$T$135,2,FALSE)+VLOOKUP('Old Data'!$F67,$R$6:$T$135,3,FALSE)+$B$2</f>
        <v>130.83003324110112</v>
      </c>
      <c r="D71" s="74">
        <f>('Old Data'!$I67-$B71)^2+('Old Data'!$S67-$C71)^2</f>
        <v>16145.545304540221</v>
      </c>
      <c r="E71" s="75">
        <f>'Old Data'!$K67-'Old Data'!$U67</f>
        <v>-54</v>
      </c>
      <c r="F71" s="72">
        <f>VLOOKUP('Old Data'!$F67,$V$6:$X$135,2,FALSE)+VLOOKUP('Old Data'!$P67,$V$6:$X$135,3,FALSE)+$C$2</f>
        <v>182.66247694571041</v>
      </c>
      <c r="G71" s="72">
        <f>VLOOKUP('Old Data'!$P67,$V$6:$X$135,2,FALSE)+VLOOKUP('Old Data'!$F67,$V$6:$X$135,3,FALSE)+$C$2</f>
        <v>242.02860203124891</v>
      </c>
      <c r="H71" s="74">
        <f>('Old Data'!$K67-$F71)^2+('Old Data'!$U67-$G71)^2</f>
        <v>7372.3248091039841</v>
      </c>
      <c r="I71" s="75">
        <f>('Old Data'!$L67+'Old Data'!$M67)-('Old Data'!$V67+'Old Data'!$W67)</f>
        <v>-79</v>
      </c>
      <c r="J71" s="72">
        <f>VLOOKUP('Old Data'!$F67,$Z$6:$AB$135,2,FALSE)+VLOOKUP('Old Data'!$P67,$Z$6:$AB$135,3,FALSE)+$D$2</f>
        <v>11.183737981795602</v>
      </c>
      <c r="K71" s="72">
        <f>VLOOKUP('Old Data'!$P67,$Z$6:$AB$135,2,FALSE)+VLOOKUP('Old Data'!$F67,$Z$6:$AB$135,3,FALSE)+$D$2</f>
        <v>74.783126282739204</v>
      </c>
      <c r="L71" s="74">
        <f>('Old Data'!$L67+'Old Data'!$M67-$J71)^2+('Old Data'!$V67+'Old Data'!$W67-$K71)^2</f>
        <v>1044.5148059660421</v>
      </c>
      <c r="M71" s="75">
        <f>'Old Data'!$N67-'Old Data'!$X67</f>
        <v>-1</v>
      </c>
      <c r="N71" s="72">
        <f>VLOOKUP('Old Data'!$F67,$AD$6:$AF$135,2,FALSE)+VLOOKUP('Old Data'!$P67,$AD$6:$AF$135,3,FALSE)+$E$2</f>
        <v>1.6960197690784891</v>
      </c>
      <c r="O71" s="72">
        <f>VLOOKUP('Old Data'!$P67,$AD$6:$AF$135,2,FALSE)+VLOOKUP('Old Data'!$F67,$AD$6:$AF$135,3,FALSE)+$E$2</f>
        <v>0.91542437116511011</v>
      </c>
      <c r="P71" s="73">
        <f>('Old Data'!$N67-$N71)^2+('Old Data'!$X67-$O71)^2</f>
        <v>1.6607478136106701</v>
      </c>
      <c r="Q71" s="62"/>
      <c r="R71" s="90" t="s">
        <v>72</v>
      </c>
      <c r="S71" s="96">
        <v>28.000443650982199</v>
      </c>
      <c r="T71" s="96">
        <v>-7.6020244662012297</v>
      </c>
      <c r="U71" s="6"/>
      <c r="V71" s="90" t="s">
        <v>72</v>
      </c>
      <c r="W71" s="96">
        <v>-35.097299041060701</v>
      </c>
      <c r="X71" s="96">
        <v>1.30761452959235</v>
      </c>
      <c r="Y71" s="6"/>
      <c r="Z71" s="90" t="s">
        <v>72</v>
      </c>
      <c r="AA71" s="96">
        <v>-10.620381042279799</v>
      </c>
      <c r="AB71" s="96">
        <v>18.142134926336599</v>
      </c>
      <c r="AC71" s="63"/>
      <c r="AD71" s="90" t="s">
        <v>72</v>
      </c>
      <c r="AE71" s="96">
        <v>0.23584808633314899</v>
      </c>
      <c r="AF71" s="96">
        <v>-0.43438148825149803</v>
      </c>
      <c r="AG71" s="63"/>
      <c r="AH71" s="37"/>
      <c r="AI71" s="22"/>
      <c r="AJ71" s="6"/>
      <c r="AK71" s="10"/>
      <c r="AL71" s="10"/>
      <c r="AM71" s="10"/>
      <c r="AN71" s="11"/>
      <c r="AO71" s="11"/>
      <c r="AP71" s="11"/>
      <c r="AQ71" s="36"/>
      <c r="AR71" s="11"/>
      <c r="AS71" s="11"/>
      <c r="AT71" s="11"/>
      <c r="AU71" s="12"/>
      <c r="AV71" s="11"/>
      <c r="AW71" s="11"/>
      <c r="AX71" s="15"/>
      <c r="AY71" s="15"/>
      <c r="AZ71" s="15"/>
      <c r="BA71" s="15"/>
      <c r="BB71" s="15"/>
      <c r="BC71" s="15"/>
      <c r="BD71" s="15"/>
      <c r="BE71" s="12"/>
      <c r="BF71" s="11"/>
      <c r="BG71" s="11"/>
      <c r="BH71" s="10"/>
      <c r="BI71" s="10"/>
      <c r="BJ71" s="10"/>
      <c r="BK71" s="23"/>
      <c r="BL71" s="23"/>
      <c r="BM71" s="23"/>
      <c r="BN71" s="23"/>
      <c r="BO71" s="23"/>
      <c r="BP71" s="23"/>
      <c r="BQ71" s="23"/>
      <c r="BR71" s="10"/>
      <c r="BS71" s="16"/>
      <c r="BT71" s="16"/>
      <c r="BU71" s="16"/>
      <c r="BV71" s="16"/>
      <c r="BW71" s="11"/>
      <c r="BX71" s="16"/>
      <c r="BY71" s="16"/>
      <c r="BZ71" s="17"/>
      <c r="CA71" s="18"/>
      <c r="CB71" s="18"/>
      <c r="CC71" s="18"/>
      <c r="CD71" s="18"/>
      <c r="CE71" s="18"/>
      <c r="CF71" s="18"/>
      <c r="CG71" s="19"/>
      <c r="CH71" s="15"/>
      <c r="CI71" s="17"/>
      <c r="CJ71" s="10"/>
      <c r="CK71" s="10"/>
      <c r="CL71" s="10"/>
      <c r="CM71" s="17"/>
      <c r="CN71" s="17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</row>
    <row r="72" spans="1:135" customFormat="1">
      <c r="A72" s="71">
        <f>'Old Data'!$I68-'Old Data'!$S68</f>
        <v>202</v>
      </c>
      <c r="B72" s="72">
        <f>VLOOKUP('Old Data'!$F68,$R$6:$T$135,2,FALSE)+VLOOKUP('Old Data'!$P68,$R$6:$T$135,3,FALSE)+$B$2</f>
        <v>116.73470656665386</v>
      </c>
      <c r="C72" s="72">
        <f>VLOOKUP('Old Data'!$P68,$R$6:$T$135,2,FALSE)+VLOOKUP('Old Data'!$F68,$R$6:$T$135,3,FALSE)+$B$2</f>
        <v>89.020703013264011</v>
      </c>
      <c r="D72" s="74">
        <f>('Old Data'!$I68-$B72)^2+('Old Data'!$S68-$C72)^2</f>
        <v>16769.531254455302</v>
      </c>
      <c r="E72" s="75">
        <f>'Old Data'!$K68-'Old Data'!$U68</f>
        <v>9</v>
      </c>
      <c r="F72" s="72">
        <f>VLOOKUP('Old Data'!$F68,$V$6:$X$135,2,FALSE)+VLOOKUP('Old Data'!$P68,$V$6:$X$135,3,FALSE)+$C$2</f>
        <v>234.36448403034495</v>
      </c>
      <c r="G72" s="72">
        <f>VLOOKUP('Old Data'!$P68,$V$6:$X$135,2,FALSE)+VLOOKUP('Old Data'!$F68,$V$6:$X$135,3,FALSE)+$C$2</f>
        <v>216.54473588377078</v>
      </c>
      <c r="H72" s="74">
        <f>('Old Data'!$K68-$F72)^2+('Old Data'!$U68-$G72)^2</f>
        <v>12824.373285455014</v>
      </c>
      <c r="I72" s="75">
        <f>('Old Data'!$L68+'Old Data'!$M68)-('Old Data'!$V68+'Old Data'!$W68)</f>
        <v>-39</v>
      </c>
      <c r="J72" s="72">
        <f>VLOOKUP('Old Data'!$F68,$Z$6:$AB$135,2,FALSE)+VLOOKUP('Old Data'!$P68,$Z$6:$AB$135,3,FALSE)+$D$2</f>
        <v>21.404624046991302</v>
      </c>
      <c r="K72" s="72">
        <f>VLOOKUP('Old Data'!$P68,$Z$6:$AB$135,2,FALSE)+VLOOKUP('Old Data'!$F68,$Z$6:$AB$135,3,FALSE)+$D$2</f>
        <v>35.065156107182673</v>
      </c>
      <c r="L72" s="74">
        <f>('Old Data'!$L68+'Old Data'!$M68-$J72)^2+('Old Data'!$V68+'Old Data'!$W68-$K72)^2</f>
        <v>473.64092705388009</v>
      </c>
      <c r="M72" s="75">
        <f>'Old Data'!$N68-'Old Data'!$X68</f>
        <v>3</v>
      </c>
      <c r="N72" s="72">
        <f>VLOOKUP('Old Data'!$F68,$AD$6:$AF$135,2,FALSE)+VLOOKUP('Old Data'!$P68,$AD$6:$AF$135,3,FALSE)+$E$2</f>
        <v>2.059849371725563</v>
      </c>
      <c r="O72" s="72">
        <f>VLOOKUP('Old Data'!$P68,$AD$6:$AF$135,2,FALSE)+VLOOKUP('Old Data'!$F68,$AD$6:$AF$135,3,FALSE)+$E$2</f>
        <v>0.71210778641487904</v>
      </c>
      <c r="P72" s="73">
        <f>('Old Data'!$N68-$N72)^2+('Old Data'!$X68-$O72)^2</f>
        <v>1.3909807033175174</v>
      </c>
      <c r="Q72" s="62"/>
      <c r="R72" s="90" t="s">
        <v>74</v>
      </c>
      <c r="S72" s="96">
        <v>58.158499258032997</v>
      </c>
      <c r="T72" s="96">
        <v>-32.7238602658215</v>
      </c>
      <c r="U72" s="6"/>
      <c r="V72" s="90" t="s">
        <v>74</v>
      </c>
      <c r="W72" s="96">
        <v>-34.820529069692199</v>
      </c>
      <c r="X72" s="96">
        <v>0.81353478474695196</v>
      </c>
      <c r="Y72" s="6"/>
      <c r="Z72" s="90" t="s">
        <v>74</v>
      </c>
      <c r="AA72" s="96">
        <v>-16.639685875188</v>
      </c>
      <c r="AB72" s="96">
        <v>8.4481526086368302</v>
      </c>
      <c r="AC72" s="63"/>
      <c r="AD72" s="90" t="s">
        <v>74</v>
      </c>
      <c r="AE72" s="96">
        <v>0.60451483342172896</v>
      </c>
      <c r="AF72" s="96">
        <v>0.52634452259944597</v>
      </c>
      <c r="AG72" s="63"/>
      <c r="AH72" s="37"/>
      <c r="AI72" s="22"/>
      <c r="AJ72" s="6"/>
      <c r="AK72" s="10"/>
      <c r="AL72" s="10"/>
      <c r="AM72" s="10"/>
      <c r="AN72" s="11"/>
      <c r="AO72" s="11"/>
      <c r="AP72" s="11"/>
      <c r="AQ72" s="36"/>
      <c r="AR72" s="11"/>
      <c r="AS72" s="11"/>
      <c r="AT72" s="11"/>
      <c r="AU72" s="12"/>
      <c r="AV72" s="11"/>
      <c r="AW72" s="11"/>
      <c r="AX72" s="15"/>
      <c r="AY72" s="15"/>
      <c r="AZ72" s="15"/>
      <c r="BA72" s="15"/>
      <c r="BB72" s="15"/>
      <c r="BC72" s="15"/>
      <c r="BD72" s="15"/>
      <c r="BE72" s="12"/>
      <c r="BF72" s="11"/>
      <c r="BG72" s="11"/>
      <c r="BH72" s="10"/>
      <c r="BI72" s="10"/>
      <c r="BJ72" s="10"/>
      <c r="BK72" s="23"/>
      <c r="BL72" s="23"/>
      <c r="BM72" s="23"/>
      <c r="BN72" s="23"/>
      <c r="BO72" s="23"/>
      <c r="BP72" s="23"/>
      <c r="BQ72" s="23"/>
      <c r="BR72" s="10"/>
      <c r="BS72" s="16"/>
      <c r="BT72" s="16"/>
      <c r="BU72" s="16"/>
      <c r="BV72" s="16"/>
      <c r="BW72" s="11"/>
      <c r="BX72" s="16"/>
      <c r="BY72" s="16"/>
      <c r="BZ72" s="17"/>
      <c r="CA72" s="18"/>
      <c r="CB72" s="18"/>
      <c r="CC72" s="18"/>
      <c r="CD72" s="18"/>
      <c r="CE72" s="18"/>
      <c r="CF72" s="18"/>
      <c r="CG72" s="19"/>
      <c r="CH72" s="15"/>
      <c r="CI72" s="17"/>
      <c r="CJ72" s="10"/>
      <c r="CK72" s="10"/>
      <c r="CL72" s="10"/>
      <c r="CM72" s="17"/>
      <c r="CN72" s="17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</row>
    <row r="73" spans="1:135" customFormat="1">
      <c r="A73" s="71">
        <f>'Old Data'!$I69-'Old Data'!$S69</f>
        <v>100</v>
      </c>
      <c r="B73" s="72">
        <f>VLOOKUP('Old Data'!$F69,$R$6:$T$135,2,FALSE)+VLOOKUP('Old Data'!$P69,$R$6:$T$135,3,FALSE)+$B$2</f>
        <v>190.76442023253679</v>
      </c>
      <c r="C73" s="72">
        <f>VLOOKUP('Old Data'!$P69,$R$6:$T$135,2,FALSE)+VLOOKUP('Old Data'!$F69,$R$6:$T$135,3,FALSE)+$B$2</f>
        <v>82.97878346577491</v>
      </c>
      <c r="D73" s="74">
        <f>('Old Data'!$I69-$B73)^2+('Old Data'!$S69-$C73)^2</f>
        <v>1100.1536719799192</v>
      </c>
      <c r="E73" s="75">
        <f>'Old Data'!$K69-'Old Data'!$U69</f>
        <v>-58</v>
      </c>
      <c r="F73" s="72">
        <f>VLOOKUP('Old Data'!$F69,$V$6:$X$135,2,FALSE)+VLOOKUP('Old Data'!$P69,$V$6:$X$135,3,FALSE)+$C$2</f>
        <v>207.32563948214741</v>
      </c>
      <c r="G73" s="72">
        <f>VLOOKUP('Old Data'!$P69,$V$6:$X$135,2,FALSE)+VLOOKUP('Old Data'!$F69,$V$6:$X$135,3,FALSE)+$C$2</f>
        <v>282.06291011117065</v>
      </c>
      <c r="H73" s="74">
        <f>('Old Data'!$K69-$F73)^2+('Old Data'!$U69-$G73)^2</f>
        <v>3291.3390173199427</v>
      </c>
      <c r="I73" s="75">
        <f>('Old Data'!$L69+'Old Data'!$M69)-('Old Data'!$V69+'Old Data'!$W69)</f>
        <v>-32</v>
      </c>
      <c r="J73" s="72">
        <f>VLOOKUP('Old Data'!$F69,$Z$6:$AB$135,2,FALSE)+VLOOKUP('Old Data'!$P69,$Z$6:$AB$135,3,FALSE)+$D$2</f>
        <v>53.732126143965495</v>
      </c>
      <c r="K73" s="72">
        <f>VLOOKUP('Old Data'!$P69,$Z$6:$AB$135,2,FALSE)+VLOOKUP('Old Data'!$F69,$Z$6:$AB$135,3,FALSE)+$D$2</f>
        <v>68.510485550559054</v>
      </c>
      <c r="L73" s="74">
        <f>('Old Data'!$L69+'Old Data'!$M69-$J73)^2+('Old Data'!$V69+'Old Data'!$W69-$K73)^2</f>
        <v>2904.2751479762092</v>
      </c>
      <c r="M73" s="75">
        <f>'Old Data'!$N69-'Old Data'!$X69</f>
        <v>3</v>
      </c>
      <c r="N73" s="72">
        <f>VLOOKUP('Old Data'!$F69,$AD$6:$AF$135,2,FALSE)+VLOOKUP('Old Data'!$P69,$AD$6:$AF$135,3,FALSE)+$E$2</f>
        <v>2.591330383720988</v>
      </c>
      <c r="O73" s="72">
        <f>VLOOKUP('Old Data'!$P69,$AD$6:$AF$135,2,FALSE)+VLOOKUP('Old Data'!$F69,$AD$6:$AF$135,3,FALSE)+$E$2</f>
        <v>1.5008428964340041</v>
      </c>
      <c r="P73" s="73">
        <f>('Old Data'!$N69-$N73)^2+('Old Data'!$X69-$O73)^2</f>
        <v>2.4195402550460461</v>
      </c>
      <c r="Q73" s="62"/>
      <c r="R73" s="90" t="s">
        <v>112</v>
      </c>
      <c r="S73" s="96">
        <v>7.28662751439792</v>
      </c>
      <c r="T73" s="96">
        <v>51.272424513842601</v>
      </c>
      <c r="U73" s="6"/>
      <c r="V73" s="90" t="s">
        <v>112</v>
      </c>
      <c r="W73" s="96">
        <v>12.9600084163589</v>
      </c>
      <c r="X73" s="96">
        <v>46.595195210381</v>
      </c>
      <c r="Y73" s="6"/>
      <c r="Z73" s="90" t="s">
        <v>112</v>
      </c>
      <c r="AA73" s="96">
        <v>-48.082903667818599</v>
      </c>
      <c r="AB73" s="96">
        <v>12.8032093769553</v>
      </c>
      <c r="AC73" s="63"/>
      <c r="AD73" s="90" t="s">
        <v>112</v>
      </c>
      <c r="AE73" s="96">
        <v>4.7956107046491399E-2</v>
      </c>
      <c r="AF73" s="96">
        <v>-0.34839012721827001</v>
      </c>
      <c r="AG73" s="63"/>
      <c r="AH73" s="37"/>
      <c r="AI73" s="22"/>
      <c r="AJ73" s="6"/>
      <c r="AK73" s="10"/>
      <c r="AL73" s="10"/>
      <c r="AM73" s="10"/>
      <c r="AN73" s="11"/>
      <c r="AO73" s="11"/>
      <c r="AP73" s="11"/>
      <c r="AQ73" s="36"/>
      <c r="AR73" s="11"/>
      <c r="AS73" s="11"/>
      <c r="AT73" s="11"/>
      <c r="AU73" s="12"/>
      <c r="AV73" s="11"/>
      <c r="AW73" s="11"/>
      <c r="AX73" s="15"/>
      <c r="AY73" s="15"/>
      <c r="AZ73" s="15"/>
      <c r="BA73" s="15"/>
      <c r="BB73" s="15"/>
      <c r="BC73" s="15"/>
      <c r="BD73" s="15"/>
      <c r="BE73" s="12"/>
      <c r="BF73" s="11"/>
      <c r="BG73" s="11"/>
      <c r="BH73" s="10"/>
      <c r="BI73" s="10"/>
      <c r="BJ73" s="10"/>
      <c r="BK73" s="23"/>
      <c r="BL73" s="23"/>
      <c r="BM73" s="23"/>
      <c r="BN73" s="23"/>
      <c r="BO73" s="23"/>
      <c r="BP73" s="23"/>
      <c r="BQ73" s="23"/>
      <c r="BR73" s="10"/>
      <c r="BS73" s="16"/>
      <c r="BT73" s="16"/>
      <c r="BU73" s="16"/>
      <c r="BV73" s="16"/>
      <c r="BW73" s="11"/>
      <c r="BX73" s="16"/>
      <c r="BY73" s="16"/>
      <c r="BZ73" s="17"/>
      <c r="CA73" s="18"/>
      <c r="CB73" s="18"/>
      <c r="CC73" s="18"/>
      <c r="CD73" s="18"/>
      <c r="CE73" s="18"/>
      <c r="CF73" s="18"/>
      <c r="CG73" s="19"/>
      <c r="CH73" s="15"/>
      <c r="CI73" s="17"/>
      <c r="CJ73" s="10"/>
      <c r="CK73" s="10"/>
      <c r="CL73" s="10"/>
      <c r="CM73" s="17"/>
      <c r="CN73" s="17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</row>
    <row r="74" spans="1:135" customFormat="1">
      <c r="A74" s="71">
        <f>'Old Data'!$I70-'Old Data'!$S70</f>
        <v>-82</v>
      </c>
      <c r="B74" s="72">
        <f>VLOOKUP('Old Data'!$F70,$R$6:$T$135,2,FALSE)+VLOOKUP('Old Data'!$P70,$R$6:$T$135,3,FALSE)+$B$2</f>
        <v>147.10862959362171</v>
      </c>
      <c r="C74" s="72">
        <f>VLOOKUP('Old Data'!$P70,$R$6:$T$135,2,FALSE)+VLOOKUP('Old Data'!$F70,$R$6:$T$135,3,FALSE)+$B$2</f>
        <v>108.07616639129206</v>
      </c>
      <c r="D74" s="74">
        <f>('Old Data'!$I70-$B74)^2+('Old Data'!$S70-$C74)^2</f>
        <v>7541.0649335064718</v>
      </c>
      <c r="E74" s="75">
        <f>'Old Data'!$K70-'Old Data'!$U70</f>
        <v>-17</v>
      </c>
      <c r="F74" s="72">
        <f>VLOOKUP('Old Data'!$F70,$V$6:$X$135,2,FALSE)+VLOOKUP('Old Data'!$P70,$V$6:$X$135,3,FALSE)+$C$2</f>
        <v>265.18345599840308</v>
      </c>
      <c r="G74" s="72">
        <f>VLOOKUP('Old Data'!$P70,$V$6:$X$135,2,FALSE)+VLOOKUP('Old Data'!$F70,$V$6:$X$135,3,FALSE)+$C$2</f>
        <v>248.22105586921066</v>
      </c>
      <c r="H74" s="74">
        <f>('Old Data'!$K70-$F74)^2+('Old Data'!$U70-$G74)^2</f>
        <v>4413.2070818431957</v>
      </c>
      <c r="I74" s="75">
        <f>('Old Data'!$L70+'Old Data'!$M70)-('Old Data'!$V70+'Old Data'!$W70)</f>
        <v>-15</v>
      </c>
      <c r="J74" s="72">
        <f>VLOOKUP('Old Data'!$F70,$Z$6:$AB$135,2,FALSE)+VLOOKUP('Old Data'!$P70,$Z$6:$AB$135,3,FALSE)+$D$2</f>
        <v>40.962334429068726</v>
      </c>
      <c r="K74" s="72">
        <f>VLOOKUP('Old Data'!$P70,$Z$6:$AB$135,2,FALSE)+VLOOKUP('Old Data'!$F70,$Z$6:$AB$135,3,FALSE)+$D$2</f>
        <v>64.031513418785281</v>
      </c>
      <c r="L74" s="74">
        <f>('Old Data'!$L70+'Old Data'!$M70-$J74)^2+('Old Data'!$V70+'Old Data'!$W70-$K74)^2</f>
        <v>4082.0021500153903</v>
      </c>
      <c r="M74" s="75">
        <f>'Old Data'!$N70-'Old Data'!$X70</f>
        <v>0</v>
      </c>
      <c r="N74" s="72">
        <f>VLOOKUP('Old Data'!$F70,$AD$6:$AF$135,2,FALSE)+VLOOKUP('Old Data'!$P70,$AD$6:$AF$135,3,FALSE)+$E$2</f>
        <v>1.2754266360765882</v>
      </c>
      <c r="O74" s="72">
        <f>VLOOKUP('Old Data'!$P70,$AD$6:$AF$135,2,FALSE)+VLOOKUP('Old Data'!$F70,$AD$6:$AF$135,3,FALSE)+$E$2</f>
        <v>0.97133838154609908</v>
      </c>
      <c r="P74" s="73">
        <f>('Old Data'!$N70-$N74)^2+('Old Data'!$X70-$O74)^2</f>
        <v>2.5702113554782371</v>
      </c>
      <c r="Q74" s="62"/>
      <c r="R74" s="90" t="s">
        <v>59</v>
      </c>
      <c r="S74" s="96">
        <v>165.211956663916</v>
      </c>
      <c r="T74" s="96">
        <v>-51.345302009063602</v>
      </c>
      <c r="U74" s="6"/>
      <c r="V74" s="90" t="s">
        <v>59</v>
      </c>
      <c r="W74" s="96">
        <v>-132.734981939428</v>
      </c>
      <c r="X74" s="96">
        <v>-9.0930680087073501</v>
      </c>
      <c r="Y74" s="6"/>
      <c r="Z74" s="90" t="s">
        <v>59</v>
      </c>
      <c r="AA74" s="96">
        <v>-36.652987409441003</v>
      </c>
      <c r="AB74" s="96">
        <v>22.8622709071042</v>
      </c>
      <c r="AC74" s="63"/>
      <c r="AD74" s="90" t="s">
        <v>59</v>
      </c>
      <c r="AE74" s="96">
        <v>0.17918795558028</v>
      </c>
      <c r="AF74" s="96">
        <v>2.3582126609840399E-2</v>
      </c>
      <c r="AG74" s="63"/>
      <c r="AH74" s="37"/>
      <c r="AI74" s="22"/>
      <c r="AJ74" s="6"/>
      <c r="AK74" s="10"/>
      <c r="AL74" s="10"/>
      <c r="AM74" s="10"/>
      <c r="AN74" s="11"/>
      <c r="AO74" s="11"/>
      <c r="AP74" s="11"/>
      <c r="AQ74" s="36"/>
      <c r="AR74" s="11"/>
      <c r="AS74" s="11"/>
      <c r="AT74" s="11"/>
      <c r="AU74" s="12"/>
      <c r="AV74" s="11"/>
      <c r="AW74" s="11"/>
      <c r="AX74" s="15"/>
      <c r="AY74" s="15"/>
      <c r="AZ74" s="15"/>
      <c r="BA74" s="15"/>
      <c r="BB74" s="15"/>
      <c r="BC74" s="15"/>
      <c r="BD74" s="15"/>
      <c r="BE74" s="12"/>
      <c r="BF74" s="11"/>
      <c r="BG74" s="11"/>
      <c r="BH74" s="10"/>
      <c r="BI74" s="10"/>
      <c r="BJ74" s="10"/>
      <c r="BK74" s="23"/>
      <c r="BL74" s="23"/>
      <c r="BM74" s="23"/>
      <c r="BN74" s="23"/>
      <c r="BO74" s="23"/>
      <c r="BP74" s="23"/>
      <c r="BQ74" s="23"/>
      <c r="BR74" s="10"/>
      <c r="BS74" s="16"/>
      <c r="BT74" s="16"/>
      <c r="BU74" s="16"/>
      <c r="BV74" s="16"/>
      <c r="BW74" s="11"/>
      <c r="BX74" s="16"/>
      <c r="BY74" s="16"/>
      <c r="BZ74" s="17"/>
      <c r="CA74" s="18"/>
      <c r="CB74" s="18"/>
      <c r="CC74" s="18"/>
      <c r="CD74" s="18"/>
      <c r="CE74" s="18"/>
      <c r="CF74" s="18"/>
      <c r="CG74" s="19"/>
      <c r="CH74" s="15"/>
      <c r="CI74" s="17"/>
      <c r="CJ74" s="10"/>
      <c r="CK74" s="10"/>
      <c r="CL74" s="10"/>
      <c r="CM74" s="17"/>
      <c r="CN74" s="17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</row>
    <row r="75" spans="1:135" customFormat="1">
      <c r="A75" s="71">
        <f>'Old Data'!$I71-'Old Data'!$S71</f>
        <v>163</v>
      </c>
      <c r="B75" s="72">
        <f>VLOOKUP('Old Data'!$F71,$R$6:$T$135,2,FALSE)+VLOOKUP('Old Data'!$P71,$R$6:$T$135,3,FALSE)+$B$2</f>
        <v>267.27478321658339</v>
      </c>
      <c r="C75" s="72">
        <f>VLOOKUP('Old Data'!$P71,$R$6:$T$135,2,FALSE)+VLOOKUP('Old Data'!$F71,$R$6:$T$135,3,FALSE)+$B$2</f>
        <v>116.5725432196631</v>
      </c>
      <c r="D75" s="74">
        <f>('Old Data'!$I71-$B75)^2+('Old Data'!$S71-$C75)^2</f>
        <v>99.06039020893364</v>
      </c>
      <c r="E75" s="75">
        <f>'Old Data'!$K71-'Old Data'!$U71</f>
        <v>72</v>
      </c>
      <c r="F75" s="72">
        <f>VLOOKUP('Old Data'!$F71,$V$6:$X$135,2,FALSE)+VLOOKUP('Old Data'!$P71,$V$6:$X$135,3,FALSE)+$C$2</f>
        <v>258.8943171292388</v>
      </c>
      <c r="G75" s="72">
        <f>VLOOKUP('Old Data'!$P71,$V$6:$X$135,2,FALSE)+VLOOKUP('Old Data'!$F71,$V$6:$X$135,3,FALSE)+$C$2</f>
        <v>118.8450801638392</v>
      </c>
      <c r="H75" s="74">
        <f>('Old Data'!$K71-$F75)^2+('Old Data'!$U71-$G75)^2</f>
        <v>2660.1589530519532</v>
      </c>
      <c r="I75" s="75">
        <f>('Old Data'!$L71+'Old Data'!$M71)-('Old Data'!$V71+'Old Data'!$W71)</f>
        <v>-8</v>
      </c>
      <c r="J75" s="72">
        <f>VLOOKUP('Old Data'!$F71,$Z$6:$AB$135,2,FALSE)+VLOOKUP('Old Data'!$P71,$Z$6:$AB$135,3,FALSE)+$D$2</f>
        <v>57.546052200544992</v>
      </c>
      <c r="K75" s="72">
        <f>VLOOKUP('Old Data'!$P71,$Z$6:$AB$135,2,FALSE)+VLOOKUP('Old Data'!$F71,$Z$6:$AB$135,3,FALSE)+$D$2</f>
        <v>57.83002866921921</v>
      </c>
      <c r="L75" s="74">
        <f>('Old Data'!$L71+'Old Data'!$M71-$J75)^2+('Old Data'!$V71+'Old Data'!$W71-$K75)^2</f>
        <v>30.715308848052093</v>
      </c>
      <c r="M75" s="75">
        <f>'Old Data'!$N71-'Old Data'!$X71</f>
        <v>2</v>
      </c>
      <c r="N75" s="72">
        <f>VLOOKUP('Old Data'!$F71,$AD$6:$AF$135,2,FALSE)+VLOOKUP('Old Data'!$P71,$AD$6:$AF$135,3,FALSE)+$E$2</f>
        <v>1.8855184619699725</v>
      </c>
      <c r="O75" s="72">
        <f>VLOOKUP('Old Data'!$P71,$AD$6:$AF$135,2,FALSE)+VLOOKUP('Old Data'!$F71,$AD$6:$AF$135,3,FALSE)+$E$2</f>
        <v>1.2396847516346172</v>
      </c>
      <c r="P75" s="73">
        <f>('Old Data'!$N71-$N75)^2+('Old Data'!$X71-$O75)^2</f>
        <v>1.5499243059851031</v>
      </c>
      <c r="Q75" s="62"/>
      <c r="R75" s="90" t="s">
        <v>49</v>
      </c>
      <c r="S75" s="96">
        <v>25.317637155349601</v>
      </c>
      <c r="T75" s="96">
        <v>-4.3683533094776399</v>
      </c>
      <c r="U75" s="6"/>
      <c r="V75" s="90" t="s">
        <v>49</v>
      </c>
      <c r="W75" s="96">
        <v>84.945041169574395</v>
      </c>
      <c r="X75" s="96">
        <v>-2.8175060006131498</v>
      </c>
      <c r="Y75" s="6"/>
      <c r="Z75" s="90" t="s">
        <v>49</v>
      </c>
      <c r="AA75" s="96">
        <v>-6.9446400950562701</v>
      </c>
      <c r="AB75" s="96">
        <v>2.1703218278383698</v>
      </c>
      <c r="AC75" s="63"/>
      <c r="AD75" s="90" t="s">
        <v>49</v>
      </c>
      <c r="AE75" s="96">
        <v>0.125971240049572</v>
      </c>
      <c r="AF75" s="96">
        <v>-0.59678793562437904</v>
      </c>
      <c r="AG75" s="63"/>
      <c r="AH75" s="37"/>
      <c r="AI75" s="22"/>
      <c r="AJ75" s="6"/>
      <c r="AK75" s="10"/>
      <c r="AL75" s="10"/>
      <c r="AM75" s="10"/>
      <c r="AN75" s="11"/>
      <c r="AO75" s="11"/>
      <c r="AP75" s="11"/>
      <c r="AQ75" s="36"/>
      <c r="AR75" s="11"/>
      <c r="AS75" s="11"/>
      <c r="AT75" s="11"/>
      <c r="AU75" s="12"/>
      <c r="AV75" s="11"/>
      <c r="AW75" s="11"/>
      <c r="AX75" s="15"/>
      <c r="AY75" s="15"/>
      <c r="AZ75" s="15"/>
      <c r="BA75" s="15"/>
      <c r="BB75" s="15"/>
      <c r="BC75" s="15"/>
      <c r="BD75" s="15"/>
      <c r="BE75" s="12"/>
      <c r="BF75" s="11"/>
      <c r="BG75" s="11"/>
      <c r="BH75" s="10"/>
      <c r="BI75" s="10"/>
      <c r="BJ75" s="10"/>
      <c r="BK75" s="23"/>
      <c r="BL75" s="23"/>
      <c r="BM75" s="23"/>
      <c r="BN75" s="23"/>
      <c r="BO75" s="23"/>
      <c r="BP75" s="23"/>
      <c r="BQ75" s="23"/>
      <c r="BR75" s="10"/>
      <c r="BS75" s="16"/>
      <c r="BT75" s="16"/>
      <c r="BU75" s="16"/>
      <c r="BV75" s="16"/>
      <c r="BW75" s="11"/>
      <c r="BX75" s="16"/>
      <c r="BY75" s="16"/>
      <c r="BZ75" s="17"/>
      <c r="CA75" s="18"/>
      <c r="CB75" s="18"/>
      <c r="CC75" s="18"/>
      <c r="CD75" s="18"/>
      <c r="CE75" s="18"/>
      <c r="CF75" s="18"/>
      <c r="CG75" s="19"/>
      <c r="CH75" s="15"/>
      <c r="CI75" s="17"/>
      <c r="CJ75" s="10"/>
      <c r="CK75" s="10"/>
      <c r="CL75" s="10"/>
      <c r="CM75" s="17"/>
      <c r="CN75" s="17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</row>
    <row r="76" spans="1:135" customFormat="1">
      <c r="A76" s="71">
        <f>'Old Data'!$I72-'Old Data'!$S72</f>
        <v>138</v>
      </c>
      <c r="B76" s="72">
        <f>VLOOKUP('Old Data'!$F72,$R$6:$T$135,2,FALSE)+VLOOKUP('Old Data'!$P72,$R$6:$T$135,3,FALSE)+$B$2</f>
        <v>210.01590768120491</v>
      </c>
      <c r="C76" s="72">
        <f>VLOOKUP('Old Data'!$P72,$R$6:$T$135,2,FALSE)+VLOOKUP('Old Data'!$F72,$R$6:$T$135,3,FALSE)+$B$2</f>
        <v>47.065751760898308</v>
      </c>
      <c r="D76" s="74">
        <f>('Old Data'!$I72-$B76)^2+('Old Data'!$S72-$C76)^2</f>
        <v>1411.9204805771963</v>
      </c>
      <c r="E76" s="75">
        <f>'Old Data'!$K72-'Old Data'!$U72</f>
        <v>293</v>
      </c>
      <c r="F76" s="72">
        <f>VLOOKUP('Old Data'!$F72,$V$6:$X$135,2,FALSE)+VLOOKUP('Old Data'!$P72,$V$6:$X$135,3,FALSE)+$C$2</f>
        <v>274.4298317359474</v>
      </c>
      <c r="G76" s="72">
        <f>VLOOKUP('Old Data'!$P72,$V$6:$X$135,2,FALSE)+VLOOKUP('Old Data'!$F72,$V$6:$X$135,3,FALSE)+$C$2</f>
        <v>204.34050712087924</v>
      </c>
      <c r="H76" s="74">
        <f>('Old Data'!$K72-$F76)^2+('Old Data'!$U72-$G76)^2</f>
        <v>25363.96012898512</v>
      </c>
      <c r="I76" s="75">
        <f>('Old Data'!$L72+'Old Data'!$M72)-('Old Data'!$V72+'Old Data'!$W72)</f>
        <v>9</v>
      </c>
      <c r="J76" s="72">
        <f>VLOOKUP('Old Data'!$F72,$Z$6:$AB$135,2,FALSE)+VLOOKUP('Old Data'!$P72,$Z$6:$AB$135,3,FALSE)+$D$2</f>
        <v>72.114557674977405</v>
      </c>
      <c r="K76" s="72">
        <f>VLOOKUP('Old Data'!$P72,$Z$6:$AB$135,2,FALSE)+VLOOKUP('Old Data'!$F72,$Z$6:$AB$135,3,FALSE)+$D$2</f>
        <v>95.654179958349417</v>
      </c>
      <c r="L76" s="74">
        <f>('Old Data'!$L72+'Old Data'!$M72-$J76)^2+('Old Data'!$V72+'Old Data'!$W72-$K76)^2</f>
        <v>2893.9831470129302</v>
      </c>
      <c r="M76" s="75">
        <f>'Old Data'!$N72-'Old Data'!$X72</f>
        <v>3</v>
      </c>
      <c r="N76" s="72">
        <f>VLOOKUP('Old Data'!$F72,$AD$6:$AF$135,2,FALSE)+VLOOKUP('Old Data'!$P72,$AD$6:$AF$135,3,FALSE)+$E$2</f>
        <v>2.4260059798425182</v>
      </c>
      <c r="O76" s="72">
        <f>VLOOKUP('Old Data'!$P72,$AD$6:$AF$135,2,FALSE)+VLOOKUP('Old Data'!$F72,$AD$6:$AF$135,3,FALSE)+$E$2</f>
        <v>0.80722503034694304</v>
      </c>
      <c r="P76" s="73">
        <f>('Old Data'!$N72-$N76)^2+('Old Data'!$X72-$O76)^2</f>
        <v>2.5146193644162484</v>
      </c>
      <c r="Q76" s="62"/>
      <c r="R76" s="90" t="s">
        <v>75</v>
      </c>
      <c r="S76" s="96">
        <v>-40.749672209447603</v>
      </c>
      <c r="T76" s="96">
        <v>-23.250046026106901</v>
      </c>
      <c r="U76" s="6"/>
      <c r="V76" s="90" t="s">
        <v>75</v>
      </c>
      <c r="W76" s="96">
        <v>-19.338975029771301</v>
      </c>
      <c r="X76" s="96">
        <v>20.0962563426142</v>
      </c>
      <c r="Y76" s="6"/>
      <c r="Z76" s="90" t="s">
        <v>75</v>
      </c>
      <c r="AA76" s="96">
        <v>-6.3055125428745198</v>
      </c>
      <c r="AB76" s="96">
        <v>-9.60847148310215</v>
      </c>
      <c r="AC76" s="63"/>
      <c r="AD76" s="90" t="s">
        <v>75</v>
      </c>
      <c r="AE76" s="96">
        <v>-0.59165212581690796</v>
      </c>
      <c r="AF76" s="96">
        <v>0.28088880348195899</v>
      </c>
      <c r="AG76" s="63"/>
      <c r="AH76" s="37"/>
      <c r="AI76" s="22"/>
      <c r="AJ76" s="6"/>
      <c r="AK76" s="10"/>
      <c r="AL76" s="10"/>
      <c r="AM76" s="10"/>
      <c r="AN76" s="11"/>
      <c r="AO76" s="11"/>
      <c r="AP76" s="11"/>
      <c r="AQ76" s="36"/>
      <c r="AR76" s="11"/>
      <c r="AS76" s="11"/>
      <c r="AT76" s="11"/>
      <c r="AU76" s="12"/>
      <c r="AV76" s="11"/>
      <c r="AW76" s="11"/>
      <c r="AX76" s="15"/>
      <c r="AY76" s="15"/>
      <c r="AZ76" s="15"/>
      <c r="BA76" s="15"/>
      <c r="BB76" s="15"/>
      <c r="BC76" s="15"/>
      <c r="BD76" s="15"/>
      <c r="BE76" s="12"/>
      <c r="BF76" s="11"/>
      <c r="BG76" s="11"/>
      <c r="BH76" s="10"/>
      <c r="BI76" s="10"/>
      <c r="BJ76" s="10"/>
      <c r="BK76" s="23"/>
      <c r="BL76" s="23"/>
      <c r="BM76" s="23"/>
      <c r="BN76" s="23"/>
      <c r="BO76" s="23"/>
      <c r="BP76" s="23"/>
      <c r="BQ76" s="23"/>
      <c r="BR76" s="10"/>
      <c r="BS76" s="16"/>
      <c r="BT76" s="16"/>
      <c r="BU76" s="16"/>
      <c r="BV76" s="16"/>
      <c r="BW76" s="11"/>
      <c r="BX76" s="16"/>
      <c r="BY76" s="16"/>
      <c r="BZ76" s="17"/>
      <c r="CA76" s="18"/>
      <c r="CB76" s="18"/>
      <c r="CC76" s="18"/>
      <c r="CD76" s="18"/>
      <c r="CE76" s="18"/>
      <c r="CF76" s="18"/>
      <c r="CG76" s="19"/>
      <c r="CH76" s="15"/>
      <c r="CI76" s="17"/>
      <c r="CJ76" s="10"/>
      <c r="CK76" s="10"/>
      <c r="CL76" s="10"/>
      <c r="CM76" s="17"/>
      <c r="CN76" s="17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</row>
    <row r="77" spans="1:135" customFormat="1">
      <c r="A77" s="71">
        <f>'Old Data'!$I73-'Old Data'!$S73</f>
        <v>125</v>
      </c>
      <c r="B77" s="72">
        <f>VLOOKUP('Old Data'!$F73,$R$6:$T$135,2,FALSE)+VLOOKUP('Old Data'!$P73,$R$6:$T$135,3,FALSE)+$B$2</f>
        <v>133.22017175874731</v>
      </c>
      <c r="C77" s="72">
        <f>VLOOKUP('Old Data'!$P73,$R$6:$T$135,2,FALSE)+VLOOKUP('Old Data'!$F73,$R$6:$T$135,3,FALSE)+$B$2</f>
        <v>134.80245973551831</v>
      </c>
      <c r="D77" s="74">
        <f>('Old Data'!$I73-$B77)^2+('Old Data'!$S73-$C77)^2</f>
        <v>10677.690169890748</v>
      </c>
      <c r="E77" s="75">
        <f>'Old Data'!$K73-'Old Data'!$U73</f>
        <v>144</v>
      </c>
      <c r="F77" s="72">
        <f>VLOOKUP('Old Data'!$F73,$V$6:$X$135,2,FALSE)+VLOOKUP('Old Data'!$P73,$V$6:$X$135,3,FALSE)+$C$2</f>
        <v>292.62223152786612</v>
      </c>
      <c r="G77" s="72">
        <f>VLOOKUP('Old Data'!$P73,$V$6:$X$135,2,FALSE)+VLOOKUP('Old Data'!$F73,$V$6:$X$135,3,FALSE)+$C$2</f>
        <v>187.1573521471615</v>
      </c>
      <c r="H77" s="74">
        <f>('Old Data'!$K73-$F77)^2+('Old Data'!$U73-$G77)^2</f>
        <v>908.46954609948205</v>
      </c>
      <c r="I77" s="75">
        <f>('Old Data'!$L73+'Old Data'!$M73)-('Old Data'!$V73+'Old Data'!$W73)</f>
        <v>30</v>
      </c>
      <c r="J77" s="72">
        <f>VLOOKUP('Old Data'!$F73,$Z$6:$AB$135,2,FALSE)+VLOOKUP('Old Data'!$P73,$Z$6:$AB$135,3,FALSE)+$D$2</f>
        <v>34.954715021271099</v>
      </c>
      <c r="K77" s="72">
        <f>VLOOKUP('Old Data'!$P73,$Z$6:$AB$135,2,FALSE)+VLOOKUP('Old Data'!$F73,$Z$6:$AB$135,3,FALSE)+$D$2</f>
        <v>66.425966640180832</v>
      </c>
      <c r="L77" s="74">
        <f>('Old Data'!$L73+'Old Data'!$M73-$J77)^2+('Old Data'!$V73+'Old Data'!$W73-$K77)^2</f>
        <v>2745.5377951808682</v>
      </c>
      <c r="M77" s="75">
        <f>'Old Data'!$N73-'Old Data'!$X73</f>
        <v>0</v>
      </c>
      <c r="N77" s="72">
        <f>VLOOKUP('Old Data'!$F73,$AD$6:$AF$135,2,FALSE)+VLOOKUP('Old Data'!$P73,$AD$6:$AF$135,3,FALSE)+$E$2</f>
        <v>1.3666111465150168</v>
      </c>
      <c r="O77" s="72">
        <f>VLOOKUP('Old Data'!$P73,$AD$6:$AF$135,2,FALSE)+VLOOKUP('Old Data'!$F73,$AD$6:$AF$135,3,FALSE)+$E$2</f>
        <v>1.2232616132739831</v>
      </c>
      <c r="P77" s="73">
        <f>('Old Data'!$N73-$N77)^2+('Old Data'!$X73-$O77)^2</f>
        <v>3.3639950002887566</v>
      </c>
      <c r="Q77" s="62"/>
      <c r="R77" s="90" t="s">
        <v>127</v>
      </c>
      <c r="S77" s="96">
        <v>59.799010571401602</v>
      </c>
      <c r="T77" s="96">
        <v>12.0940748100767</v>
      </c>
      <c r="U77" s="6"/>
      <c r="V77" s="90" t="s">
        <v>127</v>
      </c>
      <c r="W77" s="96">
        <v>-9.6003314456986892</v>
      </c>
      <c r="X77" s="96">
        <v>-25.275202207939198</v>
      </c>
      <c r="Y77" s="6"/>
      <c r="Z77" s="90" t="s">
        <v>127</v>
      </c>
      <c r="AA77" s="96">
        <v>-6.7586137436726696</v>
      </c>
      <c r="AB77" s="96">
        <v>27.4203959123316</v>
      </c>
      <c r="AC77" s="63"/>
      <c r="AD77" s="90" t="s">
        <v>127</v>
      </c>
      <c r="AE77" s="96">
        <v>0.39914278789719698</v>
      </c>
      <c r="AF77" s="96">
        <v>0.28396775062463397</v>
      </c>
      <c r="AG77" s="63"/>
      <c r="AH77" s="37"/>
      <c r="AI77" s="22"/>
      <c r="AJ77" s="6"/>
      <c r="AK77" s="10"/>
      <c r="AL77" s="10"/>
      <c r="AM77" s="10"/>
      <c r="AN77" s="11"/>
      <c r="AO77" s="11"/>
      <c r="AP77" s="11"/>
      <c r="AQ77" s="36"/>
      <c r="AR77" s="11"/>
      <c r="AS77" s="11"/>
      <c r="AT77" s="11"/>
      <c r="AU77" s="12"/>
      <c r="AV77" s="11"/>
      <c r="AW77" s="11"/>
      <c r="AX77" s="15"/>
      <c r="AY77" s="15"/>
      <c r="AZ77" s="15"/>
      <c r="BA77" s="15"/>
      <c r="BB77" s="15"/>
      <c r="BC77" s="15"/>
      <c r="BD77" s="15"/>
      <c r="BE77" s="12"/>
      <c r="BF77" s="11"/>
      <c r="BG77" s="11"/>
      <c r="BH77" s="10"/>
      <c r="BI77" s="10"/>
      <c r="BJ77" s="10"/>
      <c r="BK77" s="23"/>
      <c r="BL77" s="23"/>
      <c r="BM77" s="23"/>
      <c r="BN77" s="23"/>
      <c r="BO77" s="23"/>
      <c r="BP77" s="23"/>
      <c r="BQ77" s="23"/>
      <c r="BR77" s="10"/>
      <c r="BS77" s="16"/>
      <c r="BT77" s="16"/>
      <c r="BU77" s="16"/>
      <c r="BV77" s="16"/>
      <c r="BW77" s="11"/>
      <c r="BX77" s="16"/>
      <c r="BY77" s="16"/>
      <c r="BZ77" s="17"/>
      <c r="CA77" s="18"/>
      <c r="CB77" s="18"/>
      <c r="CC77" s="18"/>
      <c r="CD77" s="18"/>
      <c r="CE77" s="18"/>
      <c r="CF77" s="18"/>
      <c r="CG77" s="19"/>
      <c r="CH77" s="15"/>
      <c r="CI77" s="17"/>
      <c r="CJ77" s="10"/>
      <c r="CK77" s="10"/>
      <c r="CL77" s="10"/>
      <c r="CM77" s="17"/>
      <c r="CN77" s="17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</row>
    <row r="78" spans="1:135" customFormat="1">
      <c r="A78" s="71">
        <f>'Old Data'!$I74-'Old Data'!$S74</f>
        <v>-106</v>
      </c>
      <c r="B78" s="72">
        <f>VLOOKUP('Old Data'!$F74,$R$6:$T$135,2,FALSE)+VLOOKUP('Old Data'!$P74,$R$6:$T$135,3,FALSE)+$B$2</f>
        <v>166.81456519664951</v>
      </c>
      <c r="C78" s="72">
        <f>VLOOKUP('Old Data'!$P74,$R$6:$T$135,2,FALSE)+VLOOKUP('Old Data'!$F74,$R$6:$T$135,3,FALSE)+$B$2</f>
        <v>146.742099769963</v>
      </c>
      <c r="D78" s="74">
        <f>('Old Data'!$I74-$B78)^2+('Old Data'!$S74-$C78)^2</f>
        <v>9276.1781206212963</v>
      </c>
      <c r="E78" s="75">
        <f>'Old Data'!$K74-'Old Data'!$U74</f>
        <v>34</v>
      </c>
      <c r="F78" s="72">
        <f>VLOOKUP('Old Data'!$F74,$V$6:$X$135,2,FALSE)+VLOOKUP('Old Data'!$P74,$V$6:$X$135,3,FALSE)+$C$2</f>
        <v>211.75838328737041</v>
      </c>
      <c r="G78" s="72">
        <f>VLOOKUP('Old Data'!$P74,$V$6:$X$135,2,FALSE)+VLOOKUP('Old Data'!$F74,$V$6:$X$135,3,FALSE)+$C$2</f>
        <v>144.97345212964342</v>
      </c>
      <c r="H78" s="74">
        <f>('Old Data'!$K74-$F78)^2+('Old Data'!$U74-$G78)^2</f>
        <v>14526.745296988924</v>
      </c>
      <c r="I78" s="75">
        <f>('Old Data'!$L74+'Old Data'!$M74)-('Old Data'!$V74+'Old Data'!$W74)</f>
        <v>40</v>
      </c>
      <c r="J78" s="72">
        <f>VLOOKUP('Old Data'!$F74,$Z$6:$AB$135,2,FALSE)+VLOOKUP('Old Data'!$P74,$Z$6:$AB$135,3,FALSE)+$D$2</f>
        <v>75.826542578606208</v>
      </c>
      <c r="K78" s="72">
        <f>VLOOKUP('Old Data'!$P74,$Z$6:$AB$135,2,FALSE)+VLOOKUP('Old Data'!$F74,$Z$6:$AB$135,3,FALSE)+$D$2</f>
        <v>-2.439772340241305</v>
      </c>
      <c r="L78" s="74">
        <f>('Old Data'!$L74+'Old Data'!$M74-$J78)^2+('Old Data'!$V74+'Old Data'!$W74-$K78)^2</f>
        <v>796.98469696486222</v>
      </c>
      <c r="M78" s="75">
        <f>'Old Data'!$N74-'Old Data'!$X74</f>
        <v>1</v>
      </c>
      <c r="N78" s="72">
        <f>VLOOKUP('Old Data'!$F74,$AD$6:$AF$135,2,FALSE)+VLOOKUP('Old Data'!$P74,$AD$6:$AF$135,3,FALSE)+$E$2</f>
        <v>1.7011062882269752</v>
      </c>
      <c r="O78" s="72">
        <f>VLOOKUP('Old Data'!$P74,$AD$6:$AF$135,2,FALSE)+VLOOKUP('Old Data'!$F74,$AD$6:$AF$135,3,FALSE)+$E$2</f>
        <v>1.1975991037693232</v>
      </c>
      <c r="P78" s="73">
        <f>('Old Data'!$N74-$N78)^2+('Old Data'!$X74-$O78)^2</f>
        <v>0.12838285674789579</v>
      </c>
      <c r="Q78" s="62"/>
      <c r="R78" s="90" t="s">
        <v>32</v>
      </c>
      <c r="S78" s="96">
        <v>-77.056095947246405</v>
      </c>
      <c r="T78" s="96">
        <v>12.4857965149184</v>
      </c>
      <c r="U78" s="6"/>
      <c r="V78" s="90" t="s">
        <v>32</v>
      </c>
      <c r="W78" s="96">
        <v>1.0466261657934399</v>
      </c>
      <c r="X78" s="96">
        <v>28.875164218289399</v>
      </c>
      <c r="Y78" s="6"/>
      <c r="Z78" s="90" t="s">
        <v>32</v>
      </c>
      <c r="AA78" s="96">
        <v>3.4294046757229202</v>
      </c>
      <c r="AB78" s="96">
        <v>-2.5819202268097898</v>
      </c>
      <c r="AC78" s="63"/>
      <c r="AD78" s="90" t="s">
        <v>32</v>
      </c>
      <c r="AE78" s="96">
        <v>-0.171141825140671</v>
      </c>
      <c r="AF78" s="96">
        <v>0.479747483902428</v>
      </c>
      <c r="AG78" s="63"/>
      <c r="AH78" s="37"/>
      <c r="AI78" s="22"/>
      <c r="AJ78" s="6"/>
      <c r="AK78" s="10"/>
      <c r="AL78" s="10"/>
      <c r="AM78" s="10"/>
      <c r="AN78" s="11"/>
      <c r="AO78" s="11"/>
      <c r="AP78" s="11"/>
      <c r="AQ78" s="36"/>
      <c r="AR78" s="11"/>
      <c r="AS78" s="11"/>
      <c r="AT78" s="11"/>
      <c r="AU78" s="12"/>
      <c r="AV78" s="11"/>
      <c r="AW78" s="11"/>
      <c r="AX78" s="15"/>
      <c r="AY78" s="15"/>
      <c r="AZ78" s="15"/>
      <c r="BA78" s="15"/>
      <c r="BB78" s="15"/>
      <c r="BC78" s="15"/>
      <c r="BD78" s="15"/>
      <c r="BE78" s="12"/>
      <c r="BF78" s="11"/>
      <c r="BG78" s="11"/>
      <c r="BH78" s="10"/>
      <c r="BI78" s="10"/>
      <c r="BJ78" s="10"/>
      <c r="BK78" s="23"/>
      <c r="BL78" s="23"/>
      <c r="BM78" s="23"/>
      <c r="BN78" s="23"/>
      <c r="BO78" s="23"/>
      <c r="BP78" s="23"/>
      <c r="BQ78" s="23"/>
      <c r="BR78" s="10"/>
      <c r="BS78" s="16"/>
      <c r="BT78" s="16"/>
      <c r="BU78" s="16"/>
      <c r="BV78" s="16"/>
      <c r="BW78" s="11"/>
      <c r="BX78" s="16"/>
      <c r="BY78" s="16"/>
      <c r="BZ78" s="17"/>
      <c r="CA78" s="18"/>
      <c r="CB78" s="18"/>
      <c r="CC78" s="18"/>
      <c r="CD78" s="18"/>
      <c r="CE78" s="18"/>
      <c r="CF78" s="18"/>
      <c r="CG78" s="19"/>
      <c r="CH78" s="15"/>
      <c r="CI78" s="17"/>
      <c r="CJ78" s="10"/>
      <c r="CK78" s="10"/>
      <c r="CL78" s="10"/>
      <c r="CM78" s="17"/>
      <c r="CN78" s="17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</row>
    <row r="79" spans="1:135" customFormat="1">
      <c r="A79" s="71">
        <f>'Old Data'!$I75-'Old Data'!$S75</f>
        <v>-37</v>
      </c>
      <c r="B79" s="72">
        <f>VLOOKUP('Old Data'!$F75,$R$6:$T$135,2,FALSE)+VLOOKUP('Old Data'!$P75,$R$6:$T$135,3,FALSE)+$B$2</f>
        <v>162.57628641903619</v>
      </c>
      <c r="C79" s="72">
        <f>VLOOKUP('Old Data'!$P75,$R$6:$T$135,2,FALSE)+VLOOKUP('Old Data'!$F75,$R$6:$T$135,3,FALSE)+$B$2</f>
        <v>144.19801883309361</v>
      </c>
      <c r="D79" s="74">
        <f>('Old Data'!$I75-$B79)^2+('Old Data'!$S75-$C79)^2</f>
        <v>21889.811390399962</v>
      </c>
      <c r="E79" s="75">
        <f>'Old Data'!$K75-'Old Data'!$U75</f>
        <v>89</v>
      </c>
      <c r="F79" s="72">
        <f>VLOOKUP('Old Data'!$F75,$V$6:$X$135,2,FALSE)+VLOOKUP('Old Data'!$P75,$V$6:$X$135,3,FALSE)+$C$2</f>
        <v>313.97719179568713</v>
      </c>
      <c r="G79" s="72">
        <f>VLOOKUP('Old Data'!$P75,$V$6:$X$135,2,FALSE)+VLOOKUP('Old Data'!$F75,$V$6:$X$135,3,FALSE)+$C$2</f>
        <v>218.3916956567459</v>
      </c>
      <c r="H79" s="74">
        <f>('Old Data'!$K75-$F79)^2+('Old Data'!$U75-$G79)^2</f>
        <v>78679.804100058376</v>
      </c>
      <c r="I79" s="75">
        <f>('Old Data'!$L75+'Old Data'!$M75)-('Old Data'!$V75+'Old Data'!$W75)</f>
        <v>39</v>
      </c>
      <c r="J79" s="72">
        <f>VLOOKUP('Old Data'!$F75,$Z$6:$AB$135,2,FALSE)+VLOOKUP('Old Data'!$P75,$Z$6:$AB$135,3,FALSE)+$D$2</f>
        <v>54.286096419509931</v>
      </c>
      <c r="K79" s="72">
        <f>VLOOKUP('Old Data'!$P75,$Z$6:$AB$135,2,FALSE)+VLOOKUP('Old Data'!$F75,$Z$6:$AB$135,3,FALSE)+$D$2</f>
        <v>36.065389753835404</v>
      </c>
      <c r="L79" s="74">
        <f>('Old Data'!$L75+'Old Data'!$M75-$J79)^2+('Old Data'!$V75+'Old Data'!$W75-$K79)^2</f>
        <v>280.31763490879666</v>
      </c>
      <c r="M79" s="75">
        <f>'Old Data'!$N75-'Old Data'!$X75</f>
        <v>0</v>
      </c>
      <c r="N79" s="72">
        <f>VLOOKUP('Old Data'!$F75,$AD$6:$AF$135,2,FALSE)+VLOOKUP('Old Data'!$P75,$AD$6:$AF$135,3,FALSE)+$E$2</f>
        <v>1.0125123944220611</v>
      </c>
      <c r="O79" s="72">
        <f>VLOOKUP('Old Data'!$P75,$AD$6:$AF$135,2,FALSE)+VLOOKUP('Old Data'!$F75,$AD$6:$AF$135,3,FALSE)+$E$2</f>
        <v>1.3745439361658651</v>
      </c>
      <c r="P79" s="73">
        <f>('Old Data'!$N75-$N79)^2+('Old Data'!$X75-$O79)^2</f>
        <v>0.14043972013279288</v>
      </c>
      <c r="Q79" s="62"/>
      <c r="R79" s="90" t="s">
        <v>63</v>
      </c>
      <c r="S79" s="96">
        <v>-40.2998940926404</v>
      </c>
      <c r="T79" s="96">
        <v>33.779412212594202</v>
      </c>
      <c r="U79" s="6"/>
      <c r="V79" s="90" t="s">
        <v>63</v>
      </c>
      <c r="W79" s="96">
        <v>-28.641423030143901</v>
      </c>
      <c r="X79" s="96">
        <v>-4.1495907541119799</v>
      </c>
      <c r="Y79" s="6"/>
      <c r="Z79" s="90" t="s">
        <v>63</v>
      </c>
      <c r="AA79" s="96">
        <v>-46.451181652062402</v>
      </c>
      <c r="AB79" s="96">
        <v>1.72563699192012</v>
      </c>
      <c r="AC79" s="63"/>
      <c r="AD79" s="90" t="s">
        <v>63</v>
      </c>
      <c r="AE79" s="96">
        <v>-0.53173934843970005</v>
      </c>
      <c r="AF79" s="96">
        <v>0.238369158529146</v>
      </c>
      <c r="AG79" s="63"/>
      <c r="AH79" s="37"/>
      <c r="AI79" s="22"/>
      <c r="AJ79" s="6"/>
      <c r="AK79" s="10"/>
      <c r="AL79" s="10"/>
      <c r="AM79" s="10"/>
      <c r="AN79" s="11"/>
      <c r="AO79" s="11"/>
      <c r="AP79" s="11"/>
      <c r="AQ79" s="36"/>
      <c r="AR79" s="11"/>
      <c r="AS79" s="11"/>
      <c r="AT79" s="11"/>
      <c r="AU79" s="12"/>
      <c r="AV79" s="11"/>
      <c r="AW79" s="11"/>
      <c r="AX79" s="15"/>
      <c r="AY79" s="15"/>
      <c r="AZ79" s="15"/>
      <c r="BA79" s="15"/>
      <c r="BB79" s="15"/>
      <c r="BC79" s="15"/>
      <c r="BD79" s="15"/>
      <c r="BE79" s="12"/>
      <c r="BF79" s="11"/>
      <c r="BG79" s="11"/>
      <c r="BH79" s="10"/>
      <c r="BI79" s="10"/>
      <c r="BJ79" s="10"/>
      <c r="BK79" s="23"/>
      <c r="BL79" s="23"/>
      <c r="BM79" s="23"/>
      <c r="BN79" s="23"/>
      <c r="BO79" s="23"/>
      <c r="BP79" s="23"/>
      <c r="BQ79" s="23"/>
      <c r="BR79" s="10"/>
      <c r="BS79" s="16"/>
      <c r="BT79" s="16"/>
      <c r="BU79" s="16"/>
      <c r="BV79" s="16"/>
      <c r="BW79" s="11"/>
      <c r="BX79" s="16"/>
      <c r="BY79" s="16"/>
      <c r="BZ79" s="17"/>
      <c r="CA79" s="18"/>
      <c r="CB79" s="18"/>
      <c r="CC79" s="18"/>
      <c r="CD79" s="18"/>
      <c r="CE79" s="18"/>
      <c r="CF79" s="18"/>
      <c r="CG79" s="19"/>
      <c r="CH79" s="15"/>
      <c r="CI79" s="17"/>
      <c r="CJ79" s="10"/>
      <c r="CK79" s="10"/>
      <c r="CL79" s="10"/>
      <c r="CM79" s="17"/>
      <c r="CN79" s="17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</row>
    <row r="80" spans="1:135" customFormat="1">
      <c r="A80" s="71">
        <f>'Old Data'!$I76-'Old Data'!$S76</f>
        <v>-141</v>
      </c>
      <c r="B80" s="72">
        <f>VLOOKUP('Old Data'!$F76,$R$6:$T$135,2,FALSE)+VLOOKUP('Old Data'!$P76,$R$6:$T$135,3,FALSE)+$B$2</f>
        <v>61.21887018719211</v>
      </c>
      <c r="C80" s="72">
        <f>VLOOKUP('Old Data'!$P76,$R$6:$T$135,2,FALSE)+VLOOKUP('Old Data'!$F76,$R$6:$T$135,3,FALSE)+$B$2</f>
        <v>241.64416517922461</v>
      </c>
      <c r="D80" s="74">
        <f>('Old Data'!$I76-$B80)^2+('Old Data'!$S76-$C80)^2</f>
        <v>3098.4999173434808</v>
      </c>
      <c r="E80" s="75">
        <f>'Old Data'!$K76-'Old Data'!$U76</f>
        <v>-50</v>
      </c>
      <c r="F80" s="72">
        <f>VLOOKUP('Old Data'!$F76,$V$6:$X$135,2,FALSE)+VLOOKUP('Old Data'!$P76,$V$6:$X$135,3,FALSE)+$C$2</f>
        <v>323.16794915555863</v>
      </c>
      <c r="G80" s="72">
        <f>VLOOKUP('Old Data'!$P76,$V$6:$X$135,2,FALSE)+VLOOKUP('Old Data'!$F76,$V$6:$X$135,3,FALSE)+$C$2</f>
        <v>273.48017618922864</v>
      </c>
      <c r="H80" s="74">
        <f>('Old Data'!$K76-$F80)^2+('Old Data'!$U76-$G80)^2</f>
        <v>8220.8861003075363</v>
      </c>
      <c r="I80" s="75">
        <f>('Old Data'!$L76+'Old Data'!$M76)-('Old Data'!$V76+'Old Data'!$W76)</f>
        <v>132</v>
      </c>
      <c r="J80" s="72">
        <f>VLOOKUP('Old Data'!$F76,$Z$6:$AB$135,2,FALSE)+VLOOKUP('Old Data'!$P76,$Z$6:$AB$135,3,FALSE)+$D$2</f>
        <v>78.391076166662089</v>
      </c>
      <c r="K80" s="72">
        <f>VLOOKUP('Old Data'!$P76,$Z$6:$AB$135,2,FALSE)+VLOOKUP('Old Data'!$F76,$Z$6:$AB$135,3,FALSE)+$D$2</f>
        <v>61.477446723355598</v>
      </c>
      <c r="L80" s="74">
        <f>('Old Data'!$L76+'Old Data'!$M76-$J80)^2+('Old Data'!$V76+'Old Data'!$W76-$K80)^2</f>
        <v>6653.3931701916517</v>
      </c>
      <c r="M80" s="75">
        <f>'Old Data'!$N76-'Old Data'!$X76</f>
        <v>-1</v>
      </c>
      <c r="N80" s="72">
        <f>VLOOKUP('Old Data'!$F76,$AD$6:$AF$135,2,FALSE)+VLOOKUP('Old Data'!$P76,$AD$6:$AF$135,3,FALSE)+$E$2</f>
        <v>1.877762515574426</v>
      </c>
      <c r="O80" s="72">
        <f>VLOOKUP('Old Data'!$P76,$AD$6:$AF$135,2,FALSE)+VLOOKUP('Old Data'!$F76,$AD$6:$AF$135,3,FALSE)+$E$2</f>
        <v>1.3027890765207231</v>
      </c>
      <c r="P80" s="73">
        <f>('Old Data'!$N76-$N80)^2+('Old Data'!$X76-$O80)^2</f>
        <v>3.6176732897566684</v>
      </c>
      <c r="Q80" s="62"/>
      <c r="R80" s="90" t="s">
        <v>9</v>
      </c>
      <c r="S80" s="96">
        <v>-38.2391136465261</v>
      </c>
      <c r="T80" s="96">
        <v>121.87203293239401</v>
      </c>
      <c r="U80" s="6"/>
      <c r="V80" s="90" t="s">
        <v>9</v>
      </c>
      <c r="W80" s="96">
        <v>-52.8344466034075</v>
      </c>
      <c r="X80" s="96">
        <v>-17.656887184034101</v>
      </c>
      <c r="Y80" s="6"/>
      <c r="Z80" s="90" t="s">
        <v>9</v>
      </c>
      <c r="AA80" s="96">
        <v>-11.014565004645499</v>
      </c>
      <c r="AB80" s="96">
        <v>-9.8946532577179003</v>
      </c>
      <c r="AC80" s="63"/>
      <c r="AD80" s="90" t="s">
        <v>9</v>
      </c>
      <c r="AE80" s="96">
        <v>-0.54436193390710397</v>
      </c>
      <c r="AF80" s="96">
        <v>0.742156162929278</v>
      </c>
      <c r="AG80" s="63"/>
      <c r="AH80" s="37"/>
      <c r="AI80" s="22"/>
      <c r="AJ80" s="6"/>
      <c r="AK80" s="10"/>
      <c r="AL80" s="10"/>
      <c r="AM80" s="10"/>
      <c r="AN80" s="11"/>
      <c r="AO80" s="11"/>
      <c r="AP80" s="11"/>
      <c r="AQ80" s="36"/>
      <c r="AR80" s="11"/>
      <c r="AS80" s="11"/>
      <c r="AT80" s="11"/>
      <c r="AU80" s="12"/>
      <c r="AV80" s="11"/>
      <c r="AW80" s="11"/>
      <c r="AX80" s="15"/>
      <c r="AY80" s="15"/>
      <c r="AZ80" s="15"/>
      <c r="BA80" s="15"/>
      <c r="BB80" s="15"/>
      <c r="BC80" s="15"/>
      <c r="BD80" s="15"/>
      <c r="BE80" s="12"/>
      <c r="BF80" s="11"/>
      <c r="BG80" s="11"/>
      <c r="BH80" s="10"/>
      <c r="BI80" s="10"/>
      <c r="BJ80" s="10"/>
      <c r="BK80" s="23"/>
      <c r="BL80" s="23"/>
      <c r="BM80" s="23"/>
      <c r="BN80" s="23"/>
      <c r="BO80" s="23"/>
      <c r="BP80" s="23"/>
      <c r="BQ80" s="23"/>
      <c r="BR80" s="10"/>
      <c r="BS80" s="16"/>
      <c r="BT80" s="16"/>
      <c r="BU80" s="16"/>
      <c r="BV80" s="16"/>
      <c r="BW80" s="11"/>
      <c r="BX80" s="16"/>
      <c r="BY80" s="16"/>
      <c r="BZ80" s="17"/>
      <c r="CA80" s="18"/>
      <c r="CB80" s="18"/>
      <c r="CC80" s="18"/>
      <c r="CD80" s="18"/>
      <c r="CE80" s="18"/>
      <c r="CF80" s="18"/>
      <c r="CG80" s="19"/>
      <c r="CH80" s="15"/>
      <c r="CI80" s="17"/>
      <c r="CJ80" s="10"/>
      <c r="CK80" s="10"/>
      <c r="CL80" s="10"/>
      <c r="CM80" s="17"/>
      <c r="CN80" s="17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</row>
    <row r="81" spans="1:135" customFormat="1">
      <c r="A81" s="71">
        <f>'Old Data'!$I77-'Old Data'!$S77</f>
        <v>0</v>
      </c>
      <c r="B81" s="72">
        <f>VLOOKUP('Old Data'!$F77,$R$6:$T$135,2,FALSE)+VLOOKUP('Old Data'!$P77,$R$6:$T$135,3,FALSE)+$B$2</f>
        <v>211.23844474671054</v>
      </c>
      <c r="C81" s="72">
        <f>VLOOKUP('Old Data'!$P77,$R$6:$T$135,2,FALSE)+VLOOKUP('Old Data'!$F77,$R$6:$T$135,3,FALSE)+$B$2</f>
        <v>110.96025500733037</v>
      </c>
      <c r="D81" s="74">
        <f>('Old Data'!$I77-$B81)^2+('Old Data'!$S77-$C81)^2</f>
        <v>10008.007434095602</v>
      </c>
      <c r="E81" s="75">
        <f>'Old Data'!$K77-'Old Data'!$U77</f>
        <v>107</v>
      </c>
      <c r="F81" s="72">
        <f>VLOOKUP('Old Data'!$F77,$V$6:$X$135,2,FALSE)+VLOOKUP('Old Data'!$P77,$V$6:$X$135,3,FALSE)+$C$2</f>
        <v>307.51071576950233</v>
      </c>
      <c r="G81" s="72">
        <f>VLOOKUP('Old Data'!$P77,$V$6:$X$135,2,FALSE)+VLOOKUP('Old Data'!$F77,$V$6:$X$135,3,FALSE)+$C$2</f>
        <v>312.5384465325933</v>
      </c>
      <c r="H81" s="74">
        <f>('Old Data'!$K77-$F81)^2+('Old Data'!$U77-$G81)^2</f>
        <v>16506.637647629446</v>
      </c>
      <c r="I81" s="75">
        <f>('Old Data'!$L77+'Old Data'!$M77)-('Old Data'!$V77+'Old Data'!$W77)</f>
        <v>-13</v>
      </c>
      <c r="J81" s="72">
        <f>VLOOKUP('Old Data'!$F77,$Z$6:$AB$135,2,FALSE)+VLOOKUP('Old Data'!$P77,$Z$6:$AB$135,3,FALSE)+$D$2</f>
        <v>115.6906907713812</v>
      </c>
      <c r="K81" s="72">
        <f>VLOOKUP('Old Data'!$P77,$Z$6:$AB$135,2,FALSE)+VLOOKUP('Old Data'!$F77,$Z$6:$AB$135,3,FALSE)+$D$2</f>
        <v>124.7640803329614</v>
      </c>
      <c r="L81" s="74">
        <f>('Old Data'!$L77+'Old Data'!$M77-$J81)^2+('Old Data'!$V77+'Old Data'!$W77-$K81)^2</f>
        <v>4374.606255850088</v>
      </c>
      <c r="M81" s="75">
        <f>'Old Data'!$N77-'Old Data'!$X77</f>
        <v>0</v>
      </c>
      <c r="N81" s="72">
        <f>VLOOKUP('Old Data'!$F77,$AD$6:$AF$135,2,FALSE)+VLOOKUP('Old Data'!$P77,$AD$6:$AF$135,3,FALSE)+$E$2</f>
        <v>1.7293907781576638</v>
      </c>
      <c r="O81" s="72">
        <f>VLOOKUP('Old Data'!$P77,$AD$6:$AF$135,2,FALSE)+VLOOKUP('Old Data'!$F77,$AD$6:$AF$135,3,FALSE)+$E$2</f>
        <v>0.91364242314385824</v>
      </c>
      <c r="P81" s="73">
        <f>('Old Data'!$N77-$N81)^2+('Old Data'!$X77-$O81)^2</f>
        <v>0.53946853834190678</v>
      </c>
      <c r="Q81" s="62"/>
      <c r="R81" s="90" t="s">
        <v>76</v>
      </c>
      <c r="S81" s="96">
        <v>23.6139940269228</v>
      </c>
      <c r="T81" s="96">
        <v>27.594970149815001</v>
      </c>
      <c r="U81" s="6"/>
      <c r="V81" s="90" t="s">
        <v>76</v>
      </c>
      <c r="W81" s="96">
        <v>-47.604084540797899</v>
      </c>
      <c r="X81" s="96">
        <v>62.859010808916899</v>
      </c>
      <c r="Y81" s="6"/>
      <c r="Z81" s="90" t="s">
        <v>76</v>
      </c>
      <c r="AA81" s="96">
        <v>-4.5734610231739801</v>
      </c>
      <c r="AB81" s="96">
        <v>-3.7649283778799498</v>
      </c>
      <c r="AC81" s="63"/>
      <c r="AD81" s="90" t="s">
        <v>76</v>
      </c>
      <c r="AE81" s="96">
        <v>-0.71283462254616203</v>
      </c>
      <c r="AF81" s="96">
        <v>0.86394074862499903</v>
      </c>
      <c r="AG81" s="63"/>
      <c r="AH81" s="37"/>
      <c r="AI81" s="22"/>
      <c r="AJ81" s="6"/>
      <c r="AK81" s="10"/>
      <c r="AL81" s="10"/>
      <c r="AM81" s="10"/>
      <c r="AN81" s="11"/>
      <c r="AO81" s="11"/>
      <c r="AP81" s="11"/>
      <c r="AQ81" s="36"/>
      <c r="AR81" s="11"/>
      <c r="AS81" s="11"/>
      <c r="AT81" s="11"/>
      <c r="AU81" s="12"/>
      <c r="AV81" s="11"/>
      <c r="AW81" s="11"/>
      <c r="AX81" s="15"/>
      <c r="AY81" s="15"/>
      <c r="AZ81" s="15"/>
      <c r="BA81" s="15"/>
      <c r="BB81" s="15"/>
      <c r="BC81" s="15"/>
      <c r="BD81" s="15"/>
      <c r="BE81" s="12"/>
      <c r="BF81" s="11"/>
      <c r="BG81" s="11"/>
      <c r="BH81" s="10"/>
      <c r="BI81" s="10"/>
      <c r="BJ81" s="10"/>
      <c r="BK81" s="23"/>
      <c r="BL81" s="23"/>
      <c r="BM81" s="23"/>
      <c r="BN81" s="23"/>
      <c r="BO81" s="23"/>
      <c r="BP81" s="23"/>
      <c r="BQ81" s="23"/>
      <c r="BR81" s="10"/>
      <c r="BS81" s="16"/>
      <c r="BT81" s="16"/>
      <c r="BU81" s="16"/>
      <c r="BV81" s="16"/>
      <c r="BW81" s="11"/>
      <c r="BX81" s="16"/>
      <c r="BY81" s="16"/>
      <c r="BZ81" s="17"/>
      <c r="CA81" s="18"/>
      <c r="CB81" s="18"/>
      <c r="CC81" s="18"/>
      <c r="CD81" s="18"/>
      <c r="CE81" s="18"/>
      <c r="CF81" s="18"/>
      <c r="CG81" s="19"/>
      <c r="CH81" s="15"/>
      <c r="CI81" s="17"/>
      <c r="CJ81" s="10"/>
      <c r="CK81" s="10"/>
      <c r="CL81" s="10"/>
      <c r="CM81" s="17"/>
      <c r="CN81" s="17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</row>
    <row r="82" spans="1:135" customFormat="1">
      <c r="A82" s="71">
        <f>'Old Data'!$I78-'Old Data'!$S78</f>
        <v>135</v>
      </c>
      <c r="B82" s="72">
        <f>VLOOKUP('Old Data'!$F78,$R$6:$T$135,2,FALSE)+VLOOKUP('Old Data'!$P78,$R$6:$T$135,3,FALSE)+$B$2</f>
        <v>193.61884129407912</v>
      </c>
      <c r="C82" s="72">
        <f>VLOOKUP('Old Data'!$P78,$R$6:$T$135,2,FALSE)+VLOOKUP('Old Data'!$F78,$R$6:$T$135,3,FALSE)+$B$2</f>
        <v>89.017095896617008</v>
      </c>
      <c r="D82" s="74">
        <f>('Old Data'!$I78-$B82)^2+('Old Data'!$S78-$C82)^2</f>
        <v>2664.1213577189728</v>
      </c>
      <c r="E82" s="75">
        <f>'Old Data'!$K78-'Old Data'!$U78</f>
        <v>-56</v>
      </c>
      <c r="F82" s="72">
        <f>VLOOKUP('Old Data'!$F78,$V$6:$X$135,2,FALSE)+VLOOKUP('Old Data'!$P78,$V$6:$X$135,3,FALSE)+$C$2</f>
        <v>222.62726321458808</v>
      </c>
      <c r="G82" s="72">
        <f>VLOOKUP('Old Data'!$P78,$V$6:$X$135,2,FALSE)+VLOOKUP('Old Data'!$F78,$V$6:$X$135,3,FALSE)+$C$2</f>
        <v>279.7508988880229</v>
      </c>
      <c r="H82" s="74">
        <f>('Old Data'!$K78-$F82)^2+('Old Data'!$U78-$G82)^2</f>
        <v>4454.250019496666</v>
      </c>
      <c r="I82" s="75">
        <f>('Old Data'!$L78+'Old Data'!$M78)-('Old Data'!$V78+'Old Data'!$W78)</f>
        <v>20</v>
      </c>
      <c r="J82" s="72">
        <f>VLOOKUP('Old Data'!$F78,$Z$6:$AB$135,2,FALSE)+VLOOKUP('Old Data'!$P78,$Z$6:$AB$135,3,FALSE)+$D$2</f>
        <v>64.891169378736905</v>
      </c>
      <c r="K82" s="72">
        <f>VLOOKUP('Old Data'!$P78,$Z$6:$AB$135,2,FALSE)+VLOOKUP('Old Data'!$F78,$Z$6:$AB$135,3,FALSE)+$D$2</f>
        <v>22.1435055974665</v>
      </c>
      <c r="L82" s="74">
        <f>('Old Data'!$L78+'Old Data'!$M78-$J82)^2+('Old Data'!$V78+'Old Data'!$W78-$K82)^2</f>
        <v>2505.5519283354761</v>
      </c>
      <c r="M82" s="75">
        <f>'Old Data'!$N78-'Old Data'!$X78</f>
        <v>-1</v>
      </c>
      <c r="N82" s="72">
        <f>VLOOKUP('Old Data'!$F78,$AD$6:$AF$135,2,FALSE)+VLOOKUP('Old Data'!$P78,$AD$6:$AF$135,3,FALSE)+$E$2</f>
        <v>1.2270351500921015</v>
      </c>
      <c r="O82" s="72">
        <f>VLOOKUP('Old Data'!$P78,$AD$6:$AF$135,2,FALSE)+VLOOKUP('Old Data'!$F78,$AD$6:$AF$135,3,FALSE)+$E$2</f>
        <v>1.9237533773346533</v>
      </c>
      <c r="P82" s="73">
        <f>('Old Data'!$N78-$N82)^2+('Old Data'!$X78-$O82)^2</f>
        <v>2.3589355616987246</v>
      </c>
      <c r="Q82" s="62"/>
      <c r="R82" s="90" t="s">
        <v>18</v>
      </c>
      <c r="S82" s="96">
        <v>22.7231445793727</v>
      </c>
      <c r="T82" s="96">
        <v>-34.4178908379685</v>
      </c>
      <c r="U82" s="6"/>
      <c r="V82" s="90" t="s">
        <v>18</v>
      </c>
      <c r="W82" s="96">
        <v>-108.513856760805</v>
      </c>
      <c r="X82" s="96">
        <v>-44.268785722119503</v>
      </c>
      <c r="Y82" s="6"/>
      <c r="Z82" s="90" t="s">
        <v>18</v>
      </c>
      <c r="AA82" s="96">
        <v>-12.9349836493314</v>
      </c>
      <c r="AB82" s="96">
        <v>-8.8511816078998002</v>
      </c>
      <c r="AC82" s="63"/>
      <c r="AD82" s="90" t="s">
        <v>18</v>
      </c>
      <c r="AE82" s="96">
        <v>-0.145690389486091</v>
      </c>
      <c r="AF82" s="96">
        <v>0.42660419697853003</v>
      </c>
      <c r="AG82" s="63"/>
      <c r="AH82" s="37"/>
      <c r="AI82" s="22"/>
      <c r="AJ82" s="6"/>
      <c r="AK82" s="10"/>
      <c r="AL82" s="10"/>
      <c r="AM82" s="10"/>
      <c r="AN82" s="11"/>
      <c r="AO82" s="11"/>
      <c r="AP82" s="11"/>
      <c r="AQ82" s="36"/>
      <c r="AR82" s="11"/>
      <c r="AS82" s="11"/>
      <c r="AT82" s="11"/>
      <c r="AU82" s="12"/>
      <c r="AV82" s="11"/>
      <c r="AW82" s="11"/>
      <c r="AX82" s="15"/>
      <c r="AY82" s="15"/>
      <c r="AZ82" s="15"/>
      <c r="BA82" s="15"/>
      <c r="BB82" s="15"/>
      <c r="BC82" s="15"/>
      <c r="BD82" s="15"/>
      <c r="BE82" s="12"/>
      <c r="BF82" s="11"/>
      <c r="BG82" s="11"/>
      <c r="BH82" s="10"/>
      <c r="BI82" s="10"/>
      <c r="BJ82" s="10"/>
      <c r="BK82" s="23"/>
      <c r="BL82" s="23"/>
      <c r="BM82" s="23"/>
      <c r="BN82" s="23"/>
      <c r="BO82" s="23"/>
      <c r="BP82" s="23"/>
      <c r="BQ82" s="23"/>
      <c r="BR82" s="10"/>
      <c r="BS82" s="16"/>
      <c r="BT82" s="16"/>
      <c r="BU82" s="16"/>
      <c r="BV82" s="16"/>
      <c r="BW82" s="11"/>
      <c r="BX82" s="16"/>
      <c r="BY82" s="16"/>
      <c r="BZ82" s="17"/>
      <c r="CA82" s="18"/>
      <c r="CB82" s="18"/>
      <c r="CC82" s="18"/>
      <c r="CD82" s="18"/>
      <c r="CE82" s="18"/>
      <c r="CF82" s="18"/>
      <c r="CG82" s="19"/>
      <c r="CH82" s="15"/>
      <c r="CI82" s="17"/>
      <c r="CJ82" s="10"/>
      <c r="CK82" s="10"/>
      <c r="CL82" s="10"/>
      <c r="CM82" s="17"/>
      <c r="CN82" s="17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</row>
    <row r="83" spans="1:135" customFormat="1">
      <c r="A83" s="71">
        <f>'Old Data'!$I79-'Old Data'!$S79</f>
        <v>19</v>
      </c>
      <c r="B83" s="72">
        <f>VLOOKUP('Old Data'!$F79,$R$6:$T$135,2,FALSE)+VLOOKUP('Old Data'!$P79,$R$6:$T$135,3,FALSE)+$B$2</f>
        <v>148.79181542014049</v>
      </c>
      <c r="C83" s="72">
        <f>VLOOKUP('Old Data'!$P79,$R$6:$T$135,2,FALSE)+VLOOKUP('Old Data'!$F79,$R$6:$T$135,3,FALSE)+$B$2</f>
        <v>140.29381529947349</v>
      </c>
      <c r="D83" s="74">
        <f>('Old Data'!$I79-$B83)^2+('Old Data'!$S79-$C83)^2</f>
        <v>2238.8012945373493</v>
      </c>
      <c r="E83" s="75">
        <f>'Old Data'!$K79-'Old Data'!$U79</f>
        <v>-62</v>
      </c>
      <c r="F83" s="72">
        <f>VLOOKUP('Old Data'!$F79,$V$6:$X$135,2,FALSE)+VLOOKUP('Old Data'!$P79,$V$6:$X$135,3,FALSE)+$C$2</f>
        <v>270.47539907623229</v>
      </c>
      <c r="G83" s="72">
        <f>VLOOKUP('Old Data'!$P79,$V$6:$X$135,2,FALSE)+VLOOKUP('Old Data'!$F79,$V$6:$X$135,3,FALSE)+$C$2</f>
        <v>474.9002051587197</v>
      </c>
      <c r="H83" s="74">
        <f>('Old Data'!$K79-$F83)^2+('Old Data'!$U79-$G83)^2</f>
        <v>19204.276661369211</v>
      </c>
      <c r="I83" s="75">
        <f>('Old Data'!$L79+'Old Data'!$M79)-('Old Data'!$V79+'Old Data'!$W79)</f>
        <v>-9</v>
      </c>
      <c r="J83" s="72">
        <f>VLOOKUP('Old Data'!$F79,$Z$6:$AB$135,2,FALSE)+VLOOKUP('Old Data'!$P79,$Z$6:$AB$135,3,FALSE)+$D$2</f>
        <v>13.269856070110194</v>
      </c>
      <c r="K83" s="72">
        <f>VLOOKUP('Old Data'!$P79,$Z$6:$AB$135,2,FALSE)+VLOOKUP('Old Data'!$F79,$Z$6:$AB$135,3,FALSE)+$D$2</f>
        <v>15.938385693786799</v>
      </c>
      <c r="L83" s="74">
        <f>('Old Data'!$L79+'Old Data'!$M79-$J83)^2+('Old Data'!$V79+'Old Data'!$W79-$K83)^2</f>
        <v>151.3973091015977</v>
      </c>
      <c r="M83" s="75">
        <f>'Old Data'!$N79-'Old Data'!$X79</f>
        <v>1</v>
      </c>
      <c r="N83" s="72">
        <f>VLOOKUP('Old Data'!$F79,$AD$6:$AF$135,2,FALSE)+VLOOKUP('Old Data'!$P79,$AD$6:$AF$135,3,FALSE)+$E$2</f>
        <v>0.80706125750492719</v>
      </c>
      <c r="O83" s="72">
        <f>VLOOKUP('Old Data'!$P79,$AD$6:$AF$135,2,FALSE)+VLOOKUP('Old Data'!$F79,$AD$6:$AF$135,3,FALSE)+$E$2</f>
        <v>1.4706428343554241</v>
      </c>
      <c r="P83" s="73">
        <f>('Old Data'!$N79-$N83)^2+('Old Data'!$X79-$O83)^2</f>
        <v>2.2000157045965354</v>
      </c>
      <c r="Q83" s="62"/>
      <c r="R83" s="90" t="s">
        <v>77</v>
      </c>
      <c r="S83" s="96">
        <v>10.553132161409501</v>
      </c>
      <c r="T83" s="96">
        <v>-25.042297614523601</v>
      </c>
      <c r="U83" s="6"/>
      <c r="V83" s="90" t="s">
        <v>77</v>
      </c>
      <c r="W83" s="96">
        <v>24.672354874682899</v>
      </c>
      <c r="X83" s="96">
        <v>-54.225512741435203</v>
      </c>
      <c r="Y83" s="6"/>
      <c r="Z83" s="90" t="s">
        <v>77</v>
      </c>
      <c r="AA83" s="96">
        <v>-8.2032265085879299</v>
      </c>
      <c r="AB83" s="96">
        <v>-15.0319834179125</v>
      </c>
      <c r="AC83" s="63"/>
      <c r="AD83" s="90" t="s">
        <v>77</v>
      </c>
      <c r="AE83" s="96">
        <v>0.46521148513392502</v>
      </c>
      <c r="AF83" s="96">
        <v>-0.33096079648677801</v>
      </c>
      <c r="AG83" s="63"/>
      <c r="AH83" s="37"/>
      <c r="AI83" s="22"/>
      <c r="AJ83" s="6"/>
      <c r="AK83" s="10"/>
      <c r="AL83" s="10"/>
      <c r="AM83" s="10"/>
      <c r="AN83" s="11"/>
      <c r="AO83" s="11"/>
      <c r="AP83" s="11"/>
      <c r="AQ83" s="36"/>
      <c r="AR83" s="11"/>
      <c r="AS83" s="11"/>
      <c r="AT83" s="11"/>
      <c r="AU83" s="12"/>
      <c r="AV83" s="11"/>
      <c r="AW83" s="11"/>
      <c r="AX83" s="15"/>
      <c r="AY83" s="15"/>
      <c r="AZ83" s="15"/>
      <c r="BA83" s="15"/>
      <c r="BB83" s="15"/>
      <c r="BC83" s="15"/>
      <c r="BD83" s="15"/>
      <c r="BE83" s="12"/>
      <c r="BF83" s="11"/>
      <c r="BG83" s="11"/>
      <c r="BH83" s="10"/>
      <c r="BI83" s="10"/>
      <c r="BJ83" s="10"/>
      <c r="BK83" s="23"/>
      <c r="BL83" s="23"/>
      <c r="BM83" s="23"/>
      <c r="BN83" s="23"/>
      <c r="BO83" s="23"/>
      <c r="BP83" s="23"/>
      <c r="BQ83" s="23"/>
      <c r="BR83" s="10"/>
      <c r="BS83" s="16"/>
      <c r="BT83" s="16"/>
      <c r="BU83" s="16"/>
      <c r="BV83" s="16"/>
      <c r="BW83" s="11"/>
      <c r="BX83" s="16"/>
      <c r="BY83" s="16"/>
      <c r="BZ83" s="17"/>
      <c r="CA83" s="18"/>
      <c r="CB83" s="18"/>
      <c r="CC83" s="18"/>
      <c r="CD83" s="18"/>
      <c r="CE83" s="18"/>
      <c r="CF83" s="18"/>
      <c r="CG83" s="19"/>
      <c r="CH83" s="15"/>
      <c r="CI83" s="17"/>
      <c r="CJ83" s="10"/>
      <c r="CK83" s="10"/>
      <c r="CL83" s="10"/>
      <c r="CM83" s="17"/>
      <c r="CN83" s="17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</row>
    <row r="84" spans="1:135" customFormat="1">
      <c r="A84" s="71">
        <f>'Old Data'!$I80-'Old Data'!$S80</f>
        <v>-140</v>
      </c>
      <c r="B84" s="72">
        <f>VLOOKUP('Old Data'!$F80,$R$6:$T$135,2,FALSE)+VLOOKUP('Old Data'!$P80,$R$6:$T$135,3,FALSE)+$B$2</f>
        <v>10.607408162661017</v>
      </c>
      <c r="C84" s="72">
        <f>VLOOKUP('Old Data'!$P80,$R$6:$T$135,2,FALSE)+VLOOKUP('Old Data'!$F80,$R$6:$T$135,3,FALSE)+$B$2</f>
        <v>270.39868170748684</v>
      </c>
      <c r="D84" s="74">
        <f>('Old Data'!$I80-$B84)^2+('Old Data'!$S80-$C84)^2</f>
        <v>8015.7243119649647</v>
      </c>
      <c r="E84" s="75">
        <f>'Old Data'!$K80-'Old Data'!$U80</f>
        <v>291</v>
      </c>
      <c r="F84" s="72">
        <f>VLOOKUP('Old Data'!$F80,$V$6:$X$135,2,FALSE)+VLOOKUP('Old Data'!$P80,$V$6:$X$135,3,FALSE)+$C$2</f>
        <v>272.16953985948993</v>
      </c>
      <c r="G84" s="72">
        <f>VLOOKUP('Old Data'!$P80,$V$6:$X$135,2,FALSE)+VLOOKUP('Old Data'!$F80,$V$6:$X$135,3,FALSE)+$C$2</f>
        <v>115.7469375310019</v>
      </c>
      <c r="H84" s="74">
        <f>('Old Data'!$K80-$F84)^2+('Old Data'!$U80-$G84)^2</f>
        <v>15005.145434467679</v>
      </c>
      <c r="I84" s="75">
        <f>('Old Data'!$L80+'Old Data'!$M80)-('Old Data'!$V80+'Old Data'!$W80)</f>
        <v>11</v>
      </c>
      <c r="J84" s="72">
        <f>VLOOKUP('Old Data'!$F80,$Z$6:$AB$135,2,FALSE)+VLOOKUP('Old Data'!$P80,$Z$6:$AB$135,3,FALSE)+$D$2</f>
        <v>73.776798413641586</v>
      </c>
      <c r="K84" s="72">
        <f>VLOOKUP('Old Data'!$P80,$Z$6:$AB$135,2,FALSE)+VLOOKUP('Old Data'!$F80,$Z$6:$AB$135,3,FALSE)+$D$2</f>
        <v>55.6496357110899</v>
      </c>
      <c r="L84" s="74">
        <f>('Old Data'!$L80+'Old Data'!$M80-$J84)^2+('Old Data'!$V80+'Old Data'!$W80-$K84)^2</f>
        <v>808.43178213643023</v>
      </c>
      <c r="M84" s="75">
        <f>'Old Data'!$N80-'Old Data'!$X80</f>
        <v>-2</v>
      </c>
      <c r="N84" s="72">
        <f>VLOOKUP('Old Data'!$F80,$AD$6:$AF$135,2,FALSE)+VLOOKUP('Old Data'!$P80,$AD$6:$AF$135,3,FALSE)+$E$2</f>
        <v>0.77868588376285808</v>
      </c>
      <c r="O84" s="72">
        <f>VLOOKUP('Old Data'!$P80,$AD$6:$AF$135,2,FALSE)+VLOOKUP('Old Data'!$F80,$AD$6:$AF$135,3,FALSE)+$E$2</f>
        <v>2.4562598365372592</v>
      </c>
      <c r="P84" s="73">
        <f>('Old Data'!$N80-$N84)^2+('Old Data'!$X80-$O84)^2</f>
        <v>0.34463330340831527</v>
      </c>
      <c r="Q84" s="62"/>
      <c r="R84" s="90" t="s">
        <v>79</v>
      </c>
      <c r="S84" s="96">
        <v>-46.796474862460997</v>
      </c>
      <c r="T84" s="96">
        <v>39.743411919767198</v>
      </c>
      <c r="U84" s="6"/>
      <c r="V84" s="90" t="s">
        <v>79</v>
      </c>
      <c r="W84" s="96">
        <v>24.582620519580502</v>
      </c>
      <c r="X84" s="96">
        <v>-4.7346144726510504</v>
      </c>
      <c r="Y84" s="6"/>
      <c r="Z84" s="90" t="s">
        <v>79</v>
      </c>
      <c r="AA84" s="96">
        <v>36.1941078142168</v>
      </c>
      <c r="AB84" s="96">
        <v>21.287247793266602</v>
      </c>
      <c r="AC84" s="63"/>
      <c r="AD84" s="90" t="s">
        <v>79</v>
      </c>
      <c r="AE84" s="96">
        <v>-0.42098683948309001</v>
      </c>
      <c r="AF84" s="96">
        <v>0.345993479770553</v>
      </c>
      <c r="AG84" s="63"/>
      <c r="AH84" s="37"/>
      <c r="AI84" s="22"/>
      <c r="AJ84" s="6"/>
      <c r="AK84" s="10"/>
      <c r="AL84" s="10"/>
      <c r="AM84" s="10"/>
      <c r="AN84" s="11"/>
      <c r="AO84" s="11"/>
      <c r="AP84" s="11"/>
      <c r="AQ84" s="36"/>
      <c r="AR84" s="11"/>
      <c r="AS84" s="11"/>
      <c r="AT84" s="11"/>
      <c r="AU84" s="12"/>
      <c r="AV84" s="11"/>
      <c r="AW84" s="11"/>
      <c r="AX84" s="15"/>
      <c r="AY84" s="15"/>
      <c r="AZ84" s="15"/>
      <c r="BA84" s="15"/>
      <c r="BB84" s="15"/>
      <c r="BC84" s="15"/>
      <c r="BD84" s="15"/>
      <c r="BE84" s="12"/>
      <c r="BF84" s="11"/>
      <c r="BG84" s="11"/>
      <c r="BH84" s="10"/>
      <c r="BI84" s="10"/>
      <c r="BJ84" s="10"/>
      <c r="BK84" s="23"/>
      <c r="BL84" s="23"/>
      <c r="BM84" s="23"/>
      <c r="BN84" s="23"/>
      <c r="BO84" s="23"/>
      <c r="BP84" s="23"/>
      <c r="BQ84" s="23"/>
      <c r="BR84" s="10"/>
      <c r="BS84" s="16"/>
      <c r="BT84" s="16"/>
      <c r="BU84" s="16"/>
      <c r="BV84" s="16"/>
      <c r="BW84" s="11"/>
      <c r="BX84" s="16"/>
      <c r="BY84" s="16"/>
      <c r="BZ84" s="17"/>
      <c r="CA84" s="18"/>
      <c r="CB84" s="18"/>
      <c r="CC84" s="18"/>
      <c r="CD84" s="18"/>
      <c r="CE84" s="18"/>
      <c r="CF84" s="18"/>
      <c r="CG84" s="19"/>
      <c r="CH84" s="15"/>
      <c r="CI84" s="17"/>
      <c r="CJ84" s="10"/>
      <c r="CK84" s="10"/>
      <c r="CL84" s="10"/>
      <c r="CM84" s="17"/>
      <c r="CN84" s="17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</row>
    <row r="85" spans="1:135" customFormat="1">
      <c r="A85" s="71">
        <f>'Old Data'!$I81-'Old Data'!$S81</f>
        <v>83</v>
      </c>
      <c r="B85" s="72">
        <f>VLOOKUP('Old Data'!$F81,$R$6:$T$135,2,FALSE)+VLOOKUP('Old Data'!$P81,$R$6:$T$135,3,FALSE)+$B$2</f>
        <v>253.5227686202692</v>
      </c>
      <c r="C85" s="72">
        <f>VLOOKUP('Old Data'!$P81,$R$6:$T$135,2,FALSE)+VLOOKUP('Old Data'!$F81,$R$6:$T$135,3,FALSE)+$B$2</f>
        <v>74.597689541947204</v>
      </c>
      <c r="D85" s="74">
        <f>('Old Data'!$I81-$B85)^2+('Old Data'!$S81-$C85)^2</f>
        <v>8752.2793459372788</v>
      </c>
      <c r="E85" s="75">
        <f>'Old Data'!$K81-'Old Data'!$U81</f>
        <v>210</v>
      </c>
      <c r="F85" s="72">
        <f>VLOOKUP('Old Data'!$F81,$V$6:$X$135,2,FALSE)+VLOOKUP('Old Data'!$P81,$V$6:$X$135,3,FALSE)+$C$2</f>
        <v>314.03308280404417</v>
      </c>
      <c r="G85" s="72">
        <f>VLOOKUP('Old Data'!$P81,$V$6:$X$135,2,FALSE)+VLOOKUP('Old Data'!$F81,$V$6:$X$135,3,FALSE)+$C$2</f>
        <v>274.92765316339478</v>
      </c>
      <c r="H85" s="74">
        <f>('Old Data'!$K81-$F85)^2+('Old Data'!$U81-$G85)^2</f>
        <v>51312.337307161601</v>
      </c>
      <c r="I85" s="75">
        <f>('Old Data'!$L81+'Old Data'!$M81)-('Old Data'!$V81+'Old Data'!$W81)</f>
        <v>-17</v>
      </c>
      <c r="J85" s="72">
        <f>VLOOKUP('Old Data'!$F81,$Z$6:$AB$135,2,FALSE)+VLOOKUP('Old Data'!$P81,$Z$6:$AB$135,3,FALSE)+$D$2</f>
        <v>67.426689331287605</v>
      </c>
      <c r="K85" s="72">
        <f>VLOOKUP('Old Data'!$P81,$Z$6:$AB$135,2,FALSE)+VLOOKUP('Old Data'!$F81,$Z$6:$AB$135,3,FALSE)+$D$2</f>
        <v>70.226859139629241</v>
      </c>
      <c r="L85" s="74">
        <f>('Old Data'!$L81+'Old Data'!$M81-$J85)^2+('Old Data'!$V81+'Old Data'!$W81-$K85)^2</f>
        <v>2190.8582536765634</v>
      </c>
      <c r="M85" s="75">
        <f>'Old Data'!$N81-'Old Data'!$X81</f>
        <v>-1</v>
      </c>
      <c r="N85" s="72">
        <f>VLOOKUP('Old Data'!$F81,$AD$6:$AF$135,2,FALSE)+VLOOKUP('Old Data'!$P81,$AD$6:$AF$135,3,FALSE)+$E$2</f>
        <v>1.317841608325907</v>
      </c>
      <c r="O85" s="72">
        <f>VLOOKUP('Old Data'!$P81,$AD$6:$AF$135,2,FALSE)+VLOOKUP('Old Data'!$F81,$AD$6:$AF$135,3,FALSE)+$E$2</f>
        <v>0.56202014113930421</v>
      </c>
      <c r="P85" s="73">
        <f>('Old Data'!$N81-$N85)^2+('Old Data'!$X81-$O85)^2</f>
        <v>1.9285328614026485</v>
      </c>
      <c r="Q85" s="62"/>
      <c r="R85" s="90" t="s">
        <v>81</v>
      </c>
      <c r="S85" s="96">
        <v>139.214442781999</v>
      </c>
      <c r="T85" s="96">
        <v>-88.980464094625503</v>
      </c>
      <c r="U85" s="6"/>
      <c r="V85" s="90" t="s">
        <v>81</v>
      </c>
      <c r="W85" s="96">
        <v>43.884716555139399</v>
      </c>
      <c r="X85" s="96">
        <v>-56.1459049916594</v>
      </c>
      <c r="Y85" s="6"/>
      <c r="Z85" s="90" t="s">
        <v>81</v>
      </c>
      <c r="AA85" s="96">
        <v>-16.096745966256801</v>
      </c>
      <c r="AB85" s="96">
        <v>-6.1248008900657798</v>
      </c>
      <c r="AC85" s="63"/>
      <c r="AD85" s="90" t="s">
        <v>81</v>
      </c>
      <c r="AE85" s="96">
        <v>0.44038101805010899</v>
      </c>
      <c r="AF85" s="96">
        <v>-0.58773415527994599</v>
      </c>
      <c r="AG85" s="63"/>
      <c r="AH85" s="37"/>
      <c r="AI85" s="22"/>
      <c r="AJ85" s="6"/>
      <c r="AK85" s="10"/>
      <c r="AL85" s="10"/>
      <c r="AM85" s="10"/>
      <c r="AN85" s="11"/>
      <c r="AO85" s="11"/>
      <c r="AP85" s="11"/>
      <c r="AQ85" s="36"/>
      <c r="AR85" s="11"/>
      <c r="AS85" s="11"/>
      <c r="AT85" s="11"/>
      <c r="AU85" s="12"/>
      <c r="AV85" s="11"/>
      <c r="AW85" s="11"/>
      <c r="AX85" s="15"/>
      <c r="AY85" s="15"/>
      <c r="AZ85" s="15"/>
      <c r="BA85" s="15"/>
      <c r="BB85" s="15"/>
      <c r="BC85" s="15"/>
      <c r="BD85" s="15"/>
      <c r="BE85" s="12"/>
      <c r="BF85" s="11"/>
      <c r="BG85" s="11"/>
      <c r="BH85" s="10"/>
      <c r="BI85" s="10"/>
      <c r="BJ85" s="10"/>
      <c r="BK85" s="23"/>
      <c r="BL85" s="23"/>
      <c r="BM85" s="23"/>
      <c r="BN85" s="23"/>
      <c r="BO85" s="23"/>
      <c r="BP85" s="23"/>
      <c r="BQ85" s="23"/>
      <c r="BR85" s="10"/>
      <c r="BS85" s="16"/>
      <c r="BT85" s="16"/>
      <c r="BU85" s="16"/>
      <c r="BV85" s="16"/>
      <c r="BW85" s="11"/>
      <c r="BX85" s="16"/>
      <c r="BY85" s="16"/>
      <c r="BZ85" s="17"/>
      <c r="CA85" s="18"/>
      <c r="CB85" s="18"/>
      <c r="CC85" s="18"/>
      <c r="CD85" s="18"/>
      <c r="CE85" s="18"/>
      <c r="CF85" s="18"/>
      <c r="CG85" s="19"/>
      <c r="CH85" s="15"/>
      <c r="CI85" s="17"/>
      <c r="CJ85" s="10"/>
      <c r="CK85" s="10"/>
      <c r="CL85" s="10"/>
      <c r="CM85" s="17"/>
      <c r="CN85" s="17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</row>
    <row r="86" spans="1:135" customFormat="1">
      <c r="A86" s="71">
        <f>'Old Data'!$I82-'Old Data'!$S82</f>
        <v>-18</v>
      </c>
      <c r="B86" s="72">
        <f>VLOOKUP('Old Data'!$F82,$R$6:$T$135,2,FALSE)+VLOOKUP('Old Data'!$P82,$R$6:$T$135,3,FALSE)+$B$2</f>
        <v>126.72414705550331</v>
      </c>
      <c r="C86" s="72">
        <f>VLOOKUP('Old Data'!$P82,$R$6:$T$135,2,FALSE)+VLOOKUP('Old Data'!$F82,$R$6:$T$135,3,FALSE)+$B$2</f>
        <v>88.291878431618215</v>
      </c>
      <c r="D86" s="74">
        <f>('Old Data'!$I82-$B86)^2+('Old Data'!$S82-$C86)^2</f>
        <v>4257.9704599871529</v>
      </c>
      <c r="E86" s="75">
        <f>'Old Data'!$K82-'Old Data'!$U82</f>
        <v>-94</v>
      </c>
      <c r="F86" s="72">
        <f>VLOOKUP('Old Data'!$F82,$V$6:$X$135,2,FALSE)+VLOOKUP('Old Data'!$P82,$V$6:$X$135,3,FALSE)+$C$2</f>
        <v>205.1343330735904</v>
      </c>
      <c r="G86" s="72">
        <f>VLOOKUP('Old Data'!$P82,$V$6:$X$135,2,FALSE)+VLOOKUP('Old Data'!$F82,$V$6:$X$135,3,FALSE)+$C$2</f>
        <v>259.08359338775159</v>
      </c>
      <c r="H86" s="74">
        <f>('Old Data'!$K82-$F86)^2+('Old Data'!$U82-$G86)^2</f>
        <v>1187.9526797451126</v>
      </c>
      <c r="I86" s="75">
        <f>('Old Data'!$L82+'Old Data'!$M82)-('Old Data'!$V82+'Old Data'!$W82)</f>
        <v>35</v>
      </c>
      <c r="J86" s="72">
        <f>VLOOKUP('Old Data'!$F82,$Z$6:$AB$135,2,FALSE)+VLOOKUP('Old Data'!$P82,$Z$6:$AB$135,3,FALSE)+$D$2</f>
        <v>18.294388411403702</v>
      </c>
      <c r="K86" s="72">
        <f>VLOOKUP('Old Data'!$P82,$Z$6:$AB$135,2,FALSE)+VLOOKUP('Old Data'!$F82,$Z$6:$AB$135,3,FALSE)+$D$2</f>
        <v>17.627507069762395</v>
      </c>
      <c r="L86" s="74">
        <f>('Old Data'!$L82+'Old Data'!$M82-$J86)^2+('Old Data'!$V82+'Old Data'!$W82-$K86)^2</f>
        <v>1136.4620176839187</v>
      </c>
      <c r="M86" s="75">
        <f>'Old Data'!$N82-'Old Data'!$X82</f>
        <v>-2</v>
      </c>
      <c r="N86" s="72">
        <f>VLOOKUP('Old Data'!$F82,$AD$6:$AF$135,2,FALSE)+VLOOKUP('Old Data'!$P82,$AD$6:$AF$135,3,FALSE)+$E$2</f>
        <v>0.86388756604200201</v>
      </c>
      <c r="O86" s="72">
        <f>VLOOKUP('Old Data'!$P82,$AD$6:$AF$135,2,FALSE)+VLOOKUP('Old Data'!$F82,$AD$6:$AF$135,3,FALSE)+$E$2</f>
        <v>2.0121936752143821</v>
      </c>
      <c r="P86" s="73">
        <f>('Old Data'!$N82-$N86)^2+('Old Data'!$X82-$O86)^2</f>
        <v>0.74645041247720822</v>
      </c>
      <c r="Q86" s="62"/>
      <c r="R86" s="90" t="s">
        <v>83</v>
      </c>
      <c r="S86" s="96">
        <v>28.326306612608999</v>
      </c>
      <c r="T86" s="96">
        <v>24.7596859703715</v>
      </c>
      <c r="U86" s="6"/>
      <c r="V86" s="90" t="s">
        <v>83</v>
      </c>
      <c r="W86" s="96">
        <v>-15.2513488624177</v>
      </c>
      <c r="X86" s="96">
        <v>34.538100594787302</v>
      </c>
      <c r="Y86" s="6"/>
      <c r="Z86" s="90" t="s">
        <v>83</v>
      </c>
      <c r="AA86" s="96">
        <v>17.328738953730799</v>
      </c>
      <c r="AB86" s="96">
        <v>-13.1677053444013</v>
      </c>
      <c r="AC86" s="63"/>
      <c r="AD86" s="90" t="s">
        <v>83</v>
      </c>
      <c r="AE86" s="96">
        <v>-0.331705236451032</v>
      </c>
      <c r="AF86" s="96">
        <v>6.2399029714901702E-2</v>
      </c>
      <c r="AG86" s="63"/>
      <c r="AH86" s="37"/>
      <c r="AI86" s="22"/>
      <c r="AJ86" s="6"/>
      <c r="AK86" s="10"/>
      <c r="AL86" s="10"/>
      <c r="AM86" s="10"/>
      <c r="AN86" s="11"/>
      <c r="AO86" s="11"/>
      <c r="AP86" s="11"/>
      <c r="AQ86" s="36"/>
      <c r="AR86" s="11"/>
      <c r="AS86" s="11"/>
      <c r="AT86" s="11"/>
      <c r="AU86" s="12"/>
      <c r="AV86" s="11"/>
      <c r="AW86" s="11"/>
      <c r="AX86" s="15"/>
      <c r="AY86" s="15"/>
      <c r="AZ86" s="15"/>
      <c r="BA86" s="15"/>
      <c r="BB86" s="15"/>
      <c r="BC86" s="15"/>
      <c r="BD86" s="15"/>
      <c r="BE86" s="12"/>
      <c r="BF86" s="11"/>
      <c r="BG86" s="11"/>
      <c r="BH86" s="10"/>
      <c r="BI86" s="10"/>
      <c r="BJ86" s="10"/>
      <c r="BK86" s="23"/>
      <c r="BL86" s="23"/>
      <c r="BM86" s="23"/>
      <c r="BN86" s="23"/>
      <c r="BO86" s="23"/>
      <c r="BP86" s="23"/>
      <c r="BQ86" s="23"/>
      <c r="BR86" s="10"/>
      <c r="BS86" s="16"/>
      <c r="BT86" s="16"/>
      <c r="BU86" s="16"/>
      <c r="BV86" s="16"/>
      <c r="BW86" s="11"/>
      <c r="BX86" s="16"/>
      <c r="BY86" s="16"/>
      <c r="BZ86" s="17"/>
      <c r="CA86" s="18"/>
      <c r="CB86" s="18"/>
      <c r="CC86" s="18"/>
      <c r="CD86" s="18"/>
      <c r="CE86" s="18"/>
      <c r="CF86" s="18"/>
      <c r="CG86" s="19"/>
      <c r="CH86" s="15"/>
      <c r="CI86" s="17"/>
      <c r="CJ86" s="10"/>
      <c r="CK86" s="10"/>
      <c r="CL86" s="10"/>
      <c r="CM86" s="17"/>
      <c r="CN86" s="17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</row>
    <row r="87" spans="1:135" customFormat="1">
      <c r="A87" s="71">
        <f>'Old Data'!$I83-'Old Data'!$S83</f>
        <v>-26</v>
      </c>
      <c r="B87" s="72">
        <f>VLOOKUP('Old Data'!$F83,$R$6:$T$135,2,FALSE)+VLOOKUP('Old Data'!$P83,$R$6:$T$135,3,FALSE)+$B$2</f>
        <v>198.56469130250761</v>
      </c>
      <c r="C87" s="72">
        <f>VLOOKUP('Old Data'!$P83,$R$6:$T$135,2,FALSE)+VLOOKUP('Old Data'!$F83,$R$6:$T$135,3,FALSE)+$B$2</f>
        <v>172.96144047389581</v>
      </c>
      <c r="D87" s="74">
        <f>('Old Data'!$I83-$B87)^2+('Old Data'!$S83-$C87)^2</f>
        <v>1795.7760702948774</v>
      </c>
      <c r="E87" s="75">
        <f>'Old Data'!$K83-'Old Data'!$U83</f>
        <v>-172</v>
      </c>
      <c r="F87" s="72">
        <f>VLOOKUP('Old Data'!$F83,$V$6:$X$135,2,FALSE)+VLOOKUP('Old Data'!$P83,$V$6:$X$135,3,FALSE)+$C$2</f>
        <v>237.64097387565141</v>
      </c>
      <c r="G87" s="72">
        <f>VLOOKUP('Old Data'!$P83,$V$6:$X$135,2,FALSE)+VLOOKUP('Old Data'!$F83,$V$6:$X$135,3,FALSE)+$C$2</f>
        <v>316.65583601848567</v>
      </c>
      <c r="H87" s="74">
        <f>('Old Data'!$K83-$F87)^2+('Old Data'!$U83-$G87)^2</f>
        <v>16852.057942488347</v>
      </c>
      <c r="I87" s="75">
        <f>('Old Data'!$L83+'Old Data'!$M83)-('Old Data'!$V83+'Old Data'!$W83)</f>
        <v>-34</v>
      </c>
      <c r="J87" s="72">
        <f>VLOOKUP('Old Data'!$F83,$Z$6:$AB$135,2,FALSE)+VLOOKUP('Old Data'!$P83,$Z$6:$AB$135,3,FALSE)+$D$2</f>
        <v>57.087541463004897</v>
      </c>
      <c r="K87" s="72">
        <f>VLOOKUP('Old Data'!$P83,$Z$6:$AB$135,2,FALSE)+VLOOKUP('Old Data'!$F83,$Z$6:$AB$135,3,FALSE)+$D$2</f>
        <v>119.2938386972869</v>
      </c>
      <c r="L87" s="74">
        <f>('Old Data'!$L83+'Old Data'!$M83-$J87)^2+('Old Data'!$V83+'Old Data'!$W83-$K87)^2</f>
        <v>3628.3807400710084</v>
      </c>
      <c r="M87" s="75">
        <f>'Old Data'!$N83-'Old Data'!$X83</f>
        <v>-1</v>
      </c>
      <c r="N87" s="72">
        <f>VLOOKUP('Old Data'!$F83,$AD$6:$AF$135,2,FALSE)+VLOOKUP('Old Data'!$P83,$AD$6:$AF$135,3,FALSE)+$E$2</f>
        <v>1.6144218606369471</v>
      </c>
      <c r="O87" s="72">
        <f>VLOOKUP('Old Data'!$P83,$AD$6:$AF$135,2,FALSE)+VLOOKUP('Old Data'!$F83,$AD$6:$AF$135,3,FALSE)+$E$2</f>
        <v>1.4408545124720511</v>
      </c>
      <c r="P87" s="73">
        <f>('Old Data'!$N83-$N87)^2+('Old Data'!$X83-$O87)^2</f>
        <v>2.8007106452694321</v>
      </c>
      <c r="Q87" s="62"/>
      <c r="R87" s="90" t="s">
        <v>84</v>
      </c>
      <c r="S87" s="96">
        <v>103.872508168382</v>
      </c>
      <c r="T87" s="96">
        <v>-53.030959114605899</v>
      </c>
      <c r="U87" s="6"/>
      <c r="V87" s="90" t="s">
        <v>84</v>
      </c>
      <c r="W87" s="96">
        <v>54.402837206240903</v>
      </c>
      <c r="X87" s="96">
        <v>-35.087092815900299</v>
      </c>
      <c r="Y87" s="6"/>
      <c r="Z87" s="90" t="s">
        <v>84</v>
      </c>
      <c r="AA87" s="96">
        <v>8.5656454790633507</v>
      </c>
      <c r="AB87" s="96">
        <v>-2.5503497470624401</v>
      </c>
      <c r="AC87" s="63"/>
      <c r="AD87" s="90" t="s">
        <v>84</v>
      </c>
      <c r="AE87" s="96">
        <v>-0.89437592852616199</v>
      </c>
      <c r="AF87" s="96">
        <v>2.7305330637240999E-2</v>
      </c>
      <c r="AG87" s="63"/>
      <c r="AH87" s="37"/>
      <c r="AI87" s="22"/>
      <c r="AJ87" s="6"/>
      <c r="AK87" s="10"/>
      <c r="AL87" s="10"/>
      <c r="AM87" s="10"/>
      <c r="AN87" s="11"/>
      <c r="AO87" s="11"/>
      <c r="AP87" s="11"/>
      <c r="AQ87" s="36"/>
      <c r="AR87" s="11"/>
      <c r="AS87" s="11"/>
      <c r="AT87" s="11"/>
      <c r="AU87" s="12"/>
      <c r="AV87" s="11"/>
      <c r="AW87" s="11"/>
      <c r="AX87" s="15"/>
      <c r="AY87" s="15"/>
      <c r="AZ87" s="15"/>
      <c r="BA87" s="15"/>
      <c r="BB87" s="15"/>
      <c r="BC87" s="15"/>
      <c r="BD87" s="15"/>
      <c r="BE87" s="12"/>
      <c r="BF87" s="11"/>
      <c r="BG87" s="11"/>
      <c r="BH87" s="10"/>
      <c r="BI87" s="10"/>
      <c r="BJ87" s="10"/>
      <c r="BK87" s="23"/>
      <c r="BL87" s="23"/>
      <c r="BM87" s="23"/>
      <c r="BN87" s="23"/>
      <c r="BO87" s="23"/>
      <c r="BP87" s="23"/>
      <c r="BQ87" s="23"/>
      <c r="BR87" s="10"/>
      <c r="BS87" s="16"/>
      <c r="BT87" s="16"/>
      <c r="BU87" s="16"/>
      <c r="BV87" s="16"/>
      <c r="BW87" s="11"/>
      <c r="BX87" s="16"/>
      <c r="BY87" s="16"/>
      <c r="BZ87" s="17"/>
      <c r="CA87" s="18"/>
      <c r="CB87" s="18"/>
      <c r="CC87" s="18"/>
      <c r="CD87" s="18"/>
      <c r="CE87" s="18"/>
      <c r="CF87" s="18"/>
      <c r="CG87" s="19"/>
      <c r="CH87" s="15"/>
      <c r="CI87" s="17"/>
      <c r="CJ87" s="10"/>
      <c r="CK87" s="10"/>
      <c r="CL87" s="10"/>
      <c r="CM87" s="17"/>
      <c r="CN87" s="17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</row>
    <row r="88" spans="1:135" customFormat="1">
      <c r="A88" s="71">
        <f>'Old Data'!$I84-'Old Data'!$S84</f>
        <v>17</v>
      </c>
      <c r="B88" s="72">
        <f>VLOOKUP('Old Data'!$F84,$R$6:$T$135,2,FALSE)+VLOOKUP('Old Data'!$P84,$R$6:$T$135,3,FALSE)+$B$2</f>
        <v>125.2851102735514</v>
      </c>
      <c r="C88" s="72">
        <f>VLOOKUP('Old Data'!$P84,$R$6:$T$135,2,FALSE)+VLOOKUP('Old Data'!$F84,$R$6:$T$135,3,FALSE)+$B$2</f>
        <v>120.22387060803007</v>
      </c>
      <c r="D88" s="74">
        <f>('Old Data'!$I84-$B88)^2+('Old Data'!$S84-$C88)^2</f>
        <v>599.6839181415753</v>
      </c>
      <c r="E88" s="75">
        <f>'Old Data'!$K84-'Old Data'!$U84</f>
        <v>140</v>
      </c>
      <c r="F88" s="72">
        <f>VLOOKUP('Old Data'!$F84,$V$6:$X$135,2,FALSE)+VLOOKUP('Old Data'!$P84,$V$6:$X$135,3,FALSE)+$C$2</f>
        <v>366.97150524507936</v>
      </c>
      <c r="G88" s="72">
        <f>VLOOKUP('Old Data'!$P84,$V$6:$X$135,2,FALSE)+VLOOKUP('Old Data'!$F84,$V$6:$X$135,3,FALSE)+$C$2</f>
        <v>258.17778333557106</v>
      </c>
      <c r="H88" s="74">
        <f>('Old Data'!$K84-$F88)^2+('Old Data'!$U84-$G88)^2</f>
        <v>549.06921405786238</v>
      </c>
      <c r="I88" s="75">
        <f>('Old Data'!$L84+'Old Data'!$M84)-('Old Data'!$V84+'Old Data'!$W84)</f>
        <v>-60</v>
      </c>
      <c r="J88" s="72">
        <f>VLOOKUP('Old Data'!$F84,$Z$6:$AB$135,2,FALSE)+VLOOKUP('Old Data'!$P84,$Z$6:$AB$135,3,FALSE)+$D$2</f>
        <v>74.511782171345672</v>
      </c>
      <c r="K88" s="72">
        <f>VLOOKUP('Old Data'!$P84,$Z$6:$AB$135,2,FALSE)+VLOOKUP('Old Data'!$F84,$Z$6:$AB$135,3,FALSE)+$D$2</f>
        <v>109.3904114674128</v>
      </c>
      <c r="L88" s="74">
        <f>('Old Data'!$L84+'Old Data'!$M84-$J88)^2+('Old Data'!$V84+'Old Data'!$W84-$K88)^2</f>
        <v>2243.6104104613323</v>
      </c>
      <c r="M88" s="75">
        <f>'Old Data'!$N84-'Old Data'!$X84</f>
        <v>0</v>
      </c>
      <c r="N88" s="72">
        <f>VLOOKUP('Old Data'!$F84,$AD$6:$AF$135,2,FALSE)+VLOOKUP('Old Data'!$P84,$AD$6:$AF$135,3,FALSE)+$E$2</f>
        <v>0.93885115785865958</v>
      </c>
      <c r="O88" s="72">
        <f>VLOOKUP('Old Data'!$P84,$AD$6:$AF$135,2,FALSE)+VLOOKUP('Old Data'!$F84,$AD$6:$AF$135,3,FALSE)+$E$2</f>
        <v>1.2865140791225822</v>
      </c>
      <c r="P88" s="73">
        <f>('Old Data'!$N84-$N88)^2+('Old Data'!$X84-$O88)^2</f>
        <v>8.5829498430687864E-2</v>
      </c>
      <c r="Q88" s="62"/>
      <c r="R88" s="90" t="s">
        <v>26</v>
      </c>
      <c r="S88" s="96">
        <v>112.070901457986</v>
      </c>
      <c r="T88" s="96">
        <v>-33.769717090405798</v>
      </c>
      <c r="U88" s="6"/>
      <c r="V88" s="90" t="s">
        <v>26</v>
      </c>
      <c r="W88" s="96">
        <v>-22.822642164532901</v>
      </c>
      <c r="X88" s="96">
        <v>9.2566591841672192</v>
      </c>
      <c r="Y88" s="6"/>
      <c r="Z88" s="90" t="s">
        <v>26</v>
      </c>
      <c r="AA88" s="96">
        <v>-8.7883482971412796</v>
      </c>
      <c r="AB88" s="96">
        <v>-7.5775333090694703</v>
      </c>
      <c r="AC88" s="63"/>
      <c r="AD88" s="90" t="s">
        <v>26</v>
      </c>
      <c r="AE88" s="96">
        <v>1.8698475539020699E-2</v>
      </c>
      <c r="AF88" s="96">
        <v>0.25658616519073502</v>
      </c>
      <c r="AG88" s="63"/>
      <c r="AH88" s="37"/>
      <c r="AI88" s="22"/>
      <c r="AJ88" s="6"/>
      <c r="AK88" s="10"/>
      <c r="AL88" s="10"/>
      <c r="AM88" s="10"/>
      <c r="AN88" s="11"/>
      <c r="AO88" s="11"/>
      <c r="AP88" s="11"/>
      <c r="AQ88" s="36"/>
      <c r="AR88" s="11"/>
      <c r="AS88" s="11"/>
      <c r="AT88" s="11"/>
      <c r="AU88" s="12"/>
      <c r="AV88" s="11"/>
      <c r="AW88" s="11"/>
      <c r="AX88" s="15"/>
      <c r="AY88" s="15"/>
      <c r="AZ88" s="15"/>
      <c r="BA88" s="15"/>
      <c r="BB88" s="15"/>
      <c r="BC88" s="15"/>
      <c r="BD88" s="15"/>
      <c r="BE88" s="12"/>
      <c r="BF88" s="11"/>
      <c r="BG88" s="11"/>
      <c r="BH88" s="10"/>
      <c r="BI88" s="10"/>
      <c r="BJ88" s="10"/>
      <c r="BK88" s="23"/>
      <c r="BL88" s="23"/>
      <c r="BM88" s="23"/>
      <c r="BN88" s="23"/>
      <c r="BO88" s="23"/>
      <c r="BP88" s="23"/>
      <c r="BQ88" s="23"/>
      <c r="BR88" s="10"/>
      <c r="BS88" s="16"/>
      <c r="BT88" s="16"/>
      <c r="BU88" s="16"/>
      <c r="BV88" s="16"/>
      <c r="BW88" s="11"/>
      <c r="BX88" s="16"/>
      <c r="BY88" s="16"/>
      <c r="BZ88" s="17"/>
      <c r="CA88" s="18"/>
      <c r="CB88" s="18"/>
      <c r="CC88" s="18"/>
      <c r="CD88" s="18"/>
      <c r="CE88" s="18"/>
      <c r="CF88" s="18"/>
      <c r="CG88" s="19"/>
      <c r="CH88" s="15"/>
      <c r="CI88" s="17"/>
      <c r="CJ88" s="10"/>
      <c r="CK88" s="10"/>
      <c r="CL88" s="10"/>
      <c r="CM88" s="17"/>
      <c r="CN88" s="17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</row>
    <row r="89" spans="1:135" customFormat="1">
      <c r="A89" s="71">
        <f>'Old Data'!$I85-'Old Data'!$S85</f>
        <v>126</v>
      </c>
      <c r="B89" s="72">
        <f>VLOOKUP('Old Data'!$F85,$R$6:$T$135,2,FALSE)+VLOOKUP('Old Data'!$P85,$R$6:$T$135,3,FALSE)+$B$2</f>
        <v>261.30657782006494</v>
      </c>
      <c r="C89" s="72">
        <f>VLOOKUP('Old Data'!$P85,$R$6:$T$135,2,FALSE)+VLOOKUP('Old Data'!$F85,$R$6:$T$135,3,FALSE)+$B$2</f>
        <v>37.777018908909412</v>
      </c>
      <c r="D89" s="74">
        <f>('Old Data'!$I85-$B89)^2+('Old Data'!$S85-$C89)^2</f>
        <v>5519.7711973388268</v>
      </c>
      <c r="E89" s="75">
        <f>'Old Data'!$K85-'Old Data'!$U85</f>
        <v>-21</v>
      </c>
      <c r="F89" s="72">
        <f>VLOOKUP('Old Data'!$F85,$V$6:$X$135,2,FALSE)+VLOOKUP('Old Data'!$P85,$V$6:$X$135,3,FALSE)+$C$2</f>
        <v>205.20728356202611</v>
      </c>
      <c r="G89" s="72">
        <f>VLOOKUP('Old Data'!$P85,$V$6:$X$135,2,FALSE)+VLOOKUP('Old Data'!$F85,$V$6:$X$135,3,FALSE)+$C$2</f>
        <v>126.0691373874625</v>
      </c>
      <c r="H89" s="74">
        <f>('Old Data'!$K85-$F89)^2+('Old Data'!$U85-$G89)^2</f>
        <v>11943.244691870135</v>
      </c>
      <c r="I89" s="75">
        <f>('Old Data'!$L85+'Old Data'!$M85)-('Old Data'!$V85+'Old Data'!$W85)</f>
        <v>38</v>
      </c>
      <c r="J89" s="72">
        <f>VLOOKUP('Old Data'!$F85,$Z$6:$AB$135,2,FALSE)+VLOOKUP('Old Data'!$P85,$Z$6:$AB$135,3,FALSE)+$D$2</f>
        <v>28.472600157653915</v>
      </c>
      <c r="K89" s="72">
        <f>VLOOKUP('Old Data'!$P85,$Z$6:$AB$135,2,FALSE)+VLOOKUP('Old Data'!$F85,$Z$6:$AB$135,3,FALSE)+$D$2</f>
        <v>18.689719121538545</v>
      </c>
      <c r="L89" s="74">
        <f>('Old Data'!$L85+'Old Data'!$M85-$J89)^2+('Old Data'!$V85+'Old Data'!$W85-$K89)^2</f>
        <v>440.07694859793969</v>
      </c>
      <c r="M89" s="75">
        <f>'Old Data'!$N85-'Old Data'!$X85</f>
        <v>1</v>
      </c>
      <c r="N89" s="72">
        <f>VLOOKUP('Old Data'!$F85,$AD$6:$AF$135,2,FALSE)+VLOOKUP('Old Data'!$P85,$AD$6:$AF$135,3,FALSE)+$E$2</f>
        <v>1.9888843460567092</v>
      </c>
      <c r="O89" s="72">
        <f>VLOOKUP('Old Data'!$P85,$AD$6:$AF$135,2,FALSE)+VLOOKUP('Old Data'!$F85,$AD$6:$AF$135,3,FALSE)+$E$2</f>
        <v>0.19983942934530208</v>
      </c>
      <c r="P89" s="73">
        <f>('Old Data'!$N85-$N89)^2+('Old Data'!$X85-$O89)^2</f>
        <v>1.0178280473970613</v>
      </c>
      <c r="Q89" s="62"/>
      <c r="R89" s="90" t="s">
        <v>68</v>
      </c>
      <c r="S89" s="96">
        <v>-85.383268230623997</v>
      </c>
      <c r="T89" s="96">
        <v>4.4962683865053599</v>
      </c>
      <c r="U89" s="6"/>
      <c r="V89" s="90" t="s">
        <v>68</v>
      </c>
      <c r="W89" s="96">
        <v>-57.793883948764602</v>
      </c>
      <c r="X89" s="96">
        <v>-8.6175302844132897</v>
      </c>
      <c r="Y89" s="6"/>
      <c r="Z89" s="90" t="s">
        <v>68</v>
      </c>
      <c r="AA89" s="96">
        <v>15.034275087349799</v>
      </c>
      <c r="AB89" s="96">
        <v>5.8392131787264496</v>
      </c>
      <c r="AC89" s="63"/>
      <c r="AD89" s="90" t="s">
        <v>68</v>
      </c>
      <c r="AE89" s="96">
        <v>6.17699550814219E-3</v>
      </c>
      <c r="AF89" s="96">
        <v>3.9978128235682697E-2</v>
      </c>
      <c r="AG89" s="63"/>
      <c r="AH89" s="37"/>
      <c r="AI89" s="22"/>
      <c r="AJ89" s="6"/>
      <c r="AK89" s="10"/>
      <c r="AL89" s="10"/>
      <c r="AM89" s="10"/>
      <c r="AN89" s="11"/>
      <c r="AO89" s="11"/>
      <c r="AP89" s="11"/>
      <c r="AQ89" s="36"/>
      <c r="AR89" s="11"/>
      <c r="AS89" s="11"/>
      <c r="AT89" s="11"/>
      <c r="AU89" s="12"/>
      <c r="AV89" s="11"/>
      <c r="AW89" s="11"/>
      <c r="AX89" s="15"/>
      <c r="AY89" s="15"/>
      <c r="AZ89" s="15"/>
      <c r="BA89" s="15"/>
      <c r="BB89" s="15"/>
      <c r="BC89" s="15"/>
      <c r="BD89" s="15"/>
      <c r="BE89" s="12"/>
      <c r="BF89" s="11"/>
      <c r="BG89" s="11"/>
      <c r="BH89" s="10"/>
      <c r="BI89" s="10"/>
      <c r="BJ89" s="10"/>
      <c r="BK89" s="23"/>
      <c r="BL89" s="23"/>
      <c r="BM89" s="23"/>
      <c r="BN89" s="23"/>
      <c r="BO89" s="23"/>
      <c r="BP89" s="23"/>
      <c r="BQ89" s="23"/>
      <c r="BR89" s="10"/>
      <c r="BS89" s="16"/>
      <c r="BT89" s="16"/>
      <c r="BU89" s="16"/>
      <c r="BV89" s="16"/>
      <c r="BW89" s="11"/>
      <c r="BX89" s="16"/>
      <c r="BY89" s="16"/>
      <c r="BZ89" s="17"/>
      <c r="CA89" s="18"/>
      <c r="CB89" s="18"/>
      <c r="CC89" s="18"/>
      <c r="CD89" s="18"/>
      <c r="CE89" s="18"/>
      <c r="CF89" s="18"/>
      <c r="CG89" s="19"/>
      <c r="CH89" s="15"/>
      <c r="CI89" s="17"/>
      <c r="CJ89" s="10"/>
      <c r="CK89" s="10"/>
      <c r="CL89" s="10"/>
      <c r="CM89" s="17"/>
      <c r="CN89" s="17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</row>
    <row r="90" spans="1:135" customFormat="1">
      <c r="A90" s="71">
        <f>'Old Data'!$I86-'Old Data'!$S86</f>
        <v>-72</v>
      </c>
      <c r="B90" s="72">
        <f>VLOOKUP('Old Data'!$F86,$R$6:$T$135,2,FALSE)+VLOOKUP('Old Data'!$P86,$R$6:$T$135,3,FALSE)+$B$2</f>
        <v>187.25044055694747</v>
      </c>
      <c r="C90" s="72">
        <f>VLOOKUP('Old Data'!$P86,$R$6:$T$135,2,FALSE)+VLOOKUP('Old Data'!$F86,$R$6:$T$135,3,FALSE)+$B$2</f>
        <v>53.802812083960816</v>
      </c>
      <c r="D90" s="74">
        <f>('Old Data'!$I86-$B90)^2+('Old Data'!$S86-$C90)^2</f>
        <v>25423.912944904587</v>
      </c>
      <c r="E90" s="75">
        <f>'Old Data'!$K86-'Old Data'!$U86</f>
        <v>150</v>
      </c>
      <c r="F90" s="72">
        <f>VLOOKUP('Old Data'!$F86,$V$6:$X$135,2,FALSE)+VLOOKUP('Old Data'!$P86,$V$6:$X$135,3,FALSE)+$C$2</f>
        <v>222.01374200293631</v>
      </c>
      <c r="G90" s="72">
        <f>VLOOKUP('Old Data'!$P86,$V$6:$X$135,2,FALSE)+VLOOKUP('Old Data'!$F86,$V$6:$X$135,3,FALSE)+$C$2</f>
        <v>183.9217909236059</v>
      </c>
      <c r="H90" s="74">
        <f>('Old Data'!$K86-$F90)^2+('Old Data'!$U86-$G90)^2</f>
        <v>6332.9341797357756</v>
      </c>
      <c r="I90" s="75">
        <f>('Old Data'!$L86+'Old Data'!$M86)-('Old Data'!$V86+'Old Data'!$W86)</f>
        <v>65</v>
      </c>
      <c r="J90" s="72">
        <f>VLOOKUP('Old Data'!$F86,$Z$6:$AB$135,2,FALSE)+VLOOKUP('Old Data'!$P86,$Z$6:$AB$135,3,FALSE)+$D$2</f>
        <v>75.90154301667495</v>
      </c>
      <c r="K90" s="72">
        <f>VLOOKUP('Old Data'!$P86,$Z$6:$AB$135,2,FALSE)+VLOOKUP('Old Data'!$F86,$Z$6:$AB$135,3,FALSE)+$D$2</f>
        <v>50.168178043881497</v>
      </c>
      <c r="L90" s="74">
        <f>('Old Data'!$L86+'Old Data'!$M86-$J90)^2+('Old Data'!$V86+'Old Data'!$W86-$K90)^2</f>
        <v>1380.9965065735889</v>
      </c>
      <c r="M90" s="75">
        <f>'Old Data'!$N86-'Old Data'!$X86</f>
        <v>-2</v>
      </c>
      <c r="N90" s="72">
        <f>VLOOKUP('Old Data'!$F86,$AD$6:$AF$135,2,FALSE)+VLOOKUP('Old Data'!$P86,$AD$6:$AF$135,3,FALSE)+$E$2</f>
        <v>1.6377765496669827</v>
      </c>
      <c r="O90" s="72">
        <f>VLOOKUP('Old Data'!$P86,$AD$6:$AF$135,2,FALSE)+VLOOKUP('Old Data'!$F86,$AD$6:$AF$135,3,FALSE)+$E$2</f>
        <v>1.8471356204803924</v>
      </c>
      <c r="P90" s="73">
        <f>('Old Data'!$N86-$N90)^2+('Old Data'!$X86-$O90)^2</f>
        <v>2.7056795451650011</v>
      </c>
      <c r="Q90" s="62"/>
      <c r="R90" s="90" t="s">
        <v>86</v>
      </c>
      <c r="S90" s="96">
        <v>31.131046626762501</v>
      </c>
      <c r="T90" s="96">
        <v>-42.277216831379299</v>
      </c>
      <c r="U90" s="6"/>
      <c r="V90" s="90" t="s">
        <v>86</v>
      </c>
      <c r="W90" s="96">
        <v>13.62272837295</v>
      </c>
      <c r="X90" s="96">
        <v>-28.6380581896222</v>
      </c>
      <c r="Y90" s="6"/>
      <c r="Z90" s="90" t="s">
        <v>86</v>
      </c>
      <c r="AA90" s="96">
        <v>15.6913385090483</v>
      </c>
      <c r="AB90" s="96">
        <v>33.219635889887599</v>
      </c>
      <c r="AC90" s="63"/>
      <c r="AD90" s="90" t="s">
        <v>86</v>
      </c>
      <c r="AE90" s="96">
        <v>0.52344935303850004</v>
      </c>
      <c r="AF90" s="96">
        <v>-0.44444228741397601</v>
      </c>
      <c r="AG90" s="63"/>
      <c r="AH90" s="37"/>
      <c r="AI90" s="22"/>
      <c r="AJ90" s="6"/>
      <c r="AK90" s="10"/>
      <c r="AL90" s="10"/>
      <c r="AM90" s="10"/>
      <c r="AN90" s="11"/>
      <c r="AO90" s="11"/>
      <c r="AP90" s="11"/>
      <c r="AQ90" s="36"/>
      <c r="AR90" s="11"/>
      <c r="AS90" s="11"/>
      <c r="AT90" s="11"/>
      <c r="AU90" s="12"/>
      <c r="AV90" s="11"/>
      <c r="AW90" s="11"/>
      <c r="AX90" s="15"/>
      <c r="AY90" s="15"/>
      <c r="AZ90" s="15"/>
      <c r="BA90" s="15"/>
      <c r="BB90" s="15"/>
      <c r="BC90" s="15"/>
      <c r="BD90" s="15"/>
      <c r="BE90" s="12"/>
      <c r="BF90" s="11"/>
      <c r="BG90" s="11"/>
      <c r="BH90" s="10"/>
      <c r="BI90" s="10"/>
      <c r="BJ90" s="10"/>
      <c r="BK90" s="23"/>
      <c r="BL90" s="23"/>
      <c r="BM90" s="23"/>
      <c r="BN90" s="23"/>
      <c r="BO90" s="23"/>
      <c r="BP90" s="23"/>
      <c r="BQ90" s="23"/>
      <c r="BR90" s="10"/>
      <c r="BS90" s="16"/>
      <c r="BT90" s="16"/>
      <c r="BU90" s="16"/>
      <c r="BV90" s="16"/>
      <c r="BW90" s="11"/>
      <c r="BX90" s="16"/>
      <c r="BY90" s="16"/>
      <c r="BZ90" s="17"/>
      <c r="CA90" s="18"/>
      <c r="CB90" s="18"/>
      <c r="CC90" s="18"/>
      <c r="CD90" s="18"/>
      <c r="CE90" s="18"/>
      <c r="CF90" s="18"/>
      <c r="CG90" s="19"/>
      <c r="CH90" s="15"/>
      <c r="CI90" s="17"/>
      <c r="CJ90" s="10"/>
      <c r="CK90" s="10"/>
      <c r="CL90" s="10"/>
      <c r="CM90" s="17"/>
      <c r="CN90" s="17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</row>
    <row r="91" spans="1:135" customFormat="1">
      <c r="A91" s="71">
        <f>'Old Data'!$I87-'Old Data'!$S87</f>
        <v>-6</v>
      </c>
      <c r="B91" s="72">
        <f>VLOOKUP('Old Data'!$F87,$R$6:$T$135,2,FALSE)+VLOOKUP('Old Data'!$P87,$R$6:$T$135,3,FALSE)+$B$2</f>
        <v>114.82564068886761</v>
      </c>
      <c r="C91" s="72">
        <f>VLOOKUP('Old Data'!$P87,$R$6:$T$135,2,FALSE)+VLOOKUP('Old Data'!$F87,$R$6:$T$135,3,FALSE)+$B$2</f>
        <v>123.91959335707431</v>
      </c>
      <c r="D91" s="74">
        <f>('Old Data'!$I87-$B91)^2+('Old Data'!$S87-$C91)^2</f>
        <v>9700.7311920162992</v>
      </c>
      <c r="E91" s="75">
        <f>'Old Data'!$K87-'Old Data'!$U87</f>
        <v>51</v>
      </c>
      <c r="F91" s="72">
        <f>VLOOKUP('Old Data'!$F87,$V$6:$X$135,2,FALSE)+VLOOKUP('Old Data'!$P87,$V$6:$X$135,3,FALSE)+$C$2</f>
        <v>235.08859133588589</v>
      </c>
      <c r="G91" s="72">
        <f>VLOOKUP('Old Data'!$P87,$V$6:$X$135,2,FALSE)+VLOOKUP('Old Data'!$F87,$V$6:$X$135,3,FALSE)+$C$2</f>
        <v>138.01155505642191</v>
      </c>
      <c r="H91" s="74">
        <f>('Old Data'!$K87-$F91)^2+('Old Data'!$U87-$G91)^2</f>
        <v>6071.5662900302468</v>
      </c>
      <c r="I91" s="75">
        <f>('Old Data'!$L87+'Old Data'!$M87)-('Old Data'!$V87+'Old Data'!$W87)</f>
        <v>41</v>
      </c>
      <c r="J91" s="72">
        <f>VLOOKUP('Old Data'!$F87,$Z$6:$AB$135,2,FALSE)+VLOOKUP('Old Data'!$P87,$Z$6:$AB$135,3,FALSE)+$D$2</f>
        <v>38.49836825570388</v>
      </c>
      <c r="K91" s="72">
        <f>VLOOKUP('Old Data'!$P87,$Z$6:$AB$135,2,FALSE)+VLOOKUP('Old Data'!$F87,$Z$6:$AB$135,3,FALSE)+$D$2</f>
        <v>26.517294907276778</v>
      </c>
      <c r="L91" s="74">
        <f>('Old Data'!$L87+'Old Data'!$M87-$J91)^2+('Old Data'!$V87+'Old Data'!$W87-$K91)^2</f>
        <v>620.73591141240809</v>
      </c>
      <c r="M91" s="75">
        <f>'Old Data'!$N87-'Old Data'!$X87</f>
        <v>-2</v>
      </c>
      <c r="N91" s="72">
        <f>VLOOKUP('Old Data'!$F87,$AD$6:$AF$135,2,FALSE)+VLOOKUP('Old Data'!$P87,$AD$6:$AF$135,3,FALSE)+$E$2</f>
        <v>0.99995855302507608</v>
      </c>
      <c r="O91" s="72">
        <f>VLOOKUP('Old Data'!$P87,$AD$6:$AF$135,2,FALSE)+VLOOKUP('Old Data'!$F87,$AD$6:$AF$135,3,FALSE)+$E$2</f>
        <v>1.165656147177625</v>
      </c>
      <c r="P91" s="73">
        <f>('Old Data'!$N87-$N91)^2+('Old Data'!$X87-$O91)^2</f>
        <v>1.6960467725104889</v>
      </c>
      <c r="Q91" s="62"/>
      <c r="R91" s="90" t="s">
        <v>82</v>
      </c>
      <c r="S91" s="96">
        <v>3.3911810234103599</v>
      </c>
      <c r="T91" s="96">
        <v>-3.0723292439805698</v>
      </c>
      <c r="U91" s="6"/>
      <c r="V91" s="90" t="s">
        <v>82</v>
      </c>
      <c r="W91" s="96">
        <v>10.9877290940561</v>
      </c>
      <c r="X91" s="96">
        <v>36.033702758944003</v>
      </c>
      <c r="Y91" s="6"/>
      <c r="Z91" s="90" t="s">
        <v>82</v>
      </c>
      <c r="AA91" s="96">
        <v>1.6919034401313899</v>
      </c>
      <c r="AB91" s="96">
        <v>36.5255742860273</v>
      </c>
      <c r="AC91" s="63"/>
      <c r="AD91" s="90" t="s">
        <v>82</v>
      </c>
      <c r="AE91" s="96">
        <v>-7.0125897167643794E-2</v>
      </c>
      <c r="AF91" s="96">
        <v>-1.0916813316221701</v>
      </c>
      <c r="AG91" s="63"/>
      <c r="AH91" s="37"/>
      <c r="AI91" s="22"/>
      <c r="AJ91" s="6"/>
      <c r="AK91" s="10"/>
      <c r="AL91" s="10"/>
      <c r="AM91" s="10"/>
      <c r="AN91" s="11"/>
      <c r="AO91" s="11"/>
      <c r="AP91" s="11"/>
      <c r="AQ91" s="36"/>
      <c r="AR91" s="11"/>
      <c r="AS91" s="11"/>
      <c r="AT91" s="11"/>
      <c r="AU91" s="12"/>
      <c r="AV91" s="11"/>
      <c r="AW91" s="11"/>
      <c r="AX91" s="15"/>
      <c r="AY91" s="15"/>
      <c r="AZ91" s="15"/>
      <c r="BA91" s="15"/>
      <c r="BB91" s="15"/>
      <c r="BC91" s="15"/>
      <c r="BD91" s="15"/>
      <c r="BE91" s="12"/>
      <c r="BF91" s="11"/>
      <c r="BG91" s="11"/>
      <c r="BH91" s="10"/>
      <c r="BI91" s="10"/>
      <c r="BJ91" s="10"/>
      <c r="BK91" s="23"/>
      <c r="BL91" s="23"/>
      <c r="BM91" s="23"/>
      <c r="BN91" s="23"/>
      <c r="BO91" s="23"/>
      <c r="BP91" s="23"/>
      <c r="BQ91" s="23"/>
      <c r="BR91" s="10"/>
      <c r="BS91" s="16"/>
      <c r="BT91" s="16"/>
      <c r="BU91" s="16"/>
      <c r="BV91" s="16"/>
      <c r="BW91" s="11"/>
      <c r="BX91" s="16"/>
      <c r="BY91" s="16"/>
      <c r="BZ91" s="17"/>
      <c r="CA91" s="18"/>
      <c r="CB91" s="18"/>
      <c r="CC91" s="18"/>
      <c r="CD91" s="18"/>
      <c r="CE91" s="18"/>
      <c r="CF91" s="18"/>
      <c r="CG91" s="19"/>
      <c r="CH91" s="15"/>
      <c r="CI91" s="17"/>
      <c r="CJ91" s="10"/>
      <c r="CK91" s="10"/>
      <c r="CL91" s="10"/>
      <c r="CM91" s="17"/>
      <c r="CN91" s="17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</row>
    <row r="92" spans="1:135" customFormat="1">
      <c r="A92" s="71">
        <f>'Old Data'!$I88-'Old Data'!$S88</f>
        <v>167</v>
      </c>
      <c r="B92" s="72">
        <f>VLOOKUP('Old Data'!$F88,$R$6:$T$135,2,FALSE)+VLOOKUP('Old Data'!$P88,$R$6:$T$135,3,FALSE)+$B$2</f>
        <v>241.9500304403619</v>
      </c>
      <c r="C92" s="72">
        <f>VLOOKUP('Old Data'!$P88,$R$6:$T$135,2,FALSE)+VLOOKUP('Old Data'!$F88,$R$6:$T$135,3,FALSE)+$B$2</f>
        <v>72.562206723745774</v>
      </c>
      <c r="D92" s="74">
        <f>('Old Data'!$I88-$B92)^2+('Old Data'!$S88-$C92)^2</f>
        <v>3489.997729127901</v>
      </c>
      <c r="E92" s="75">
        <f>'Old Data'!$K88-'Old Data'!$U88</f>
        <v>357</v>
      </c>
      <c r="F92" s="72">
        <f>VLOOKUP('Old Data'!$F88,$V$6:$X$135,2,FALSE)+VLOOKUP('Old Data'!$P88,$V$6:$X$135,3,FALSE)+$C$2</f>
        <v>269.33502337797427</v>
      </c>
      <c r="G92" s="72">
        <f>VLOOKUP('Old Data'!$P88,$V$6:$X$135,2,FALSE)+VLOOKUP('Old Data'!$F88,$V$6:$X$135,3,FALSE)+$C$2</f>
        <v>195.9996667325089</v>
      </c>
      <c r="H92" s="74">
        <f>('Old Data'!$K88-$F92)^2+('Old Data'!$U88-$G92)^2</f>
        <v>40482.234135893319</v>
      </c>
      <c r="I92" s="75">
        <f>('Old Data'!$L88+'Old Data'!$M88)-('Old Data'!$V88+'Old Data'!$W88)</f>
        <v>25</v>
      </c>
      <c r="J92" s="72">
        <f>VLOOKUP('Old Data'!$F88,$Z$6:$AB$135,2,FALSE)+VLOOKUP('Old Data'!$P88,$Z$6:$AB$135,3,FALSE)+$D$2</f>
        <v>87.934615295381803</v>
      </c>
      <c r="K92" s="72">
        <f>VLOOKUP('Old Data'!$P88,$Z$6:$AB$135,2,FALSE)+VLOOKUP('Old Data'!$F88,$Z$6:$AB$135,3,FALSE)+$D$2</f>
        <v>43.793472114354103</v>
      </c>
      <c r="L92" s="74">
        <f>('Old Data'!$L88+'Old Data'!$M88-$J92)^2+('Old Data'!$V88+'Old Data'!$W88-$K92)^2</f>
        <v>540.38700942954313</v>
      </c>
      <c r="M92" s="75">
        <f>'Old Data'!$N88-'Old Data'!$X88</f>
        <v>0</v>
      </c>
      <c r="N92" s="72">
        <f>VLOOKUP('Old Data'!$F88,$AD$6:$AF$135,2,FALSE)+VLOOKUP('Old Data'!$P88,$AD$6:$AF$135,3,FALSE)+$E$2</f>
        <v>2.3216502727925583</v>
      </c>
      <c r="O92" s="72">
        <f>VLOOKUP('Old Data'!$P88,$AD$6:$AF$135,2,FALSE)+VLOOKUP('Old Data'!$F88,$AD$6:$AF$135,3,FALSE)+$E$2</f>
        <v>1.3162322149203354</v>
      </c>
      <c r="P92" s="73">
        <f>('Old Data'!$N88-$N92)^2+('Old Data'!$X88-$O92)^2</f>
        <v>1.8467622573260651</v>
      </c>
      <c r="Q92" s="62"/>
      <c r="R92" s="90" t="s">
        <v>88</v>
      </c>
      <c r="S92" s="96">
        <v>-57.938578751148199</v>
      </c>
      <c r="T92" s="96">
        <v>-59.922911416614703</v>
      </c>
      <c r="U92" s="6"/>
      <c r="V92" s="90" t="s">
        <v>88</v>
      </c>
      <c r="W92" s="96">
        <v>26.1521917883708</v>
      </c>
      <c r="X92" s="96">
        <v>-29.5232381351288</v>
      </c>
      <c r="Y92" s="6"/>
      <c r="Z92" s="90" t="s">
        <v>88</v>
      </c>
      <c r="AA92" s="96">
        <v>-10.8827190270665</v>
      </c>
      <c r="AB92" s="96">
        <v>-9.9079117062888695</v>
      </c>
      <c r="AC92" s="63"/>
      <c r="AD92" s="90" t="s">
        <v>88</v>
      </c>
      <c r="AE92" s="96">
        <v>-0.118597026101475</v>
      </c>
      <c r="AF92" s="96">
        <v>0.13215770682342501</v>
      </c>
      <c r="AG92" s="63"/>
      <c r="AH92" s="37"/>
      <c r="AI92" s="22"/>
      <c r="AJ92" s="6"/>
      <c r="AK92" s="10"/>
      <c r="AL92" s="10"/>
      <c r="AM92" s="10"/>
      <c r="AN92" s="11"/>
      <c r="AO92" s="11"/>
      <c r="AP92" s="11"/>
      <c r="AQ92" s="36"/>
      <c r="AR92" s="11"/>
      <c r="AS92" s="11"/>
      <c r="AT92" s="11"/>
      <c r="AU92" s="12"/>
      <c r="AV92" s="11"/>
      <c r="AW92" s="11"/>
      <c r="AX92" s="15"/>
      <c r="AY92" s="15"/>
      <c r="AZ92" s="15"/>
      <c r="BA92" s="15"/>
      <c r="BB92" s="15"/>
      <c r="BC92" s="15"/>
      <c r="BD92" s="15"/>
      <c r="BE92" s="12"/>
      <c r="BF92" s="11"/>
      <c r="BG92" s="11"/>
      <c r="BH92" s="10"/>
      <c r="BI92" s="10"/>
      <c r="BJ92" s="10"/>
      <c r="BK92" s="23"/>
      <c r="BL92" s="23"/>
      <c r="BM92" s="23"/>
      <c r="BN92" s="23"/>
      <c r="BO92" s="23"/>
      <c r="BP92" s="23"/>
      <c r="BQ92" s="23"/>
      <c r="BR92" s="10"/>
      <c r="BS92" s="16"/>
      <c r="BT92" s="16"/>
      <c r="BU92" s="16"/>
      <c r="BV92" s="16"/>
      <c r="BW92" s="11"/>
      <c r="BX92" s="16"/>
      <c r="BY92" s="16"/>
      <c r="BZ92" s="17"/>
      <c r="CA92" s="18"/>
      <c r="CB92" s="18"/>
      <c r="CC92" s="18"/>
      <c r="CD92" s="18"/>
      <c r="CE92" s="18"/>
      <c r="CF92" s="18"/>
      <c r="CG92" s="19"/>
      <c r="CH92" s="15"/>
      <c r="CI92" s="17"/>
      <c r="CJ92" s="10"/>
      <c r="CK92" s="10"/>
      <c r="CL92" s="10"/>
      <c r="CM92" s="17"/>
      <c r="CN92" s="17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</row>
    <row r="93" spans="1:135" customFormat="1">
      <c r="A93" s="71">
        <f>'Old Data'!$I89-'Old Data'!$S89</f>
        <v>-204</v>
      </c>
      <c r="B93" s="72">
        <f>VLOOKUP('Old Data'!$F89,$R$6:$T$135,2,FALSE)+VLOOKUP('Old Data'!$P89,$R$6:$T$135,3,FALSE)+$B$2</f>
        <v>103.07956053019683</v>
      </c>
      <c r="C93" s="72">
        <f>VLOOKUP('Old Data'!$P89,$R$6:$T$135,2,FALSE)+VLOOKUP('Old Data'!$F89,$R$6:$T$135,3,FALSE)+$B$2</f>
        <v>261.39821047578539</v>
      </c>
      <c r="D93" s="74">
        <f>('Old Data'!$I89-$B93)^2+('Old Data'!$S89-$C93)^2</f>
        <v>15075.241474958904</v>
      </c>
      <c r="E93" s="75">
        <f>'Old Data'!$K89-'Old Data'!$U89</f>
        <v>-76</v>
      </c>
      <c r="F93" s="72">
        <f>VLOOKUP('Old Data'!$F89,$V$6:$X$135,2,FALSE)+VLOOKUP('Old Data'!$P89,$V$6:$X$135,3,FALSE)+$C$2</f>
        <v>169.08175082279348</v>
      </c>
      <c r="G93" s="72">
        <f>VLOOKUP('Old Data'!$P89,$V$6:$X$135,2,FALSE)+VLOOKUP('Old Data'!$F89,$V$6:$X$135,3,FALSE)+$C$2</f>
        <v>276.63690569679773</v>
      </c>
      <c r="H93" s="74">
        <f>('Old Data'!$K89-$F93)^2+('Old Data'!$U89-$G93)^2</f>
        <v>14229.200458890322</v>
      </c>
      <c r="I93" s="75">
        <f>('Old Data'!$L89+'Old Data'!$M89)-('Old Data'!$V89+'Old Data'!$W89)</f>
        <v>-95</v>
      </c>
      <c r="J93" s="72">
        <f>VLOOKUP('Old Data'!$F89,$Z$6:$AB$135,2,FALSE)+VLOOKUP('Old Data'!$P89,$Z$6:$AB$135,3,FALSE)+$D$2</f>
        <v>51.368467242739527</v>
      </c>
      <c r="K93" s="72">
        <f>VLOOKUP('Old Data'!$P89,$Z$6:$AB$135,2,FALSE)+VLOOKUP('Old Data'!$F89,$Z$6:$AB$135,3,FALSE)+$D$2</f>
        <v>45.632034609954417</v>
      </c>
      <c r="L93" s="74">
        <f>('Old Data'!$L89+'Old Data'!$M89-$J93)^2+('Old Data'!$V89+'Old Data'!$W89-$K93)^2</f>
        <v>7961.8762891110146</v>
      </c>
      <c r="M93" s="75">
        <f>'Old Data'!$N89-'Old Data'!$X89</f>
        <v>-1</v>
      </c>
      <c r="N93" s="72">
        <f>VLOOKUP('Old Data'!$F89,$AD$6:$AF$135,2,FALSE)+VLOOKUP('Old Data'!$P89,$AD$6:$AF$135,3,FALSE)+$E$2</f>
        <v>1.5518737965276932</v>
      </c>
      <c r="O93" s="72">
        <f>VLOOKUP('Old Data'!$P89,$AD$6:$AF$135,2,FALSE)+VLOOKUP('Old Data'!$F89,$AD$6:$AF$135,3,FALSE)+$E$2</f>
        <v>2.75598406369634</v>
      </c>
      <c r="P93" s="73">
        <f>('Old Data'!$N89-$N93)^2+('Old Data'!$X89-$O93)^2</f>
        <v>5.4917923123047885</v>
      </c>
      <c r="Q93" s="62"/>
      <c r="R93" s="90" t="s">
        <v>89</v>
      </c>
      <c r="S93" s="96">
        <v>52.994311825003102</v>
      </c>
      <c r="T93" s="96">
        <v>-68.803342641123194</v>
      </c>
      <c r="U93" s="6"/>
      <c r="V93" s="90" t="s">
        <v>89</v>
      </c>
      <c r="W93" s="96">
        <v>-9.0980737311673003</v>
      </c>
      <c r="X93" s="96">
        <v>18.9224272462484</v>
      </c>
      <c r="Y93" s="6"/>
      <c r="Z93" s="90" t="s">
        <v>89</v>
      </c>
      <c r="AA93" s="96">
        <v>9.3471846575315194</v>
      </c>
      <c r="AB93" s="96">
        <v>-36.072682637045098</v>
      </c>
      <c r="AC93" s="63"/>
      <c r="AD93" s="90" t="s">
        <v>89</v>
      </c>
      <c r="AE93" s="96">
        <v>0.400941024846236</v>
      </c>
      <c r="AF93" s="96">
        <v>-0.38187270985830402</v>
      </c>
      <c r="AG93" s="63"/>
      <c r="AH93" s="37"/>
      <c r="AI93" s="22"/>
      <c r="AJ93" s="6"/>
      <c r="AK93" s="10"/>
      <c r="AL93" s="10"/>
      <c r="AM93" s="10"/>
      <c r="AN93" s="11"/>
      <c r="AO93" s="11"/>
      <c r="AP93" s="11"/>
      <c r="AQ93" s="36"/>
      <c r="AR93" s="11"/>
      <c r="AS93" s="11"/>
      <c r="AT93" s="11"/>
      <c r="AU93" s="12"/>
      <c r="AV93" s="11"/>
      <c r="AW93" s="11"/>
      <c r="AX93" s="15"/>
      <c r="AY93" s="15"/>
      <c r="AZ93" s="15"/>
      <c r="BA93" s="15"/>
      <c r="BB93" s="15"/>
      <c r="BC93" s="15"/>
      <c r="BD93" s="15"/>
      <c r="BE93" s="12"/>
      <c r="BF93" s="11"/>
      <c r="BG93" s="11"/>
      <c r="BH93" s="10"/>
      <c r="BI93" s="10"/>
      <c r="BJ93" s="10"/>
      <c r="BK93" s="23"/>
      <c r="BL93" s="23"/>
      <c r="BM93" s="23"/>
      <c r="BN93" s="23"/>
      <c r="BO93" s="23"/>
      <c r="BP93" s="23"/>
      <c r="BQ93" s="23"/>
      <c r="BR93" s="10"/>
      <c r="BS93" s="16"/>
      <c r="BT93" s="16"/>
      <c r="BU93" s="16"/>
      <c r="BV93" s="16"/>
      <c r="BW93" s="11"/>
      <c r="BX93" s="16"/>
      <c r="BY93" s="16"/>
      <c r="BZ93" s="17"/>
      <c r="CA93" s="18"/>
      <c r="CB93" s="18"/>
      <c r="CC93" s="18"/>
      <c r="CD93" s="18"/>
      <c r="CE93" s="18"/>
      <c r="CF93" s="18"/>
      <c r="CG93" s="19"/>
      <c r="CH93" s="15"/>
      <c r="CI93" s="17"/>
      <c r="CJ93" s="10"/>
      <c r="CK93" s="10"/>
      <c r="CL93" s="10"/>
      <c r="CM93" s="17"/>
      <c r="CN93" s="17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</row>
    <row r="94" spans="1:135" customFormat="1">
      <c r="A94" s="71">
        <f>'Old Data'!$I90-'Old Data'!$S90</f>
        <v>-264</v>
      </c>
      <c r="B94" s="72">
        <f>VLOOKUP('Old Data'!$F90,$R$6:$T$135,2,FALSE)+VLOOKUP('Old Data'!$P90,$R$6:$T$135,3,FALSE)+$B$2</f>
        <v>143.33238959996859</v>
      </c>
      <c r="C94" s="72">
        <f>VLOOKUP('Old Data'!$P90,$R$6:$T$135,2,FALSE)+VLOOKUP('Old Data'!$F90,$R$6:$T$135,3,FALSE)+$B$2</f>
        <v>264.11258637716969</v>
      </c>
      <c r="D94" s="74">
        <f>('Old Data'!$I90-$B94)^2+('Old Data'!$S90-$C94)^2</f>
        <v>20416.923454667962</v>
      </c>
      <c r="E94" s="75">
        <f>'Old Data'!$K90-'Old Data'!$U90</f>
        <v>33</v>
      </c>
      <c r="F94" s="72">
        <f>VLOOKUP('Old Data'!$F90,$V$6:$X$135,2,FALSE)+VLOOKUP('Old Data'!$P90,$V$6:$X$135,3,FALSE)+$C$2</f>
        <v>278.06582086475288</v>
      </c>
      <c r="G94" s="72">
        <f>VLOOKUP('Old Data'!$P90,$V$6:$X$135,2,FALSE)+VLOOKUP('Old Data'!$F90,$V$6:$X$135,3,FALSE)+$C$2</f>
        <v>223.09763591279355</v>
      </c>
      <c r="H94" s="74">
        <f>('Old Data'!$K90-$F94)^2+('Old Data'!$U90-$G94)^2</f>
        <v>4865.0057847452663</v>
      </c>
      <c r="I94" s="75">
        <f>('Old Data'!$L90+'Old Data'!$M90)-('Old Data'!$V90+'Old Data'!$W90)</f>
        <v>-13</v>
      </c>
      <c r="J94" s="72">
        <f>VLOOKUP('Old Data'!$F90,$Z$6:$AB$135,2,FALSE)+VLOOKUP('Old Data'!$P90,$Z$6:$AB$135,3,FALSE)+$D$2</f>
        <v>62.986358911077104</v>
      </c>
      <c r="K94" s="72">
        <f>VLOOKUP('Old Data'!$P90,$Z$6:$AB$135,2,FALSE)+VLOOKUP('Old Data'!$F90,$Z$6:$AB$135,3,FALSE)+$D$2</f>
        <v>66.649523570368103</v>
      </c>
      <c r="L94" s="74">
        <f>('Old Data'!$L90+'Old Data'!$M90-$J94)^2+('Old Data'!$V90+'Old Data'!$W90-$K94)^2</f>
        <v>3625.2045487962578</v>
      </c>
      <c r="M94" s="75">
        <f>'Old Data'!$N90-'Old Data'!$X90</f>
        <v>1</v>
      </c>
      <c r="N94" s="72">
        <f>VLOOKUP('Old Data'!$F90,$AD$6:$AF$135,2,FALSE)+VLOOKUP('Old Data'!$P90,$AD$6:$AF$135,3,FALSE)+$E$2</f>
        <v>0.69869949328753911</v>
      </c>
      <c r="O94" s="72">
        <f>VLOOKUP('Old Data'!$P90,$AD$6:$AF$135,2,FALSE)+VLOOKUP('Old Data'!$F90,$AD$6:$AF$135,3,FALSE)+$E$2</f>
        <v>1.1938266977684919</v>
      </c>
      <c r="P94" s="73">
        <f>('Old Data'!$N90-$N94)^2+('Old Data'!$X90-$O94)^2</f>
        <v>1.7309517975379456</v>
      </c>
      <c r="Q94" s="62"/>
      <c r="R94" s="90" t="s">
        <v>17</v>
      </c>
      <c r="S94" s="96">
        <v>-58.218937178220202</v>
      </c>
      <c r="T94" s="96">
        <v>9.4088011486449101</v>
      </c>
      <c r="U94" s="6"/>
      <c r="V94" s="90" t="s">
        <v>17</v>
      </c>
      <c r="W94" s="96">
        <v>91.978836335445905</v>
      </c>
      <c r="X94" s="96">
        <v>30.3018091923085</v>
      </c>
      <c r="Y94" s="6"/>
      <c r="Z94" s="90" t="s">
        <v>17</v>
      </c>
      <c r="AA94" s="96">
        <v>-2.53428608259722</v>
      </c>
      <c r="AB94" s="96">
        <v>-27.979485958474498</v>
      </c>
      <c r="AC94" s="63"/>
      <c r="AD94" s="90" t="s">
        <v>17</v>
      </c>
      <c r="AE94" s="96">
        <v>-0.154358659997651</v>
      </c>
      <c r="AF94" s="96">
        <v>0.19310749949995401</v>
      </c>
      <c r="AG94" s="63"/>
      <c r="AH94" s="37"/>
      <c r="AI94" s="22"/>
      <c r="AJ94" s="6"/>
      <c r="AK94" s="10"/>
      <c r="AL94" s="10"/>
      <c r="AM94" s="10"/>
      <c r="AN94" s="11"/>
      <c r="AO94" s="11"/>
      <c r="AP94" s="11"/>
      <c r="AQ94" s="36"/>
      <c r="AR94" s="11"/>
      <c r="AS94" s="11"/>
      <c r="AT94" s="11"/>
      <c r="AU94" s="12"/>
      <c r="AV94" s="11"/>
      <c r="AW94" s="11"/>
      <c r="AX94" s="15"/>
      <c r="AY94" s="15"/>
      <c r="AZ94" s="15"/>
      <c r="BA94" s="15"/>
      <c r="BB94" s="15"/>
      <c r="BC94" s="15"/>
      <c r="BD94" s="15"/>
      <c r="BE94" s="12"/>
      <c r="BF94" s="11"/>
      <c r="BG94" s="11"/>
      <c r="BH94" s="10"/>
      <c r="BI94" s="10"/>
      <c r="BJ94" s="10"/>
      <c r="BK94" s="23"/>
      <c r="BL94" s="23"/>
      <c r="BM94" s="23"/>
      <c r="BN94" s="23"/>
      <c r="BO94" s="23"/>
      <c r="BP94" s="23"/>
      <c r="BQ94" s="23"/>
      <c r="BR94" s="10"/>
      <c r="BS94" s="16"/>
      <c r="BT94" s="16"/>
      <c r="BU94" s="16"/>
      <c r="BV94" s="16"/>
      <c r="BW94" s="11"/>
      <c r="BX94" s="16"/>
      <c r="BY94" s="16"/>
      <c r="BZ94" s="17"/>
      <c r="CA94" s="18"/>
      <c r="CB94" s="18"/>
      <c r="CC94" s="18"/>
      <c r="CD94" s="18"/>
      <c r="CE94" s="18"/>
      <c r="CF94" s="18"/>
      <c r="CG94" s="19"/>
      <c r="CH94" s="15"/>
      <c r="CI94" s="17"/>
      <c r="CJ94" s="10"/>
      <c r="CK94" s="10"/>
      <c r="CL94" s="10"/>
      <c r="CM94" s="17"/>
      <c r="CN94" s="17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</row>
    <row r="95" spans="1:135" customFormat="1">
      <c r="A95" s="71">
        <f>'Old Data'!$I91-'Old Data'!$S91</f>
        <v>-101</v>
      </c>
      <c r="B95" s="72">
        <f>VLOOKUP('Old Data'!$F91,$R$6:$T$135,2,FALSE)+VLOOKUP('Old Data'!$P91,$R$6:$T$135,3,FALSE)+$B$2</f>
        <v>283.78438169134404</v>
      </c>
      <c r="C95" s="72">
        <f>VLOOKUP('Old Data'!$P91,$R$6:$T$135,2,FALSE)+VLOOKUP('Old Data'!$F91,$R$6:$T$135,3,FALSE)+$B$2</f>
        <v>207.4275404148714</v>
      </c>
      <c r="D95" s="74">
        <f>('Old Data'!$I91-$B95)^2+('Old Data'!$S91-$C95)^2</f>
        <v>17891.760170263286</v>
      </c>
      <c r="E95" s="75">
        <f>'Old Data'!$K91-'Old Data'!$U91</f>
        <v>-19</v>
      </c>
      <c r="F95" s="72">
        <f>VLOOKUP('Old Data'!$F91,$V$6:$X$135,2,FALSE)+VLOOKUP('Old Data'!$P91,$V$6:$X$135,3,FALSE)+$C$2</f>
        <v>191.10437005753289</v>
      </c>
      <c r="G95" s="72">
        <f>VLOOKUP('Old Data'!$P91,$V$6:$X$135,2,FALSE)+VLOOKUP('Old Data'!$F91,$V$6:$X$135,3,FALSE)+$C$2</f>
        <v>283.56372357765071</v>
      </c>
      <c r="H95" s="74">
        <f>('Old Data'!$K91-$F95)^2+('Old Data'!$U91-$G95)^2</f>
        <v>2854.2190761476304</v>
      </c>
      <c r="I95" s="75">
        <f>('Old Data'!$L91+'Old Data'!$M91)-('Old Data'!$V91+'Old Data'!$W91)</f>
        <v>107</v>
      </c>
      <c r="J95" s="72">
        <f>VLOOKUP('Old Data'!$F91,$Z$6:$AB$135,2,FALSE)+VLOOKUP('Old Data'!$P91,$Z$6:$AB$135,3,FALSE)+$D$2</f>
        <v>100.93070385066636</v>
      </c>
      <c r="K95" s="72">
        <f>VLOOKUP('Old Data'!$P91,$Z$6:$AB$135,2,FALSE)+VLOOKUP('Old Data'!$F91,$Z$6:$AB$135,3,FALSE)+$D$2</f>
        <v>68.287466987058295</v>
      </c>
      <c r="L95" s="74">
        <f>('Old Data'!$L91+'Old Data'!$M91-$J95)^2+('Old Data'!$V91+'Old Data'!$W91-$K95)^2</f>
        <v>11186.125702413758</v>
      </c>
      <c r="M95" s="75">
        <f>'Old Data'!$N91-'Old Data'!$X91</f>
        <v>1</v>
      </c>
      <c r="N95" s="72">
        <f>VLOOKUP('Old Data'!$F91,$AD$6:$AF$135,2,FALSE)+VLOOKUP('Old Data'!$P91,$AD$6:$AF$135,3,FALSE)+$E$2</f>
        <v>1.5600700634436642</v>
      </c>
      <c r="O95" s="72">
        <f>VLOOKUP('Old Data'!$P91,$AD$6:$AF$135,2,FALSE)+VLOOKUP('Old Data'!$F91,$AD$6:$AF$135,3,FALSE)+$E$2</f>
        <v>-8.3469795335641805E-2</v>
      </c>
      <c r="P95" s="73">
        <f>('Old Data'!$N91-$N95)^2+('Old Data'!$X91-$O95)^2</f>
        <v>0.32064568269916394</v>
      </c>
      <c r="Q95" s="62"/>
      <c r="R95" s="90" t="s">
        <v>11</v>
      </c>
      <c r="S95" s="96">
        <v>-41.088334652814403</v>
      </c>
      <c r="T95" s="96">
        <v>-23.892677287448102</v>
      </c>
      <c r="U95" s="6"/>
      <c r="V95" s="90" t="s">
        <v>11</v>
      </c>
      <c r="W95" s="96">
        <v>-72.546813468070994</v>
      </c>
      <c r="X95" s="96">
        <v>13.5340315155099</v>
      </c>
      <c r="Y95" s="6"/>
      <c r="Z95" s="90" t="s">
        <v>11</v>
      </c>
      <c r="AA95" s="96">
        <v>-10.0304941733466</v>
      </c>
      <c r="AB95" s="96">
        <v>-10.489162764424201</v>
      </c>
      <c r="AC95" s="63"/>
      <c r="AD95" s="90" t="s">
        <v>11</v>
      </c>
      <c r="AE95" s="96">
        <v>-0.73679203013249595</v>
      </c>
      <c r="AF95" s="96">
        <v>0.160273997103421</v>
      </c>
      <c r="AG95" s="63"/>
      <c r="AH95" s="37"/>
      <c r="AI95" s="22"/>
      <c r="AJ95" s="6"/>
      <c r="AK95" s="10"/>
      <c r="AL95" s="10"/>
      <c r="AM95" s="10"/>
      <c r="AN95" s="11"/>
      <c r="AO95" s="11"/>
      <c r="AP95" s="11"/>
      <c r="AQ95" s="36"/>
      <c r="AR95" s="11"/>
      <c r="AS95" s="11"/>
      <c r="AT95" s="11"/>
      <c r="AU95" s="12"/>
      <c r="AV95" s="11"/>
      <c r="AW95" s="11"/>
      <c r="AX95" s="15"/>
      <c r="AY95" s="15"/>
      <c r="AZ95" s="15"/>
      <c r="BA95" s="15"/>
      <c r="BB95" s="15"/>
      <c r="BC95" s="15"/>
      <c r="BD95" s="15"/>
      <c r="BE95" s="12"/>
      <c r="BF95" s="11"/>
      <c r="BG95" s="11"/>
      <c r="BH95" s="10"/>
      <c r="BI95" s="10"/>
      <c r="BJ95" s="10"/>
      <c r="BK95" s="23"/>
      <c r="BL95" s="23"/>
      <c r="BM95" s="23"/>
      <c r="BN95" s="23"/>
      <c r="BO95" s="23"/>
      <c r="BP95" s="23"/>
      <c r="BQ95" s="23"/>
      <c r="BR95" s="10"/>
      <c r="BS95" s="16"/>
      <c r="BT95" s="16"/>
      <c r="BU95" s="16"/>
      <c r="BV95" s="16"/>
      <c r="BW95" s="11"/>
      <c r="BX95" s="16"/>
      <c r="BY95" s="16"/>
      <c r="BZ95" s="17"/>
      <c r="CA95" s="18"/>
      <c r="CB95" s="18"/>
      <c r="CC95" s="18"/>
      <c r="CD95" s="18"/>
      <c r="CE95" s="18"/>
      <c r="CF95" s="18"/>
      <c r="CG95" s="19"/>
      <c r="CH95" s="15"/>
      <c r="CI95" s="17"/>
      <c r="CJ95" s="10"/>
      <c r="CK95" s="10"/>
      <c r="CL95" s="10"/>
      <c r="CM95" s="17"/>
      <c r="CN95" s="17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</row>
    <row r="96" spans="1:135" customFormat="1">
      <c r="A96" s="71">
        <f>'Old Data'!$I92-'Old Data'!$S92</f>
        <v>78</v>
      </c>
      <c r="B96" s="72">
        <f>VLOOKUP('Old Data'!$F92,$R$6:$T$135,2,FALSE)+VLOOKUP('Old Data'!$P92,$R$6:$T$135,3,FALSE)+$B$2</f>
        <v>169.78983525977316</v>
      </c>
      <c r="C96" s="72">
        <f>VLOOKUP('Old Data'!$P92,$R$6:$T$135,2,FALSE)+VLOOKUP('Old Data'!$F92,$R$6:$T$135,3,FALSE)+$B$2</f>
        <v>188.87997347082205</v>
      </c>
      <c r="D96" s="74">
        <f>('Old Data'!$I92-$B96)^2+('Old Data'!$S92-$C96)^2</f>
        <v>4740.1133209433174</v>
      </c>
      <c r="E96" s="75">
        <f>'Old Data'!$K92-'Old Data'!$U92</f>
        <v>25</v>
      </c>
      <c r="F96" s="72">
        <f>VLOOKUP('Old Data'!$F92,$V$6:$X$135,2,FALSE)+VLOOKUP('Old Data'!$P92,$V$6:$X$135,3,FALSE)+$C$2</f>
        <v>274.81180967359006</v>
      </c>
      <c r="G96" s="72">
        <f>VLOOKUP('Old Data'!$P92,$V$6:$X$135,2,FALSE)+VLOOKUP('Old Data'!$F92,$V$6:$X$135,3,FALSE)+$C$2</f>
        <v>345.64016949587813</v>
      </c>
      <c r="H96" s="74">
        <f>('Old Data'!$K92-$F96)^2+('Old Data'!$U92-$G96)^2</f>
        <v>28234.218895474372</v>
      </c>
      <c r="I96" s="75">
        <f>('Old Data'!$L92+'Old Data'!$M92)-('Old Data'!$V92+'Old Data'!$W92)</f>
        <v>-11</v>
      </c>
      <c r="J96" s="72">
        <f>VLOOKUP('Old Data'!$F92,$Z$6:$AB$135,2,FALSE)+VLOOKUP('Old Data'!$P92,$Z$6:$AB$135,3,FALSE)+$D$2</f>
        <v>50.892244439919565</v>
      </c>
      <c r="K96" s="72">
        <f>VLOOKUP('Old Data'!$P92,$Z$6:$AB$135,2,FALSE)+VLOOKUP('Old Data'!$F92,$Z$6:$AB$135,3,FALSE)+$D$2</f>
        <v>96.112979371586931</v>
      </c>
      <c r="L96" s="74">
        <f>('Old Data'!$L92+'Old Data'!$M92-$J96)^2+('Old Data'!$V92+'Old Data'!$W92-$K96)^2</f>
        <v>4113.9681634423687</v>
      </c>
      <c r="M96" s="75">
        <f>'Old Data'!$N92-'Old Data'!$X92</f>
        <v>0</v>
      </c>
      <c r="N96" s="72">
        <f>VLOOKUP('Old Data'!$F92,$AD$6:$AF$135,2,FALSE)+VLOOKUP('Old Data'!$P92,$AD$6:$AF$135,3,FALSE)+$E$2</f>
        <v>1.571143060322701</v>
      </c>
      <c r="O96" s="72">
        <f>VLOOKUP('Old Data'!$P92,$AD$6:$AF$135,2,FALSE)+VLOOKUP('Old Data'!$F92,$AD$6:$AF$135,3,FALSE)+$E$2</f>
        <v>1.2621196417560272</v>
      </c>
      <c r="P96" s="73">
        <f>('Old Data'!$N92-$N96)^2+('Old Data'!$X92-$O96)^2</f>
        <v>0.39491110194908852</v>
      </c>
      <c r="Q96" s="62"/>
      <c r="R96" s="90" t="s">
        <v>92</v>
      </c>
      <c r="S96" s="96">
        <v>-19.413071738687702</v>
      </c>
      <c r="T96" s="96">
        <v>22.123054128303501</v>
      </c>
      <c r="U96" s="6"/>
      <c r="V96" s="90" t="s">
        <v>92</v>
      </c>
      <c r="W96" s="96">
        <v>-94.896394631274404</v>
      </c>
      <c r="X96" s="96">
        <v>-3.0709586402195401</v>
      </c>
      <c r="Y96" s="6"/>
      <c r="Z96" s="90" t="s">
        <v>92</v>
      </c>
      <c r="AA96" s="96">
        <v>8.0990474875111094</v>
      </c>
      <c r="AB96" s="96">
        <v>-11.3033476641191</v>
      </c>
      <c r="AC96" s="63"/>
      <c r="AD96" s="90" t="s">
        <v>92</v>
      </c>
      <c r="AE96" s="96">
        <v>-0.385498859026074</v>
      </c>
      <c r="AF96" s="96">
        <v>0.32626666372930602</v>
      </c>
      <c r="AG96" s="63"/>
      <c r="AH96" s="37"/>
      <c r="AI96" s="22"/>
      <c r="AJ96" s="6"/>
      <c r="AK96" s="10"/>
      <c r="AL96" s="10"/>
      <c r="AM96" s="10"/>
      <c r="AN96" s="11"/>
      <c r="AO96" s="11"/>
      <c r="AP96" s="11"/>
      <c r="AQ96" s="36"/>
      <c r="AR96" s="11"/>
      <c r="AS96" s="11"/>
      <c r="AT96" s="11"/>
      <c r="AU96" s="12"/>
      <c r="AV96" s="11"/>
      <c r="AW96" s="11"/>
      <c r="AX96" s="15"/>
      <c r="AY96" s="15"/>
      <c r="AZ96" s="15"/>
      <c r="BA96" s="15"/>
      <c r="BB96" s="15"/>
      <c r="BC96" s="15"/>
      <c r="BD96" s="15"/>
      <c r="BE96" s="12"/>
      <c r="BF96" s="11"/>
      <c r="BG96" s="11"/>
      <c r="BH96" s="10"/>
      <c r="BI96" s="10"/>
      <c r="BJ96" s="10"/>
      <c r="BK96" s="23"/>
      <c r="BL96" s="23"/>
      <c r="BM96" s="23"/>
      <c r="BN96" s="23"/>
      <c r="BO96" s="23"/>
      <c r="BP96" s="23"/>
      <c r="BQ96" s="23"/>
      <c r="BR96" s="10"/>
      <c r="BS96" s="16"/>
      <c r="BT96" s="16"/>
      <c r="BU96" s="16"/>
      <c r="BV96" s="16"/>
      <c r="BW96" s="11"/>
      <c r="BX96" s="16"/>
      <c r="BY96" s="16"/>
      <c r="BZ96" s="17"/>
      <c r="CA96" s="18"/>
      <c r="CB96" s="18"/>
      <c r="CC96" s="18"/>
      <c r="CD96" s="18"/>
      <c r="CE96" s="18"/>
      <c r="CF96" s="18"/>
      <c r="CG96" s="19"/>
      <c r="CH96" s="15"/>
      <c r="CI96" s="17"/>
      <c r="CJ96" s="10"/>
      <c r="CK96" s="10"/>
      <c r="CL96" s="10"/>
      <c r="CM96" s="17"/>
      <c r="CN96" s="17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</row>
    <row r="97" spans="1:135" customFormat="1">
      <c r="A97" s="71">
        <f>'Old Data'!$I93-'Old Data'!$S93</f>
        <v>-5</v>
      </c>
      <c r="B97" s="72">
        <f>VLOOKUP('Old Data'!$F93,$R$6:$T$135,2,FALSE)+VLOOKUP('Old Data'!$P93,$R$6:$T$135,3,FALSE)+$B$2</f>
        <v>179.54341231754174</v>
      </c>
      <c r="C97" s="72">
        <f>VLOOKUP('Old Data'!$P93,$R$6:$T$135,2,FALSE)+VLOOKUP('Old Data'!$F93,$R$6:$T$135,3,FALSE)+$B$2</f>
        <v>186.86690027413491</v>
      </c>
      <c r="D97" s="74">
        <f>('Old Data'!$I93-$B97)^2+('Old Data'!$S93-$C97)^2</f>
        <v>2354.9719075279727</v>
      </c>
      <c r="E97" s="75">
        <f>'Old Data'!$K93-'Old Data'!$U93</f>
        <v>100</v>
      </c>
      <c r="F97" s="72">
        <f>VLOOKUP('Old Data'!$F93,$V$6:$X$135,2,FALSE)+VLOOKUP('Old Data'!$P93,$V$6:$X$135,3,FALSE)+$C$2</f>
        <v>199.42970715618389</v>
      </c>
      <c r="G97" s="72">
        <f>VLOOKUP('Old Data'!$P93,$V$6:$X$135,2,FALSE)+VLOOKUP('Old Data'!$F93,$V$6:$X$135,3,FALSE)+$C$2</f>
        <v>256.7510244064967</v>
      </c>
      <c r="H97" s="74">
        <f>('Old Data'!$K93-$F97)^2+('Old Data'!$U93-$G97)^2</f>
        <v>13823.255258250905</v>
      </c>
      <c r="I97" s="75">
        <f>('Old Data'!$L93+'Old Data'!$M93)-('Old Data'!$V93+'Old Data'!$W93)</f>
        <v>-4</v>
      </c>
      <c r="J97" s="72">
        <f>VLOOKUP('Old Data'!$F93,$Z$6:$AB$135,2,FALSE)+VLOOKUP('Old Data'!$P93,$Z$6:$AB$135,3,FALSE)+$D$2</f>
        <v>82.418615315936734</v>
      </c>
      <c r="K97" s="72">
        <f>VLOOKUP('Old Data'!$P93,$Z$6:$AB$135,2,FALSE)+VLOOKUP('Old Data'!$F93,$Z$6:$AB$135,3,FALSE)+$D$2</f>
        <v>34.241709359972035</v>
      </c>
      <c r="L97" s="74">
        <f>('Old Data'!$L93+'Old Data'!$M93-$J97)^2+('Old Data'!$V93+'Old Data'!$W93-$K97)^2</f>
        <v>1665.2805641294099</v>
      </c>
      <c r="M97" s="75">
        <f>'Old Data'!$N93-'Old Data'!$X93</f>
        <v>1</v>
      </c>
      <c r="N97" s="72">
        <f>VLOOKUP('Old Data'!$F93,$AD$6:$AF$135,2,FALSE)+VLOOKUP('Old Data'!$P93,$AD$6:$AF$135,3,FALSE)+$E$2</f>
        <v>1.9669540523229703</v>
      </c>
      <c r="O97" s="72">
        <f>VLOOKUP('Old Data'!$P93,$AD$6:$AF$135,2,FALSE)+VLOOKUP('Old Data'!$F93,$AD$6:$AF$135,3,FALSE)+$E$2</f>
        <v>1.9735377937478233</v>
      </c>
      <c r="P97" s="73">
        <f>('Old Data'!$N93-$N97)^2+('Old Data'!$X93-$O97)^2</f>
        <v>0.94886787051325239</v>
      </c>
      <c r="Q97" s="62"/>
      <c r="R97" s="90" t="s">
        <v>94</v>
      </c>
      <c r="S97" s="96">
        <v>-42.279575252850101</v>
      </c>
      <c r="T97" s="96">
        <v>28.4146995774991</v>
      </c>
      <c r="U97" s="6"/>
      <c r="V97" s="90" t="s">
        <v>94</v>
      </c>
      <c r="W97" s="96">
        <v>-77.506682917047996</v>
      </c>
      <c r="X97" s="96">
        <v>-0.39457428154963597</v>
      </c>
      <c r="Y97" s="6"/>
      <c r="Z97" s="90" t="s">
        <v>94</v>
      </c>
      <c r="AA97" s="96">
        <v>2.4304884066691899</v>
      </c>
      <c r="AB97" s="96">
        <v>21.770407136591899</v>
      </c>
      <c r="AC97" s="63"/>
      <c r="AD97" s="90" t="s">
        <v>94</v>
      </c>
      <c r="AE97" s="96">
        <v>-0.28822029017543099</v>
      </c>
      <c r="AF97" s="96">
        <v>0.268785932870862</v>
      </c>
      <c r="AG97" s="63"/>
      <c r="AH97" s="37"/>
      <c r="AI97" s="22"/>
      <c r="AJ97" s="6"/>
      <c r="AK97" s="10"/>
      <c r="AL97" s="10"/>
      <c r="AM97" s="10"/>
      <c r="AN97" s="11"/>
      <c r="AO97" s="11"/>
      <c r="AP97" s="11"/>
      <c r="AQ97" s="36"/>
      <c r="AR97" s="11"/>
      <c r="AS97" s="11"/>
      <c r="AT97" s="11"/>
      <c r="AU97" s="12"/>
      <c r="AV97" s="11"/>
      <c r="AW97" s="11"/>
      <c r="AX97" s="15"/>
      <c r="AY97" s="15"/>
      <c r="AZ97" s="15"/>
      <c r="BA97" s="15"/>
      <c r="BB97" s="15"/>
      <c r="BC97" s="15"/>
      <c r="BD97" s="15"/>
      <c r="BE97" s="12"/>
      <c r="BF97" s="11"/>
      <c r="BG97" s="11"/>
      <c r="BH97" s="10"/>
      <c r="BI97" s="10"/>
      <c r="BJ97" s="10"/>
      <c r="BK97" s="23"/>
      <c r="BL97" s="23"/>
      <c r="BM97" s="23"/>
      <c r="BN97" s="23"/>
      <c r="BO97" s="23"/>
      <c r="BP97" s="23"/>
      <c r="BQ97" s="23"/>
      <c r="BR97" s="10"/>
      <c r="BS97" s="16"/>
      <c r="BT97" s="16"/>
      <c r="BU97" s="16"/>
      <c r="BV97" s="16"/>
      <c r="BW97" s="11"/>
      <c r="BX97" s="16"/>
      <c r="BY97" s="16"/>
      <c r="BZ97" s="17"/>
      <c r="CA97" s="18"/>
      <c r="CB97" s="18"/>
      <c r="CC97" s="18"/>
      <c r="CD97" s="18"/>
      <c r="CE97" s="18"/>
      <c r="CF97" s="18"/>
      <c r="CG97" s="19"/>
      <c r="CH97" s="15"/>
      <c r="CI97" s="17"/>
      <c r="CJ97" s="10"/>
      <c r="CK97" s="10"/>
      <c r="CL97" s="10"/>
      <c r="CM97" s="17"/>
      <c r="CN97" s="17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</row>
    <row r="98" spans="1:135" customFormat="1">
      <c r="A98" s="71">
        <f>'Old Data'!$I94-'Old Data'!$S94</f>
        <v>375</v>
      </c>
      <c r="B98" s="72">
        <f>VLOOKUP('Old Data'!$F94,$R$6:$T$135,2,FALSE)+VLOOKUP('Old Data'!$P94,$R$6:$T$135,3,FALSE)+$B$2</f>
        <v>293.91076473274552</v>
      </c>
      <c r="C98" s="72">
        <f>VLOOKUP('Old Data'!$P94,$R$6:$T$135,2,FALSE)+VLOOKUP('Old Data'!$F94,$R$6:$T$135,3,FALSE)+$B$2</f>
        <v>123.4621455581332</v>
      </c>
      <c r="D98" s="74">
        <f>('Old Data'!$I94-$B98)^2+('Old Data'!$S94-$C98)^2</f>
        <v>30949.749968524135</v>
      </c>
      <c r="E98" s="75">
        <f>'Old Data'!$K94-'Old Data'!$U94</f>
        <v>-63</v>
      </c>
      <c r="F98" s="72">
        <f>VLOOKUP('Old Data'!$F94,$V$6:$X$135,2,FALSE)+VLOOKUP('Old Data'!$P94,$V$6:$X$135,3,FALSE)+$C$2</f>
        <v>253.12275011944672</v>
      </c>
      <c r="G98" s="72">
        <f>VLOOKUP('Old Data'!$P94,$V$6:$X$135,2,FALSE)+VLOOKUP('Old Data'!$F94,$V$6:$X$135,3,FALSE)+$C$2</f>
        <v>177.0795265140807</v>
      </c>
      <c r="H98" s="74">
        <f>('Old Data'!$K94-$F98)^2+('Old Data'!$U94-$G98)^2</f>
        <v>10286.109155377602</v>
      </c>
      <c r="I98" s="75">
        <f>('Old Data'!$L94+'Old Data'!$M94)-('Old Data'!$V94+'Old Data'!$W94)</f>
        <v>3</v>
      </c>
      <c r="J98" s="72">
        <f>VLOOKUP('Old Data'!$F94,$Z$6:$AB$135,2,FALSE)+VLOOKUP('Old Data'!$P94,$Z$6:$AB$135,3,FALSE)+$D$2</f>
        <v>50.584249387797954</v>
      </c>
      <c r="K98" s="72">
        <f>VLOOKUP('Old Data'!$P94,$Z$6:$AB$135,2,FALSE)+VLOOKUP('Old Data'!$F94,$Z$6:$AB$135,3,FALSE)+$D$2</f>
        <v>91.792340902744144</v>
      </c>
      <c r="L98" s="74">
        <f>('Old Data'!$L94+'Old Data'!$M94-$J98)^2+('Old Data'!$V94+'Old Data'!$W94-$K98)^2</f>
        <v>8836.8223741381571</v>
      </c>
      <c r="M98" s="75">
        <f>'Old Data'!$N94-'Old Data'!$X94</f>
        <v>0</v>
      </c>
      <c r="N98" s="72">
        <f>VLOOKUP('Old Data'!$F94,$AD$6:$AF$135,2,FALSE)+VLOOKUP('Old Data'!$P94,$AD$6:$AF$135,3,FALSE)+$E$2</f>
        <v>1.3091873732479462</v>
      </c>
      <c r="O98" s="72">
        <f>VLOOKUP('Old Data'!$P94,$AD$6:$AF$135,2,FALSE)+VLOOKUP('Old Data'!$F94,$AD$6:$AF$135,3,FALSE)+$E$2</f>
        <v>0.78532793546371105</v>
      </c>
      <c r="P98" s="73">
        <f>('Old Data'!$N94-$N98)^2+('Old Data'!$X94-$O98)^2</f>
        <v>2.3307115444915518</v>
      </c>
      <c r="Q98" s="62"/>
      <c r="R98" s="90" t="s">
        <v>96</v>
      </c>
      <c r="S98" s="96">
        <v>-20.279349188804801</v>
      </c>
      <c r="T98" s="96">
        <v>-15.504834213338301</v>
      </c>
      <c r="U98" s="6"/>
      <c r="V98" s="90" t="s">
        <v>96</v>
      </c>
      <c r="W98" s="96">
        <v>23.020072902450199</v>
      </c>
      <c r="X98" s="96">
        <v>-12.5967877472974</v>
      </c>
      <c r="Y98" s="6"/>
      <c r="Z98" s="90" t="s">
        <v>96</v>
      </c>
      <c r="AA98" s="96">
        <v>2.42525187766846</v>
      </c>
      <c r="AB98" s="96">
        <v>1.9759304739629899</v>
      </c>
      <c r="AC98" s="63"/>
      <c r="AD98" s="90" t="s">
        <v>96</v>
      </c>
      <c r="AE98" s="96">
        <v>0.15704755248076099</v>
      </c>
      <c r="AF98" s="96">
        <v>-0.51319085261720099</v>
      </c>
      <c r="AG98" s="63"/>
      <c r="AH98" s="37"/>
      <c r="AI98" s="22"/>
      <c r="AJ98" s="6"/>
      <c r="AK98" s="10"/>
      <c r="AL98" s="10"/>
      <c r="AM98" s="10"/>
      <c r="AN98" s="11"/>
      <c r="AO98" s="11"/>
      <c r="AP98" s="11"/>
      <c r="AQ98" s="36"/>
      <c r="AR98" s="11"/>
      <c r="AS98" s="11"/>
      <c r="AT98" s="11"/>
      <c r="AU98" s="12"/>
      <c r="AV98" s="11"/>
      <c r="AW98" s="11"/>
      <c r="AX98" s="15"/>
      <c r="AY98" s="15"/>
      <c r="AZ98" s="15"/>
      <c r="BA98" s="15"/>
      <c r="BB98" s="15"/>
      <c r="BC98" s="15"/>
      <c r="BD98" s="15"/>
      <c r="BE98" s="12"/>
      <c r="BF98" s="11"/>
      <c r="BG98" s="11"/>
      <c r="BH98" s="10"/>
      <c r="BI98" s="10"/>
      <c r="BJ98" s="10"/>
      <c r="BK98" s="23"/>
      <c r="BL98" s="23"/>
      <c r="BM98" s="23"/>
      <c r="BN98" s="23"/>
      <c r="BO98" s="23"/>
      <c r="BP98" s="23"/>
      <c r="BQ98" s="23"/>
      <c r="BR98" s="10"/>
      <c r="BS98" s="16"/>
      <c r="BT98" s="16"/>
      <c r="BU98" s="16"/>
      <c r="BV98" s="16"/>
      <c r="BW98" s="11"/>
      <c r="BX98" s="16"/>
      <c r="BY98" s="16"/>
      <c r="BZ98" s="17"/>
      <c r="CA98" s="18"/>
      <c r="CB98" s="18"/>
      <c r="CC98" s="18"/>
      <c r="CD98" s="18"/>
      <c r="CE98" s="18"/>
      <c r="CF98" s="18"/>
      <c r="CG98" s="19"/>
      <c r="CH98" s="15"/>
      <c r="CI98" s="17"/>
      <c r="CJ98" s="10"/>
      <c r="CK98" s="10"/>
      <c r="CL98" s="10"/>
      <c r="CM98" s="17"/>
      <c r="CN98" s="17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</row>
    <row r="99" spans="1:135" customFormat="1">
      <c r="A99" s="71">
        <f>'Old Data'!$I95-'Old Data'!$S95</f>
        <v>28</v>
      </c>
      <c r="B99" s="72">
        <f>VLOOKUP('Old Data'!$F95,$R$6:$T$135,2,FALSE)+VLOOKUP('Old Data'!$P95,$R$6:$T$135,3,FALSE)+$B$2</f>
        <v>188.56629497590521</v>
      </c>
      <c r="C99" s="72">
        <f>VLOOKUP('Old Data'!$P95,$R$6:$T$135,2,FALSE)+VLOOKUP('Old Data'!$F95,$R$6:$T$135,3,FALSE)+$B$2</f>
        <v>184.93912899800267</v>
      </c>
      <c r="D99" s="74">
        <f>('Old Data'!$I95-$B99)^2+('Old Data'!$S95-$C99)^2</f>
        <v>2313.4869561872529</v>
      </c>
      <c r="E99" s="75">
        <f>'Old Data'!$K95-'Old Data'!$U95</f>
        <v>-63</v>
      </c>
      <c r="F99" s="72">
        <f>VLOOKUP('Old Data'!$F95,$V$6:$X$135,2,FALSE)+VLOOKUP('Old Data'!$P95,$V$6:$X$135,3,FALSE)+$C$2</f>
        <v>218.7829155173232</v>
      </c>
      <c r="G99" s="72">
        <f>VLOOKUP('Old Data'!$P95,$V$6:$X$135,2,FALSE)+VLOOKUP('Old Data'!$F95,$V$6:$X$135,3,FALSE)+$C$2</f>
        <v>302.59505104292481</v>
      </c>
      <c r="H99" s="74">
        <f>('Old Data'!$K95-$F99)^2+('Old Data'!$U95-$G99)^2</f>
        <v>11112.704871011631</v>
      </c>
      <c r="I99" s="75">
        <f>('Old Data'!$L95+'Old Data'!$M95)-('Old Data'!$V95+'Old Data'!$W95)</f>
        <v>126</v>
      </c>
      <c r="J99" s="72">
        <f>VLOOKUP('Old Data'!$F95,$Z$6:$AB$135,2,FALSE)+VLOOKUP('Old Data'!$P95,$Z$6:$AB$135,3,FALSE)+$D$2</f>
        <v>103.38811786667779</v>
      </c>
      <c r="K99" s="72">
        <f>VLOOKUP('Old Data'!$P95,$Z$6:$AB$135,2,FALSE)+VLOOKUP('Old Data'!$F95,$Z$6:$AB$135,3,FALSE)+$D$2</f>
        <v>88.463009892357292</v>
      </c>
      <c r="L99" s="74">
        <f>('Old Data'!$L95+'Old Data'!$M95-$J99)^2+('Old Data'!$V95+'Old Data'!$W95-$K99)^2</f>
        <v>6170.5291562483153</v>
      </c>
      <c r="M99" s="75">
        <f>'Old Data'!$N95-'Old Data'!$X95</f>
        <v>-2</v>
      </c>
      <c r="N99" s="72">
        <f>VLOOKUP('Old Data'!$F95,$AD$6:$AF$135,2,FALSE)+VLOOKUP('Old Data'!$P95,$AD$6:$AF$135,3,FALSE)+$E$2</f>
        <v>1.7532691138881029</v>
      </c>
      <c r="O99" s="72">
        <f>VLOOKUP('Old Data'!$P95,$AD$6:$AF$135,2,FALSE)+VLOOKUP('Old Data'!$F95,$AD$6:$AF$135,3,FALSE)+$E$2</f>
        <v>2.6380815742054393</v>
      </c>
      <c r="P99" s="73">
        <f>('Old Data'!$N95-$N99)^2+('Old Data'!$X95-$O99)^2</f>
        <v>1.9156979286802962</v>
      </c>
      <c r="Q99" s="62"/>
      <c r="R99" s="90" t="s">
        <v>34</v>
      </c>
      <c r="S99" s="96">
        <v>-63.181506910470198</v>
      </c>
      <c r="T99" s="96">
        <v>-52.473151389473799</v>
      </c>
      <c r="U99" s="6"/>
      <c r="V99" s="90" t="s">
        <v>34</v>
      </c>
      <c r="W99" s="96">
        <v>-29.957484773704099</v>
      </c>
      <c r="X99" s="96">
        <v>-45.1157328306073</v>
      </c>
      <c r="Y99" s="6"/>
      <c r="Z99" s="90" t="s">
        <v>34</v>
      </c>
      <c r="AA99" s="96">
        <v>-10.767667038603401</v>
      </c>
      <c r="AB99" s="96">
        <v>-26.665368067999999</v>
      </c>
      <c r="AC99" s="63"/>
      <c r="AD99" s="90" t="s">
        <v>34</v>
      </c>
      <c r="AE99" s="96">
        <v>0.19733419348109499</v>
      </c>
      <c r="AF99" s="96">
        <v>-0.57175985821183295</v>
      </c>
      <c r="AG99" s="63"/>
      <c r="AH99" s="37"/>
      <c r="AI99" s="22"/>
      <c r="AJ99" s="6"/>
      <c r="AK99" s="10"/>
      <c r="AL99" s="10"/>
      <c r="AM99" s="10"/>
      <c r="AN99" s="11"/>
      <c r="AO99" s="11"/>
      <c r="AP99" s="11"/>
      <c r="AQ99" s="36"/>
      <c r="AR99" s="11"/>
      <c r="AS99" s="11"/>
      <c r="AT99" s="11"/>
      <c r="AU99" s="12"/>
      <c r="AV99" s="11"/>
      <c r="AW99" s="11"/>
      <c r="AX99" s="15"/>
      <c r="AY99" s="15"/>
      <c r="AZ99" s="15"/>
      <c r="BA99" s="15"/>
      <c r="BB99" s="15"/>
      <c r="BC99" s="15"/>
      <c r="BD99" s="15"/>
      <c r="BE99" s="12"/>
      <c r="BF99" s="11"/>
      <c r="BG99" s="11"/>
      <c r="BH99" s="10"/>
      <c r="BI99" s="10"/>
      <c r="BJ99" s="10"/>
      <c r="BK99" s="23"/>
      <c r="BL99" s="23"/>
      <c r="BM99" s="23"/>
      <c r="BN99" s="23"/>
      <c r="BO99" s="23"/>
      <c r="BP99" s="23"/>
      <c r="BQ99" s="23"/>
      <c r="BR99" s="10"/>
      <c r="BS99" s="16"/>
      <c r="BT99" s="16"/>
      <c r="BU99" s="16"/>
      <c r="BV99" s="16"/>
      <c r="BW99" s="11"/>
      <c r="BX99" s="16"/>
      <c r="BY99" s="16"/>
      <c r="BZ99" s="17"/>
      <c r="CA99" s="18"/>
      <c r="CB99" s="18"/>
      <c r="CC99" s="18"/>
      <c r="CD99" s="18"/>
      <c r="CE99" s="18"/>
      <c r="CF99" s="18"/>
      <c r="CG99" s="19"/>
      <c r="CH99" s="15"/>
      <c r="CI99" s="17"/>
      <c r="CJ99" s="10"/>
      <c r="CK99" s="10"/>
      <c r="CL99" s="10"/>
      <c r="CM99" s="17"/>
      <c r="CN99" s="17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</row>
    <row r="100" spans="1:135" customFormat="1">
      <c r="A100" s="71">
        <f>'Old Data'!$I96-'Old Data'!$S96</f>
        <v>-10</v>
      </c>
      <c r="B100" s="72">
        <f>VLOOKUP('Old Data'!$F96,$R$6:$T$135,2,FALSE)+VLOOKUP('Old Data'!$P96,$R$6:$T$135,3,FALSE)+$B$2</f>
        <v>141.93192579554113</v>
      </c>
      <c r="C100" s="72">
        <f>VLOOKUP('Old Data'!$P96,$R$6:$T$135,2,FALSE)+VLOOKUP('Old Data'!$F96,$R$6:$T$135,3,FALSE)+$B$2</f>
        <v>237.87629594236671</v>
      </c>
      <c r="D100" s="74">
        <f>('Old Data'!$I96-$B100)^2+('Old Data'!$S96-$C100)^2</f>
        <v>12379.921038822024</v>
      </c>
      <c r="E100" s="75">
        <f>'Old Data'!$K96-'Old Data'!$U96</f>
        <v>-153</v>
      </c>
      <c r="F100" s="72">
        <f>VLOOKUP('Old Data'!$F96,$V$6:$X$135,2,FALSE)+VLOOKUP('Old Data'!$P96,$V$6:$X$135,3,FALSE)+$C$2</f>
        <v>167.67241939379599</v>
      </c>
      <c r="G100" s="72">
        <f>VLOOKUP('Old Data'!$P96,$V$6:$X$135,2,FALSE)+VLOOKUP('Old Data'!$F96,$V$6:$X$135,3,FALSE)+$C$2</f>
        <v>300.00443910141382</v>
      </c>
      <c r="H100" s="74">
        <f>('Old Data'!$K96-$F100)^2+('Old Data'!$U96-$G100)^2</f>
        <v>586.85973552854296</v>
      </c>
      <c r="I100" s="75">
        <f>('Old Data'!$L96+'Old Data'!$M96)-('Old Data'!$V96+'Old Data'!$W96)</f>
        <v>102</v>
      </c>
      <c r="J100" s="72">
        <f>VLOOKUP('Old Data'!$F96,$Z$6:$AB$135,2,FALSE)+VLOOKUP('Old Data'!$P96,$Z$6:$AB$135,3,FALSE)+$D$2</f>
        <v>116.3163547811638</v>
      </c>
      <c r="K100" s="72">
        <f>VLOOKUP('Old Data'!$P96,$Z$6:$AB$135,2,FALSE)+VLOOKUP('Old Data'!$F96,$Z$6:$AB$135,3,FALSE)+$D$2</f>
        <v>49.783384354393334</v>
      </c>
      <c r="L100" s="74">
        <f>('Old Data'!$L96+'Old Data'!$M96-$J100)^2+('Old Data'!$V96+'Old Data'!$W96-$K100)^2</f>
        <v>1347.1699801705793</v>
      </c>
      <c r="M100" s="75">
        <f>'Old Data'!$N96-'Old Data'!$X96</f>
        <v>1</v>
      </c>
      <c r="N100" s="72">
        <f>VLOOKUP('Old Data'!$F96,$AD$6:$AF$135,2,FALSE)+VLOOKUP('Old Data'!$P96,$AD$6:$AF$135,3,FALSE)+$E$2</f>
        <v>1.6900067884628109</v>
      </c>
      <c r="O100" s="72">
        <f>VLOOKUP('Old Data'!$P96,$AD$6:$AF$135,2,FALSE)+VLOOKUP('Old Data'!$F96,$AD$6:$AF$135,3,FALSE)+$E$2</f>
        <v>2.180796119783909</v>
      </c>
      <c r="P100" s="73">
        <f>('Old Data'!$N96-$N100)^2+('Old Data'!$X96-$O100)^2</f>
        <v>1.4903752676958759</v>
      </c>
      <c r="Q100" s="62"/>
      <c r="R100" s="90" t="s">
        <v>98</v>
      </c>
      <c r="S100" s="96">
        <v>-11.059347759313701</v>
      </c>
      <c r="T100" s="96">
        <v>42.071731409741503</v>
      </c>
      <c r="U100" s="6"/>
      <c r="V100" s="90" t="s">
        <v>98</v>
      </c>
      <c r="W100" s="96">
        <v>-70.728269508932499</v>
      </c>
      <c r="X100" s="96">
        <v>-59.141900630851197</v>
      </c>
      <c r="Y100" s="6"/>
      <c r="Z100" s="90" t="s">
        <v>98</v>
      </c>
      <c r="AA100" s="96">
        <v>-0.566395212661568</v>
      </c>
      <c r="AB100" s="96">
        <v>24.053280322252402</v>
      </c>
      <c r="AC100" s="63"/>
      <c r="AD100" s="90" t="s">
        <v>98</v>
      </c>
      <c r="AE100" s="96">
        <v>-0.16394715145455999</v>
      </c>
      <c r="AF100" s="96">
        <v>0.19903729905513801</v>
      </c>
      <c r="AG100" s="63"/>
      <c r="AH100" s="37"/>
      <c r="AI100" s="22"/>
      <c r="AJ100" s="6"/>
      <c r="AK100" s="10"/>
      <c r="AL100" s="10"/>
      <c r="AM100" s="10"/>
      <c r="AN100" s="11"/>
      <c r="AO100" s="11"/>
      <c r="AP100" s="11"/>
      <c r="AQ100" s="36"/>
      <c r="AR100" s="11"/>
      <c r="AS100" s="11"/>
      <c r="AT100" s="11"/>
      <c r="AU100" s="12"/>
      <c r="AV100" s="11"/>
      <c r="AW100" s="11"/>
      <c r="AX100" s="15"/>
      <c r="AY100" s="15"/>
      <c r="AZ100" s="15"/>
      <c r="BA100" s="15"/>
      <c r="BB100" s="15"/>
      <c r="BC100" s="15"/>
      <c r="BD100" s="15"/>
      <c r="BE100" s="12"/>
      <c r="BF100" s="11"/>
      <c r="BG100" s="11"/>
      <c r="BH100" s="10"/>
      <c r="BI100" s="10"/>
      <c r="BJ100" s="10"/>
      <c r="BK100" s="23"/>
      <c r="BL100" s="23"/>
      <c r="BM100" s="23"/>
      <c r="BN100" s="23"/>
      <c r="BO100" s="23"/>
      <c r="BP100" s="23"/>
      <c r="BQ100" s="23"/>
      <c r="BR100" s="10"/>
      <c r="BS100" s="16"/>
      <c r="BT100" s="16"/>
      <c r="BU100" s="16"/>
      <c r="BV100" s="16"/>
      <c r="BW100" s="11"/>
      <c r="BX100" s="16"/>
      <c r="BY100" s="16"/>
      <c r="BZ100" s="17"/>
      <c r="CA100" s="18"/>
      <c r="CB100" s="18"/>
      <c r="CC100" s="18"/>
      <c r="CD100" s="18"/>
      <c r="CE100" s="18"/>
      <c r="CF100" s="18"/>
      <c r="CG100" s="19"/>
      <c r="CH100" s="15"/>
      <c r="CI100" s="17"/>
      <c r="CJ100" s="10"/>
      <c r="CK100" s="10"/>
      <c r="CL100" s="10"/>
      <c r="CM100" s="17"/>
      <c r="CN100" s="17"/>
      <c r="CO100" s="10"/>
      <c r="CP100" s="10"/>
      <c r="CQ100" s="10"/>
      <c r="CR100" s="10"/>
      <c r="CS100" s="10"/>
      <c r="CT100" s="10"/>
      <c r="CU100" s="10"/>
      <c r="CV100" s="10"/>
      <c r="CW100" s="10"/>
      <c r="CX100" s="10"/>
      <c r="CY100" s="10"/>
      <c r="CZ100" s="10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</row>
    <row r="101" spans="1:135" customFormat="1">
      <c r="A101" s="71">
        <f>'Old Data'!$I97-'Old Data'!$S97</f>
        <v>-40</v>
      </c>
      <c r="B101" s="72">
        <f>VLOOKUP('Old Data'!$F97,$R$6:$T$135,2,FALSE)+VLOOKUP('Old Data'!$P97,$R$6:$T$135,3,FALSE)+$B$2</f>
        <v>126.00113469543567</v>
      </c>
      <c r="C101" s="72">
        <f>VLOOKUP('Old Data'!$P97,$R$6:$T$135,2,FALSE)+VLOOKUP('Old Data'!$F97,$R$6:$T$135,3,FALSE)+$B$2</f>
        <v>183.14356014533101</v>
      </c>
      <c r="D101" s="74">
        <f>('Old Data'!$I97-$B101)^2+('Old Data'!$S97-$C101)^2</f>
        <v>172.45470733644873</v>
      </c>
      <c r="E101" s="75">
        <f>'Old Data'!$K97-'Old Data'!$U97</f>
        <v>18</v>
      </c>
      <c r="F101" s="72">
        <f>VLOOKUP('Old Data'!$F97,$V$6:$X$135,2,FALSE)+VLOOKUP('Old Data'!$P97,$V$6:$X$135,3,FALSE)+$C$2</f>
        <v>322.04098481099834</v>
      </c>
      <c r="G101" s="72">
        <f>VLOOKUP('Old Data'!$P97,$V$6:$X$135,2,FALSE)+VLOOKUP('Old Data'!$F97,$V$6:$X$135,3,FALSE)+$C$2</f>
        <v>320.82229336118792</v>
      </c>
      <c r="H101" s="74">
        <f>('Old Data'!$K97-$F101)^2+('Old Data'!$U97-$G101)^2</f>
        <v>2116.7020296051674</v>
      </c>
      <c r="I101" s="75">
        <f>('Old Data'!$L97+'Old Data'!$M97)-('Old Data'!$V97+'Old Data'!$W97)</f>
        <v>-100</v>
      </c>
      <c r="J101" s="72">
        <f>VLOOKUP('Old Data'!$F97,$Z$6:$AB$135,2,FALSE)+VLOOKUP('Old Data'!$P97,$Z$6:$AB$135,3,FALSE)+$D$2</f>
        <v>84.219112631880904</v>
      </c>
      <c r="K101" s="72">
        <f>VLOOKUP('Old Data'!$P97,$Z$6:$AB$135,2,FALSE)+VLOOKUP('Old Data'!$F97,$Z$6:$AB$135,3,FALSE)+$D$2</f>
        <v>92.160185327704596</v>
      </c>
      <c r="L101" s="74">
        <f>('Old Data'!$L97+'Old Data'!$M97-$J101)^2+('Old Data'!$V97+'Old Data'!$W97-$K101)^2</f>
        <v>5135.4254959714735</v>
      </c>
      <c r="M101" s="75">
        <f>'Old Data'!$N97-'Old Data'!$X97</f>
        <v>3</v>
      </c>
      <c r="N101" s="72">
        <f>VLOOKUP('Old Data'!$F97,$AD$6:$AF$135,2,FALSE)+VLOOKUP('Old Data'!$P97,$AD$6:$AF$135,3,FALSE)+$E$2</f>
        <v>2.1372292401488222</v>
      </c>
      <c r="O101" s="72">
        <f>VLOOKUP('Old Data'!$P97,$AD$6:$AF$135,2,FALSE)+VLOOKUP('Old Data'!$F97,$AD$6:$AF$135,3,FALSE)+$E$2</f>
        <v>1.2538605459063075</v>
      </c>
      <c r="P101" s="73">
        <f>('Old Data'!$N97-$N101)^2+('Old Data'!$X97-$O101)^2</f>
        <v>2.316539652634642</v>
      </c>
      <c r="Q101" s="62"/>
      <c r="R101" s="90" t="s">
        <v>19</v>
      </c>
      <c r="S101" s="96">
        <v>-94.455507153102602</v>
      </c>
      <c r="T101" s="96">
        <v>84.326971063994407</v>
      </c>
      <c r="U101" s="6"/>
      <c r="V101" s="90" t="s">
        <v>19</v>
      </c>
      <c r="W101" s="96">
        <v>121.203713098614</v>
      </c>
      <c r="X101" s="96">
        <v>5.3447522465805699</v>
      </c>
      <c r="Y101" s="6"/>
      <c r="Z101" s="90" t="s">
        <v>19</v>
      </c>
      <c r="AA101" s="96">
        <v>-23.219566970133702</v>
      </c>
      <c r="AB101" s="96">
        <v>20.7795786491012</v>
      </c>
      <c r="AC101" s="63"/>
      <c r="AD101" s="90" t="s">
        <v>19</v>
      </c>
      <c r="AE101" s="96">
        <v>0.325196029361704</v>
      </c>
      <c r="AF101" s="96">
        <v>-0.100740959065511</v>
      </c>
      <c r="AG101" s="63"/>
      <c r="AH101" s="37"/>
      <c r="AI101" s="22"/>
      <c r="AJ101" s="6"/>
      <c r="AK101" s="10"/>
      <c r="AL101" s="10"/>
      <c r="AM101" s="10"/>
      <c r="AN101" s="11"/>
      <c r="AO101" s="11"/>
      <c r="AP101" s="11"/>
      <c r="AQ101" s="36"/>
      <c r="AR101" s="11"/>
      <c r="AS101" s="11"/>
      <c r="AT101" s="11"/>
      <c r="AU101" s="12"/>
      <c r="AV101" s="11"/>
      <c r="AW101" s="11"/>
      <c r="AX101" s="15"/>
      <c r="AY101" s="15"/>
      <c r="AZ101" s="15"/>
      <c r="BA101" s="15"/>
      <c r="BB101" s="15"/>
      <c r="BC101" s="15"/>
      <c r="BD101" s="15"/>
      <c r="BE101" s="12"/>
      <c r="BF101" s="11"/>
      <c r="BG101" s="11"/>
      <c r="BH101" s="10"/>
      <c r="BI101" s="10"/>
      <c r="BJ101" s="10"/>
      <c r="BK101" s="23"/>
      <c r="BL101" s="23"/>
      <c r="BM101" s="23"/>
      <c r="BN101" s="23"/>
      <c r="BO101" s="23"/>
      <c r="BP101" s="23"/>
      <c r="BQ101" s="23"/>
      <c r="BR101" s="10"/>
      <c r="BS101" s="16"/>
      <c r="BT101" s="16"/>
      <c r="BU101" s="16"/>
      <c r="BV101" s="16"/>
      <c r="BW101" s="11"/>
      <c r="BX101" s="16"/>
      <c r="BY101" s="16"/>
      <c r="BZ101" s="17"/>
      <c r="CA101" s="18"/>
      <c r="CB101" s="18"/>
      <c r="CC101" s="18"/>
      <c r="CD101" s="18"/>
      <c r="CE101" s="18"/>
      <c r="CF101" s="18"/>
      <c r="CG101" s="19"/>
      <c r="CH101" s="15"/>
      <c r="CI101" s="17"/>
      <c r="CJ101" s="10"/>
      <c r="CK101" s="10"/>
      <c r="CL101" s="10"/>
      <c r="CM101" s="17"/>
      <c r="CN101" s="17"/>
      <c r="CO101" s="10"/>
      <c r="CP101" s="10"/>
      <c r="CQ101" s="10"/>
      <c r="CR101" s="10"/>
      <c r="CS101" s="10"/>
      <c r="CT101" s="10"/>
      <c r="CU101" s="10"/>
      <c r="CV101" s="10"/>
      <c r="CW101" s="10"/>
      <c r="CX101" s="10"/>
      <c r="CY101" s="10"/>
      <c r="CZ101" s="10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</row>
    <row r="102" spans="1:135" customFormat="1">
      <c r="A102" s="71">
        <f>'Old Data'!$I98-'Old Data'!$S98</f>
        <v>30</v>
      </c>
      <c r="B102" s="72">
        <f>VLOOKUP('Old Data'!$F98,$R$6:$T$135,2,FALSE)+VLOOKUP('Old Data'!$P98,$R$6:$T$135,3,FALSE)+$B$2</f>
        <v>182.11745070305511</v>
      </c>
      <c r="C102" s="72">
        <f>VLOOKUP('Old Data'!$P98,$R$6:$T$135,2,FALSE)+VLOOKUP('Old Data'!$F98,$R$6:$T$135,3,FALSE)+$B$2</f>
        <v>79.818026507901308</v>
      </c>
      <c r="D102" s="74">
        <f>('Old Data'!$I98-$B102)^2+('Old Data'!$S98-$C102)^2</f>
        <v>2631.9925878048098</v>
      </c>
      <c r="E102" s="75">
        <f>'Old Data'!$K98-'Old Data'!$U98</f>
        <v>-81</v>
      </c>
      <c r="F102" s="72">
        <f>VLOOKUP('Old Data'!$F98,$V$6:$X$135,2,FALSE)+VLOOKUP('Old Data'!$P98,$V$6:$X$135,3,FALSE)+$C$2</f>
        <v>182.96296891278615</v>
      </c>
      <c r="G102" s="72">
        <f>VLOOKUP('Old Data'!$P98,$V$6:$X$135,2,FALSE)+VLOOKUP('Old Data'!$F98,$V$6:$X$135,3,FALSE)+$C$2</f>
        <v>271.10585808081402</v>
      </c>
      <c r="H102" s="74">
        <f>('Old Data'!$K98-$F102)^2+('Old Data'!$U98-$G102)^2</f>
        <v>6645.9279056749083</v>
      </c>
      <c r="I102" s="75">
        <f>('Old Data'!$L98+'Old Data'!$M98)-('Old Data'!$V98+'Old Data'!$W98)</f>
        <v>13</v>
      </c>
      <c r="J102" s="72">
        <f>VLOOKUP('Old Data'!$F98,$Z$6:$AB$135,2,FALSE)+VLOOKUP('Old Data'!$P98,$Z$6:$AB$135,3,FALSE)+$D$2</f>
        <v>54.860314751127703</v>
      </c>
      <c r="K102" s="72">
        <f>VLOOKUP('Old Data'!$P98,$Z$6:$AB$135,2,FALSE)+VLOOKUP('Old Data'!$F98,$Z$6:$AB$135,3,FALSE)+$D$2</f>
        <v>90.889181510068781</v>
      </c>
      <c r="L102" s="74">
        <f>('Old Data'!$L98+'Old Data'!$M98-$J102)^2+('Old Data'!$V98+'Old Data'!$W98-$K102)^2</f>
        <v>1265.2018050214147</v>
      </c>
      <c r="M102" s="75">
        <f>'Old Data'!$N98-'Old Data'!$X98</f>
        <v>2</v>
      </c>
      <c r="N102" s="72">
        <f>VLOOKUP('Old Data'!$F98,$AD$6:$AF$135,2,FALSE)+VLOOKUP('Old Data'!$P98,$AD$6:$AF$135,3,FALSE)+$E$2</f>
        <v>1.6517660575412432</v>
      </c>
      <c r="O102" s="72">
        <f>VLOOKUP('Old Data'!$P98,$AD$6:$AF$135,2,FALSE)+VLOOKUP('Old Data'!$F98,$AD$6:$AF$135,3,FALSE)+$E$2</f>
        <v>0.26500464827270021</v>
      </c>
      <c r="P102" s="73">
        <f>('Old Data'!$N98-$N102)^2+('Old Data'!$X98-$O102)^2</f>
        <v>0.1914943422865063</v>
      </c>
      <c r="Q102" s="62"/>
      <c r="R102" s="90" t="s">
        <v>99</v>
      </c>
      <c r="S102" s="96">
        <v>-50.696420807927602</v>
      </c>
      <c r="T102" s="96">
        <v>-33.793143565020202</v>
      </c>
      <c r="U102" s="6"/>
      <c r="V102" s="90" t="s">
        <v>99</v>
      </c>
      <c r="W102" s="96">
        <v>49.317436181715699</v>
      </c>
      <c r="X102" s="96">
        <v>10.214229407131601</v>
      </c>
      <c r="Y102" s="6"/>
      <c r="Z102" s="90" t="s">
        <v>99</v>
      </c>
      <c r="AA102" s="96">
        <v>1.05719354918333</v>
      </c>
      <c r="AB102" s="96">
        <v>11.3666726264146</v>
      </c>
      <c r="AC102" s="63"/>
      <c r="AD102" s="90" t="s">
        <v>99</v>
      </c>
      <c r="AE102" s="96">
        <v>-0.44831076906703199</v>
      </c>
      <c r="AF102" s="96">
        <v>0.56400640739766905</v>
      </c>
      <c r="AG102" s="63"/>
      <c r="AH102" s="37"/>
      <c r="AI102" s="22"/>
      <c r="AJ102" s="6"/>
      <c r="AK102" s="10"/>
      <c r="AL102" s="10"/>
      <c r="AM102" s="10"/>
      <c r="AN102" s="11"/>
      <c r="AO102" s="11"/>
      <c r="AP102" s="11"/>
      <c r="AQ102" s="36"/>
      <c r="AR102" s="11"/>
      <c r="AS102" s="11"/>
      <c r="AT102" s="11"/>
      <c r="AU102" s="12"/>
      <c r="AV102" s="11"/>
      <c r="AW102" s="11"/>
      <c r="AX102" s="15"/>
      <c r="AY102" s="15"/>
      <c r="AZ102" s="15"/>
      <c r="BA102" s="15"/>
      <c r="BB102" s="15"/>
      <c r="BC102" s="15"/>
      <c r="BD102" s="15"/>
      <c r="BE102" s="12"/>
      <c r="BF102" s="11"/>
      <c r="BG102" s="11"/>
      <c r="BH102" s="10"/>
      <c r="BI102" s="10"/>
      <c r="BJ102" s="10"/>
      <c r="BK102" s="23"/>
      <c r="BL102" s="23"/>
      <c r="BM102" s="23"/>
      <c r="BN102" s="23"/>
      <c r="BO102" s="23"/>
      <c r="BP102" s="23"/>
      <c r="BQ102" s="23"/>
      <c r="BR102" s="10"/>
      <c r="BS102" s="16"/>
      <c r="BT102" s="16"/>
      <c r="BU102" s="16"/>
      <c r="BV102" s="16"/>
      <c r="BW102" s="11"/>
      <c r="BX102" s="16"/>
      <c r="BY102" s="16"/>
      <c r="BZ102" s="17"/>
      <c r="CA102" s="18"/>
      <c r="CB102" s="18"/>
      <c r="CC102" s="18"/>
      <c r="CD102" s="18"/>
      <c r="CE102" s="18"/>
      <c r="CF102" s="18"/>
      <c r="CG102" s="19"/>
      <c r="CH102" s="15"/>
      <c r="CI102" s="17"/>
      <c r="CJ102" s="10"/>
      <c r="CK102" s="10"/>
      <c r="CL102" s="10"/>
      <c r="CM102" s="17"/>
      <c r="CN102" s="17"/>
      <c r="CO102" s="10"/>
      <c r="CP102" s="10"/>
      <c r="CQ102" s="10"/>
      <c r="CR102" s="10"/>
      <c r="CS102" s="10"/>
      <c r="CT102" s="10"/>
      <c r="CU102" s="10"/>
      <c r="CV102" s="10"/>
      <c r="CW102" s="10"/>
      <c r="CX102" s="10"/>
      <c r="CY102" s="10"/>
      <c r="CZ102" s="10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</row>
    <row r="103" spans="1:135" customFormat="1">
      <c r="A103" s="71">
        <f>'Old Data'!$I99-'Old Data'!$S99</f>
        <v>82</v>
      </c>
      <c r="B103" s="72">
        <f>VLOOKUP('Old Data'!$F99,$R$6:$T$135,2,FALSE)+VLOOKUP('Old Data'!$P99,$R$6:$T$135,3,FALSE)+$B$2</f>
        <v>187.86609014797691</v>
      </c>
      <c r="C103" s="72">
        <f>VLOOKUP('Old Data'!$P99,$R$6:$T$135,2,FALSE)+VLOOKUP('Old Data'!$F99,$R$6:$T$135,3,FALSE)+$B$2</f>
        <v>134.464056012882</v>
      </c>
      <c r="D103" s="74">
        <f>('Old Data'!$I99-$B103)^2+('Old Data'!$S99-$C103)^2</f>
        <v>443.61749333577455</v>
      </c>
      <c r="E103" s="75">
        <f>'Old Data'!$K99-'Old Data'!$U99</f>
        <v>114</v>
      </c>
      <c r="F103" s="72">
        <f>VLOOKUP('Old Data'!$F99,$V$6:$X$135,2,FALSE)+VLOOKUP('Old Data'!$P99,$V$6:$X$135,3,FALSE)+$C$2</f>
        <v>325.70602318799359</v>
      </c>
      <c r="G103" s="72">
        <f>VLOOKUP('Old Data'!$P99,$V$6:$X$135,2,FALSE)+VLOOKUP('Old Data'!$F99,$V$6:$X$135,3,FALSE)+$C$2</f>
        <v>238.77836815890188</v>
      </c>
      <c r="H103" s="74">
        <f>('Old Data'!$K99-$F103)^2+('Old Data'!$U99-$G103)^2</f>
        <v>486.82298705007764</v>
      </c>
      <c r="I103" s="75">
        <f>('Old Data'!$L99+'Old Data'!$M99)-('Old Data'!$V99+'Old Data'!$W99)</f>
        <v>-16</v>
      </c>
      <c r="J103" s="72">
        <f>VLOOKUP('Old Data'!$F99,$Z$6:$AB$135,2,FALSE)+VLOOKUP('Old Data'!$P99,$Z$6:$AB$135,3,FALSE)+$D$2</f>
        <v>36.527018103912368</v>
      </c>
      <c r="K103" s="72">
        <f>VLOOKUP('Old Data'!$P99,$Z$6:$AB$135,2,FALSE)+VLOOKUP('Old Data'!$F99,$Z$6:$AB$135,3,FALSE)+$D$2</f>
        <v>80.445540077875563</v>
      </c>
      <c r="L103" s="74">
        <f>('Old Data'!$L99+'Old Data'!$M99-$J103)^2+('Old Data'!$V99+'Old Data'!$W99-$K103)^2</f>
        <v>1588.877662039635</v>
      </c>
      <c r="M103" s="75">
        <f>'Old Data'!$N99-'Old Data'!$X99</f>
        <v>0</v>
      </c>
      <c r="N103" s="72">
        <f>VLOOKUP('Old Data'!$F99,$AD$6:$AF$135,2,FALSE)+VLOOKUP('Old Data'!$P99,$AD$6:$AF$135,3,FALSE)+$E$2</f>
        <v>0.96547856645689945</v>
      </c>
      <c r="O103" s="72">
        <f>VLOOKUP('Old Data'!$P99,$AD$6:$AF$135,2,FALSE)+VLOOKUP('Old Data'!$F99,$AD$6:$AF$135,3,FALSE)+$E$2</f>
        <v>1.1936843010229761</v>
      </c>
      <c r="P103" s="73">
        <f>('Old Data'!$N99-$N103)^2+('Old Data'!$X99-$O103)^2</f>
        <v>3.8705337836629515E-2</v>
      </c>
      <c r="Q103" s="62"/>
      <c r="R103" s="90" t="s">
        <v>80</v>
      </c>
      <c r="S103" s="96">
        <v>5.0959682874193302</v>
      </c>
      <c r="T103" s="96">
        <v>-8.6423346697326409</v>
      </c>
      <c r="U103" s="6"/>
      <c r="V103" s="90" t="s">
        <v>80</v>
      </c>
      <c r="W103" s="96">
        <v>80.313391097445404</v>
      </c>
      <c r="X103" s="96">
        <v>56.0238868683048</v>
      </c>
      <c r="Y103" s="6"/>
      <c r="Z103" s="90" t="s">
        <v>80</v>
      </c>
      <c r="AA103" s="96">
        <v>35.3983035853757</v>
      </c>
      <c r="AB103" s="96">
        <v>29.564833126005698</v>
      </c>
      <c r="AC103" s="63"/>
      <c r="AD103" s="90" t="s">
        <v>80</v>
      </c>
      <c r="AE103" s="96">
        <v>-3.9411844514479301E-2</v>
      </c>
      <c r="AF103" s="96">
        <v>-8.8179880274641798E-2</v>
      </c>
      <c r="AG103" s="63"/>
      <c r="AH103" s="37"/>
      <c r="AI103" s="22"/>
      <c r="AJ103" s="6"/>
      <c r="AK103" s="10"/>
      <c r="AL103" s="10"/>
      <c r="AM103" s="10"/>
      <c r="AN103" s="11"/>
      <c r="AO103" s="11"/>
      <c r="AP103" s="11"/>
      <c r="AQ103" s="36"/>
      <c r="AR103" s="11"/>
      <c r="AS103" s="11"/>
      <c r="AT103" s="11"/>
      <c r="AU103" s="12"/>
      <c r="AV103" s="11"/>
      <c r="AW103" s="11"/>
      <c r="AX103" s="15"/>
      <c r="AY103" s="15"/>
      <c r="AZ103" s="15"/>
      <c r="BA103" s="15"/>
      <c r="BB103" s="15"/>
      <c r="BC103" s="15"/>
      <c r="BD103" s="15"/>
      <c r="BE103" s="12"/>
      <c r="BF103" s="11"/>
      <c r="BG103" s="11"/>
      <c r="BH103" s="10"/>
      <c r="BI103" s="10"/>
      <c r="BJ103" s="10"/>
      <c r="BK103" s="23"/>
      <c r="BL103" s="23"/>
      <c r="BM103" s="23"/>
      <c r="BN103" s="23"/>
      <c r="BO103" s="23"/>
      <c r="BP103" s="23"/>
      <c r="BQ103" s="23"/>
      <c r="BR103" s="10"/>
      <c r="BS103" s="16"/>
      <c r="BT103" s="16"/>
      <c r="BU103" s="16"/>
      <c r="BV103" s="16"/>
      <c r="BW103" s="11"/>
      <c r="BX103" s="16"/>
      <c r="BY103" s="16"/>
      <c r="BZ103" s="17"/>
      <c r="CA103" s="18"/>
      <c r="CB103" s="18"/>
      <c r="CC103" s="18"/>
      <c r="CD103" s="18"/>
      <c r="CE103" s="18"/>
      <c r="CF103" s="18"/>
      <c r="CG103" s="19"/>
      <c r="CH103" s="15"/>
      <c r="CI103" s="17"/>
      <c r="CJ103" s="10"/>
      <c r="CK103" s="10"/>
      <c r="CL103" s="10"/>
      <c r="CM103" s="17"/>
      <c r="CN103" s="17"/>
      <c r="CO103" s="10"/>
      <c r="CP103" s="10"/>
      <c r="CQ103" s="10"/>
      <c r="CR103" s="10"/>
      <c r="CS103" s="10"/>
      <c r="CT103" s="10"/>
      <c r="CU103" s="10"/>
      <c r="CV103" s="10"/>
      <c r="CW103" s="10"/>
      <c r="CX103" s="10"/>
      <c r="CY103" s="10"/>
      <c r="CZ103" s="10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</row>
    <row r="104" spans="1:135" customFormat="1">
      <c r="A104" s="71">
        <f>'Old Data'!$I100-'Old Data'!$S100</f>
        <v>170</v>
      </c>
      <c r="B104" s="72">
        <f>VLOOKUP('Old Data'!$F100,$R$6:$T$135,2,FALSE)+VLOOKUP('Old Data'!$P100,$R$6:$T$135,3,FALSE)+$B$2</f>
        <v>209.31485267679045</v>
      </c>
      <c r="C104" s="72">
        <f>VLOOKUP('Old Data'!$P100,$R$6:$T$135,2,FALSE)+VLOOKUP('Old Data'!$F100,$R$6:$T$135,3,FALSE)+$B$2</f>
        <v>78.841291599026107</v>
      </c>
      <c r="D104" s="74">
        <f>('Old Data'!$I100-$B104)^2+('Old Data'!$S100-$C104)^2</f>
        <v>829.62043469588241</v>
      </c>
      <c r="E104" s="75">
        <f>'Old Data'!$K100-'Old Data'!$U100</f>
        <v>43</v>
      </c>
      <c r="F104" s="72">
        <f>VLOOKUP('Old Data'!$F100,$V$6:$X$135,2,FALSE)+VLOOKUP('Old Data'!$P100,$V$6:$X$135,3,FALSE)+$C$2</f>
        <v>178.75020502112582</v>
      </c>
      <c r="G104" s="72">
        <f>VLOOKUP('Old Data'!$P100,$V$6:$X$135,2,FALSE)+VLOOKUP('Old Data'!$F100,$V$6:$X$135,3,FALSE)+$C$2</f>
        <v>160.04687507091438</v>
      </c>
      <c r="H104" s="74">
        <f>('Old Data'!$K100-$F104)^2+('Old Data'!$U100-$G104)^2</f>
        <v>343.15547691907148</v>
      </c>
      <c r="I104" s="75">
        <f>('Old Data'!$L100+'Old Data'!$M100)-('Old Data'!$V100+'Old Data'!$W100)</f>
        <v>3</v>
      </c>
      <c r="J104" s="72">
        <f>VLOOKUP('Old Data'!$F100,$Z$6:$AB$135,2,FALSE)+VLOOKUP('Old Data'!$P100,$Z$6:$AB$135,3,FALSE)+$D$2</f>
        <v>46.622344637515489</v>
      </c>
      <c r="K104" s="72">
        <f>VLOOKUP('Old Data'!$P100,$Z$6:$AB$135,2,FALSE)+VLOOKUP('Old Data'!$F100,$Z$6:$AB$135,3,FALSE)+$D$2</f>
        <v>98.434771478922499</v>
      </c>
      <c r="L104" s="74">
        <f>('Old Data'!$L100+'Old Data'!$M100-$J104)^2+('Old Data'!$V100+'Old Data'!$W100-$K104)^2</f>
        <v>4090.0903388641414</v>
      </c>
      <c r="M104" s="75">
        <f>'Old Data'!$N100-'Old Data'!$X100</f>
        <v>0</v>
      </c>
      <c r="N104" s="72">
        <f>VLOOKUP('Old Data'!$F100,$AD$6:$AF$135,2,FALSE)+VLOOKUP('Old Data'!$P100,$AD$6:$AF$135,3,FALSE)+$E$2</f>
        <v>1.71292259082822</v>
      </c>
      <c r="O104" s="72">
        <f>VLOOKUP('Old Data'!$P100,$AD$6:$AF$135,2,FALSE)+VLOOKUP('Old Data'!$F100,$AD$6:$AF$135,3,FALSE)+$E$2</f>
        <v>1.2827668825325707</v>
      </c>
      <c r="P104" s="73">
        <f>('Old Data'!$N100-$N104)^2+('Old Data'!$X100-$O104)^2</f>
        <v>0.58821573037041019</v>
      </c>
      <c r="Q104" s="62"/>
      <c r="R104" s="90" t="s">
        <v>33</v>
      </c>
      <c r="S104" s="96">
        <v>-48.1251301703198</v>
      </c>
      <c r="T104" s="96">
        <v>-14.8879207039575</v>
      </c>
      <c r="U104" s="6"/>
      <c r="V104" s="90" t="s">
        <v>33</v>
      </c>
      <c r="W104" s="96">
        <v>21.850506014434</v>
      </c>
      <c r="X104" s="96">
        <v>22.497880208502401</v>
      </c>
      <c r="Y104" s="6"/>
      <c r="Z104" s="90" t="s">
        <v>33</v>
      </c>
      <c r="AA104" s="96">
        <v>11.6410668141604</v>
      </c>
      <c r="AB104" s="96">
        <v>-0.20325559676552801</v>
      </c>
      <c r="AC104" s="63"/>
      <c r="AD104" s="90" t="s">
        <v>33</v>
      </c>
      <c r="AE104" s="96">
        <v>-0.39538852751924403</v>
      </c>
      <c r="AF104" s="96">
        <v>-0.42193574707975701</v>
      </c>
      <c r="AG104" s="63"/>
      <c r="AH104" s="37"/>
      <c r="AI104" s="22"/>
      <c r="AJ104" s="6"/>
      <c r="AK104" s="10"/>
      <c r="AL104" s="10"/>
      <c r="AM104" s="10"/>
      <c r="AN104" s="11"/>
      <c r="AO104" s="11"/>
      <c r="AP104" s="11"/>
      <c r="AQ104" s="36"/>
      <c r="AR104" s="11"/>
      <c r="AS104" s="11"/>
      <c r="AT104" s="11"/>
      <c r="AU104" s="12"/>
      <c r="AV104" s="11"/>
      <c r="AW104" s="11"/>
      <c r="AX104" s="15"/>
      <c r="AY104" s="15"/>
      <c r="AZ104" s="15"/>
      <c r="BA104" s="15"/>
      <c r="BB104" s="15"/>
      <c r="BC104" s="15"/>
      <c r="BD104" s="15"/>
      <c r="BE104" s="12"/>
      <c r="BF104" s="11"/>
      <c r="BG104" s="11"/>
      <c r="BH104" s="10"/>
      <c r="BI104" s="10"/>
      <c r="BJ104" s="10"/>
      <c r="BK104" s="23"/>
      <c r="BL104" s="23"/>
      <c r="BM104" s="23"/>
      <c r="BN104" s="23"/>
      <c r="BO104" s="23"/>
      <c r="BP104" s="23"/>
      <c r="BQ104" s="23"/>
      <c r="BR104" s="10"/>
      <c r="BS104" s="16"/>
      <c r="BT104" s="16"/>
      <c r="BU104" s="16"/>
      <c r="BV104" s="16"/>
      <c r="BW104" s="11"/>
      <c r="BX104" s="16"/>
      <c r="BY104" s="16"/>
      <c r="BZ104" s="17"/>
      <c r="CA104" s="18"/>
      <c r="CB104" s="18"/>
      <c r="CC104" s="18"/>
      <c r="CD104" s="18"/>
      <c r="CE104" s="18"/>
      <c r="CF104" s="18"/>
      <c r="CG104" s="19"/>
      <c r="CH104" s="15"/>
      <c r="CI104" s="17"/>
      <c r="CJ104" s="10"/>
      <c r="CK104" s="10"/>
      <c r="CL104" s="10"/>
      <c r="CM104" s="17"/>
      <c r="CN104" s="17"/>
      <c r="CO104" s="10"/>
      <c r="CP104" s="10"/>
      <c r="CQ104" s="10"/>
      <c r="CR104" s="10"/>
      <c r="CS104" s="10"/>
      <c r="CT104" s="10"/>
      <c r="CU104" s="10"/>
      <c r="CV104" s="10"/>
      <c r="CW104" s="10"/>
      <c r="CX104" s="10"/>
      <c r="CY104" s="10"/>
      <c r="CZ104" s="10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</row>
    <row r="105" spans="1:135" customFormat="1">
      <c r="A105" s="71">
        <f>'Old Data'!$I101-'Old Data'!$S101</f>
        <v>142</v>
      </c>
      <c r="B105" s="72">
        <f>VLOOKUP('Old Data'!$F101,$R$6:$T$135,2,FALSE)+VLOOKUP('Old Data'!$P101,$R$6:$T$135,3,FALSE)+$B$2</f>
        <v>227.52999541938709</v>
      </c>
      <c r="C105" s="72">
        <f>VLOOKUP('Old Data'!$P101,$R$6:$T$135,2,FALSE)+VLOOKUP('Old Data'!$F101,$R$6:$T$135,3,FALSE)+$B$2</f>
        <v>-1.6379300518575803</v>
      </c>
      <c r="D105" s="74">
        <f>('Old Data'!$I101-$B105)^2+('Old Data'!$S101-$C105)^2</f>
        <v>3850.2087867473811</v>
      </c>
      <c r="E105" s="75">
        <f>'Old Data'!$K101-'Old Data'!$U101</f>
        <v>62</v>
      </c>
      <c r="F105" s="72">
        <f>VLOOKUP('Old Data'!$F101,$V$6:$X$135,2,FALSE)+VLOOKUP('Old Data'!$P101,$V$6:$X$135,3,FALSE)+$C$2</f>
        <v>245.59326468179174</v>
      </c>
      <c r="G105" s="72">
        <f>VLOOKUP('Old Data'!$P101,$V$6:$X$135,2,FALSE)+VLOOKUP('Old Data'!$F101,$V$6:$X$135,3,FALSE)+$C$2</f>
        <v>211.87396092236861</v>
      </c>
      <c r="H105" s="74">
        <f>('Old Data'!$K101-$F105)^2+('Old Data'!$U101-$G105)^2</f>
        <v>14601.546912705382</v>
      </c>
      <c r="I105" s="75">
        <f>('Old Data'!$L101+'Old Data'!$M101)-('Old Data'!$V101+'Old Data'!$W101)</f>
        <v>-138</v>
      </c>
      <c r="J105" s="72">
        <f>VLOOKUP('Old Data'!$F101,$Z$6:$AB$135,2,FALSE)+VLOOKUP('Old Data'!$P101,$Z$6:$AB$135,3,FALSE)+$D$2</f>
        <v>39.730595226222491</v>
      </c>
      <c r="K105" s="72">
        <f>VLOOKUP('Old Data'!$P101,$Z$6:$AB$135,2,FALSE)+VLOOKUP('Old Data'!$F101,$Z$6:$AB$135,3,FALSE)+$D$2</f>
        <v>98.1279640669146</v>
      </c>
      <c r="L105" s="74">
        <f>('Old Data'!$L101+'Old Data'!$M101-$J105)^2+('Old Data'!$V101+'Old Data'!$W101-$K105)^2</f>
        <v>3973.9570747537027</v>
      </c>
      <c r="M105" s="75">
        <f>'Old Data'!$N101-'Old Data'!$X101</f>
        <v>1</v>
      </c>
      <c r="N105" s="72">
        <f>VLOOKUP('Old Data'!$F101,$AD$6:$AF$135,2,FALSE)+VLOOKUP('Old Data'!$P101,$AD$6:$AF$135,3,FALSE)+$E$2</f>
        <v>2.033701838252584</v>
      </c>
      <c r="O105" s="72">
        <f>VLOOKUP('Old Data'!$P101,$AD$6:$AF$135,2,FALSE)+VLOOKUP('Old Data'!$F101,$AD$6:$AF$135,3,FALSE)+$E$2</f>
        <v>1.529968907119164</v>
      </c>
      <c r="P105" s="73">
        <f>('Old Data'!$N101-$N105)^2+('Old Data'!$X101-$O105)^2</f>
        <v>0.28200285641468442</v>
      </c>
      <c r="Q105" s="62"/>
      <c r="R105" s="90" t="s">
        <v>38</v>
      </c>
      <c r="S105" s="96">
        <v>-11.464137565545499</v>
      </c>
      <c r="T105" s="96">
        <v>64.266175743173307</v>
      </c>
      <c r="U105" s="6"/>
      <c r="V105" s="90" t="s">
        <v>38</v>
      </c>
      <c r="W105" s="96">
        <v>7.7583220408606097</v>
      </c>
      <c r="X105" s="96">
        <v>46.735525651651699</v>
      </c>
      <c r="Y105" s="6"/>
      <c r="Z105" s="90" t="s">
        <v>38</v>
      </c>
      <c r="AA105" s="96">
        <v>3.6267271619057699</v>
      </c>
      <c r="AB105" s="96">
        <v>-32.624217929248097</v>
      </c>
      <c r="AC105" s="63"/>
      <c r="AD105" s="90" t="s">
        <v>38</v>
      </c>
      <c r="AE105" s="96">
        <v>0.55290586325690305</v>
      </c>
      <c r="AF105" s="96">
        <v>-0.66513259804827096</v>
      </c>
      <c r="AG105" s="63"/>
      <c r="AH105" s="37"/>
      <c r="AI105" s="22"/>
      <c r="AJ105" s="6"/>
      <c r="AK105" s="10"/>
      <c r="AL105" s="10"/>
      <c r="AM105" s="10"/>
      <c r="AN105" s="11"/>
      <c r="AO105" s="11"/>
      <c r="AP105" s="11"/>
      <c r="AQ105" s="36"/>
      <c r="AR105" s="11"/>
      <c r="AS105" s="11"/>
      <c r="AT105" s="11"/>
      <c r="AU105" s="12"/>
      <c r="AV105" s="11"/>
      <c r="AW105" s="11"/>
      <c r="AX105" s="15"/>
      <c r="AY105" s="15"/>
      <c r="AZ105" s="15"/>
      <c r="BA105" s="15"/>
      <c r="BB105" s="15"/>
      <c r="BC105" s="15"/>
      <c r="BD105" s="15"/>
      <c r="BE105" s="12"/>
      <c r="BF105" s="11"/>
      <c r="BG105" s="11"/>
      <c r="BH105" s="10"/>
      <c r="BI105" s="10"/>
      <c r="BJ105" s="10"/>
      <c r="BK105" s="23"/>
      <c r="BL105" s="23"/>
      <c r="BM105" s="23"/>
      <c r="BN105" s="23"/>
      <c r="BO105" s="23"/>
      <c r="BP105" s="23"/>
      <c r="BQ105" s="23"/>
      <c r="BR105" s="10"/>
      <c r="BS105" s="16"/>
      <c r="BT105" s="16"/>
      <c r="BU105" s="16"/>
      <c r="BV105" s="16"/>
      <c r="BW105" s="11"/>
      <c r="BX105" s="16"/>
      <c r="BY105" s="16"/>
      <c r="BZ105" s="17"/>
      <c r="CA105" s="18"/>
      <c r="CB105" s="18"/>
      <c r="CC105" s="18"/>
      <c r="CD105" s="18"/>
      <c r="CE105" s="18"/>
      <c r="CF105" s="18"/>
      <c r="CG105" s="19"/>
      <c r="CH105" s="15"/>
      <c r="CI105" s="17"/>
      <c r="CJ105" s="10"/>
      <c r="CK105" s="10"/>
      <c r="CL105" s="10"/>
      <c r="CM105" s="17"/>
      <c r="CN105" s="17"/>
      <c r="CO105" s="10"/>
      <c r="CP105" s="10"/>
      <c r="CQ105" s="10"/>
      <c r="CR105" s="10"/>
      <c r="CS105" s="10"/>
      <c r="CT105" s="10"/>
      <c r="CU105" s="10"/>
      <c r="CV105" s="10"/>
      <c r="CW105" s="10"/>
      <c r="CX105" s="10"/>
      <c r="CY105" s="10"/>
      <c r="CZ105" s="10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</row>
    <row r="106" spans="1:135" customFormat="1">
      <c r="A106" s="71">
        <f>'Old Data'!$I102-'Old Data'!$S102</f>
        <v>-184</v>
      </c>
      <c r="B106" s="72">
        <f>VLOOKUP('Old Data'!$F102,$R$6:$T$135,2,FALSE)+VLOOKUP('Old Data'!$P102,$R$6:$T$135,3,FALSE)+$B$2</f>
        <v>133.52189623520226</v>
      </c>
      <c r="C106" s="72">
        <f>VLOOKUP('Old Data'!$P102,$R$6:$T$135,2,FALSE)+VLOOKUP('Old Data'!$F102,$R$6:$T$135,3,FALSE)+$B$2</f>
        <v>236.95131224969691</v>
      </c>
      <c r="D106" s="74">
        <f>('Old Data'!$I102-$B106)^2+('Old Data'!$S102-$C106)^2</f>
        <v>3522.5644613801956</v>
      </c>
      <c r="E106" s="75">
        <f>'Old Data'!$K102-'Old Data'!$U102</f>
        <v>65</v>
      </c>
      <c r="F106" s="72">
        <f>VLOOKUP('Old Data'!$F102,$V$6:$X$135,2,FALSE)+VLOOKUP('Old Data'!$P102,$V$6:$X$135,3,FALSE)+$C$2</f>
        <v>205.71192887480021</v>
      </c>
      <c r="G106" s="72">
        <f>VLOOKUP('Old Data'!$P102,$V$6:$X$135,2,FALSE)+VLOOKUP('Old Data'!$F102,$V$6:$X$135,3,FALSE)+$C$2</f>
        <v>172.37549044121309</v>
      </c>
      <c r="H106" s="74">
        <f>('Old Data'!$K102-$F106)^2+('Old Data'!$U102-$G106)^2</f>
        <v>506.05664455145541</v>
      </c>
      <c r="I106" s="75">
        <f>('Old Data'!$L102+'Old Data'!$M102)-('Old Data'!$V102+'Old Data'!$W102)</f>
        <v>13</v>
      </c>
      <c r="J106" s="72">
        <f>VLOOKUP('Old Data'!$F102,$Z$6:$AB$135,2,FALSE)+VLOOKUP('Old Data'!$P102,$Z$6:$AB$135,3,FALSE)+$D$2</f>
        <v>52.367115984441696</v>
      </c>
      <c r="K106" s="72">
        <f>VLOOKUP('Old Data'!$P102,$Z$6:$AB$135,2,FALSE)+VLOOKUP('Old Data'!$F102,$Z$6:$AB$135,3,FALSE)+$D$2</f>
        <v>-12.004696283366997</v>
      </c>
      <c r="L106" s="74">
        <f>('Old Data'!$L102+'Old Data'!$M102-$J106)^2+('Old Data'!$V102+'Old Data'!$W102-$K106)^2</f>
        <v>1506.9831961797727</v>
      </c>
      <c r="M106" s="75">
        <f>'Old Data'!$N102-'Old Data'!$X102</f>
        <v>2</v>
      </c>
      <c r="N106" s="72">
        <f>VLOOKUP('Old Data'!$F102,$AD$6:$AF$135,2,FALSE)+VLOOKUP('Old Data'!$P102,$AD$6:$AF$135,3,FALSE)+$E$2</f>
        <v>1.3566401296499591</v>
      </c>
      <c r="O106" s="72">
        <f>VLOOKUP('Old Data'!$P102,$AD$6:$AF$135,2,FALSE)+VLOOKUP('Old Data'!$F102,$AD$6:$AF$135,3,FALSE)+$E$2</f>
        <v>0.50149763695121319</v>
      </c>
      <c r="P106" s="73">
        <f>('Old Data'!$N102-$N106)^2+('Old Data'!$X102-$O106)^2</f>
        <v>2.9491362694421275</v>
      </c>
      <c r="Q106" s="62"/>
      <c r="R106" s="90" t="s">
        <v>100</v>
      </c>
      <c r="S106" s="96">
        <v>72.758184823479993</v>
      </c>
      <c r="T106" s="96">
        <v>-49.131072566789797</v>
      </c>
      <c r="U106" s="6"/>
      <c r="V106" s="90" t="s">
        <v>100</v>
      </c>
      <c r="W106" s="96">
        <v>-52.379843777749997</v>
      </c>
      <c r="X106" s="96">
        <v>-60.732858258192799</v>
      </c>
      <c r="Y106" s="6"/>
      <c r="Z106" s="90" t="s">
        <v>100</v>
      </c>
      <c r="AA106" s="96">
        <v>11.4164265560795</v>
      </c>
      <c r="AB106" s="96">
        <v>-3.7578649220668501</v>
      </c>
      <c r="AC106" s="63"/>
      <c r="AD106" s="90" t="s">
        <v>100</v>
      </c>
      <c r="AE106" s="96">
        <v>0.14455042796233999</v>
      </c>
      <c r="AF106" s="96">
        <v>0.40794736574680002</v>
      </c>
      <c r="AG106" s="63"/>
      <c r="AH106" s="37"/>
      <c r="AI106" s="22"/>
      <c r="AJ106" s="6"/>
      <c r="AK106" s="10"/>
      <c r="AL106" s="10"/>
      <c r="AM106" s="10"/>
      <c r="AN106" s="11"/>
      <c r="AO106" s="11"/>
      <c r="AP106" s="11"/>
      <c r="AQ106" s="36"/>
      <c r="AR106" s="11"/>
      <c r="AS106" s="11"/>
      <c r="AT106" s="11"/>
      <c r="AU106" s="12"/>
      <c r="AV106" s="11"/>
      <c r="AW106" s="11"/>
      <c r="AX106" s="15"/>
      <c r="AY106" s="15"/>
      <c r="AZ106" s="15"/>
      <c r="BA106" s="15"/>
      <c r="BB106" s="15"/>
      <c r="BC106" s="15"/>
      <c r="BD106" s="15"/>
      <c r="BE106" s="12"/>
      <c r="BF106" s="11"/>
      <c r="BG106" s="11"/>
      <c r="BH106" s="10"/>
      <c r="BI106" s="10"/>
      <c r="BJ106" s="10"/>
      <c r="BK106" s="23"/>
      <c r="BL106" s="23"/>
      <c r="BM106" s="23"/>
      <c r="BN106" s="23"/>
      <c r="BO106" s="23"/>
      <c r="BP106" s="23"/>
      <c r="BQ106" s="23"/>
      <c r="BR106" s="10"/>
      <c r="BS106" s="16"/>
      <c r="BT106" s="16"/>
      <c r="BU106" s="16"/>
      <c r="BV106" s="16"/>
      <c r="BW106" s="11"/>
      <c r="BX106" s="16"/>
      <c r="BY106" s="16"/>
      <c r="BZ106" s="17"/>
      <c r="CA106" s="18"/>
      <c r="CB106" s="18"/>
      <c r="CC106" s="18"/>
      <c r="CD106" s="18"/>
      <c r="CE106" s="18"/>
      <c r="CF106" s="18"/>
      <c r="CG106" s="19"/>
      <c r="CH106" s="15"/>
      <c r="CI106" s="17"/>
      <c r="CJ106" s="10"/>
      <c r="CK106" s="10"/>
      <c r="CL106" s="10"/>
      <c r="CM106" s="17"/>
      <c r="CN106" s="17"/>
      <c r="CO106" s="10"/>
      <c r="CP106" s="10"/>
      <c r="CQ106" s="10"/>
      <c r="CR106" s="10"/>
      <c r="CS106" s="10"/>
      <c r="CT106" s="10"/>
      <c r="CU106" s="10"/>
      <c r="CV106" s="10"/>
      <c r="CW106" s="10"/>
      <c r="CX106" s="10"/>
      <c r="CY106" s="10"/>
      <c r="CZ106" s="10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</row>
    <row r="107" spans="1:135" customFormat="1">
      <c r="A107" s="71">
        <f>'Old Data'!$I103-'Old Data'!$S103</f>
        <v>225</v>
      </c>
      <c r="B107" s="72">
        <f>VLOOKUP('Old Data'!$F103,$R$6:$T$135,2,FALSE)+VLOOKUP('Old Data'!$P103,$R$6:$T$135,3,FALSE)+$B$2</f>
        <v>258.56361695797148</v>
      </c>
      <c r="C107" s="72">
        <f>VLOOKUP('Old Data'!$P103,$R$6:$T$135,2,FALSE)+VLOOKUP('Old Data'!$F103,$R$6:$T$135,3,FALSE)+$B$2</f>
        <v>13.1357324175938</v>
      </c>
      <c r="D107" s="74">
        <f>('Old Data'!$I103-$B107)^2+('Old Data'!$S103-$C107)^2</f>
        <v>980.91980314944135</v>
      </c>
      <c r="E107" s="75">
        <f>'Old Data'!$K103-'Old Data'!$U103</f>
        <v>211</v>
      </c>
      <c r="F107" s="72">
        <f>VLOOKUP('Old Data'!$F103,$V$6:$X$135,2,FALSE)+VLOOKUP('Old Data'!$P103,$V$6:$X$135,3,FALSE)+$C$2</f>
        <v>285.27978358814795</v>
      </c>
      <c r="G107" s="72">
        <f>VLOOKUP('Old Data'!$P103,$V$6:$X$135,2,FALSE)+VLOOKUP('Old Data'!$F103,$V$6:$X$135,3,FALSE)+$C$2</f>
        <v>251.46253011710129</v>
      </c>
      <c r="H107" s="74">
        <f>('Old Data'!$K103-$F107)^2+('Old Data'!$U103-$G107)^2</f>
        <v>16096.111251137936</v>
      </c>
      <c r="I107" s="75">
        <f>('Old Data'!$L103+'Old Data'!$M103)-('Old Data'!$V103+'Old Data'!$W103)</f>
        <v>-3</v>
      </c>
      <c r="J107" s="72">
        <f>VLOOKUP('Old Data'!$F103,$Z$6:$AB$135,2,FALSE)+VLOOKUP('Old Data'!$P103,$Z$6:$AB$135,3,FALSE)+$D$2</f>
        <v>55.602993732958993</v>
      </c>
      <c r="K107" s="72">
        <f>VLOOKUP('Old Data'!$P103,$Z$6:$AB$135,2,FALSE)+VLOOKUP('Old Data'!$F103,$Z$6:$AB$135,3,FALSE)+$D$2</f>
        <v>57.671612857661096</v>
      </c>
      <c r="L107" s="74">
        <f>('Old Data'!$L103+'Old Data'!$M103-$J107)^2+('Old Data'!$V103+'Old Data'!$W103-$K107)^2</f>
        <v>2909.3415404443676</v>
      </c>
      <c r="M107" s="75">
        <f>'Old Data'!$N103-'Old Data'!$X103</f>
        <v>1</v>
      </c>
      <c r="N107" s="72">
        <f>VLOOKUP('Old Data'!$F103,$AD$6:$AF$135,2,FALSE)+VLOOKUP('Old Data'!$P103,$AD$6:$AF$135,3,FALSE)+$E$2</f>
        <v>1.8301068021557221</v>
      </c>
      <c r="O107" s="72">
        <f>VLOOKUP('Old Data'!$P103,$AD$6:$AF$135,2,FALSE)+VLOOKUP('Old Data'!$F103,$AD$6:$AF$135,3,FALSE)+$E$2</f>
        <v>0.76051388077978144</v>
      </c>
      <c r="P107" s="73">
        <f>('Old Data'!$N103-$N107)^2+('Old Data'!$X103-$O107)^2</f>
        <v>1.2674586658439226</v>
      </c>
      <c r="Q107" s="62"/>
      <c r="R107" s="90" t="s">
        <v>101</v>
      </c>
      <c r="S107" s="96">
        <v>-43.2994915905022</v>
      </c>
      <c r="T107" s="96">
        <v>-8.5432526844643792</v>
      </c>
      <c r="U107" s="6"/>
      <c r="V107" s="90" t="s">
        <v>101</v>
      </c>
      <c r="W107" s="96">
        <v>-5.5031092979628902</v>
      </c>
      <c r="X107" s="96">
        <v>-7.72232848113571</v>
      </c>
      <c r="Y107" s="6"/>
      <c r="Z107" s="90" t="s">
        <v>101</v>
      </c>
      <c r="AA107" s="96">
        <v>-5.0371197563147403</v>
      </c>
      <c r="AB107" s="96">
        <v>-34.2207101692835</v>
      </c>
      <c r="AC107" s="63"/>
      <c r="AD107" s="90" t="s">
        <v>101</v>
      </c>
      <c r="AE107" s="96">
        <v>0.17460067302684601</v>
      </c>
      <c r="AF107" s="96">
        <v>0.18293046729078999</v>
      </c>
      <c r="AG107" s="63"/>
      <c r="AH107" s="37"/>
      <c r="AI107" s="22"/>
      <c r="AJ107" s="6"/>
      <c r="AK107" s="10"/>
      <c r="AL107" s="10"/>
      <c r="AM107" s="10"/>
      <c r="AN107" s="11"/>
      <c r="AO107" s="11"/>
      <c r="AP107" s="11"/>
      <c r="AQ107" s="36"/>
      <c r="AR107" s="11"/>
      <c r="AS107" s="11"/>
      <c r="AT107" s="11"/>
      <c r="AU107" s="12"/>
      <c r="AV107" s="11"/>
      <c r="AW107" s="11"/>
      <c r="AX107" s="15"/>
      <c r="AY107" s="15"/>
      <c r="AZ107" s="15"/>
      <c r="BA107" s="15"/>
      <c r="BB107" s="15"/>
      <c r="BC107" s="15"/>
      <c r="BD107" s="15"/>
      <c r="BE107" s="12"/>
      <c r="BF107" s="11"/>
      <c r="BG107" s="11"/>
      <c r="BH107" s="10"/>
      <c r="BI107" s="10"/>
      <c r="BJ107" s="10"/>
      <c r="BK107" s="23"/>
      <c r="BL107" s="23"/>
      <c r="BM107" s="23"/>
      <c r="BN107" s="23"/>
      <c r="BO107" s="23"/>
      <c r="BP107" s="23"/>
      <c r="BQ107" s="23"/>
      <c r="BR107" s="10"/>
      <c r="BS107" s="16"/>
      <c r="BT107" s="16"/>
      <c r="BU107" s="16"/>
      <c r="BV107" s="16"/>
      <c r="BW107" s="11"/>
      <c r="BX107" s="16"/>
      <c r="BY107" s="16"/>
      <c r="BZ107" s="17"/>
      <c r="CA107" s="18"/>
      <c r="CB107" s="18"/>
      <c r="CC107" s="18"/>
      <c r="CD107" s="18"/>
      <c r="CE107" s="18"/>
      <c r="CF107" s="18"/>
      <c r="CG107" s="19"/>
      <c r="CH107" s="15"/>
      <c r="CI107" s="17"/>
      <c r="CJ107" s="10"/>
      <c r="CK107" s="10"/>
      <c r="CL107" s="10"/>
      <c r="CM107" s="17"/>
      <c r="CN107" s="17"/>
      <c r="CO107" s="10"/>
      <c r="CP107" s="10"/>
      <c r="CQ107" s="10"/>
      <c r="CR107" s="10"/>
      <c r="CS107" s="10"/>
      <c r="CT107" s="10"/>
      <c r="CU107" s="10"/>
      <c r="CV107" s="10"/>
      <c r="CW107" s="10"/>
      <c r="CX107" s="10"/>
      <c r="CY107" s="10"/>
      <c r="CZ107" s="10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</row>
    <row r="108" spans="1:135" customFormat="1">
      <c r="A108" s="71">
        <f>'Old Data'!$I104-'Old Data'!$S104</f>
        <v>3</v>
      </c>
      <c r="B108" s="72">
        <f>VLOOKUP('Old Data'!$F104,$R$6:$T$135,2,FALSE)+VLOOKUP('Old Data'!$P104,$R$6:$T$135,3,FALSE)+$B$2</f>
        <v>199.877772952143</v>
      </c>
      <c r="C108" s="72">
        <f>VLOOKUP('Old Data'!$P104,$R$6:$T$135,2,FALSE)+VLOOKUP('Old Data'!$F104,$R$6:$T$135,3,FALSE)+$B$2</f>
        <v>154.72830312667679</v>
      </c>
      <c r="D108" s="74">
        <f>('Old Data'!$I104-$B108)^2+('Old Data'!$S104-$C108)^2</f>
        <v>1166.9123172034574</v>
      </c>
      <c r="E108" s="75">
        <f>'Old Data'!$K104-'Old Data'!$U104</f>
        <v>-19</v>
      </c>
      <c r="F108" s="72">
        <f>VLOOKUP('Old Data'!$F104,$V$6:$X$135,2,FALSE)+VLOOKUP('Old Data'!$P104,$V$6:$X$135,3,FALSE)+$C$2</f>
        <v>231.79292530215238</v>
      </c>
      <c r="G108" s="72">
        <f>VLOOKUP('Old Data'!$P104,$V$6:$X$135,2,FALSE)+VLOOKUP('Old Data'!$F104,$V$6:$X$135,3,FALSE)+$C$2</f>
        <v>269.47455135606822</v>
      </c>
      <c r="H108" s="74">
        <f>('Old Data'!$K104-$F108)^2+('Old Data'!$U104-$G108)^2</f>
        <v>6416.5799621698125</v>
      </c>
      <c r="I108" s="75">
        <f>('Old Data'!$L104+'Old Data'!$M104)-('Old Data'!$V104+'Old Data'!$W104)</f>
        <v>-26</v>
      </c>
      <c r="J108" s="72">
        <f>VLOOKUP('Old Data'!$F104,$Z$6:$AB$135,2,FALSE)+VLOOKUP('Old Data'!$P104,$Z$6:$AB$135,3,FALSE)+$D$2</f>
        <v>67.11803845350903</v>
      </c>
      <c r="K108" s="72">
        <f>VLOOKUP('Old Data'!$P104,$Z$6:$AB$135,2,FALSE)+VLOOKUP('Old Data'!$F104,$Z$6:$AB$135,3,FALSE)+$D$2</f>
        <v>11.0435323874487</v>
      </c>
      <c r="L108" s="74">
        <f>('Old Data'!$L104+'Old Data'!$M104-$J108)^2+('Old Data'!$V104+'Old Data'!$W104-$K108)^2</f>
        <v>4174.5881592005198</v>
      </c>
      <c r="M108" s="75">
        <f>'Old Data'!$N104-'Old Data'!$X104</f>
        <v>-1</v>
      </c>
      <c r="N108" s="72">
        <f>VLOOKUP('Old Data'!$F104,$AD$6:$AF$135,2,FALSE)+VLOOKUP('Old Data'!$P104,$AD$6:$AF$135,3,FALSE)+$E$2</f>
        <v>2.0639677458896553</v>
      </c>
      <c r="O108" s="72">
        <f>VLOOKUP('Old Data'!$P104,$AD$6:$AF$135,2,FALSE)+VLOOKUP('Old Data'!$F104,$AD$6:$AF$135,3,FALSE)+$E$2</f>
        <v>1.2828311866434381</v>
      </c>
      <c r="P108" s="73">
        <f>('Old Data'!$N104-$N108)^2+('Old Data'!$X104-$O108)^2</f>
        <v>1.6463584711447732</v>
      </c>
      <c r="Q108" s="62"/>
      <c r="R108" s="90" t="s">
        <v>129</v>
      </c>
      <c r="S108" s="96">
        <v>-15.750752413267</v>
      </c>
      <c r="T108" s="96">
        <v>-35.034102559992803</v>
      </c>
      <c r="U108" s="6"/>
      <c r="V108" s="90" t="s">
        <v>129</v>
      </c>
      <c r="W108" s="96">
        <v>14.346655745269199</v>
      </c>
      <c r="X108" s="96">
        <v>-37.8947477465464</v>
      </c>
      <c r="Y108" s="6"/>
      <c r="Z108" s="90" t="s">
        <v>129</v>
      </c>
      <c r="AA108" s="96">
        <v>-11.559117573595399</v>
      </c>
      <c r="AB108" s="96">
        <v>-23.3314017739009</v>
      </c>
      <c r="AC108" s="63"/>
      <c r="AD108" s="90" t="s">
        <v>129</v>
      </c>
      <c r="AE108" s="96">
        <v>-8.88476337773796E-2</v>
      </c>
      <c r="AF108" s="96">
        <v>4.5617600926067203E-2</v>
      </c>
      <c r="AG108" s="63"/>
      <c r="AH108" s="37"/>
      <c r="AI108" s="22"/>
      <c r="AJ108" s="6"/>
      <c r="AK108" s="10"/>
      <c r="AL108" s="10"/>
      <c r="AM108" s="10"/>
      <c r="AN108" s="11"/>
      <c r="AO108" s="11"/>
      <c r="AP108" s="11"/>
      <c r="AQ108" s="36"/>
      <c r="AR108" s="11"/>
      <c r="AS108" s="11"/>
      <c r="AT108" s="11"/>
      <c r="AU108" s="12"/>
      <c r="AV108" s="11"/>
      <c r="AW108" s="11"/>
      <c r="AX108" s="15"/>
      <c r="AY108" s="15"/>
      <c r="AZ108" s="15"/>
      <c r="BA108" s="15"/>
      <c r="BB108" s="15"/>
      <c r="BC108" s="15"/>
      <c r="BD108" s="15"/>
      <c r="BE108" s="12"/>
      <c r="BF108" s="11"/>
      <c r="BG108" s="11"/>
      <c r="BH108" s="10"/>
      <c r="BI108" s="10"/>
      <c r="BJ108" s="10"/>
      <c r="BK108" s="23"/>
      <c r="BL108" s="23"/>
      <c r="BM108" s="23"/>
      <c r="BN108" s="23"/>
      <c r="BO108" s="23"/>
      <c r="BP108" s="23"/>
      <c r="BQ108" s="23"/>
      <c r="BR108" s="10"/>
      <c r="BS108" s="16"/>
      <c r="BT108" s="16"/>
      <c r="BU108" s="16"/>
      <c r="BV108" s="16"/>
      <c r="BW108" s="11"/>
      <c r="BX108" s="16"/>
      <c r="BY108" s="16"/>
      <c r="BZ108" s="17"/>
      <c r="CA108" s="18"/>
      <c r="CB108" s="18"/>
      <c r="CC108" s="18"/>
      <c r="CD108" s="18"/>
      <c r="CE108" s="18"/>
      <c r="CF108" s="18"/>
      <c r="CG108" s="19"/>
      <c r="CH108" s="15"/>
      <c r="CI108" s="17"/>
      <c r="CJ108" s="10"/>
      <c r="CK108" s="10"/>
      <c r="CL108" s="10"/>
      <c r="CM108" s="17"/>
      <c r="CN108" s="17"/>
      <c r="CO108" s="10"/>
      <c r="CP108" s="10"/>
      <c r="CQ108" s="10"/>
      <c r="CR108" s="10"/>
      <c r="CS108" s="10"/>
      <c r="CT108" s="10"/>
      <c r="CU108" s="10"/>
      <c r="CV108" s="10"/>
      <c r="CW108" s="10"/>
      <c r="CX108" s="10"/>
      <c r="CY108" s="10"/>
      <c r="CZ108" s="10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</row>
    <row r="109" spans="1:135" customFormat="1">
      <c r="A109" s="71">
        <f>'Old Data'!$I105-'Old Data'!$S105</f>
        <v>-264</v>
      </c>
      <c r="B109" s="72">
        <f>VLOOKUP('Old Data'!$F105,$R$6:$T$135,2,FALSE)+VLOOKUP('Old Data'!$P105,$R$6:$T$135,3,FALSE)+$B$2</f>
        <v>61.606963874398303</v>
      </c>
      <c r="C109" s="72">
        <f>VLOOKUP('Old Data'!$P105,$R$6:$T$135,2,FALSE)+VLOOKUP('Old Data'!$F105,$R$6:$T$135,3,FALSE)+$B$2</f>
        <v>271.18633155684927</v>
      </c>
      <c r="D109" s="74">
        <f>('Old Data'!$I105-$B109)^2+('Old Data'!$S105-$C109)^2</f>
        <v>1596.4245428415891</v>
      </c>
      <c r="E109" s="75">
        <f>'Old Data'!$K105-'Old Data'!$U105</f>
        <v>1</v>
      </c>
      <c r="F109" s="72">
        <f>VLOOKUP('Old Data'!$F105,$V$6:$X$135,2,FALSE)+VLOOKUP('Old Data'!$P105,$V$6:$X$135,3,FALSE)+$C$2</f>
        <v>239.98370444169231</v>
      </c>
      <c r="G109" s="72">
        <f>VLOOKUP('Old Data'!$P105,$V$6:$X$135,2,FALSE)+VLOOKUP('Old Data'!$F105,$V$6:$X$135,3,FALSE)+$C$2</f>
        <v>279.82254319342962</v>
      </c>
      <c r="H109" s="74">
        <f>('Old Data'!$K105-$F109)^2+('Old Data'!$U105-$G109)^2</f>
        <v>4956.7926800807445</v>
      </c>
      <c r="I109" s="75">
        <f>('Old Data'!$L105+'Old Data'!$M105)-('Old Data'!$V105+'Old Data'!$W105)</f>
        <v>63</v>
      </c>
      <c r="J109" s="72">
        <f>VLOOKUP('Old Data'!$F105,$Z$6:$AB$135,2,FALSE)+VLOOKUP('Old Data'!$P105,$Z$6:$AB$135,3,FALSE)+$D$2</f>
        <v>55.745082151189386</v>
      </c>
      <c r="K109" s="72">
        <f>VLOOKUP('Old Data'!$P105,$Z$6:$AB$135,2,FALSE)+VLOOKUP('Old Data'!$F105,$Z$6:$AB$135,3,FALSE)+$D$2</f>
        <v>28.444131677769597</v>
      </c>
      <c r="L109" s="74">
        <f>('Old Data'!$L105+'Old Data'!$M105-$J109)^2+('Old Data'!$V105+'Old Data'!$W105-$K109)^2</f>
        <v>3902.4026493414704</v>
      </c>
      <c r="M109" s="75">
        <f>'Old Data'!$N105-'Old Data'!$X105</f>
        <v>0</v>
      </c>
      <c r="N109" s="72">
        <f>VLOOKUP('Old Data'!$F105,$AD$6:$AF$135,2,FALSE)+VLOOKUP('Old Data'!$P105,$AD$6:$AF$135,3,FALSE)+$E$2</f>
        <v>0.71662722780490107</v>
      </c>
      <c r="O109" s="72">
        <f>VLOOKUP('Old Data'!$P105,$AD$6:$AF$135,2,FALSE)+VLOOKUP('Old Data'!$F105,$AD$6:$AF$135,3,FALSE)+$E$2</f>
        <v>1.553716633805414</v>
      </c>
      <c r="P109" s="73">
        <f>('Old Data'!$N105-$N109)^2+('Old Data'!$X105-$O109)^2</f>
        <v>0.38690223857433437</v>
      </c>
      <c r="Q109" s="62"/>
      <c r="R109" s="90" t="s">
        <v>130</v>
      </c>
      <c r="S109" s="96">
        <v>53.003200159951902</v>
      </c>
      <c r="T109" s="96">
        <v>-54.594018776183702</v>
      </c>
      <c r="U109" s="6"/>
      <c r="V109" s="90" t="s">
        <v>130</v>
      </c>
      <c r="W109" s="96">
        <v>57.417536306292803</v>
      </c>
      <c r="X109" s="96">
        <v>60.314108661763697</v>
      </c>
      <c r="Y109" s="6"/>
      <c r="Z109" s="90" t="s">
        <v>130</v>
      </c>
      <c r="AA109" s="96">
        <v>-23.527381157253</v>
      </c>
      <c r="AB109" s="96">
        <v>-18.509281590824799</v>
      </c>
      <c r="AC109" s="63"/>
      <c r="AD109" s="90" t="s">
        <v>130</v>
      </c>
      <c r="AE109" s="96">
        <v>0.179981527711714</v>
      </c>
      <c r="AF109" s="96">
        <v>-0.21139382877619001</v>
      </c>
      <c r="AG109" s="63"/>
      <c r="AH109" s="37"/>
      <c r="AI109" s="22"/>
      <c r="AJ109" s="6"/>
      <c r="AK109" s="10"/>
      <c r="AL109" s="10"/>
      <c r="AM109" s="10"/>
      <c r="AN109" s="11"/>
      <c r="AO109" s="11"/>
      <c r="AP109" s="11"/>
      <c r="AQ109" s="36"/>
      <c r="AR109" s="11"/>
      <c r="AS109" s="11"/>
      <c r="AT109" s="11"/>
      <c r="AU109" s="12"/>
      <c r="AV109" s="11"/>
      <c r="AW109" s="11"/>
      <c r="AX109" s="15"/>
      <c r="AY109" s="15"/>
      <c r="AZ109" s="15"/>
      <c r="BA109" s="15"/>
      <c r="BB109" s="15"/>
      <c r="BC109" s="15"/>
      <c r="BD109" s="15"/>
      <c r="BE109" s="12"/>
      <c r="BF109" s="11"/>
      <c r="BG109" s="11"/>
      <c r="BH109" s="10"/>
      <c r="BI109" s="10"/>
      <c r="BJ109" s="10"/>
      <c r="BK109" s="23"/>
      <c r="BL109" s="23"/>
      <c r="BM109" s="23"/>
      <c r="BN109" s="23"/>
      <c r="BO109" s="23"/>
      <c r="BP109" s="23"/>
      <c r="BQ109" s="23"/>
      <c r="BR109" s="10"/>
      <c r="BS109" s="16"/>
      <c r="BT109" s="16"/>
      <c r="BU109" s="16"/>
      <c r="BV109" s="16"/>
      <c r="BW109" s="11"/>
      <c r="BX109" s="16"/>
      <c r="BY109" s="16"/>
      <c r="BZ109" s="17"/>
      <c r="CA109" s="18"/>
      <c r="CB109" s="18"/>
      <c r="CC109" s="18"/>
      <c r="CD109" s="18"/>
      <c r="CE109" s="18"/>
      <c r="CF109" s="18"/>
      <c r="CG109" s="19"/>
      <c r="CH109" s="15"/>
      <c r="CI109" s="17"/>
      <c r="CJ109" s="10"/>
      <c r="CK109" s="10"/>
      <c r="CL109" s="10"/>
      <c r="CM109" s="17"/>
      <c r="CN109" s="17"/>
      <c r="CO109" s="10"/>
      <c r="CP109" s="10"/>
      <c r="CQ109" s="10"/>
      <c r="CR109" s="10"/>
      <c r="CS109" s="10"/>
      <c r="CT109" s="10"/>
      <c r="CU109" s="10"/>
      <c r="CV109" s="10"/>
      <c r="CW109" s="10"/>
      <c r="CX109" s="10"/>
      <c r="CY109" s="10"/>
      <c r="CZ109" s="10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</row>
    <row r="110" spans="1:135" customFormat="1">
      <c r="A110" s="71">
        <f>'Old Data'!$I106-'Old Data'!$S106</f>
        <v>-21</v>
      </c>
      <c r="B110" s="72">
        <f>VLOOKUP('Old Data'!$F106,$R$6:$T$135,2,FALSE)+VLOOKUP('Old Data'!$P106,$R$6:$T$135,3,FALSE)+$B$2</f>
        <v>112.58207666550643</v>
      </c>
      <c r="C110" s="72">
        <f>VLOOKUP('Old Data'!$P106,$R$6:$T$135,2,FALSE)+VLOOKUP('Old Data'!$F106,$R$6:$T$135,3,FALSE)+$B$2</f>
        <v>91.913057386475444</v>
      </c>
      <c r="D110" s="74">
        <f>('Old Data'!$I106-$B110)^2+('Old Data'!$S106-$C110)^2</f>
        <v>869.27129675482615</v>
      </c>
      <c r="E110" s="75">
        <f>'Old Data'!$K106-'Old Data'!$U106</f>
        <v>126</v>
      </c>
      <c r="F110" s="72">
        <f>VLOOKUP('Old Data'!$F106,$V$6:$X$135,2,FALSE)+VLOOKUP('Old Data'!$P106,$V$6:$X$135,3,FALSE)+$C$2</f>
        <v>276.71405911813861</v>
      </c>
      <c r="G110" s="72">
        <f>VLOOKUP('Old Data'!$P106,$V$6:$X$135,2,FALSE)+VLOOKUP('Old Data'!$F106,$V$6:$X$135,3,FALSE)+$C$2</f>
        <v>220.08648435550012</v>
      </c>
      <c r="H110" s="74">
        <f>('Old Data'!$K106-$F110)^2+('Old Data'!$U106-$G110)^2</f>
        <v>2892.9697354268096</v>
      </c>
      <c r="I110" s="75">
        <f>('Old Data'!$L106+'Old Data'!$M106)-('Old Data'!$V106+'Old Data'!$W106)</f>
        <v>-4</v>
      </c>
      <c r="J110" s="72">
        <f>VLOOKUP('Old Data'!$F106,$Z$6:$AB$135,2,FALSE)+VLOOKUP('Old Data'!$P106,$Z$6:$AB$135,3,FALSE)+$D$2</f>
        <v>36.017653944662776</v>
      </c>
      <c r="K110" s="72">
        <f>VLOOKUP('Old Data'!$P106,$Z$6:$AB$135,2,FALSE)+VLOOKUP('Old Data'!$F106,$Z$6:$AB$135,3,FALSE)+$D$2</f>
        <v>89.996958244288322</v>
      </c>
      <c r="L110" s="74">
        <f>('Old Data'!$L106+'Old Data'!$M106-$J110)^2+('Old Data'!$V106+'Old Data'!$W106-$K110)^2</f>
        <v>1699.4039015638502</v>
      </c>
      <c r="M110" s="75">
        <f>'Old Data'!$N106-'Old Data'!$X106</f>
        <v>-2</v>
      </c>
      <c r="N110" s="72">
        <f>VLOOKUP('Old Data'!$F106,$AD$6:$AF$135,2,FALSE)+VLOOKUP('Old Data'!$P106,$AD$6:$AF$135,3,FALSE)+$E$2</f>
        <v>0.62406219157994802</v>
      </c>
      <c r="O110" s="72">
        <f>VLOOKUP('Old Data'!$P106,$AD$6:$AF$135,2,FALSE)+VLOOKUP('Old Data'!$F106,$AD$6:$AF$135,3,FALSE)+$E$2</f>
        <v>1.2856176947174101</v>
      </c>
      <c r="P110" s="73">
        <f>('Old Data'!$N106-$N110)^2+('Old Data'!$X106-$O110)^2</f>
        <v>0.89979569706043527</v>
      </c>
      <c r="Q110" s="62"/>
      <c r="R110" s="90" t="s">
        <v>20</v>
      </c>
      <c r="S110" s="96">
        <v>75.130145024196594</v>
      </c>
      <c r="T110" s="96">
        <v>-13.839031666354201</v>
      </c>
      <c r="U110" s="6"/>
      <c r="V110" s="90" t="s">
        <v>20</v>
      </c>
      <c r="W110" s="96">
        <v>-24.2525518516624</v>
      </c>
      <c r="X110" s="96">
        <v>1.7551310067055299</v>
      </c>
      <c r="Y110" s="6"/>
      <c r="Z110" s="90" t="s">
        <v>20</v>
      </c>
      <c r="AA110" s="96">
        <v>24.865037832198201</v>
      </c>
      <c r="AB110" s="96">
        <v>-2.6427410011318102</v>
      </c>
      <c r="AC110" s="63"/>
      <c r="AD110" s="90" t="s">
        <v>20</v>
      </c>
      <c r="AE110" s="96">
        <v>-0.48432294082296401</v>
      </c>
      <c r="AF110" s="96">
        <v>7.9819188575648903E-2</v>
      </c>
      <c r="AG110" s="63"/>
      <c r="AH110" s="37"/>
      <c r="AI110" s="22"/>
      <c r="AJ110" s="6"/>
      <c r="AK110" s="10"/>
      <c r="AL110" s="10"/>
      <c r="AM110" s="10"/>
      <c r="AN110" s="11"/>
      <c r="AO110" s="11"/>
      <c r="AP110" s="11"/>
      <c r="AQ110" s="36"/>
      <c r="AR110" s="11"/>
      <c r="AS110" s="11"/>
      <c r="AT110" s="11"/>
      <c r="AU110" s="12"/>
      <c r="AV110" s="11"/>
      <c r="AW110" s="11"/>
      <c r="AX110" s="15"/>
      <c r="AY110" s="15"/>
      <c r="AZ110" s="15"/>
      <c r="BA110" s="15"/>
      <c r="BB110" s="15"/>
      <c r="BC110" s="15"/>
      <c r="BD110" s="15"/>
      <c r="BE110" s="12"/>
      <c r="BF110" s="11"/>
      <c r="BG110" s="11"/>
      <c r="BH110" s="10"/>
      <c r="BI110" s="10"/>
      <c r="BJ110" s="10"/>
      <c r="BK110" s="23"/>
      <c r="BL110" s="23"/>
      <c r="BM110" s="23"/>
      <c r="BN110" s="23"/>
      <c r="BO110" s="23"/>
      <c r="BP110" s="23"/>
      <c r="BQ110" s="23"/>
      <c r="BR110" s="10"/>
      <c r="BS110" s="16"/>
      <c r="BT110" s="16"/>
      <c r="BU110" s="16"/>
      <c r="BV110" s="16"/>
      <c r="BW110" s="11"/>
      <c r="BX110" s="16"/>
      <c r="BY110" s="16"/>
      <c r="BZ110" s="17"/>
      <c r="CA110" s="18"/>
      <c r="CB110" s="18"/>
      <c r="CC110" s="18"/>
      <c r="CD110" s="18"/>
      <c r="CE110" s="18"/>
      <c r="CF110" s="18"/>
      <c r="CG110" s="19"/>
      <c r="CH110" s="15"/>
      <c r="CI110" s="17"/>
      <c r="CJ110" s="10"/>
      <c r="CK110" s="10"/>
      <c r="CL110" s="10"/>
      <c r="CM110" s="17"/>
      <c r="CN110" s="17"/>
      <c r="CO110" s="10"/>
      <c r="CP110" s="10"/>
      <c r="CQ110" s="10"/>
      <c r="CR110" s="10"/>
      <c r="CS110" s="10"/>
      <c r="CT110" s="10"/>
      <c r="CU110" s="10"/>
      <c r="CV110" s="10"/>
      <c r="CW110" s="10"/>
      <c r="CX110" s="10"/>
      <c r="CY110" s="10"/>
      <c r="CZ110" s="10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</row>
    <row r="111" spans="1:135" customFormat="1">
      <c r="A111" s="71">
        <f>'Old Data'!$I107-'Old Data'!$S107</f>
        <v>2</v>
      </c>
      <c r="B111" s="72">
        <f>VLOOKUP('Old Data'!$F107,$R$6:$T$135,2,FALSE)+VLOOKUP('Old Data'!$P107,$R$6:$T$135,3,FALSE)+$B$2</f>
        <v>215.42742003953049</v>
      </c>
      <c r="C111" s="72">
        <f>VLOOKUP('Old Data'!$P107,$R$6:$T$135,2,FALSE)+VLOOKUP('Old Data'!$F107,$R$6:$T$135,3,FALSE)+$B$2</f>
        <v>149.50518717727081</v>
      </c>
      <c r="D111" s="74">
        <f>('Old Data'!$I107-$B111)^2+('Old Data'!$S107-$C111)^2</f>
        <v>5821.6650258038026</v>
      </c>
      <c r="E111" s="75">
        <f>'Old Data'!$K107-'Old Data'!$U107</f>
        <v>-33</v>
      </c>
      <c r="F111" s="72">
        <f>VLOOKUP('Old Data'!$F107,$V$6:$X$135,2,FALSE)+VLOOKUP('Old Data'!$P107,$V$6:$X$135,3,FALSE)+$C$2</f>
        <v>88.103000826430304</v>
      </c>
      <c r="G111" s="72">
        <f>VLOOKUP('Old Data'!$P107,$V$6:$X$135,2,FALSE)+VLOOKUP('Old Data'!$F107,$V$6:$X$135,3,FALSE)+$C$2</f>
        <v>254.1342704263173</v>
      </c>
      <c r="H111" s="74">
        <f>('Old Data'!$K107-$F111)^2+('Old Data'!$U107-$G111)^2</f>
        <v>34107.801462634387</v>
      </c>
      <c r="I111" s="75">
        <f>('Old Data'!$L107+'Old Data'!$M107)-('Old Data'!$V107+'Old Data'!$W107)</f>
        <v>18</v>
      </c>
      <c r="J111" s="72">
        <f>VLOOKUP('Old Data'!$F107,$Z$6:$AB$135,2,FALSE)+VLOOKUP('Old Data'!$P107,$Z$6:$AB$135,3,FALSE)+$D$2</f>
        <v>33.228525428258536</v>
      </c>
      <c r="K111" s="72">
        <f>VLOOKUP('Old Data'!$P107,$Z$6:$AB$135,2,FALSE)+VLOOKUP('Old Data'!$F107,$Z$6:$AB$135,3,FALSE)+$D$2</f>
        <v>-2.392915255393504</v>
      </c>
      <c r="L111" s="74">
        <f>('Old Data'!$L107+'Old Data'!$M107-$J111)^2+('Old Data'!$V107+'Old Data'!$W107-$K111)^2</f>
        <v>237.63403013861179</v>
      </c>
      <c r="M111" s="75">
        <f>'Old Data'!$N107-'Old Data'!$X107</f>
        <v>-2</v>
      </c>
      <c r="N111" s="72">
        <f>VLOOKUP('Old Data'!$F107,$AD$6:$AF$135,2,FALSE)+VLOOKUP('Old Data'!$P107,$AD$6:$AF$135,3,FALSE)+$E$2</f>
        <v>1.3721730424721268</v>
      </c>
      <c r="O111" s="72">
        <f>VLOOKUP('Old Data'!$P107,$AD$6:$AF$135,2,FALSE)+VLOOKUP('Old Data'!$F107,$AD$6:$AF$135,3,FALSE)+$E$2</f>
        <v>2.3802928063052695</v>
      </c>
      <c r="P111" s="73">
        <f>('Old Data'!$N107-$N111)^2+('Old Data'!$X107-$O111)^2</f>
        <v>3.017618081905165</v>
      </c>
      <c r="Q111" s="62"/>
      <c r="R111" s="90" t="s">
        <v>102</v>
      </c>
      <c r="S111" s="96">
        <v>-9.0818704242937809</v>
      </c>
      <c r="T111" s="96">
        <v>-10.724687199229299</v>
      </c>
      <c r="U111" s="6"/>
      <c r="V111" s="90" t="s">
        <v>102</v>
      </c>
      <c r="W111" s="96">
        <v>36.203484797940099</v>
      </c>
      <c r="X111" s="96">
        <v>-29.9677030877634</v>
      </c>
      <c r="Y111" s="6"/>
      <c r="Z111" s="90" t="s">
        <v>102</v>
      </c>
      <c r="AA111" s="96">
        <v>-18.307271318484499</v>
      </c>
      <c r="AB111" s="96">
        <v>42.605503744056897</v>
      </c>
      <c r="AC111" s="63"/>
      <c r="AD111" s="90" t="s">
        <v>102</v>
      </c>
      <c r="AE111" s="96">
        <v>-1.9279107315355998E-2</v>
      </c>
      <c r="AF111" s="96">
        <v>0.12975734331113201</v>
      </c>
      <c r="AG111" s="63"/>
      <c r="AH111" s="37"/>
      <c r="AI111" s="22"/>
      <c r="AJ111" s="6"/>
      <c r="AK111" s="10"/>
      <c r="AL111" s="10"/>
      <c r="AM111" s="10"/>
      <c r="AN111" s="11"/>
      <c r="AO111" s="11"/>
      <c r="AP111" s="11"/>
      <c r="AQ111" s="36"/>
      <c r="AR111" s="11"/>
      <c r="AS111" s="11"/>
      <c r="AT111" s="11"/>
      <c r="AU111" s="12"/>
      <c r="AV111" s="11"/>
      <c r="AW111" s="11"/>
      <c r="AX111" s="15"/>
      <c r="AY111" s="15"/>
      <c r="AZ111" s="15"/>
      <c r="BA111" s="15"/>
      <c r="BB111" s="15"/>
      <c r="BC111" s="15"/>
      <c r="BD111" s="15"/>
      <c r="BE111" s="12"/>
      <c r="BF111" s="11"/>
      <c r="BG111" s="11"/>
      <c r="BH111" s="10"/>
      <c r="BI111" s="10"/>
      <c r="BJ111" s="10"/>
      <c r="BK111" s="23"/>
      <c r="BL111" s="23"/>
      <c r="BM111" s="23"/>
      <c r="BN111" s="23"/>
      <c r="BO111" s="23"/>
      <c r="BP111" s="23"/>
      <c r="BQ111" s="23"/>
      <c r="BR111" s="10"/>
      <c r="BS111" s="16"/>
      <c r="BT111" s="16"/>
      <c r="BU111" s="16"/>
      <c r="BV111" s="16"/>
      <c r="BW111" s="11"/>
      <c r="BX111" s="16"/>
      <c r="BY111" s="16"/>
      <c r="BZ111" s="17"/>
      <c r="CA111" s="18"/>
      <c r="CB111" s="18"/>
      <c r="CC111" s="18"/>
      <c r="CD111" s="18"/>
      <c r="CE111" s="18"/>
      <c r="CF111" s="18"/>
      <c r="CG111" s="19"/>
      <c r="CH111" s="15"/>
      <c r="CI111" s="17"/>
      <c r="CJ111" s="10"/>
      <c r="CK111" s="10"/>
      <c r="CL111" s="10"/>
      <c r="CM111" s="17"/>
      <c r="CN111" s="17"/>
      <c r="CO111" s="10"/>
      <c r="CP111" s="10"/>
      <c r="CQ111" s="10"/>
      <c r="CR111" s="10"/>
      <c r="CS111" s="10"/>
      <c r="CT111" s="10"/>
      <c r="CU111" s="10"/>
      <c r="CV111" s="10"/>
      <c r="CW111" s="10"/>
      <c r="CX111" s="10"/>
      <c r="CY111" s="10"/>
      <c r="CZ111" s="10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</row>
    <row r="112" spans="1:135" customFormat="1">
      <c r="A112" s="71">
        <f>'Old Data'!$I108-'Old Data'!$S108</f>
        <v>37</v>
      </c>
      <c r="B112" s="72">
        <f>VLOOKUP('Old Data'!$F108,$R$6:$T$135,2,FALSE)+VLOOKUP('Old Data'!$P108,$R$6:$T$135,3,FALSE)+$B$2</f>
        <v>110.2835097985328</v>
      </c>
      <c r="C112" s="72">
        <f>VLOOKUP('Old Data'!$P108,$R$6:$T$135,2,FALSE)+VLOOKUP('Old Data'!$F108,$R$6:$T$135,3,FALSE)+$B$2</f>
        <v>89.965551175344004</v>
      </c>
      <c r="D112" s="74">
        <f>('Old Data'!$I108-$B112)^2+('Old Data'!$S108-$C112)^2</f>
        <v>202.41593864581958</v>
      </c>
      <c r="E112" s="75">
        <f>'Old Data'!$K108-'Old Data'!$U108</f>
        <v>151</v>
      </c>
      <c r="F112" s="72">
        <f>VLOOKUP('Old Data'!$F108,$V$6:$X$135,2,FALSE)+VLOOKUP('Old Data'!$P108,$V$6:$X$135,3,FALSE)+$C$2</f>
        <v>258.082952013507</v>
      </c>
      <c r="G112" s="72">
        <f>VLOOKUP('Old Data'!$P108,$V$6:$X$135,2,FALSE)+VLOOKUP('Old Data'!$F108,$V$6:$X$135,3,FALSE)+$C$2</f>
        <v>215.59306873253752</v>
      </c>
      <c r="H112" s="74">
        <f>('Old Data'!$K108-$F112)^2+('Old Data'!$U108-$G112)^2</f>
        <v>6797.8440885472246</v>
      </c>
      <c r="I112" s="75">
        <f>('Old Data'!$L108+'Old Data'!$M108)-('Old Data'!$V108+'Old Data'!$W108)</f>
        <v>7</v>
      </c>
      <c r="J112" s="72">
        <f>VLOOKUP('Old Data'!$F108,$Z$6:$AB$135,2,FALSE)+VLOOKUP('Old Data'!$P108,$Z$6:$AB$135,3,FALSE)+$D$2</f>
        <v>63.032065107032395</v>
      </c>
      <c r="K112" s="72">
        <f>VLOOKUP('Old Data'!$P108,$Z$6:$AB$135,2,FALSE)+VLOOKUP('Old Data'!$F108,$Z$6:$AB$135,3,FALSE)+$D$2</f>
        <v>87.624930522372495</v>
      </c>
      <c r="L112" s="74">
        <f>('Old Data'!$L108+'Old Data'!$M108-$J112)^2+('Old Data'!$V108+'Old Data'!$W108-$K112)^2</f>
        <v>5267.4989702566991</v>
      </c>
      <c r="M112" s="75">
        <f>'Old Data'!$N108-'Old Data'!$X108</f>
        <v>-1</v>
      </c>
      <c r="N112" s="72">
        <f>VLOOKUP('Old Data'!$F108,$AD$6:$AF$135,2,FALSE)+VLOOKUP('Old Data'!$P108,$AD$6:$AF$135,3,FALSE)+$E$2</f>
        <v>1.645192413102657</v>
      </c>
      <c r="O112" s="72">
        <f>VLOOKUP('Old Data'!$P108,$AD$6:$AF$135,2,FALSE)+VLOOKUP('Old Data'!$F108,$AD$6:$AF$135,3,FALSE)+$E$2</f>
        <v>2.268436450035249</v>
      </c>
      <c r="P112" s="73">
        <f>('Old Data'!$N108-$N112)^2+('Old Data'!$X108-$O112)^2</f>
        <v>4.3155891039085681</v>
      </c>
      <c r="Q112" s="62"/>
      <c r="R112" s="90" t="s">
        <v>103</v>
      </c>
      <c r="S112" s="96">
        <v>6.9491068578949404</v>
      </c>
      <c r="T112" s="96">
        <v>57.290170807920703</v>
      </c>
      <c r="U112" s="6"/>
      <c r="V112" s="90" t="s">
        <v>103</v>
      </c>
      <c r="W112" s="96">
        <v>-30.108387844973802</v>
      </c>
      <c r="X112" s="96">
        <v>38.447488759940597</v>
      </c>
      <c r="Y112" s="6"/>
      <c r="Z112" s="90" t="s">
        <v>103</v>
      </c>
      <c r="AA112" s="96">
        <v>41.938142851509198</v>
      </c>
      <c r="AB112" s="96">
        <v>2.3764662397568501</v>
      </c>
      <c r="AC112" s="63"/>
      <c r="AD112" s="90" t="s">
        <v>103</v>
      </c>
      <c r="AE112" s="96">
        <v>-0.80265481284136098</v>
      </c>
      <c r="AF112" s="96">
        <v>0.34354286972615</v>
      </c>
      <c r="AG112" s="63"/>
      <c r="AH112" s="37"/>
      <c r="AI112" s="22"/>
      <c r="AJ112" s="6"/>
      <c r="AK112" s="10"/>
      <c r="AL112" s="10"/>
      <c r="AM112" s="10"/>
      <c r="AN112" s="11"/>
      <c r="AO112" s="11"/>
      <c r="AP112" s="11"/>
      <c r="AQ112" s="36"/>
      <c r="AR112" s="11"/>
      <c r="AS112" s="11"/>
      <c r="AT112" s="11"/>
      <c r="AU112" s="12"/>
      <c r="AV112" s="11"/>
      <c r="AW112" s="11"/>
      <c r="AX112" s="15"/>
      <c r="AY112" s="15"/>
      <c r="AZ112" s="15"/>
      <c r="BA112" s="15"/>
      <c r="BB112" s="15"/>
      <c r="BC112" s="15"/>
      <c r="BD112" s="15"/>
      <c r="BE112" s="12"/>
      <c r="BF112" s="11"/>
      <c r="BG112" s="11"/>
      <c r="BH112" s="10"/>
      <c r="BI112" s="10"/>
      <c r="BJ112" s="10"/>
      <c r="BK112" s="23"/>
      <c r="BL112" s="23"/>
      <c r="BM112" s="23"/>
      <c r="BN112" s="23"/>
      <c r="BO112" s="23"/>
      <c r="BP112" s="23"/>
      <c r="BQ112" s="23"/>
      <c r="BR112" s="10"/>
      <c r="BS112" s="16"/>
      <c r="BT112" s="16"/>
      <c r="BU112" s="16"/>
      <c r="BV112" s="16"/>
      <c r="BW112" s="11"/>
      <c r="BX112" s="16"/>
      <c r="BY112" s="16"/>
      <c r="BZ112" s="17"/>
      <c r="CA112" s="18"/>
      <c r="CB112" s="18"/>
      <c r="CC112" s="18"/>
      <c r="CD112" s="18"/>
      <c r="CE112" s="18"/>
      <c r="CF112" s="18"/>
      <c r="CG112" s="19"/>
      <c r="CH112" s="15"/>
      <c r="CI112" s="17"/>
      <c r="CJ112" s="10"/>
      <c r="CK112" s="10"/>
      <c r="CL112" s="10"/>
      <c r="CM112" s="17"/>
      <c r="CN112" s="17"/>
      <c r="CO112" s="10"/>
      <c r="CP112" s="10"/>
      <c r="CQ112" s="10"/>
      <c r="CR112" s="10"/>
      <c r="CS112" s="10"/>
      <c r="CT112" s="10"/>
      <c r="CU112" s="10"/>
      <c r="CV112" s="10"/>
      <c r="CW112" s="10"/>
      <c r="CX112" s="10"/>
      <c r="CY112" s="10"/>
      <c r="CZ112" s="10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</row>
    <row r="113" spans="1:135" customFormat="1">
      <c r="A113" s="71">
        <f>'Old Data'!$I109-'Old Data'!$S109</f>
        <v>-30</v>
      </c>
      <c r="B113" s="72">
        <f>VLOOKUP('Old Data'!$F109,$R$6:$T$135,2,FALSE)+VLOOKUP('Old Data'!$P109,$R$6:$T$135,3,FALSE)+$B$2</f>
        <v>180.8111035994701</v>
      </c>
      <c r="C113" s="72">
        <f>VLOOKUP('Old Data'!$P109,$R$6:$T$135,2,FALSE)+VLOOKUP('Old Data'!$F109,$R$6:$T$135,3,FALSE)+$B$2</f>
        <v>148.7130307090072</v>
      </c>
      <c r="D113" s="74">
        <f>('Old Data'!$I109-$B113)^2+('Old Data'!$S109-$C113)^2</f>
        <v>8371.9498635992186</v>
      </c>
      <c r="E113" s="75">
        <f>'Old Data'!$K109-'Old Data'!$U109</f>
        <v>214</v>
      </c>
      <c r="F113" s="72">
        <f>VLOOKUP('Old Data'!$F109,$V$6:$X$135,2,FALSE)+VLOOKUP('Old Data'!$P109,$V$6:$X$135,3,FALSE)+$C$2</f>
        <v>260.15963119110506</v>
      </c>
      <c r="G113" s="72">
        <f>VLOOKUP('Old Data'!$P109,$V$6:$X$135,2,FALSE)+VLOOKUP('Old Data'!$F109,$V$6:$X$135,3,FALSE)+$C$2</f>
        <v>50.912730692602992</v>
      </c>
      <c r="H113" s="74">
        <f>('Old Data'!$K109-$F113)^2+('Old Data'!$U109-$G113)^2</f>
        <v>1411.9634157201499</v>
      </c>
      <c r="I113" s="75">
        <f>('Old Data'!$L109+'Old Data'!$M109)-('Old Data'!$V109+'Old Data'!$W109)</f>
        <v>-9</v>
      </c>
      <c r="J113" s="72">
        <f>VLOOKUP('Old Data'!$F109,$Z$6:$AB$135,2,FALSE)+VLOOKUP('Old Data'!$P109,$Z$6:$AB$135,3,FALSE)+$D$2</f>
        <v>13.326353160028098</v>
      </c>
      <c r="K113" s="72">
        <f>VLOOKUP('Old Data'!$P109,$Z$6:$AB$135,2,FALSE)+VLOOKUP('Old Data'!$F109,$Z$6:$AB$135,3,FALSE)+$D$2</f>
        <v>41.139881662103896</v>
      </c>
      <c r="L113" s="74">
        <f>('Old Data'!$L109+'Old Data'!$M109-$J113)^2+('Old Data'!$V109+'Old Data'!$W109-$K113)^2</f>
        <v>282.58959247191353</v>
      </c>
      <c r="M113" s="75">
        <f>'Old Data'!$N109-'Old Data'!$X109</f>
        <v>0</v>
      </c>
      <c r="N113" s="72">
        <f>VLOOKUP('Old Data'!$F109,$AD$6:$AF$135,2,FALSE)+VLOOKUP('Old Data'!$P109,$AD$6:$AF$135,3,FALSE)+$E$2</f>
        <v>0.91878759788594644</v>
      </c>
      <c r="O113" s="72">
        <f>VLOOKUP('Old Data'!$P109,$AD$6:$AF$135,2,FALSE)+VLOOKUP('Old Data'!$F109,$AD$6:$AF$135,3,FALSE)+$E$2</f>
        <v>0.92348275411991088</v>
      </c>
      <c r="P113" s="73">
        <f>('Old Data'!$N109-$N113)^2+('Old Data'!$X109-$O113)^2</f>
        <v>2.3279096391624936</v>
      </c>
      <c r="Q113" s="62"/>
      <c r="R113" s="90" t="s">
        <v>104</v>
      </c>
      <c r="S113" s="96">
        <v>-50.635328398484397</v>
      </c>
      <c r="T113" s="96">
        <v>27.111251561115601</v>
      </c>
      <c r="U113" s="6"/>
      <c r="V113" s="90" t="s">
        <v>104</v>
      </c>
      <c r="W113" s="96">
        <v>82.199891301205298</v>
      </c>
      <c r="X113" s="96">
        <v>91.014345080554307</v>
      </c>
      <c r="Y113" s="6"/>
      <c r="Z113" s="90" t="s">
        <v>104</v>
      </c>
      <c r="AA113" s="96">
        <v>18.622480041691901</v>
      </c>
      <c r="AB113" s="96">
        <v>4.06339429920759</v>
      </c>
      <c r="AC113" s="63"/>
      <c r="AD113" s="90" t="s">
        <v>104</v>
      </c>
      <c r="AE113" s="96">
        <v>-0.115380838411671</v>
      </c>
      <c r="AF113" s="96">
        <v>0.29051863561868602</v>
      </c>
      <c r="AG113" s="63"/>
      <c r="AH113" s="37"/>
      <c r="AI113" s="22"/>
      <c r="AJ113" s="6"/>
      <c r="AK113" s="10"/>
      <c r="AL113" s="10"/>
      <c r="AM113" s="10"/>
      <c r="AN113" s="11"/>
      <c r="AO113" s="11"/>
      <c r="AP113" s="11"/>
      <c r="AQ113" s="36"/>
      <c r="AR113" s="11"/>
      <c r="AS113" s="11"/>
      <c r="AT113" s="11"/>
      <c r="AU113" s="12"/>
      <c r="AV113" s="11"/>
      <c r="AW113" s="11"/>
      <c r="AX113" s="15"/>
      <c r="AY113" s="15"/>
      <c r="AZ113" s="15"/>
      <c r="BA113" s="15"/>
      <c r="BB113" s="15"/>
      <c r="BC113" s="15"/>
      <c r="BD113" s="15"/>
      <c r="BE113" s="12"/>
      <c r="BF113" s="11"/>
      <c r="BG113" s="11"/>
      <c r="BH113" s="10"/>
      <c r="BI113" s="10"/>
      <c r="BJ113" s="10"/>
      <c r="BK113" s="23"/>
      <c r="BL113" s="23"/>
      <c r="BM113" s="23"/>
      <c r="BN113" s="23"/>
      <c r="BO113" s="23"/>
      <c r="BP113" s="23"/>
      <c r="BQ113" s="23"/>
      <c r="BR113" s="10"/>
      <c r="BS113" s="16"/>
      <c r="BT113" s="16"/>
      <c r="BU113" s="16"/>
      <c r="BV113" s="16"/>
      <c r="BW113" s="11"/>
      <c r="BX113" s="16"/>
      <c r="BY113" s="16"/>
      <c r="BZ113" s="17"/>
      <c r="CA113" s="18"/>
      <c r="CB113" s="18"/>
      <c r="CC113" s="18"/>
      <c r="CD113" s="18"/>
      <c r="CE113" s="18"/>
      <c r="CF113" s="18"/>
      <c r="CG113" s="19"/>
      <c r="CH113" s="15"/>
      <c r="CI113" s="17"/>
      <c r="CJ113" s="10"/>
      <c r="CK113" s="10"/>
      <c r="CL113" s="10"/>
      <c r="CM113" s="17"/>
      <c r="CN113" s="17"/>
      <c r="CO113" s="10"/>
      <c r="CP113" s="10"/>
      <c r="CQ113" s="10"/>
      <c r="CR113" s="10"/>
      <c r="CS113" s="10"/>
      <c r="CT113" s="10"/>
      <c r="CU113" s="10"/>
      <c r="CV113" s="10"/>
      <c r="CW113" s="10"/>
      <c r="CX113" s="10"/>
      <c r="CY113" s="10"/>
      <c r="CZ113" s="10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</row>
    <row r="114" spans="1:135" customFormat="1">
      <c r="A114" s="71">
        <f>'Old Data'!$I110-'Old Data'!$S110</f>
        <v>82</v>
      </c>
      <c r="B114" s="72">
        <f>VLOOKUP('Old Data'!$F110,$R$6:$T$135,2,FALSE)+VLOOKUP('Old Data'!$P110,$R$6:$T$135,3,FALSE)+$B$2</f>
        <v>219.15919416087769</v>
      </c>
      <c r="C114" s="72">
        <f>VLOOKUP('Old Data'!$P110,$R$6:$T$135,2,FALSE)+VLOOKUP('Old Data'!$F110,$R$6:$T$135,3,FALSE)+$B$2</f>
        <v>187.12334668593178</v>
      </c>
      <c r="D114" s="74">
        <f>('Old Data'!$I110-$B114)^2+('Old Data'!$S110-$C114)^2</f>
        <v>8655.7782001277374</v>
      </c>
      <c r="E114" s="75">
        <f>'Old Data'!$K110-'Old Data'!$U110</f>
        <v>-9</v>
      </c>
      <c r="F114" s="72">
        <f>VLOOKUP('Old Data'!$F110,$V$6:$X$135,2,FALSE)+VLOOKUP('Old Data'!$P110,$V$6:$X$135,3,FALSE)+$C$2</f>
        <v>231.3727406984346</v>
      </c>
      <c r="G114" s="72">
        <f>VLOOKUP('Old Data'!$P110,$V$6:$X$135,2,FALSE)+VLOOKUP('Old Data'!$F110,$V$6:$X$135,3,FALSE)+$C$2</f>
        <v>217.98820481188264</v>
      </c>
      <c r="H114" s="74">
        <f>('Old Data'!$K110-$F114)^2+('Old Data'!$U110-$G114)^2</f>
        <v>652.70533854775795</v>
      </c>
      <c r="I114" s="75">
        <f>('Old Data'!$L110+'Old Data'!$M110)-('Old Data'!$V110+'Old Data'!$W110)</f>
        <v>-145</v>
      </c>
      <c r="J114" s="72">
        <f>VLOOKUP('Old Data'!$F110,$Z$6:$AB$135,2,FALSE)+VLOOKUP('Old Data'!$P110,$Z$6:$AB$135,3,FALSE)+$D$2</f>
        <v>35.217053006057796</v>
      </c>
      <c r="K114" s="72">
        <f>VLOOKUP('Old Data'!$P110,$Z$6:$AB$135,2,FALSE)+VLOOKUP('Old Data'!$F110,$Z$6:$AB$135,3,FALSE)+$D$2</f>
        <v>94.476013272806298</v>
      </c>
      <c r="L114" s="74">
        <f>('Old Data'!$L110+'Old Data'!$M110-$J114)^2+('Old Data'!$V110+'Old Data'!$W110-$K114)^2</f>
        <v>5555.033008413382</v>
      </c>
      <c r="M114" s="75">
        <f>'Old Data'!$N110-'Old Data'!$X110</f>
        <v>1</v>
      </c>
      <c r="N114" s="72">
        <f>VLOOKUP('Old Data'!$F110,$AD$6:$AF$135,2,FALSE)+VLOOKUP('Old Data'!$P110,$AD$6:$AF$135,3,FALSE)+$E$2</f>
        <v>1.7210562589496408</v>
      </c>
      <c r="O114" s="72">
        <f>VLOOKUP('Old Data'!$P110,$AD$6:$AF$135,2,FALSE)+VLOOKUP('Old Data'!$F110,$AD$6:$AF$135,3,FALSE)+$E$2</f>
        <v>0.65672241819906008</v>
      </c>
      <c r="P114" s="73">
        <f>('Old Data'!$N110-$N114)^2+('Old Data'!$X110-$O114)^2</f>
        <v>0.95120646313567248</v>
      </c>
      <c r="Q114" s="62"/>
      <c r="R114" s="90" t="s">
        <v>22</v>
      </c>
      <c r="S114" s="96">
        <v>19.2927047288564</v>
      </c>
      <c r="T114" s="96">
        <v>-56.013165766484299</v>
      </c>
      <c r="U114" s="6"/>
      <c r="V114" s="90" t="s">
        <v>22</v>
      </c>
      <c r="W114" s="96">
        <v>4.2997924506724896</v>
      </c>
      <c r="X114" s="96">
        <v>-40.369618701500499</v>
      </c>
      <c r="Y114" s="6"/>
      <c r="Z114" s="90" t="s">
        <v>22</v>
      </c>
      <c r="AA114" s="96">
        <v>-0.875055837573534</v>
      </c>
      <c r="AB114" s="96">
        <v>25.785923540788101</v>
      </c>
      <c r="AC114" s="63"/>
      <c r="AD114" s="90" t="s">
        <v>22</v>
      </c>
      <c r="AE114" s="96">
        <v>-0.24856396842562101</v>
      </c>
      <c r="AF114" s="96">
        <v>-0.12170489089641499</v>
      </c>
      <c r="AG114" s="63"/>
      <c r="AH114" s="37"/>
      <c r="AI114" s="22"/>
      <c r="AJ114" s="6"/>
      <c r="AK114" s="10"/>
      <c r="AL114" s="10"/>
      <c r="AM114" s="10"/>
      <c r="AN114" s="11"/>
      <c r="AO114" s="11"/>
      <c r="AP114" s="11"/>
      <c r="AQ114" s="36"/>
      <c r="AR114" s="11"/>
      <c r="AS114" s="11"/>
      <c r="AT114" s="11"/>
      <c r="AU114" s="12"/>
      <c r="AV114" s="11"/>
      <c r="AW114" s="11"/>
      <c r="AX114" s="15"/>
      <c r="AY114" s="15"/>
      <c r="AZ114" s="15"/>
      <c r="BA114" s="15"/>
      <c r="BB114" s="15"/>
      <c r="BC114" s="15"/>
      <c r="BD114" s="15"/>
      <c r="BE114" s="12"/>
      <c r="BF114" s="11"/>
      <c r="BG114" s="11"/>
      <c r="BH114" s="10"/>
      <c r="BI114" s="10"/>
      <c r="BJ114" s="10"/>
      <c r="BK114" s="23"/>
      <c r="BL114" s="23"/>
      <c r="BM114" s="23"/>
      <c r="BN114" s="23"/>
      <c r="BO114" s="23"/>
      <c r="BP114" s="23"/>
      <c r="BQ114" s="23"/>
      <c r="BR114" s="10"/>
      <c r="BS114" s="16"/>
      <c r="BT114" s="16"/>
      <c r="BU114" s="16"/>
      <c r="BV114" s="16"/>
      <c r="BW114" s="11"/>
      <c r="BX114" s="16"/>
      <c r="BY114" s="16"/>
      <c r="BZ114" s="17"/>
      <c r="CA114" s="18"/>
      <c r="CB114" s="18"/>
      <c r="CC114" s="18"/>
      <c r="CD114" s="18"/>
      <c r="CE114" s="18"/>
      <c r="CF114" s="18"/>
      <c r="CG114" s="19"/>
      <c r="CH114" s="15"/>
      <c r="CI114" s="17"/>
      <c r="CJ114" s="10"/>
      <c r="CK114" s="10"/>
      <c r="CL114" s="10"/>
      <c r="CM114" s="17"/>
      <c r="CN114" s="17"/>
      <c r="CO114" s="10"/>
      <c r="CP114" s="10"/>
      <c r="CQ114" s="10"/>
      <c r="CR114" s="10"/>
      <c r="CS114" s="10"/>
      <c r="CT114" s="10"/>
      <c r="CU114" s="10"/>
      <c r="CV114" s="10"/>
      <c r="CW114" s="10"/>
      <c r="CX114" s="10"/>
      <c r="CY114" s="10"/>
      <c r="CZ114" s="10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</row>
    <row r="115" spans="1:135" customFormat="1">
      <c r="A115" s="71">
        <f>'Old Data'!$I111-'Old Data'!$S111</f>
        <v>55</v>
      </c>
      <c r="B115" s="72">
        <f>VLOOKUP('Old Data'!$F111,$R$6:$T$135,2,FALSE)+VLOOKUP('Old Data'!$P111,$R$6:$T$135,3,FALSE)+$B$2</f>
        <v>155.87265016383111</v>
      </c>
      <c r="C115" s="72">
        <f>VLOOKUP('Old Data'!$P111,$R$6:$T$135,2,FALSE)+VLOOKUP('Old Data'!$F111,$R$6:$T$135,3,FALSE)+$B$2</f>
        <v>184.52512346754969</v>
      </c>
      <c r="D115" s="74">
        <f>('Old Data'!$I111-$B115)^2+('Old Data'!$S111-$C115)^2</f>
        <v>3520.6628414259203</v>
      </c>
      <c r="E115" s="75">
        <f>'Old Data'!$K111-'Old Data'!$U111</f>
        <v>28</v>
      </c>
      <c r="F115" s="72">
        <f>VLOOKUP('Old Data'!$F111,$V$6:$X$135,2,FALSE)+VLOOKUP('Old Data'!$P111,$V$6:$X$135,3,FALSE)+$C$2</f>
        <v>178.97977817605459</v>
      </c>
      <c r="G115" s="72">
        <f>VLOOKUP('Old Data'!$P111,$V$6:$X$135,2,FALSE)+VLOOKUP('Old Data'!$F111,$V$6:$X$135,3,FALSE)+$C$2</f>
        <v>170.11417305832114</v>
      </c>
      <c r="H115" s="74">
        <f>('Old Data'!$K111-$F115)^2+('Old Data'!$U111-$G115)^2</f>
        <v>3002.613289750655</v>
      </c>
      <c r="I115" s="75">
        <f>('Old Data'!$L111+'Old Data'!$M111)-('Old Data'!$V111+'Old Data'!$W111)</f>
        <v>-96</v>
      </c>
      <c r="J115" s="72">
        <f>VLOOKUP('Old Data'!$F111,$Z$6:$AB$135,2,FALSE)+VLOOKUP('Old Data'!$P111,$Z$6:$AB$135,3,FALSE)+$D$2</f>
        <v>40.852550531780736</v>
      </c>
      <c r="K115" s="72">
        <f>VLOOKUP('Old Data'!$P111,$Z$6:$AB$135,2,FALSE)+VLOOKUP('Old Data'!$F111,$Z$6:$AB$135,3,FALSE)+$D$2</f>
        <v>98.374551724841226</v>
      </c>
      <c r="L115" s="74">
        <f>('Old Data'!$L111+'Old Data'!$M111-$J115)^2+('Old Data'!$V111+'Old Data'!$W111-$K115)^2</f>
        <v>5817.8666558920831</v>
      </c>
      <c r="M115" s="75">
        <f>'Old Data'!$N111-'Old Data'!$X111</f>
        <v>0</v>
      </c>
      <c r="N115" s="72">
        <f>VLOOKUP('Old Data'!$F111,$AD$6:$AF$135,2,FALSE)+VLOOKUP('Old Data'!$P111,$AD$6:$AF$135,3,FALSE)+$E$2</f>
        <v>1.751951931853704</v>
      </c>
      <c r="O115" s="72">
        <f>VLOOKUP('Old Data'!$P111,$AD$6:$AF$135,2,FALSE)+VLOOKUP('Old Data'!$F111,$AD$6:$AF$135,3,FALSE)+$E$2</f>
        <v>1.4811496017306272</v>
      </c>
      <c r="P115" s="73">
        <f>('Old Data'!$N111-$N115)^2+('Old Data'!$X111-$O115)^2</f>
        <v>3.8645305127267342</v>
      </c>
      <c r="Q115" s="62"/>
      <c r="R115" s="90" t="s">
        <v>93</v>
      </c>
      <c r="S115" s="96">
        <v>-119.218441016238</v>
      </c>
      <c r="T115" s="96">
        <v>68.5791325468699</v>
      </c>
      <c r="U115" s="6"/>
      <c r="V115" s="90" t="s">
        <v>93</v>
      </c>
      <c r="W115" s="96">
        <v>-9.9877281683083102E-2</v>
      </c>
      <c r="X115" s="96">
        <v>-31.036318350977201</v>
      </c>
      <c r="Y115" s="6"/>
      <c r="Z115" s="90" t="s">
        <v>93</v>
      </c>
      <c r="AA115" s="96">
        <v>20.829170837429999</v>
      </c>
      <c r="AB115" s="96">
        <v>10.3748106320694</v>
      </c>
      <c r="AC115" s="63"/>
      <c r="AD115" s="90" t="s">
        <v>93</v>
      </c>
      <c r="AE115" s="96">
        <v>-0.49907160359909403</v>
      </c>
      <c r="AF115" s="96">
        <v>0.92309054477548902</v>
      </c>
      <c r="AG115" s="63"/>
      <c r="AH115" s="37"/>
      <c r="AI115" s="22"/>
      <c r="AJ115" s="6"/>
      <c r="AK115" s="10"/>
      <c r="AL115" s="10"/>
      <c r="AM115" s="10"/>
      <c r="AN115" s="11"/>
      <c r="AO115" s="11"/>
      <c r="AP115" s="11"/>
      <c r="AQ115" s="36"/>
      <c r="AR115" s="11"/>
      <c r="AS115" s="11"/>
      <c r="AT115" s="11"/>
      <c r="AU115" s="12"/>
      <c r="AV115" s="11"/>
      <c r="AW115" s="11"/>
      <c r="AX115" s="15"/>
      <c r="AY115" s="15"/>
      <c r="AZ115" s="15"/>
      <c r="BA115" s="15"/>
      <c r="BB115" s="15"/>
      <c r="BC115" s="15"/>
      <c r="BD115" s="15"/>
      <c r="BE115" s="12"/>
      <c r="BF115" s="11"/>
      <c r="BG115" s="11"/>
      <c r="BH115" s="10"/>
      <c r="BI115" s="10"/>
      <c r="BJ115" s="10"/>
      <c r="BK115" s="23"/>
      <c r="BL115" s="23"/>
      <c r="BM115" s="23"/>
      <c r="BN115" s="23"/>
      <c r="BO115" s="23"/>
      <c r="BP115" s="23"/>
      <c r="BQ115" s="23"/>
      <c r="BR115" s="10"/>
      <c r="BS115" s="16"/>
      <c r="BT115" s="16"/>
      <c r="BU115" s="16"/>
      <c r="BV115" s="16"/>
      <c r="BW115" s="11"/>
      <c r="BX115" s="16"/>
      <c r="BY115" s="16"/>
      <c r="BZ115" s="17"/>
      <c r="CA115" s="18"/>
      <c r="CB115" s="18"/>
      <c r="CC115" s="18"/>
      <c r="CD115" s="18"/>
      <c r="CE115" s="18"/>
      <c r="CF115" s="18"/>
      <c r="CG115" s="19"/>
      <c r="CH115" s="15"/>
      <c r="CI115" s="17"/>
      <c r="CJ115" s="10"/>
      <c r="CK115" s="10"/>
      <c r="CL115" s="10"/>
      <c r="CM115" s="17"/>
      <c r="CN115" s="17"/>
      <c r="CO115" s="10"/>
      <c r="CP115" s="10"/>
      <c r="CQ115" s="10"/>
      <c r="CR115" s="10"/>
      <c r="CS115" s="10"/>
      <c r="CT115" s="10"/>
      <c r="CU115" s="10"/>
      <c r="CV115" s="10"/>
      <c r="CW115" s="10"/>
      <c r="CX115" s="10"/>
      <c r="CY115" s="10"/>
      <c r="CZ115" s="10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</row>
    <row r="116" spans="1:135" customFormat="1">
      <c r="A116" s="71">
        <f>'Old Data'!$I112-'Old Data'!$S112</f>
        <v>-88</v>
      </c>
      <c r="B116" s="72">
        <f>VLOOKUP('Old Data'!$F112,$R$6:$T$135,2,FALSE)+VLOOKUP('Old Data'!$P112,$R$6:$T$135,3,FALSE)+$B$2</f>
        <v>194.53427690095452</v>
      </c>
      <c r="C116" s="72">
        <f>VLOOKUP('Old Data'!$P112,$R$6:$T$135,2,FALSE)+VLOOKUP('Old Data'!$F112,$R$6:$T$135,3,FALSE)+$B$2</f>
        <v>203.2964632687686</v>
      </c>
      <c r="D116" s="74">
        <f>('Old Data'!$I112-$B116)^2+('Old Data'!$S112-$C116)^2</f>
        <v>3711.5750448201734</v>
      </c>
      <c r="E116" s="75">
        <f>'Old Data'!$K112-'Old Data'!$U112</f>
        <v>-36</v>
      </c>
      <c r="F116" s="72">
        <f>VLOOKUP('Old Data'!$F112,$V$6:$X$135,2,FALSE)+VLOOKUP('Old Data'!$P112,$V$6:$X$135,3,FALSE)+$C$2</f>
        <v>166.02969142411848</v>
      </c>
      <c r="G116" s="72">
        <f>VLOOKUP('Old Data'!$P112,$V$6:$X$135,2,FALSE)+VLOOKUP('Old Data'!$F112,$V$6:$X$135,3,FALSE)+$C$2</f>
        <v>239.1933917126253</v>
      </c>
      <c r="H116" s="74">
        <f>('Old Data'!$K112-$F116)^2+('Old Data'!$U112-$G116)^2</f>
        <v>1227.7334490973858</v>
      </c>
      <c r="I116" s="75">
        <f>('Old Data'!$L112+'Old Data'!$M112)-('Old Data'!$V112+'Old Data'!$W112)</f>
        <v>-60</v>
      </c>
      <c r="J116" s="72">
        <f>VLOOKUP('Old Data'!$F112,$Z$6:$AB$135,2,FALSE)+VLOOKUP('Old Data'!$P112,$Z$6:$AB$135,3,FALSE)+$D$2</f>
        <v>22.284279963329197</v>
      </c>
      <c r="K116" s="72">
        <f>VLOOKUP('Old Data'!$P112,$Z$6:$AB$135,2,FALSE)+VLOOKUP('Old Data'!$F112,$Z$6:$AB$135,3,FALSE)+$D$2</f>
        <v>112.17580715813131</v>
      </c>
      <c r="L116" s="74">
        <f>('Old Data'!$L112+'Old Data'!$M112-$J116)^2+('Old Data'!$V112+'Old Data'!$W112-$K116)^2</f>
        <v>551.29875879891097</v>
      </c>
      <c r="M116" s="75">
        <f>'Old Data'!$N112-'Old Data'!$X112</f>
        <v>0</v>
      </c>
      <c r="N116" s="72">
        <f>VLOOKUP('Old Data'!$F112,$AD$6:$AF$135,2,FALSE)+VLOOKUP('Old Data'!$P112,$AD$6:$AF$135,3,FALSE)+$E$2</f>
        <v>1.9283500953547597</v>
      </c>
      <c r="O116" s="72">
        <f>VLOOKUP('Old Data'!$P112,$AD$6:$AF$135,2,FALSE)+VLOOKUP('Old Data'!$F112,$AD$6:$AF$135,3,FALSE)+$E$2</f>
        <v>1.4216903528726261</v>
      </c>
      <c r="P116" s="73">
        <f>('Old Data'!$N112-$N116)^2+('Old Data'!$X112-$O116)^2</f>
        <v>5.7397375497058025</v>
      </c>
      <c r="Q116" s="62"/>
      <c r="R116" s="90" t="s">
        <v>131</v>
      </c>
      <c r="S116" s="96">
        <v>10.731017728606201</v>
      </c>
      <c r="T116" s="96">
        <v>-37.929496712991998</v>
      </c>
      <c r="U116" s="6"/>
      <c r="V116" s="90" t="s">
        <v>131</v>
      </c>
      <c r="W116" s="96">
        <v>88.544833936010804</v>
      </c>
      <c r="X116" s="96">
        <v>99.911451531171807</v>
      </c>
      <c r="Y116" s="6"/>
      <c r="Z116" s="90" t="s">
        <v>131</v>
      </c>
      <c r="AA116" s="96">
        <v>25.014803552269999</v>
      </c>
      <c r="AB116" s="96">
        <v>4.6807763017070698</v>
      </c>
      <c r="AC116" s="63"/>
      <c r="AD116" s="90" t="s">
        <v>131</v>
      </c>
      <c r="AE116" s="96">
        <v>9.6310820910376793E-2</v>
      </c>
      <c r="AF116" s="96">
        <v>6.0863989175477098E-2</v>
      </c>
      <c r="AG116" s="63"/>
      <c r="AH116" s="37"/>
      <c r="AI116" s="22"/>
      <c r="AJ116" s="6"/>
      <c r="AK116" s="10"/>
      <c r="AL116" s="10"/>
      <c r="AM116" s="10"/>
      <c r="AN116" s="11"/>
      <c r="AO116" s="11"/>
      <c r="AP116" s="11"/>
      <c r="AQ116" s="36"/>
      <c r="AR116" s="11"/>
      <c r="AS116" s="11"/>
      <c r="AT116" s="11"/>
      <c r="AU116" s="12"/>
      <c r="AV116" s="11"/>
      <c r="AW116" s="11"/>
      <c r="AX116" s="15"/>
      <c r="AY116" s="15"/>
      <c r="AZ116" s="15"/>
      <c r="BA116" s="15"/>
      <c r="BB116" s="15"/>
      <c r="BC116" s="15"/>
      <c r="BD116" s="15"/>
      <c r="BE116" s="12"/>
      <c r="BF116" s="11"/>
      <c r="BG116" s="11"/>
      <c r="BH116" s="10"/>
      <c r="BI116" s="10"/>
      <c r="BJ116" s="10"/>
      <c r="BK116" s="23"/>
      <c r="BL116" s="23"/>
      <c r="BM116" s="23"/>
      <c r="BN116" s="23"/>
      <c r="BO116" s="23"/>
      <c r="BP116" s="23"/>
      <c r="BQ116" s="23"/>
      <c r="BR116" s="10"/>
      <c r="BS116" s="16"/>
      <c r="BT116" s="16"/>
      <c r="BU116" s="16"/>
      <c r="BV116" s="16"/>
      <c r="BW116" s="11"/>
      <c r="BX116" s="16"/>
      <c r="BY116" s="16"/>
      <c r="BZ116" s="17"/>
      <c r="CA116" s="18"/>
      <c r="CB116" s="18"/>
      <c r="CC116" s="18"/>
      <c r="CD116" s="18"/>
      <c r="CE116" s="18"/>
      <c r="CF116" s="18"/>
      <c r="CG116" s="19"/>
      <c r="CH116" s="15"/>
      <c r="CI116" s="17"/>
      <c r="CJ116" s="10"/>
      <c r="CK116" s="10"/>
      <c r="CL116" s="10"/>
      <c r="CM116" s="17"/>
      <c r="CN116" s="17"/>
      <c r="CO116" s="10"/>
      <c r="CP116" s="10"/>
      <c r="CQ116" s="10"/>
      <c r="CR116" s="10"/>
      <c r="CS116" s="10"/>
      <c r="CT116" s="10"/>
      <c r="CU116" s="10"/>
      <c r="CV116" s="10"/>
      <c r="CW116" s="10"/>
      <c r="CX116" s="10"/>
      <c r="CY116" s="10"/>
      <c r="CZ116" s="10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</row>
    <row r="117" spans="1:135" customFormat="1">
      <c r="A117" s="71">
        <f>'Old Data'!$I113-'Old Data'!$S113</f>
        <v>231</v>
      </c>
      <c r="B117" s="72">
        <f>VLOOKUP('Old Data'!$F113,$R$6:$T$135,2,FALSE)+VLOOKUP('Old Data'!$P113,$R$6:$T$135,3,FALSE)+$B$2</f>
        <v>401.80895903997407</v>
      </c>
      <c r="C117" s="72">
        <f>VLOOKUP('Old Data'!$P113,$R$6:$T$135,2,FALSE)+VLOOKUP('Old Data'!$F113,$R$6:$T$135,3,FALSE)+$B$2</f>
        <v>56.834615324984895</v>
      </c>
      <c r="D117" s="74">
        <f>('Old Data'!$I113-$B117)^2+('Old Data'!$S113-$C117)^2</f>
        <v>8273.7534941454414</v>
      </c>
      <c r="E117" s="75">
        <f>'Old Data'!$K113-'Old Data'!$U113</f>
        <v>15</v>
      </c>
      <c r="F117" s="72">
        <f>VLOOKUP('Old Data'!$F113,$V$6:$X$135,2,FALSE)+VLOOKUP('Old Data'!$P113,$V$6:$X$135,3,FALSE)+$C$2</f>
        <v>169.89003179780968</v>
      </c>
      <c r="G117" s="72">
        <f>VLOOKUP('Old Data'!$P113,$V$6:$X$135,2,FALSE)+VLOOKUP('Old Data'!$F113,$V$6:$X$135,3,FALSE)+$C$2</f>
        <v>298.34260140094511</v>
      </c>
      <c r="H117" s="74">
        <f>('Old Data'!$K113-$F117)^2+('Old Data'!$U113-$G117)^2</f>
        <v>25995.022998153388</v>
      </c>
      <c r="I117" s="75">
        <f>('Old Data'!$L113+'Old Data'!$M113)-('Old Data'!$V113+'Old Data'!$W113)</f>
        <v>-39</v>
      </c>
      <c r="J117" s="72">
        <f>VLOOKUP('Old Data'!$F113,$Z$6:$AB$135,2,FALSE)+VLOOKUP('Old Data'!$P113,$Z$6:$AB$135,3,FALSE)+$D$2</f>
        <v>8.9845166306195949</v>
      </c>
      <c r="K117" s="72">
        <f>VLOOKUP('Old Data'!$P113,$Z$6:$AB$135,2,FALSE)+VLOOKUP('Old Data'!$F113,$Z$6:$AB$135,3,FALSE)+$D$2</f>
        <v>84.13773388409399</v>
      </c>
      <c r="L117" s="74">
        <f>('Old Data'!$L113+'Old Data'!$M113-$J117)^2+('Old Data'!$V113+'Old Data'!$W113-$K117)^2</f>
        <v>813.33452221778862</v>
      </c>
      <c r="M117" s="75">
        <f>'Old Data'!$N113-'Old Data'!$X113</f>
        <v>1</v>
      </c>
      <c r="N117" s="72">
        <f>VLOOKUP('Old Data'!$F113,$AD$6:$AF$135,2,FALSE)+VLOOKUP('Old Data'!$P113,$AD$6:$AF$135,3,FALSE)+$E$2</f>
        <v>1.802439711532934</v>
      </c>
      <c r="O117" s="72">
        <f>VLOOKUP('Old Data'!$P113,$AD$6:$AF$135,2,FALSE)+VLOOKUP('Old Data'!$F113,$AD$6:$AF$135,3,FALSE)+$E$2</f>
        <v>1.4004608929686879</v>
      </c>
      <c r="P117" s="73">
        <f>('Old Data'!$N113-$N117)^2+('Old Data'!$X113-$O117)^2</f>
        <v>0.19939899437646924</v>
      </c>
      <c r="Q117" s="62"/>
      <c r="R117" s="90" t="s">
        <v>23</v>
      </c>
      <c r="S117" s="96">
        <v>-9.8314254626053899</v>
      </c>
      <c r="T117" s="96">
        <v>-18.399122461074001</v>
      </c>
      <c r="U117" s="6"/>
      <c r="V117" s="90" t="s">
        <v>23</v>
      </c>
      <c r="W117" s="96">
        <v>-35.013457519892597</v>
      </c>
      <c r="X117" s="96">
        <v>-13.088482789539199</v>
      </c>
      <c r="Y117" s="6"/>
      <c r="Z117" s="90" t="s">
        <v>23</v>
      </c>
      <c r="AA117" s="96">
        <v>-31.4703497523669</v>
      </c>
      <c r="AB117" s="96">
        <v>-25.3216619479279</v>
      </c>
      <c r="AC117" s="63"/>
      <c r="AD117" s="90" t="s">
        <v>23</v>
      </c>
      <c r="AE117" s="96">
        <v>0.20321890884928101</v>
      </c>
      <c r="AF117" s="96">
        <v>0.37973403104443898</v>
      </c>
      <c r="AG117" s="63"/>
      <c r="AH117" s="37"/>
      <c r="AI117" s="22"/>
      <c r="AJ117" s="6"/>
      <c r="AK117" s="10"/>
      <c r="AL117" s="10"/>
      <c r="AM117" s="10"/>
      <c r="AN117" s="11"/>
      <c r="AO117" s="11"/>
      <c r="AP117" s="11"/>
      <c r="AQ117" s="36"/>
      <c r="AR117" s="11"/>
      <c r="AS117" s="11"/>
      <c r="AT117" s="11"/>
      <c r="AU117" s="12"/>
      <c r="AV117" s="11"/>
      <c r="AW117" s="11"/>
      <c r="AX117" s="15"/>
      <c r="AY117" s="15"/>
      <c r="AZ117" s="15"/>
      <c r="BA117" s="15"/>
      <c r="BB117" s="15"/>
      <c r="BC117" s="15"/>
      <c r="BD117" s="15"/>
      <c r="BE117" s="12"/>
      <c r="BF117" s="11"/>
      <c r="BG117" s="11"/>
      <c r="BH117" s="10"/>
      <c r="BI117" s="10"/>
      <c r="BJ117" s="10"/>
      <c r="BK117" s="23"/>
      <c r="BL117" s="23"/>
      <c r="BM117" s="23"/>
      <c r="BN117" s="23"/>
      <c r="BO117" s="23"/>
      <c r="BP117" s="23"/>
      <c r="BQ117" s="23"/>
      <c r="BR117" s="10"/>
      <c r="BS117" s="16"/>
      <c r="BT117" s="16"/>
      <c r="BU117" s="16"/>
      <c r="BV117" s="16"/>
      <c r="BW117" s="11"/>
      <c r="BX117" s="16"/>
      <c r="BY117" s="16"/>
      <c r="BZ117" s="17"/>
      <c r="CA117" s="18"/>
      <c r="CB117" s="18"/>
      <c r="CC117" s="18"/>
      <c r="CD117" s="18"/>
      <c r="CE117" s="18"/>
      <c r="CF117" s="18"/>
      <c r="CG117" s="19"/>
      <c r="CH117" s="15"/>
      <c r="CI117" s="17"/>
      <c r="CJ117" s="10"/>
      <c r="CK117" s="10"/>
      <c r="CL117" s="10"/>
      <c r="CM117" s="17"/>
      <c r="CN117" s="17"/>
      <c r="CO117" s="10"/>
      <c r="CP117" s="10"/>
      <c r="CQ117" s="10"/>
      <c r="CR117" s="10"/>
      <c r="CS117" s="10"/>
      <c r="CT117" s="10"/>
      <c r="CU117" s="10"/>
      <c r="CV117" s="10"/>
      <c r="CW117" s="10"/>
      <c r="CX117" s="10"/>
      <c r="CY117" s="10"/>
      <c r="CZ117" s="10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</row>
    <row r="118" spans="1:135" customFormat="1">
      <c r="A118" s="71">
        <f>'Old Data'!$I114-'Old Data'!$S114</f>
        <v>164</v>
      </c>
      <c r="B118" s="72">
        <f>VLOOKUP('Old Data'!$F114,$R$6:$T$135,2,FALSE)+VLOOKUP('Old Data'!$P114,$R$6:$T$135,3,FALSE)+$B$2</f>
        <v>259.97748732351982</v>
      </c>
      <c r="C118" s="72">
        <f>VLOOKUP('Old Data'!$P114,$R$6:$T$135,2,FALSE)+VLOOKUP('Old Data'!$F114,$R$6:$T$135,3,FALSE)+$B$2</f>
        <v>138.1932452569603</v>
      </c>
      <c r="D118" s="74">
        <f>('Old Data'!$I114-$B118)^2+('Old Data'!$S114-$C118)^2</f>
        <v>4603.7826856757301</v>
      </c>
      <c r="E118" s="75">
        <f>'Old Data'!$K114-'Old Data'!$U114</f>
        <v>11</v>
      </c>
      <c r="F118" s="72">
        <f>VLOOKUP('Old Data'!$F114,$V$6:$X$135,2,FALSE)+VLOOKUP('Old Data'!$P114,$V$6:$X$135,3,FALSE)+$C$2</f>
        <v>218.18201694489733</v>
      </c>
      <c r="G118" s="72">
        <f>VLOOKUP('Old Data'!$P114,$V$6:$X$135,2,FALSE)+VLOOKUP('Old Data'!$F114,$V$6:$X$135,3,FALSE)+$C$2</f>
        <v>178.0153139066249</v>
      </c>
      <c r="H118" s="74">
        <f>('Old Data'!$K114-$F118)^2+('Old Data'!$U114-$G118)^2</f>
        <v>14336.913500589655</v>
      </c>
      <c r="I118" s="75">
        <f>('Old Data'!$L114+'Old Data'!$M114)-('Old Data'!$V114+'Old Data'!$W114)</f>
        <v>-16</v>
      </c>
      <c r="J118" s="72">
        <f>VLOOKUP('Old Data'!$F114,$Z$6:$AB$135,2,FALSE)+VLOOKUP('Old Data'!$P114,$Z$6:$AB$135,3,FALSE)+$D$2</f>
        <v>53.972162640986348</v>
      </c>
      <c r="K118" s="72">
        <f>VLOOKUP('Old Data'!$P114,$Z$6:$AB$135,2,FALSE)+VLOOKUP('Old Data'!$F114,$Z$6:$AB$135,3,FALSE)+$D$2</f>
        <v>39.974353653008095</v>
      </c>
      <c r="L118" s="74">
        <f>('Old Data'!$L114+'Old Data'!$M114-$J118)^2+('Old Data'!$V114+'Old Data'!$W114-$K118)^2</f>
        <v>451.82873488100734</v>
      </c>
      <c r="M118" s="75">
        <f>'Old Data'!$N114-'Old Data'!$X114</f>
        <v>1</v>
      </c>
      <c r="N118" s="72">
        <f>VLOOKUP('Old Data'!$F114,$AD$6:$AF$135,2,FALSE)+VLOOKUP('Old Data'!$P114,$AD$6:$AF$135,3,FALSE)+$E$2</f>
        <v>2.0603210893279331</v>
      </c>
      <c r="O118" s="72">
        <f>VLOOKUP('Old Data'!$P114,$AD$6:$AF$135,2,FALSE)+VLOOKUP('Old Data'!$F114,$AD$6:$AF$135,3,FALSE)+$E$2</f>
        <v>1.175037545086524</v>
      </c>
      <c r="P118" s="73">
        <f>('Old Data'!$N114-$N118)^2+('Old Data'!$X114-$O118)^2</f>
        <v>3.4276776007625423E-2</v>
      </c>
      <c r="Q118" s="62"/>
      <c r="R118" s="90" t="s">
        <v>106</v>
      </c>
      <c r="S118" s="96">
        <v>12.798233905453101</v>
      </c>
      <c r="T118" s="96">
        <v>-14.925679197435599</v>
      </c>
      <c r="U118" s="6"/>
      <c r="V118" s="90" t="s">
        <v>106</v>
      </c>
      <c r="W118" s="96">
        <v>18.318126759489701</v>
      </c>
      <c r="X118" s="96">
        <v>57.109139016747697</v>
      </c>
      <c r="Y118" s="6"/>
      <c r="Z118" s="90" t="s">
        <v>106</v>
      </c>
      <c r="AA118" s="96">
        <v>-14.0453829133352</v>
      </c>
      <c r="AB118" s="96">
        <v>-30.6099652843731</v>
      </c>
      <c r="AC118" s="63"/>
      <c r="AD118" s="90" t="s">
        <v>106</v>
      </c>
      <c r="AE118" s="96">
        <v>1.28382813522449E-2</v>
      </c>
      <c r="AF118" s="96">
        <v>0.39205033883169699</v>
      </c>
      <c r="AG118" s="63"/>
      <c r="AH118" s="37"/>
      <c r="AI118" s="22"/>
      <c r="AJ118" s="6"/>
      <c r="AK118" s="10"/>
      <c r="AL118" s="10"/>
      <c r="AM118" s="10"/>
      <c r="AN118" s="11"/>
      <c r="AO118" s="11"/>
      <c r="AP118" s="11"/>
      <c r="AQ118" s="36"/>
      <c r="AR118" s="11"/>
      <c r="AS118" s="11"/>
      <c r="AT118" s="11"/>
      <c r="AU118" s="12"/>
      <c r="AV118" s="11"/>
      <c r="AW118" s="11"/>
      <c r="AX118" s="15"/>
      <c r="AY118" s="15"/>
      <c r="AZ118" s="15"/>
      <c r="BA118" s="15"/>
      <c r="BB118" s="15"/>
      <c r="BC118" s="15"/>
      <c r="BD118" s="15"/>
      <c r="BE118" s="12"/>
      <c r="BF118" s="11"/>
      <c r="BG118" s="11"/>
      <c r="BH118" s="10"/>
      <c r="BI118" s="10"/>
      <c r="BJ118" s="10"/>
      <c r="BK118" s="23"/>
      <c r="BL118" s="23"/>
      <c r="BM118" s="23"/>
      <c r="BN118" s="23"/>
      <c r="BO118" s="23"/>
      <c r="BP118" s="23"/>
      <c r="BQ118" s="23"/>
      <c r="BR118" s="10"/>
      <c r="BS118" s="16"/>
      <c r="BT118" s="16"/>
      <c r="BU118" s="16"/>
      <c r="BV118" s="16"/>
      <c r="BW118" s="11"/>
      <c r="BX118" s="16"/>
      <c r="BY118" s="16"/>
      <c r="BZ118" s="17"/>
      <c r="CA118" s="18"/>
      <c r="CB118" s="18"/>
      <c r="CC118" s="18"/>
      <c r="CD118" s="18"/>
      <c r="CE118" s="18"/>
      <c r="CF118" s="18"/>
      <c r="CG118" s="19"/>
      <c r="CH118" s="15"/>
      <c r="CI118" s="17"/>
      <c r="CJ118" s="10"/>
      <c r="CK118" s="10"/>
      <c r="CL118" s="10"/>
      <c r="CM118" s="17"/>
      <c r="CN118" s="17"/>
      <c r="CO118" s="10"/>
      <c r="CP118" s="10"/>
      <c r="CQ118" s="10"/>
      <c r="CR118" s="10"/>
      <c r="CS118" s="10"/>
      <c r="CT118" s="10"/>
      <c r="CU118" s="10"/>
      <c r="CV118" s="10"/>
      <c r="CW118" s="10"/>
      <c r="CX118" s="10"/>
      <c r="CY118" s="10"/>
      <c r="CZ118" s="10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</row>
    <row r="119" spans="1:135" customFormat="1">
      <c r="A119" s="71">
        <f>'Old Data'!$I115-'Old Data'!$S115</f>
        <v>66</v>
      </c>
      <c r="B119" s="72">
        <f>VLOOKUP('Old Data'!$F115,$R$6:$T$135,2,FALSE)+VLOOKUP('Old Data'!$P115,$R$6:$T$135,3,FALSE)+$B$2</f>
        <v>259.3628955524</v>
      </c>
      <c r="C119" s="72">
        <f>VLOOKUP('Old Data'!$P115,$R$6:$T$135,2,FALSE)+VLOOKUP('Old Data'!$F115,$R$6:$T$135,3,FALSE)+$B$2</f>
        <v>106.31921318955411</v>
      </c>
      <c r="D119" s="74">
        <f>('Old Data'!$I115-$B119)^2+('Old Data'!$S115-$C119)^2</f>
        <v>11026.498798033483</v>
      </c>
      <c r="E119" s="75">
        <f>'Old Data'!$K115-'Old Data'!$U115</f>
        <v>45</v>
      </c>
      <c r="F119" s="72">
        <f>VLOOKUP('Old Data'!$F115,$V$6:$X$135,2,FALSE)+VLOOKUP('Old Data'!$P115,$V$6:$X$135,3,FALSE)+$C$2</f>
        <v>137.34134795381658</v>
      </c>
      <c r="G119" s="72">
        <f>VLOOKUP('Old Data'!$P115,$V$6:$X$135,2,FALSE)+VLOOKUP('Old Data'!$F115,$V$6:$X$135,3,FALSE)+$C$2</f>
        <v>146.30978075523149</v>
      </c>
      <c r="H119" s="74">
        <f>('Old Data'!$K115-$F119)^2+('Old Data'!$U115-$G119)^2</f>
        <v>1457.2055964001952</v>
      </c>
      <c r="I119" s="75">
        <f>('Old Data'!$L115+'Old Data'!$M115)-('Old Data'!$V115+'Old Data'!$W115)</f>
        <v>-104</v>
      </c>
      <c r="J119" s="72">
        <f>VLOOKUP('Old Data'!$F115,$Z$6:$AB$135,2,FALSE)+VLOOKUP('Old Data'!$P115,$Z$6:$AB$135,3,FALSE)+$D$2</f>
        <v>78.289762564964491</v>
      </c>
      <c r="K119" s="72">
        <f>VLOOKUP('Old Data'!$P115,$Z$6:$AB$135,2,FALSE)+VLOOKUP('Old Data'!$F115,$Z$6:$AB$135,3,FALSE)+$D$2</f>
        <v>30.299733043933298</v>
      </c>
      <c r="L119" s="74">
        <f>('Old Data'!$L115+'Old Data'!$M115-$J119)^2+('Old Data'!$V115+'Old Data'!$W115-$K119)^2</f>
        <v>14245.035614379984</v>
      </c>
      <c r="M119" s="75">
        <f>'Old Data'!$N115-'Old Data'!$X115</f>
        <v>2</v>
      </c>
      <c r="N119" s="72">
        <f>VLOOKUP('Old Data'!$F115,$AD$6:$AF$135,2,FALSE)+VLOOKUP('Old Data'!$P115,$AD$6:$AF$135,3,FALSE)+$E$2</f>
        <v>1.3090113822533156</v>
      </c>
      <c r="O119" s="72">
        <f>VLOOKUP('Old Data'!$P115,$AD$6:$AF$135,2,FALSE)+VLOOKUP('Old Data'!$F115,$AD$6:$AF$135,3,FALSE)+$E$2</f>
        <v>1.4782510624396212</v>
      </c>
      <c r="P119" s="73">
        <f>('Old Data'!$N115-$N119)^2+('Old Data'!$X115-$O119)^2</f>
        <v>3.0881665840734689</v>
      </c>
      <c r="Q119" s="62"/>
      <c r="R119" s="90" t="s">
        <v>109</v>
      </c>
      <c r="S119" s="96">
        <v>-25.6619605120014</v>
      </c>
      <c r="T119" s="96">
        <v>70.240686433503299</v>
      </c>
      <c r="U119" s="6"/>
      <c r="V119" s="90" t="s">
        <v>109</v>
      </c>
      <c r="W119" s="96">
        <v>-41.353372667357</v>
      </c>
      <c r="X119" s="96">
        <v>13.9232655699136</v>
      </c>
      <c r="Y119" s="6"/>
      <c r="Z119" s="90" t="s">
        <v>109</v>
      </c>
      <c r="AA119" s="96">
        <v>-19.854224740905799</v>
      </c>
      <c r="AB119" s="96">
        <v>32.219606821557001</v>
      </c>
      <c r="AC119" s="63"/>
      <c r="AD119" s="90" t="s">
        <v>109</v>
      </c>
      <c r="AE119" s="96">
        <v>-0.37116227744049901</v>
      </c>
      <c r="AF119" s="96">
        <v>3.18926288378166E-2</v>
      </c>
      <c r="AG119" s="63"/>
      <c r="AH119" s="37"/>
      <c r="AI119" s="22"/>
      <c r="AJ119" s="6"/>
      <c r="AK119" s="10"/>
      <c r="AL119" s="10"/>
      <c r="AM119" s="10"/>
      <c r="AN119" s="11"/>
      <c r="AO119" s="11"/>
      <c r="AP119" s="11"/>
      <c r="AQ119" s="36"/>
      <c r="AR119" s="11"/>
      <c r="AS119" s="11"/>
      <c r="AT119" s="11"/>
      <c r="AU119" s="12"/>
      <c r="AV119" s="11"/>
      <c r="AW119" s="11"/>
      <c r="AX119" s="15"/>
      <c r="AY119" s="15"/>
      <c r="AZ119" s="15"/>
      <c r="BA119" s="15"/>
      <c r="BB119" s="15"/>
      <c r="BC119" s="15"/>
      <c r="BD119" s="15"/>
      <c r="BE119" s="12"/>
      <c r="BF119" s="11"/>
      <c r="BG119" s="11"/>
      <c r="BH119" s="10"/>
      <c r="BI119" s="10"/>
      <c r="BJ119" s="10"/>
      <c r="BK119" s="23"/>
      <c r="BL119" s="23"/>
      <c r="BM119" s="23"/>
      <c r="BN119" s="23"/>
      <c r="BO119" s="23"/>
      <c r="BP119" s="23"/>
      <c r="BQ119" s="23"/>
      <c r="BR119" s="10"/>
      <c r="BS119" s="16"/>
      <c r="BT119" s="16"/>
      <c r="BU119" s="16"/>
      <c r="BV119" s="16"/>
      <c r="BW119" s="11"/>
      <c r="BX119" s="16"/>
      <c r="BY119" s="16"/>
      <c r="BZ119" s="17"/>
      <c r="CA119" s="18"/>
      <c r="CB119" s="18"/>
      <c r="CC119" s="18"/>
      <c r="CD119" s="18"/>
      <c r="CE119" s="18"/>
      <c r="CF119" s="18"/>
      <c r="CG119" s="19"/>
      <c r="CH119" s="15"/>
      <c r="CI119" s="17"/>
      <c r="CJ119" s="10"/>
      <c r="CK119" s="10"/>
      <c r="CL119" s="10"/>
      <c r="CM119" s="17"/>
      <c r="CN119" s="17"/>
      <c r="CO119" s="10"/>
      <c r="CP119" s="10"/>
      <c r="CQ119" s="10"/>
      <c r="CR119" s="10"/>
      <c r="CS119" s="10"/>
      <c r="CT119" s="10"/>
      <c r="CU119" s="10"/>
      <c r="CV119" s="10"/>
      <c r="CW119" s="10"/>
      <c r="CX119" s="10"/>
      <c r="CY119" s="10"/>
      <c r="CZ119" s="10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</row>
    <row r="120" spans="1:135" customFormat="1">
      <c r="A120" s="71">
        <f>'Old Data'!$I116-'Old Data'!$S116</f>
        <v>-55</v>
      </c>
      <c r="B120" s="72">
        <f>VLOOKUP('Old Data'!$F116,$R$6:$T$135,2,FALSE)+VLOOKUP('Old Data'!$P116,$R$6:$T$135,3,FALSE)+$B$2</f>
        <v>204.54716685074851</v>
      </c>
      <c r="C120" s="72">
        <f>VLOOKUP('Old Data'!$P116,$R$6:$T$135,2,FALSE)+VLOOKUP('Old Data'!$F116,$R$6:$T$135,3,FALSE)+$B$2</f>
        <v>164.97076095192321</v>
      </c>
      <c r="D120" s="74">
        <f>('Old Data'!$I116-$B120)^2+('Old Data'!$S116-$C120)^2</f>
        <v>4472.4824009740687</v>
      </c>
      <c r="E120" s="75">
        <f>'Old Data'!$K116-'Old Data'!$U116</f>
        <v>283</v>
      </c>
      <c r="F120" s="72">
        <f>VLOOKUP('Old Data'!$F116,$V$6:$X$135,2,FALSE)+VLOOKUP('Old Data'!$P116,$V$6:$X$135,3,FALSE)+$C$2</f>
        <v>319.4633048283078</v>
      </c>
      <c r="G120" s="72">
        <f>VLOOKUP('Old Data'!$P116,$V$6:$X$135,2,FALSE)+VLOOKUP('Old Data'!$F116,$V$6:$X$135,3,FALSE)+$C$2</f>
        <v>130.1023418624749</v>
      </c>
      <c r="H120" s="74">
        <f>('Old Data'!$K116-$F120)^2+('Old Data'!$U116-$G120)^2</f>
        <v>13555.366656486009</v>
      </c>
      <c r="I120" s="75">
        <f>('Old Data'!$L116+'Old Data'!$M116)-('Old Data'!$V116+'Old Data'!$W116)</f>
        <v>49</v>
      </c>
      <c r="J120" s="72">
        <f>VLOOKUP('Old Data'!$F116,$Z$6:$AB$135,2,FALSE)+VLOOKUP('Old Data'!$P116,$Z$6:$AB$135,3,FALSE)+$D$2</f>
        <v>47.036984506271018</v>
      </c>
      <c r="K120" s="72">
        <f>VLOOKUP('Old Data'!$P116,$Z$6:$AB$135,2,FALSE)+VLOOKUP('Old Data'!$F116,$Z$6:$AB$135,3,FALSE)+$D$2</f>
        <v>39.399694951652421</v>
      </c>
      <c r="L120" s="74">
        <f>('Old Data'!$L116+'Old Data'!$M116-$J120)^2+('Old Data'!$V116+'Old Data'!$W116-$K120)^2</f>
        <v>1208.241906804785</v>
      </c>
      <c r="M120" s="75">
        <f>'Old Data'!$N116-'Old Data'!$X116</f>
        <v>4</v>
      </c>
      <c r="N120" s="72">
        <f>VLOOKUP('Old Data'!$F116,$AD$6:$AF$135,2,FALSE)+VLOOKUP('Old Data'!$P116,$AD$6:$AF$135,3,FALSE)+$E$2</f>
        <v>2.751961376660514</v>
      </c>
      <c r="O120" s="72">
        <f>VLOOKUP('Old Data'!$P116,$AD$6:$AF$135,2,FALSE)+VLOOKUP('Old Data'!$F116,$AD$6:$AF$135,3,FALSE)+$E$2</f>
        <v>0.37901372386864995</v>
      </c>
      <c r="P120" s="73">
        <f>('Old Data'!$N116-$N120)^2+('Old Data'!$X116-$O120)^2</f>
        <v>1.7012518082279007</v>
      </c>
      <c r="Q120" s="62"/>
      <c r="R120" s="90" t="s">
        <v>108</v>
      </c>
      <c r="S120" s="96">
        <v>-26.2260335620151</v>
      </c>
      <c r="T120" s="96">
        <v>1.9499362388258701</v>
      </c>
      <c r="U120" s="6"/>
      <c r="V120" s="90" t="s">
        <v>108</v>
      </c>
      <c r="W120" s="96">
        <v>112.54168589186899</v>
      </c>
      <c r="X120" s="96">
        <v>4.3953381764290604</v>
      </c>
      <c r="Y120" s="6"/>
      <c r="Z120" s="90" t="s">
        <v>108</v>
      </c>
      <c r="AA120" s="96">
        <v>15.709898375372299</v>
      </c>
      <c r="AB120" s="96">
        <v>38.744205260513503</v>
      </c>
      <c r="AC120" s="63"/>
      <c r="AD120" s="90" t="s">
        <v>108</v>
      </c>
      <c r="AE120" s="96">
        <v>-6.2022237963173597E-2</v>
      </c>
      <c r="AF120" s="96">
        <v>0.25909346374023601</v>
      </c>
      <c r="AG120" s="63"/>
      <c r="AH120" s="37"/>
      <c r="AI120" s="22"/>
      <c r="AJ120" s="6"/>
      <c r="AK120" s="10"/>
      <c r="AL120" s="10"/>
      <c r="AM120" s="10"/>
      <c r="AN120" s="11"/>
      <c r="AO120" s="11"/>
      <c r="AP120" s="11"/>
      <c r="AQ120" s="36"/>
      <c r="AR120" s="11"/>
      <c r="AS120" s="11"/>
      <c r="AT120" s="11"/>
      <c r="AU120" s="12"/>
      <c r="AV120" s="11"/>
      <c r="AW120" s="11"/>
      <c r="AX120" s="15"/>
      <c r="AY120" s="15"/>
      <c r="AZ120" s="15"/>
      <c r="BA120" s="15"/>
      <c r="BB120" s="15"/>
      <c r="BC120" s="15"/>
      <c r="BD120" s="15"/>
      <c r="BE120" s="12"/>
      <c r="BF120" s="11"/>
      <c r="BG120" s="11"/>
      <c r="BH120" s="10"/>
      <c r="BI120" s="10"/>
      <c r="BJ120" s="10"/>
      <c r="BK120" s="23"/>
      <c r="BL120" s="23"/>
      <c r="BM120" s="23"/>
      <c r="BN120" s="23"/>
      <c r="BO120" s="23"/>
      <c r="BP120" s="23"/>
      <c r="BQ120" s="23"/>
      <c r="BR120" s="10"/>
      <c r="BS120" s="16"/>
      <c r="BT120" s="16"/>
      <c r="BU120" s="16"/>
      <c r="BV120" s="16"/>
      <c r="BW120" s="11"/>
      <c r="BX120" s="16"/>
      <c r="BY120" s="16"/>
      <c r="BZ120" s="17"/>
      <c r="CA120" s="18"/>
      <c r="CB120" s="18"/>
      <c r="CC120" s="18"/>
      <c r="CD120" s="18"/>
      <c r="CE120" s="18"/>
      <c r="CF120" s="18"/>
      <c r="CG120" s="19"/>
      <c r="CH120" s="15"/>
      <c r="CI120" s="17"/>
      <c r="CJ120" s="10"/>
      <c r="CK120" s="10"/>
      <c r="CL120" s="10"/>
      <c r="CM120" s="17"/>
      <c r="CN120" s="17"/>
      <c r="CO120" s="10"/>
      <c r="CP120" s="10"/>
      <c r="CQ120" s="10"/>
      <c r="CR120" s="10"/>
      <c r="CS120" s="10"/>
      <c r="CT120" s="10"/>
      <c r="CU120" s="10"/>
      <c r="CV120" s="10"/>
      <c r="CW120" s="10"/>
      <c r="CX120" s="10"/>
      <c r="CY120" s="10"/>
      <c r="CZ120" s="10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</row>
    <row r="121" spans="1:135" customFormat="1">
      <c r="A121" s="71">
        <f>'Old Data'!$I117-'Old Data'!$S117</f>
        <v>143</v>
      </c>
      <c r="B121" s="72">
        <f>VLOOKUP('Old Data'!$F117,$R$6:$T$135,2,FALSE)+VLOOKUP('Old Data'!$P117,$R$6:$T$135,3,FALSE)+$B$2</f>
        <v>159.4704649479124</v>
      </c>
      <c r="C121" s="72">
        <f>VLOOKUP('Old Data'!$P117,$R$6:$T$135,2,FALSE)+VLOOKUP('Old Data'!$F117,$R$6:$T$135,3,FALSE)+$B$2</f>
        <v>39.657143147252611</v>
      </c>
      <c r="D121" s="74">
        <f>('Old Data'!$I117-$B121)^2+('Old Data'!$S117-$C121)^2</f>
        <v>301.84002963417515</v>
      </c>
      <c r="E121" s="75">
        <f>'Old Data'!$K117-'Old Data'!$U117</f>
        <v>-150</v>
      </c>
      <c r="F121" s="72">
        <f>VLOOKUP('Old Data'!$F117,$V$6:$X$135,2,FALSE)+VLOOKUP('Old Data'!$P117,$V$6:$X$135,3,FALSE)+$C$2</f>
        <v>193.31062727841191</v>
      </c>
      <c r="G121" s="72">
        <f>VLOOKUP('Old Data'!$P117,$V$6:$X$135,2,FALSE)+VLOOKUP('Old Data'!$F117,$V$6:$X$135,3,FALSE)+$C$2</f>
        <v>277.00655817932721</v>
      </c>
      <c r="H121" s="74">
        <f>('Old Data'!$K117-$F121)^2+('Old Data'!$U117-$G121)^2</f>
        <v>9846.8340960957485</v>
      </c>
      <c r="I121" s="75">
        <f>('Old Data'!$L117+'Old Data'!$M117)-('Old Data'!$V117+'Old Data'!$W117)</f>
        <v>54</v>
      </c>
      <c r="J121" s="72">
        <f>VLOOKUP('Old Data'!$F117,$Z$6:$AB$135,2,FALSE)+VLOOKUP('Old Data'!$P117,$Z$6:$AB$135,3,FALSE)+$D$2</f>
        <v>58.444412343981547</v>
      </c>
      <c r="K121" s="72">
        <f>VLOOKUP('Old Data'!$P117,$Z$6:$AB$135,2,FALSE)+VLOOKUP('Old Data'!$F117,$Z$6:$AB$135,3,FALSE)+$D$2</f>
        <v>12.049737728627299</v>
      </c>
      <c r="L121" s="74">
        <f>('Old Data'!$L117+'Old Data'!$M117-$J121)^2+('Old Data'!$V117+'Old Data'!$W117-$K121)^2</f>
        <v>29.042579250298196</v>
      </c>
      <c r="M121" s="75">
        <f>'Old Data'!$N117-'Old Data'!$X117</f>
        <v>0</v>
      </c>
      <c r="N121" s="72">
        <f>VLOOKUP('Old Data'!$F117,$AD$6:$AF$135,2,FALSE)+VLOOKUP('Old Data'!$P117,$AD$6:$AF$135,3,FALSE)+$E$2</f>
        <v>1.9559078745712513</v>
      </c>
      <c r="O121" s="72">
        <f>VLOOKUP('Old Data'!$P117,$AD$6:$AF$135,2,FALSE)+VLOOKUP('Old Data'!$F117,$AD$6:$AF$135,3,FALSE)+$E$2</f>
        <v>0.92233940694181105</v>
      </c>
      <c r="P121" s="73">
        <f>('Old Data'!$N117-$N121)^2+('Old Data'!$X117-$O121)^2</f>
        <v>4.6762855954076006</v>
      </c>
      <c r="Q121" s="62"/>
      <c r="R121" s="90" t="s">
        <v>24</v>
      </c>
      <c r="S121" s="96">
        <v>61.128101067946702</v>
      </c>
      <c r="T121" s="96">
        <v>-88.322151537974193</v>
      </c>
      <c r="U121" s="6"/>
      <c r="V121" s="90" t="s">
        <v>24</v>
      </c>
      <c r="W121" s="96">
        <v>-22.5750648285699</v>
      </c>
      <c r="X121" s="96">
        <v>-77.221378727101595</v>
      </c>
      <c r="Y121" s="6"/>
      <c r="Z121" s="90" t="s">
        <v>24</v>
      </c>
      <c r="AA121" s="96">
        <v>-32.258176227005102</v>
      </c>
      <c r="AB121" s="96">
        <v>6.1357613808620499</v>
      </c>
      <c r="AC121" s="63"/>
      <c r="AD121" s="90" t="s">
        <v>24</v>
      </c>
      <c r="AE121" s="96">
        <v>0.32770604462597303</v>
      </c>
      <c r="AF121" s="96">
        <v>-0.69123036511658797</v>
      </c>
      <c r="AG121" s="63"/>
      <c r="AH121" s="37"/>
      <c r="AI121" s="22"/>
      <c r="AJ121" s="6"/>
      <c r="AK121" s="10"/>
      <c r="AL121" s="10"/>
      <c r="AM121" s="10"/>
      <c r="AN121" s="11"/>
      <c r="AO121" s="11"/>
      <c r="AP121" s="11"/>
      <c r="AQ121" s="36"/>
      <c r="AR121" s="11"/>
      <c r="AS121" s="11"/>
      <c r="AT121" s="11"/>
      <c r="AU121" s="12"/>
      <c r="AV121" s="11"/>
      <c r="AW121" s="11"/>
      <c r="AX121" s="15"/>
      <c r="AY121" s="15"/>
      <c r="AZ121" s="15"/>
      <c r="BA121" s="15"/>
      <c r="BB121" s="15"/>
      <c r="BC121" s="15"/>
      <c r="BD121" s="15"/>
      <c r="BE121" s="12"/>
      <c r="BF121" s="11"/>
      <c r="BG121" s="11"/>
      <c r="BH121" s="10"/>
      <c r="BI121" s="10"/>
      <c r="BJ121" s="10"/>
      <c r="BK121" s="23"/>
      <c r="BL121" s="23"/>
      <c r="BM121" s="23"/>
      <c r="BN121" s="23"/>
      <c r="BO121" s="23"/>
      <c r="BP121" s="23"/>
      <c r="BQ121" s="23"/>
      <c r="BR121" s="10"/>
      <c r="BS121" s="16"/>
      <c r="BT121" s="16"/>
      <c r="BU121" s="16"/>
      <c r="BV121" s="16"/>
      <c r="BW121" s="11"/>
      <c r="BX121" s="16"/>
      <c r="BY121" s="16"/>
      <c r="BZ121" s="17"/>
      <c r="CA121" s="18"/>
      <c r="CB121" s="18"/>
      <c r="CC121" s="18"/>
      <c r="CD121" s="18"/>
      <c r="CE121" s="18"/>
      <c r="CF121" s="18"/>
      <c r="CG121" s="19"/>
      <c r="CH121" s="15"/>
      <c r="CI121" s="17"/>
      <c r="CJ121" s="10"/>
      <c r="CK121" s="10"/>
      <c r="CL121" s="10"/>
      <c r="CM121" s="17"/>
      <c r="CN121" s="17"/>
      <c r="CO121" s="10"/>
      <c r="CP121" s="10"/>
      <c r="CQ121" s="10"/>
      <c r="CR121" s="10"/>
      <c r="CS121" s="10"/>
      <c r="CT121" s="10"/>
      <c r="CU121" s="10"/>
      <c r="CV121" s="10"/>
      <c r="CW121" s="10"/>
      <c r="CX121" s="10"/>
      <c r="CY121" s="10"/>
      <c r="CZ121" s="10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</row>
    <row r="122" spans="1:135" customFormat="1">
      <c r="A122" s="71">
        <f>'Old Data'!$I118-'Old Data'!$S118</f>
        <v>-323</v>
      </c>
      <c r="B122" s="72">
        <f>VLOOKUP('Old Data'!$F118,$R$6:$T$135,2,FALSE)+VLOOKUP('Old Data'!$P118,$R$6:$T$135,3,FALSE)+$B$2</f>
        <v>59.049054794514007</v>
      </c>
      <c r="C122" s="72">
        <f>VLOOKUP('Old Data'!$P118,$R$6:$T$135,2,FALSE)+VLOOKUP('Old Data'!$F118,$R$6:$T$135,3,FALSE)+$B$2</f>
        <v>248.56605051164891</v>
      </c>
      <c r="D122" s="74">
        <f>('Old Data'!$I118-$B122)^2+('Old Data'!$S118-$C122)^2</f>
        <v>10792.908864476425</v>
      </c>
      <c r="E122" s="75">
        <f>'Old Data'!$K118-'Old Data'!$U118</f>
        <v>106</v>
      </c>
      <c r="F122" s="72">
        <f>VLOOKUP('Old Data'!$F118,$V$6:$X$135,2,FALSE)+VLOOKUP('Old Data'!$P118,$V$6:$X$135,3,FALSE)+$C$2</f>
        <v>263.17791722196108</v>
      </c>
      <c r="G122" s="72">
        <f>VLOOKUP('Old Data'!$P118,$V$6:$X$135,2,FALSE)+VLOOKUP('Old Data'!$F118,$V$6:$X$135,3,FALSE)+$C$2</f>
        <v>209.85390455926651</v>
      </c>
      <c r="H122" s="74">
        <f>('Old Data'!$K118-$F122)^2+('Old Data'!$U118-$G122)^2</f>
        <v>24938.78565381925</v>
      </c>
      <c r="I122" s="75">
        <f>('Old Data'!$L118+'Old Data'!$M118)-('Old Data'!$V118+'Old Data'!$W118)</f>
        <v>47</v>
      </c>
      <c r="J122" s="72">
        <f>VLOOKUP('Old Data'!$F118,$Z$6:$AB$135,2,FALSE)+VLOOKUP('Old Data'!$P118,$Z$6:$AB$135,3,FALSE)+$D$2</f>
        <v>52.712988388074827</v>
      </c>
      <c r="K122" s="72">
        <f>VLOOKUP('Old Data'!$P118,$Z$6:$AB$135,2,FALSE)+VLOOKUP('Old Data'!$F118,$Z$6:$AB$135,3,FALSE)+$D$2</f>
        <v>42.442079990343899</v>
      </c>
      <c r="L122" s="74">
        <f>('Old Data'!$L118+'Old Data'!$M118-$J122)^2+('Old Data'!$V118+'Old Data'!$W118-$K122)^2</f>
        <v>1191.4872961743281</v>
      </c>
      <c r="M122" s="75">
        <f>'Old Data'!$N118-'Old Data'!$X118</f>
        <v>-1</v>
      </c>
      <c r="N122" s="72">
        <f>VLOOKUP('Old Data'!$F118,$AD$6:$AF$135,2,FALSE)+VLOOKUP('Old Data'!$P118,$AD$6:$AF$135,3,FALSE)+$E$2</f>
        <v>1.6763978486507392</v>
      </c>
      <c r="O122" s="72">
        <f>VLOOKUP('Old Data'!$P118,$AD$6:$AF$135,2,FALSE)+VLOOKUP('Old Data'!$F118,$AD$6:$AF$135,3,FALSE)+$E$2</f>
        <v>1.7604670703638841</v>
      </c>
      <c r="P122" s="73">
        <f>('Old Data'!$N118-$N122)^2+('Old Data'!$X118-$O122)^2</f>
        <v>0.51489007403940867</v>
      </c>
      <c r="Q122" s="62"/>
      <c r="R122" s="90" t="s">
        <v>110</v>
      </c>
      <c r="S122" s="96">
        <v>-53.871878284584803</v>
      </c>
      <c r="T122" s="96">
        <v>76.392686352138995</v>
      </c>
      <c r="U122" s="6"/>
      <c r="V122" s="90" t="s">
        <v>110</v>
      </c>
      <c r="W122" s="96">
        <v>-56.915737512485002</v>
      </c>
      <c r="X122" s="96">
        <v>-6.44369027667463</v>
      </c>
      <c r="Y122" s="6"/>
      <c r="Z122" s="90" t="s">
        <v>110</v>
      </c>
      <c r="AA122" s="96">
        <v>6.5409434451832702</v>
      </c>
      <c r="AB122" s="96">
        <v>-16.593253613721298</v>
      </c>
      <c r="AC122" s="63"/>
      <c r="AD122" s="90" t="s">
        <v>110</v>
      </c>
      <c r="AE122" s="96">
        <v>-0.92165299093776298</v>
      </c>
      <c r="AF122" s="96">
        <v>-0.20127835548605999</v>
      </c>
      <c r="AG122" s="63"/>
      <c r="AH122" s="37"/>
      <c r="AI122" s="22"/>
      <c r="AJ122" s="6"/>
      <c r="AK122" s="10"/>
      <c r="AL122" s="10"/>
      <c r="AM122" s="10"/>
      <c r="AN122" s="11"/>
      <c r="AO122" s="11"/>
      <c r="AP122" s="11"/>
      <c r="AQ122" s="36"/>
      <c r="AR122" s="11"/>
      <c r="AS122" s="11"/>
      <c r="AT122" s="11"/>
      <c r="AU122" s="12"/>
      <c r="AV122" s="11"/>
      <c r="AW122" s="11"/>
      <c r="AX122" s="15"/>
      <c r="AY122" s="15"/>
      <c r="AZ122" s="15"/>
      <c r="BA122" s="15"/>
      <c r="BB122" s="15"/>
      <c r="BC122" s="15"/>
      <c r="BD122" s="15"/>
      <c r="BE122" s="12"/>
      <c r="BF122" s="11"/>
      <c r="BG122" s="11"/>
      <c r="BH122" s="10"/>
      <c r="BI122" s="10"/>
      <c r="BJ122" s="10"/>
      <c r="BK122" s="23"/>
      <c r="BL122" s="23"/>
      <c r="BM122" s="23"/>
      <c r="BN122" s="23"/>
      <c r="BO122" s="23"/>
      <c r="BP122" s="23"/>
      <c r="BQ122" s="23"/>
      <c r="BR122" s="10"/>
      <c r="BS122" s="16"/>
      <c r="BT122" s="16"/>
      <c r="BU122" s="16"/>
      <c r="BV122" s="16"/>
      <c r="BW122" s="11"/>
      <c r="BX122" s="16"/>
      <c r="BY122" s="16"/>
      <c r="BZ122" s="17"/>
      <c r="CA122" s="18"/>
      <c r="CB122" s="18"/>
      <c r="CC122" s="18"/>
      <c r="CD122" s="18"/>
      <c r="CE122" s="18"/>
      <c r="CF122" s="18"/>
      <c r="CG122" s="19"/>
      <c r="CH122" s="15"/>
      <c r="CI122" s="17"/>
      <c r="CJ122" s="10"/>
      <c r="CK122" s="10"/>
      <c r="CL122" s="10"/>
      <c r="CM122" s="17"/>
      <c r="CN122" s="17"/>
      <c r="CO122" s="10"/>
      <c r="CP122" s="10"/>
      <c r="CQ122" s="10"/>
      <c r="CR122" s="10"/>
      <c r="CS122" s="10"/>
      <c r="CT122" s="10"/>
      <c r="CU122" s="10"/>
      <c r="CV122" s="10"/>
      <c r="CW122" s="10"/>
      <c r="CX122" s="10"/>
      <c r="CY122" s="10"/>
      <c r="CZ122" s="10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</row>
    <row r="123" spans="1:135" customFormat="1">
      <c r="A123" s="71">
        <f>'Old Data'!$I119-'Old Data'!$S119</f>
        <v>-211</v>
      </c>
      <c r="B123" s="72">
        <f>VLOOKUP('Old Data'!$F119,$R$6:$T$135,2,FALSE)+VLOOKUP('Old Data'!$P119,$R$6:$T$135,3,FALSE)+$B$2</f>
        <v>115.64167221134478</v>
      </c>
      <c r="C123" s="72">
        <f>VLOOKUP('Old Data'!$P119,$R$6:$T$135,2,FALSE)+VLOOKUP('Old Data'!$F119,$R$6:$T$135,3,FALSE)+$B$2</f>
        <v>225.7402561219767</v>
      </c>
      <c r="D123" s="74">
        <f>('Old Data'!$I119-$B123)^2+('Old Data'!$S119-$C123)^2</f>
        <v>7655.1219790466439</v>
      </c>
      <c r="E123" s="75">
        <f>'Old Data'!$K119-'Old Data'!$U119</f>
        <v>-71</v>
      </c>
      <c r="F123" s="72">
        <f>VLOOKUP('Old Data'!$F119,$V$6:$X$135,2,FALSE)+VLOOKUP('Old Data'!$P119,$V$6:$X$135,3,FALSE)+$C$2</f>
        <v>152.01083648166997</v>
      </c>
      <c r="G123" s="72">
        <f>VLOOKUP('Old Data'!$P119,$V$6:$X$135,2,FALSE)+VLOOKUP('Old Data'!$F119,$V$6:$X$135,3,FALSE)+$C$2</f>
        <v>288.83313853951108</v>
      </c>
      <c r="H123" s="74">
        <f>('Old Data'!$K119-$F123)^2+('Old Data'!$U119-$G123)^2</f>
        <v>5042.4419976036042</v>
      </c>
      <c r="I123" s="75">
        <f>('Old Data'!$L119+'Old Data'!$M119)-('Old Data'!$V119+'Old Data'!$W119)</f>
        <v>-52</v>
      </c>
      <c r="J123" s="72">
        <f>VLOOKUP('Old Data'!$F119,$Z$6:$AB$135,2,FALSE)+VLOOKUP('Old Data'!$P119,$Z$6:$AB$135,3,FALSE)+$D$2</f>
        <v>53.699969570574559</v>
      </c>
      <c r="K123" s="72">
        <f>VLOOKUP('Old Data'!$P119,$Z$6:$AB$135,2,FALSE)+VLOOKUP('Old Data'!$F119,$Z$6:$AB$135,3,FALSE)+$D$2</f>
        <v>115.9593694229538</v>
      </c>
      <c r="L123" s="74">
        <f>('Old Data'!$L119+'Old Data'!$M119-$J123)^2+('Old Data'!$V119+'Old Data'!$W119-$K123)^2</f>
        <v>1601.6086512637526</v>
      </c>
      <c r="M123" s="75">
        <f>'Old Data'!$N119-'Old Data'!$X119</f>
        <v>-1</v>
      </c>
      <c r="N123" s="72">
        <f>VLOOKUP('Old Data'!$F119,$AD$6:$AF$135,2,FALSE)+VLOOKUP('Old Data'!$P119,$AD$6:$AF$135,3,FALSE)+$E$2</f>
        <v>1.154739830261835</v>
      </c>
      <c r="O123" s="72">
        <f>VLOOKUP('Old Data'!$P119,$AD$6:$AF$135,2,FALSE)+VLOOKUP('Old Data'!$F119,$AD$6:$AF$135,3,FALSE)+$E$2</f>
        <v>1.6598404555264601</v>
      </c>
      <c r="P123" s="73">
        <f>('Old Data'!$N119-$N123)^2+('Old Data'!$X119-$O123)^2</f>
        <v>2.5104923591893176</v>
      </c>
      <c r="Q123" s="62"/>
      <c r="R123" s="90" t="s">
        <v>206</v>
      </c>
      <c r="S123" s="96">
        <v>-7.2314754296198798</v>
      </c>
      <c r="T123" s="96">
        <v>66.180890136676595</v>
      </c>
      <c r="U123" s="6"/>
      <c r="V123" s="90" t="s">
        <v>206</v>
      </c>
      <c r="W123" s="96">
        <v>-45.640581081040402</v>
      </c>
      <c r="X123" s="96">
        <v>21.373228662990702</v>
      </c>
      <c r="Y123" s="6"/>
      <c r="Z123" s="90" t="s">
        <v>206</v>
      </c>
      <c r="AA123" s="96">
        <v>-2.81231283714984</v>
      </c>
      <c r="AB123" s="96">
        <v>-4.7121469129773503</v>
      </c>
      <c r="AC123" s="63"/>
      <c r="AD123" s="90" t="s">
        <v>206</v>
      </c>
      <c r="AE123" s="96">
        <v>-0.188189105888938</v>
      </c>
      <c r="AF123" s="96">
        <v>0.59048261299048699</v>
      </c>
      <c r="AG123" s="63"/>
      <c r="AH123" s="37"/>
      <c r="AI123" s="22"/>
      <c r="AJ123" s="6"/>
      <c r="AK123" s="10"/>
      <c r="AL123" s="10"/>
      <c r="AM123" s="10"/>
      <c r="AN123" s="11"/>
      <c r="AO123" s="11"/>
      <c r="AP123" s="11"/>
      <c r="AQ123" s="36"/>
      <c r="AR123" s="11"/>
      <c r="AS123" s="11"/>
      <c r="AT123" s="11"/>
      <c r="AU123" s="12"/>
      <c r="AV123" s="11"/>
      <c r="AW123" s="11"/>
      <c r="AX123" s="15"/>
      <c r="AY123" s="15"/>
      <c r="AZ123" s="15"/>
      <c r="BA123" s="15"/>
      <c r="BB123" s="15"/>
      <c r="BC123" s="15"/>
      <c r="BD123" s="15"/>
      <c r="BE123" s="12"/>
      <c r="BF123" s="11"/>
      <c r="BG123" s="11"/>
      <c r="BH123" s="10"/>
      <c r="BI123" s="10"/>
      <c r="BJ123" s="10"/>
      <c r="BK123" s="23"/>
      <c r="BL123" s="23"/>
      <c r="BM123" s="23"/>
      <c r="BN123" s="23"/>
      <c r="BO123" s="23"/>
      <c r="BP123" s="23"/>
      <c r="BQ123" s="23"/>
      <c r="BR123" s="10"/>
      <c r="BS123" s="16"/>
      <c r="BT123" s="16"/>
      <c r="BU123" s="16"/>
      <c r="BV123" s="16"/>
      <c r="BW123" s="11"/>
      <c r="BX123" s="16"/>
      <c r="BY123" s="16"/>
      <c r="BZ123" s="17"/>
      <c r="CA123" s="18"/>
      <c r="CB123" s="18"/>
      <c r="CC123" s="18"/>
      <c r="CD123" s="18"/>
      <c r="CE123" s="18"/>
      <c r="CF123" s="18"/>
      <c r="CG123" s="19"/>
      <c r="CH123" s="15"/>
      <c r="CI123" s="17"/>
      <c r="CJ123" s="10"/>
      <c r="CK123" s="10"/>
      <c r="CL123" s="10"/>
      <c r="CM123" s="17"/>
      <c r="CN123" s="17"/>
      <c r="CO123" s="10"/>
      <c r="CP123" s="10"/>
      <c r="CQ123" s="10"/>
      <c r="CR123" s="10"/>
      <c r="CS123" s="10"/>
      <c r="CT123" s="10"/>
      <c r="CU123" s="10"/>
      <c r="CV123" s="10"/>
      <c r="CW123" s="10"/>
      <c r="CX123" s="10"/>
      <c r="CY123" s="10"/>
      <c r="CZ123" s="10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</row>
    <row r="124" spans="1:135" customFormat="1">
      <c r="A124" s="71">
        <f>'Old Data'!$I120-'Old Data'!$S120</f>
        <v>59</v>
      </c>
      <c r="B124" s="72">
        <f>VLOOKUP('Old Data'!$F120,$R$6:$T$135,2,FALSE)+VLOOKUP('Old Data'!$P120,$R$6:$T$135,3,FALSE)+$B$2</f>
        <v>118.0222736885254</v>
      </c>
      <c r="C124" s="72">
        <f>VLOOKUP('Old Data'!$P120,$R$6:$T$135,2,FALSE)+VLOOKUP('Old Data'!$F120,$R$6:$T$135,3,FALSE)+$B$2</f>
        <v>158.84305366844052</v>
      </c>
      <c r="D124" s="74">
        <f>('Old Data'!$I120-$B124)^2+('Old Data'!$S120-$C124)^2</f>
        <v>7151.2147318194529</v>
      </c>
      <c r="E124" s="75">
        <f>'Old Data'!$K120-'Old Data'!$U120</f>
        <v>-171</v>
      </c>
      <c r="F124" s="72">
        <f>VLOOKUP('Old Data'!$F120,$V$6:$X$135,2,FALSE)+VLOOKUP('Old Data'!$P120,$V$6:$X$135,3,FALSE)+$C$2</f>
        <v>228.3439340566969</v>
      </c>
      <c r="G124" s="72">
        <f>VLOOKUP('Old Data'!$P120,$V$6:$X$135,2,FALSE)+VLOOKUP('Old Data'!$F120,$V$6:$X$135,3,FALSE)+$C$2</f>
        <v>332.3312379162096</v>
      </c>
      <c r="H124" s="74">
        <f>('Old Data'!$K120-$F124)^2+('Old Data'!$U120-$G124)^2</f>
        <v>35611.209109622359</v>
      </c>
      <c r="I124" s="75">
        <f>('Old Data'!$L120+'Old Data'!$M120)-('Old Data'!$V120+'Old Data'!$W120)</f>
        <v>44</v>
      </c>
      <c r="J124" s="72">
        <f>VLOOKUP('Old Data'!$F120,$Z$6:$AB$135,2,FALSE)+VLOOKUP('Old Data'!$P120,$Z$6:$AB$135,3,FALSE)+$D$2</f>
        <v>49.908427689743156</v>
      </c>
      <c r="K124" s="72">
        <f>VLOOKUP('Old Data'!$P120,$Z$6:$AB$135,2,FALSE)+VLOOKUP('Old Data'!$F120,$Z$6:$AB$135,3,FALSE)+$D$2</f>
        <v>94.156324931646083</v>
      </c>
      <c r="L124" s="74">
        <f>('Old Data'!$L120+'Old Data'!$M120-$J124)^2+('Old Data'!$V120+'Old Data'!$W120-$K124)^2</f>
        <v>5945.9919480286289</v>
      </c>
      <c r="M124" s="75">
        <f>'Old Data'!$N120-'Old Data'!$X120</f>
        <v>-2</v>
      </c>
      <c r="N124" s="72">
        <f>VLOOKUP('Old Data'!$F120,$AD$6:$AF$135,2,FALSE)+VLOOKUP('Old Data'!$P120,$AD$6:$AF$135,3,FALSE)+$E$2</f>
        <v>1.048904396988688</v>
      </c>
      <c r="O124" s="72">
        <f>VLOOKUP('Old Data'!$P120,$AD$6:$AF$135,2,FALSE)+VLOOKUP('Old Data'!$F120,$AD$6:$AF$135,3,FALSE)+$E$2</f>
        <v>1.1461307047624671</v>
      </c>
      <c r="P124" s="73">
        <f>('Old Data'!$N120-$N124)^2+('Old Data'!$X120-$O124)^2</f>
        <v>1.8292932073716441</v>
      </c>
      <c r="Q124" s="62"/>
      <c r="R124" s="90" t="s">
        <v>31</v>
      </c>
      <c r="S124" s="96">
        <v>-19.3148959086361</v>
      </c>
      <c r="T124" s="96">
        <v>48.349771232240499</v>
      </c>
      <c r="U124" s="6"/>
      <c r="V124" s="90" t="s">
        <v>31</v>
      </c>
      <c r="W124" s="96">
        <v>32.103959319393901</v>
      </c>
      <c r="X124" s="96">
        <v>7.0890643188176403</v>
      </c>
      <c r="Y124" s="6"/>
      <c r="Z124" s="90" t="s">
        <v>31</v>
      </c>
      <c r="AA124" s="96">
        <v>0.80043182948929104</v>
      </c>
      <c r="AB124" s="96">
        <v>21.2221301641667</v>
      </c>
      <c r="AC124" s="63"/>
      <c r="AD124" s="90" t="s">
        <v>31</v>
      </c>
      <c r="AE124" s="96">
        <v>0.63330039081680001</v>
      </c>
      <c r="AF124" s="96">
        <v>0.50308154662506099</v>
      </c>
      <c r="AG124" s="63"/>
      <c r="AH124" s="37"/>
      <c r="AI124" s="22"/>
      <c r="AJ124" s="6"/>
      <c r="AK124" s="10"/>
      <c r="AL124" s="10"/>
      <c r="AM124" s="10"/>
      <c r="AN124" s="11"/>
      <c r="AO124" s="11"/>
      <c r="AP124" s="11"/>
      <c r="AQ124" s="36"/>
      <c r="AR124" s="11"/>
      <c r="AS124" s="11"/>
      <c r="AT124" s="11"/>
      <c r="AU124" s="12"/>
      <c r="AV124" s="11"/>
      <c r="AW124" s="11"/>
      <c r="AX124" s="15"/>
      <c r="AY124" s="15"/>
      <c r="AZ124" s="15"/>
      <c r="BA124" s="15"/>
      <c r="BB124" s="15"/>
      <c r="BC124" s="15"/>
      <c r="BD124" s="15"/>
      <c r="BE124" s="12"/>
      <c r="BF124" s="11"/>
      <c r="BG124" s="11"/>
      <c r="BH124" s="10"/>
      <c r="BI124" s="10"/>
      <c r="BJ124" s="10"/>
      <c r="BK124" s="23"/>
      <c r="BL124" s="23"/>
      <c r="BM124" s="23"/>
      <c r="BN124" s="23"/>
      <c r="BO124" s="23"/>
      <c r="BP124" s="23"/>
      <c r="BQ124" s="23"/>
      <c r="BR124" s="10"/>
      <c r="BS124" s="16"/>
      <c r="BT124" s="16"/>
      <c r="BU124" s="16"/>
      <c r="BV124" s="16"/>
      <c r="BW124" s="11"/>
      <c r="BX124" s="16"/>
      <c r="BY124" s="16"/>
      <c r="BZ124" s="17"/>
      <c r="CA124" s="18"/>
      <c r="CB124" s="18"/>
      <c r="CC124" s="18"/>
      <c r="CD124" s="18"/>
      <c r="CE124" s="18"/>
      <c r="CF124" s="18"/>
      <c r="CG124" s="19"/>
      <c r="CH124" s="15"/>
      <c r="CI124" s="17"/>
      <c r="CJ124" s="10"/>
      <c r="CK124" s="10"/>
      <c r="CL124" s="10"/>
      <c r="CM124" s="17"/>
      <c r="CN124" s="17"/>
      <c r="CO124" s="10"/>
      <c r="CP124" s="10"/>
      <c r="CQ124" s="10"/>
      <c r="CR124" s="10"/>
      <c r="CS124" s="10"/>
      <c r="CT124" s="10"/>
      <c r="CU124" s="10"/>
      <c r="CV124" s="10"/>
      <c r="CW124" s="10"/>
      <c r="CX124" s="10"/>
      <c r="CY124" s="10"/>
      <c r="CZ124" s="10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</row>
    <row r="125" spans="1:135" customFormat="1">
      <c r="A125" s="71">
        <f>'Old Data'!$I121-'Old Data'!$S121</f>
        <v>374</v>
      </c>
      <c r="B125" s="72">
        <f>VLOOKUP('Old Data'!$F121,$R$6:$T$135,2,FALSE)+VLOOKUP('Old Data'!$P121,$R$6:$T$135,3,FALSE)+$B$2</f>
        <v>240.07416537381323</v>
      </c>
      <c r="C125" s="72">
        <f>VLOOKUP('Old Data'!$P121,$R$6:$T$135,2,FALSE)+VLOOKUP('Old Data'!$F121,$R$6:$T$135,3,FALSE)+$B$2</f>
        <v>38.538288853553354</v>
      </c>
      <c r="D125" s="74">
        <f>('Old Data'!$I121-$B125)^2+('Old Data'!$S121-$C125)^2</f>
        <v>22985.730352804912</v>
      </c>
      <c r="E125" s="75">
        <f>'Old Data'!$K121-'Old Data'!$U121</f>
        <v>24</v>
      </c>
      <c r="F125" s="72">
        <f>VLOOKUP('Old Data'!$F121,$V$6:$X$135,2,FALSE)+VLOOKUP('Old Data'!$P121,$V$6:$X$135,3,FALSE)+$C$2</f>
        <v>281.2090118911762</v>
      </c>
      <c r="G125" s="72">
        <f>VLOOKUP('Old Data'!$P121,$V$6:$X$135,2,FALSE)+VLOOKUP('Old Data'!$F121,$V$6:$X$135,3,FALSE)+$C$2</f>
        <v>287.8559487313297</v>
      </c>
      <c r="H125" s="74">
        <f>('Old Data'!$K121-$F125)^2+('Old Data'!$U121-$G125)^2</f>
        <v>4988.2907379214785</v>
      </c>
      <c r="I125" s="75">
        <f>('Old Data'!$L121+'Old Data'!$M121)-('Old Data'!$V121+'Old Data'!$W121)</f>
        <v>18</v>
      </c>
      <c r="J125" s="72">
        <f>VLOOKUP('Old Data'!$F121,$Z$6:$AB$135,2,FALSE)+VLOOKUP('Old Data'!$P121,$Z$6:$AB$135,3,FALSE)+$D$2</f>
        <v>104.778253610184</v>
      </c>
      <c r="K125" s="72">
        <f>VLOOKUP('Old Data'!$P121,$Z$6:$AB$135,2,FALSE)+VLOOKUP('Old Data'!$F121,$Z$6:$AB$135,3,FALSE)+$D$2</f>
        <v>109.39914335617459</v>
      </c>
      <c r="L125" s="74">
        <f>('Old Data'!$L121+'Old Data'!$M121-$J125)^2+('Old Data'!$V121+'Old Data'!$W121-$K125)^2</f>
        <v>356.35161882098805</v>
      </c>
      <c r="M125" s="75">
        <f>'Old Data'!$N121-'Old Data'!$X121</f>
        <v>-2</v>
      </c>
      <c r="N125" s="72">
        <f>VLOOKUP('Old Data'!$F121,$AD$6:$AF$135,2,FALSE)+VLOOKUP('Old Data'!$P121,$AD$6:$AF$135,3,FALSE)+$E$2</f>
        <v>2.3064878431625999</v>
      </c>
      <c r="O125" s="72">
        <f>VLOOKUP('Old Data'!$P121,$AD$6:$AF$135,2,FALSE)+VLOOKUP('Old Data'!$F121,$AD$6:$AF$135,3,FALSE)+$E$2</f>
        <v>0.83555765902785428</v>
      </c>
      <c r="P125" s="73">
        <f>('Old Data'!$N121-$N125)^2+('Old Data'!$X121-$O125)^2</f>
        <v>6.391721131724645</v>
      </c>
      <c r="Q125" s="62"/>
      <c r="R125" s="90" t="s">
        <v>111</v>
      </c>
      <c r="S125" s="96">
        <v>-31.6098468550753</v>
      </c>
      <c r="T125" s="96">
        <v>54.396159057732397</v>
      </c>
      <c r="U125" s="6"/>
      <c r="V125" s="90" t="s">
        <v>111</v>
      </c>
      <c r="W125" s="96">
        <v>-43.842052680270598</v>
      </c>
      <c r="X125" s="96">
        <v>-9.9335836844667806</v>
      </c>
      <c r="Y125" s="6"/>
      <c r="Z125" s="90" t="s">
        <v>111</v>
      </c>
      <c r="AA125" s="96">
        <v>5.0397363195710101</v>
      </c>
      <c r="AB125" s="96">
        <v>-2.1847568906317498</v>
      </c>
      <c r="AC125" s="63"/>
      <c r="AD125" s="90" t="s">
        <v>111</v>
      </c>
      <c r="AE125" s="96">
        <v>-0.241372706235679</v>
      </c>
      <c r="AF125" s="96">
        <v>-0.25593808848187799</v>
      </c>
      <c r="AG125" s="63"/>
      <c r="AH125" s="37"/>
      <c r="AI125" s="22"/>
      <c r="AJ125" s="6"/>
      <c r="AK125" s="10"/>
      <c r="AL125" s="10"/>
      <c r="AM125" s="10"/>
      <c r="AN125" s="11"/>
      <c r="AO125" s="11"/>
      <c r="AP125" s="11"/>
      <c r="AQ125" s="36"/>
      <c r="AR125" s="11"/>
      <c r="AS125" s="11"/>
      <c r="AT125" s="11"/>
      <c r="AU125" s="12"/>
      <c r="AV125" s="11"/>
      <c r="AW125" s="11"/>
      <c r="AX125" s="15"/>
      <c r="AY125" s="15"/>
      <c r="AZ125" s="15"/>
      <c r="BA125" s="15"/>
      <c r="BB125" s="15"/>
      <c r="BC125" s="15"/>
      <c r="BD125" s="15"/>
      <c r="BE125" s="12"/>
      <c r="BF125" s="11"/>
      <c r="BG125" s="11"/>
      <c r="BH125" s="10"/>
      <c r="BI125" s="10"/>
      <c r="BJ125" s="10"/>
      <c r="BK125" s="23"/>
      <c r="BL125" s="23"/>
      <c r="BM125" s="23"/>
      <c r="BN125" s="23"/>
      <c r="BO125" s="23"/>
      <c r="BP125" s="23"/>
      <c r="BQ125" s="23"/>
      <c r="BR125" s="10"/>
      <c r="BS125" s="16"/>
      <c r="BT125" s="16"/>
      <c r="BU125" s="16"/>
      <c r="BV125" s="16"/>
      <c r="BW125" s="11"/>
      <c r="BX125" s="16"/>
      <c r="BY125" s="16"/>
      <c r="BZ125" s="17"/>
      <c r="CA125" s="18"/>
      <c r="CB125" s="18"/>
      <c r="CC125" s="18"/>
      <c r="CD125" s="18"/>
      <c r="CE125" s="18"/>
      <c r="CF125" s="18"/>
      <c r="CG125" s="19"/>
      <c r="CH125" s="15"/>
      <c r="CI125" s="17"/>
      <c r="CJ125" s="10"/>
      <c r="CK125" s="10"/>
      <c r="CL125" s="10"/>
      <c r="CM125" s="17"/>
      <c r="CN125" s="17"/>
      <c r="CO125" s="10"/>
      <c r="CP125" s="10"/>
      <c r="CQ125" s="10"/>
      <c r="CR125" s="10"/>
      <c r="CS125" s="10"/>
      <c r="CT125" s="10"/>
      <c r="CU125" s="10"/>
      <c r="CV125" s="10"/>
      <c r="CW125" s="10"/>
      <c r="CX125" s="10"/>
      <c r="CY125" s="10"/>
      <c r="CZ125" s="10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</row>
    <row r="126" spans="1:135" customFormat="1">
      <c r="A126" s="71">
        <f>'Old Data'!$I122-'Old Data'!$S122</f>
        <v>-206</v>
      </c>
      <c r="B126" s="72">
        <f>VLOOKUP('Old Data'!$F122,$R$6:$T$135,2,FALSE)+VLOOKUP('Old Data'!$P122,$R$6:$T$135,3,FALSE)+$B$2</f>
        <v>85.771772615451709</v>
      </c>
      <c r="C126" s="72">
        <f>VLOOKUP('Old Data'!$P122,$R$6:$T$135,2,FALSE)+VLOOKUP('Old Data'!$F122,$R$6:$T$135,3,FALSE)+$B$2</f>
        <v>296.63967940196085</v>
      </c>
      <c r="D126" s="74">
        <f>('Old Data'!$I122-$B126)^2+('Old Data'!$S122-$C126)^2</f>
        <v>10730.004899164622</v>
      </c>
      <c r="E126" s="75">
        <f>'Old Data'!$K122-'Old Data'!$U122</f>
        <v>-219</v>
      </c>
      <c r="F126" s="72">
        <f>VLOOKUP('Old Data'!$F122,$V$6:$X$135,2,FALSE)+VLOOKUP('Old Data'!$P122,$V$6:$X$135,3,FALSE)+$C$2</f>
        <v>158.92710495153671</v>
      </c>
      <c r="G126" s="72">
        <f>VLOOKUP('Old Data'!$P122,$V$6:$X$135,2,FALSE)+VLOOKUP('Old Data'!$F122,$V$6:$X$135,3,FALSE)+$C$2</f>
        <v>333.39201670611806</v>
      </c>
      <c r="H126" s="74">
        <f>('Old Data'!$K122-$F126)^2+('Old Data'!$U122-$G126)^2</f>
        <v>3489.5803241363169</v>
      </c>
      <c r="I126" s="75">
        <f>('Old Data'!$L122+'Old Data'!$M122)-('Old Data'!$V122+'Old Data'!$W122)</f>
        <v>-14</v>
      </c>
      <c r="J126" s="72">
        <f>VLOOKUP('Old Data'!$F122,$Z$6:$AB$135,2,FALSE)+VLOOKUP('Old Data'!$P122,$Z$6:$AB$135,3,FALSE)+$D$2</f>
        <v>32.96301877815587</v>
      </c>
      <c r="K126" s="72">
        <f>VLOOKUP('Old Data'!$P122,$Z$6:$AB$135,2,FALSE)+VLOOKUP('Old Data'!$F122,$Z$6:$AB$135,3,FALSE)+$D$2</f>
        <v>12.465115878986502</v>
      </c>
      <c r="L126" s="74">
        <f>('Old Data'!$L122+'Old Data'!$M122-$J126)^2+('Old Data'!$V122+'Old Data'!$W122-$K126)^2</f>
        <v>600.92870583400952</v>
      </c>
      <c r="M126" s="75">
        <f>'Old Data'!$N122-'Old Data'!$X122</f>
        <v>1</v>
      </c>
      <c r="N126" s="72">
        <f>VLOOKUP('Old Data'!$F122,$AD$6:$AF$135,2,FALSE)+VLOOKUP('Old Data'!$P122,$AD$6:$AF$135,3,FALSE)+$E$2</f>
        <v>1.471156896805454</v>
      </c>
      <c r="O126" s="72">
        <f>VLOOKUP('Old Data'!$P122,$AD$6:$AF$135,2,FALSE)+VLOOKUP('Old Data'!$F122,$AD$6:$AF$135,3,FALSE)+$E$2</f>
        <v>1.6776858069912981</v>
      </c>
      <c r="P126" s="73">
        <f>('Old Data'!$N122-$N126)^2+('Old Data'!$X122-$O126)^2</f>
        <v>0.73893308079388409</v>
      </c>
      <c r="Q126" s="62"/>
      <c r="R126" s="90" t="s">
        <v>113</v>
      </c>
      <c r="S126" s="96">
        <v>-28.8096838153836</v>
      </c>
      <c r="T126" s="96">
        <v>-23.6316341576753</v>
      </c>
      <c r="U126" s="6"/>
      <c r="V126" s="90" t="s">
        <v>113</v>
      </c>
      <c r="W126" s="96">
        <v>56.529680563112599</v>
      </c>
      <c r="X126" s="96">
        <v>-9.0116550355402403</v>
      </c>
      <c r="Y126" s="6"/>
      <c r="Z126" s="90" t="s">
        <v>113</v>
      </c>
      <c r="AA126" s="96">
        <v>36.128595670042301</v>
      </c>
      <c r="AB126" s="96">
        <v>-19.285284662688699</v>
      </c>
      <c r="AC126" s="63"/>
      <c r="AD126" s="90" t="s">
        <v>113</v>
      </c>
      <c r="AE126" s="96">
        <v>-1.9932603854657199E-2</v>
      </c>
      <c r="AF126" s="96">
        <v>-0.37351273206526497</v>
      </c>
      <c r="AG126" s="63"/>
      <c r="AH126" s="37"/>
      <c r="AI126" s="22"/>
      <c r="AJ126" s="6"/>
      <c r="AK126" s="10"/>
      <c r="AL126" s="10"/>
      <c r="AM126" s="10"/>
      <c r="AN126" s="11"/>
      <c r="AO126" s="11"/>
      <c r="AP126" s="11"/>
      <c r="AQ126" s="36"/>
      <c r="AR126" s="11"/>
      <c r="AS126" s="11"/>
      <c r="AT126" s="11"/>
      <c r="AU126" s="12"/>
      <c r="AV126" s="11"/>
      <c r="AW126" s="11"/>
      <c r="AX126" s="15"/>
      <c r="AY126" s="15"/>
      <c r="AZ126" s="15"/>
      <c r="BA126" s="15"/>
      <c r="BB126" s="15"/>
      <c r="BC126" s="15"/>
      <c r="BD126" s="15"/>
      <c r="BE126" s="12"/>
      <c r="BF126" s="11"/>
      <c r="BG126" s="11"/>
      <c r="BH126" s="10"/>
      <c r="BI126" s="10"/>
      <c r="BJ126" s="10"/>
      <c r="BK126" s="23"/>
      <c r="BL126" s="23"/>
      <c r="BM126" s="23"/>
      <c r="BN126" s="23"/>
      <c r="BO126" s="23"/>
      <c r="BP126" s="23"/>
      <c r="BQ126" s="23"/>
      <c r="BR126" s="10"/>
      <c r="BS126" s="16"/>
      <c r="BT126" s="16"/>
      <c r="BU126" s="16"/>
      <c r="BV126" s="16"/>
      <c r="BW126" s="11"/>
      <c r="BX126" s="16"/>
      <c r="BY126" s="16"/>
      <c r="BZ126" s="17"/>
      <c r="CA126" s="18"/>
      <c r="CB126" s="18"/>
      <c r="CC126" s="18"/>
      <c r="CD126" s="18"/>
      <c r="CE126" s="18"/>
      <c r="CF126" s="18"/>
      <c r="CG126" s="19"/>
      <c r="CH126" s="15"/>
      <c r="CI126" s="17"/>
      <c r="CJ126" s="10"/>
      <c r="CK126" s="10"/>
      <c r="CL126" s="10"/>
      <c r="CM126" s="17"/>
      <c r="CN126" s="17"/>
      <c r="CO126" s="10"/>
      <c r="CP126" s="10"/>
      <c r="CQ126" s="10"/>
      <c r="CR126" s="10"/>
      <c r="CS126" s="10"/>
      <c r="CT126" s="10"/>
      <c r="CU126" s="10"/>
      <c r="CV126" s="10"/>
      <c r="CW126" s="10"/>
      <c r="CX126" s="10"/>
      <c r="CY126" s="10"/>
      <c r="CZ126" s="10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</row>
    <row r="127" spans="1:135" customFormat="1">
      <c r="A127" s="71">
        <f>'Old Data'!$I123-'Old Data'!$S123</f>
        <v>-11</v>
      </c>
      <c r="B127" s="72">
        <f>VLOOKUP('Old Data'!$F123,$R$6:$T$135,2,FALSE)+VLOOKUP('Old Data'!$P123,$R$6:$T$135,3,FALSE)+$B$2</f>
        <v>139.30125729644121</v>
      </c>
      <c r="C127" s="72">
        <f>VLOOKUP('Old Data'!$P123,$R$6:$T$135,2,FALSE)+VLOOKUP('Old Data'!$F123,$R$6:$T$135,3,FALSE)+$B$2</f>
        <v>173.73501929272024</v>
      </c>
      <c r="D127" s="74">
        <f>('Old Data'!$I123-$B127)^2+('Old Data'!$S123-$C127)^2</f>
        <v>276.64381182290919</v>
      </c>
      <c r="E127" s="75">
        <f>'Old Data'!$K123-'Old Data'!$U123</f>
        <v>98</v>
      </c>
      <c r="F127" s="72">
        <f>VLOOKUP('Old Data'!$F123,$V$6:$X$135,2,FALSE)+VLOOKUP('Old Data'!$P123,$V$6:$X$135,3,FALSE)+$C$2</f>
        <v>267.62683409271591</v>
      </c>
      <c r="G127" s="72">
        <f>VLOOKUP('Old Data'!$P123,$V$6:$X$135,2,FALSE)+VLOOKUP('Old Data'!$F123,$V$6:$X$135,3,FALSE)+$C$2</f>
        <v>160.07095969546288</v>
      </c>
      <c r="H127" s="74">
        <f>('Old Data'!$K123-$F127)^2+('Old Data'!$U123-$G127)^2</f>
        <v>446.16480597626372</v>
      </c>
      <c r="I127" s="75">
        <f>('Old Data'!$L123+'Old Data'!$M123)-('Old Data'!$V123+'Old Data'!$W123)</f>
        <v>-29</v>
      </c>
      <c r="J127" s="72">
        <f>VLOOKUP('Old Data'!$F123,$Z$6:$AB$135,2,FALSE)+VLOOKUP('Old Data'!$P123,$Z$6:$AB$135,3,FALSE)+$D$2</f>
        <v>77.401520784313661</v>
      </c>
      <c r="K127" s="72">
        <f>VLOOKUP('Old Data'!$P123,$Z$6:$AB$135,2,FALSE)+VLOOKUP('Old Data'!$F123,$Z$6:$AB$135,3,FALSE)+$D$2</f>
        <v>71.351548011119888</v>
      </c>
      <c r="L127" s="74">
        <f>('Old Data'!$L123+'Old Data'!$M123-$J127)^2+('Old Data'!$V123+'Old Data'!$W123-$K127)^2</f>
        <v>999.36670948284609</v>
      </c>
      <c r="M127" s="75">
        <f>'Old Data'!$N123-'Old Data'!$X123</f>
        <v>-2</v>
      </c>
      <c r="N127" s="72">
        <f>VLOOKUP('Old Data'!$F123,$AD$6:$AF$135,2,FALSE)+VLOOKUP('Old Data'!$P123,$AD$6:$AF$135,3,FALSE)+$E$2</f>
        <v>1.9205620974562472</v>
      </c>
      <c r="O127" s="72">
        <f>VLOOKUP('Old Data'!$P123,$AD$6:$AF$135,2,FALSE)+VLOOKUP('Old Data'!$F123,$AD$6:$AF$135,3,FALSE)+$E$2</f>
        <v>1.6490940282884894</v>
      </c>
      <c r="P127" s="73">
        <f>('Old Data'!$N123-$N127)^2+('Old Data'!$X123-$O127)^2</f>
        <v>2.6723815196788658</v>
      </c>
      <c r="Q127" s="62"/>
      <c r="R127" s="90" t="s">
        <v>117</v>
      </c>
      <c r="S127" s="96">
        <v>16.355107630918098</v>
      </c>
      <c r="T127" s="96">
        <v>-27.212984224939198</v>
      </c>
      <c r="U127" s="6"/>
      <c r="V127" s="90" t="s">
        <v>117</v>
      </c>
      <c r="W127" s="96">
        <v>-1.3006668573583999</v>
      </c>
      <c r="X127" s="96">
        <v>9.7837357276624903</v>
      </c>
      <c r="Y127" s="6"/>
      <c r="Z127" s="90" t="s">
        <v>117</v>
      </c>
      <c r="AA127" s="96">
        <v>11.057190445209599</v>
      </c>
      <c r="AB127" s="96">
        <v>-23.871236436207202</v>
      </c>
      <c r="AC127" s="63"/>
      <c r="AD127" s="90" t="s">
        <v>117</v>
      </c>
      <c r="AE127" s="96">
        <v>0.17498927852971</v>
      </c>
      <c r="AF127" s="96">
        <v>0.41814948207065999</v>
      </c>
      <c r="AG127" s="63"/>
      <c r="AH127" s="37"/>
      <c r="AI127" s="22"/>
      <c r="AJ127" s="6"/>
      <c r="AK127" s="10"/>
      <c r="AL127" s="10"/>
      <c r="AM127" s="10"/>
      <c r="AN127" s="11"/>
      <c r="AO127" s="11"/>
      <c r="AP127" s="11"/>
      <c r="AQ127" s="36"/>
      <c r="AR127" s="11"/>
      <c r="AS127" s="11"/>
      <c r="AT127" s="11"/>
      <c r="AU127" s="12"/>
      <c r="AV127" s="11"/>
      <c r="AW127" s="11"/>
      <c r="AX127" s="15"/>
      <c r="AY127" s="15"/>
      <c r="AZ127" s="15"/>
      <c r="BA127" s="15"/>
      <c r="BB127" s="15"/>
      <c r="BC127" s="15"/>
      <c r="BD127" s="15"/>
      <c r="BE127" s="12"/>
      <c r="BF127" s="11"/>
      <c r="BG127" s="11"/>
      <c r="BH127" s="10"/>
      <c r="BI127" s="10"/>
      <c r="BJ127" s="10"/>
      <c r="BK127" s="23"/>
      <c r="BL127" s="23"/>
      <c r="BM127" s="23"/>
      <c r="BN127" s="23"/>
      <c r="BO127" s="23"/>
      <c r="BP127" s="23"/>
      <c r="BQ127" s="23"/>
      <c r="BR127" s="10"/>
      <c r="BS127" s="16"/>
      <c r="BT127" s="16"/>
      <c r="BU127" s="16"/>
      <c r="BV127" s="16"/>
      <c r="BW127" s="11"/>
      <c r="BX127" s="16"/>
      <c r="BY127" s="16"/>
      <c r="BZ127" s="17"/>
      <c r="CA127" s="18"/>
      <c r="CB127" s="18"/>
      <c r="CC127" s="18"/>
      <c r="CD127" s="18"/>
      <c r="CE127" s="18"/>
      <c r="CF127" s="18"/>
      <c r="CG127" s="19"/>
      <c r="CH127" s="15"/>
      <c r="CI127" s="17"/>
      <c r="CJ127" s="10"/>
      <c r="CK127" s="10"/>
      <c r="CL127" s="10"/>
      <c r="CM127" s="17"/>
      <c r="CN127" s="17"/>
      <c r="CO127" s="10"/>
      <c r="CP127" s="10"/>
      <c r="CQ127" s="10"/>
      <c r="CR127" s="10"/>
      <c r="CS127" s="10"/>
      <c r="CT127" s="10"/>
      <c r="CU127" s="10"/>
      <c r="CV127" s="10"/>
      <c r="CW127" s="10"/>
      <c r="CX127" s="10"/>
      <c r="CY127" s="10"/>
      <c r="CZ127" s="10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</row>
    <row r="128" spans="1:135" customFormat="1">
      <c r="A128" s="71">
        <f>'Old Data'!$I124-'Old Data'!$S124</f>
        <v>-179</v>
      </c>
      <c r="B128" s="72">
        <f>VLOOKUP('Old Data'!$F124,$R$6:$T$135,2,FALSE)+VLOOKUP('Old Data'!$P124,$R$6:$T$135,3,FALSE)+$B$2</f>
        <v>123.54747702482442</v>
      </c>
      <c r="C128" s="72">
        <f>VLOOKUP('Old Data'!$P124,$R$6:$T$135,2,FALSE)+VLOOKUP('Old Data'!$F124,$R$6:$T$135,3,FALSE)+$B$2</f>
        <v>267.74527879828071</v>
      </c>
      <c r="D128" s="74">
        <f>('Old Data'!$I124-$B128)^2+('Old Data'!$S124-$C128)^2</f>
        <v>5983.192748082869</v>
      </c>
      <c r="E128" s="75">
        <f>'Old Data'!$K124-'Old Data'!$U124</f>
        <v>69</v>
      </c>
      <c r="F128" s="72">
        <f>VLOOKUP('Old Data'!$F124,$V$6:$X$135,2,FALSE)+VLOOKUP('Old Data'!$P124,$V$6:$X$135,3,FALSE)+$C$2</f>
        <v>277.39208312681529</v>
      </c>
      <c r="G128" s="72">
        <f>VLOOKUP('Old Data'!$P124,$V$6:$X$135,2,FALSE)+VLOOKUP('Old Data'!$F124,$V$6:$X$135,3,FALSE)+$C$2</f>
        <v>179.14159389241169</v>
      </c>
      <c r="H128" s="74">
        <f>('Old Data'!$K124-$F128)^2+('Old Data'!$U124-$G128)^2</f>
        <v>1654.5881397485282</v>
      </c>
      <c r="I128" s="75">
        <f>('Old Data'!$L124+'Old Data'!$M124)-('Old Data'!$V124+'Old Data'!$W124)</f>
        <v>-6</v>
      </c>
      <c r="J128" s="72">
        <f>VLOOKUP('Old Data'!$F124,$Z$6:$AB$135,2,FALSE)+VLOOKUP('Old Data'!$P124,$Z$6:$AB$135,3,FALSE)+$D$2</f>
        <v>33.120334765184928</v>
      </c>
      <c r="K128" s="72">
        <f>VLOOKUP('Old Data'!$P124,$Z$6:$AB$135,2,FALSE)+VLOOKUP('Old Data'!$F124,$Z$6:$AB$135,3,FALSE)+$D$2</f>
        <v>92.822294839654518</v>
      </c>
      <c r="L128" s="74">
        <f>('Old Data'!$L124+'Old Data'!$M124-$J128)^2+('Old Data'!$V124+'Old Data'!$W124-$K128)^2</f>
        <v>1604.9845707139734</v>
      </c>
      <c r="M128" s="75">
        <f>'Old Data'!$N124-'Old Data'!$X124</f>
        <v>2</v>
      </c>
      <c r="N128" s="72">
        <f>VLOOKUP('Old Data'!$F124,$AD$6:$AF$135,2,FALSE)+VLOOKUP('Old Data'!$P124,$AD$6:$AF$135,3,FALSE)+$E$2</f>
        <v>1.6601162007769692</v>
      </c>
      <c r="O128" s="72">
        <f>VLOOKUP('Old Data'!$P124,$AD$6:$AF$135,2,FALSE)+VLOOKUP('Old Data'!$F124,$AD$6:$AF$135,3,FALSE)+$E$2</f>
        <v>1.5712649617517429</v>
      </c>
      <c r="P128" s="73">
        <f>('Old Data'!$N124-$N128)^2+('Old Data'!$X124-$O128)^2</f>
        <v>2.5843945770029877</v>
      </c>
      <c r="Q128" s="62"/>
      <c r="R128" s="90" t="s">
        <v>21</v>
      </c>
      <c r="S128" s="96">
        <v>7.7591240297267801</v>
      </c>
      <c r="T128" s="96">
        <v>-2.8367282240515701</v>
      </c>
      <c r="U128" s="6"/>
      <c r="V128" s="90" t="s">
        <v>21</v>
      </c>
      <c r="W128" s="96">
        <v>45.697376529495202</v>
      </c>
      <c r="X128" s="96">
        <v>28.763189181595699</v>
      </c>
      <c r="Y128" s="6"/>
      <c r="Z128" s="90" t="s">
        <v>21</v>
      </c>
      <c r="AA128" s="96">
        <v>-10.2832167806577</v>
      </c>
      <c r="AB128" s="96">
        <v>44.052480073904299</v>
      </c>
      <c r="AC128" s="63"/>
      <c r="AD128" s="90" t="s">
        <v>21</v>
      </c>
      <c r="AE128" s="96">
        <v>0.74512185304548995</v>
      </c>
      <c r="AF128" s="96">
        <v>-0.28666074119513502</v>
      </c>
      <c r="AG128" s="63"/>
      <c r="AH128" s="37"/>
      <c r="AI128" s="22"/>
      <c r="AJ128" s="6"/>
      <c r="AK128" s="10"/>
      <c r="AL128" s="10"/>
      <c r="AM128" s="10"/>
      <c r="AN128" s="11"/>
      <c r="AO128" s="11"/>
      <c r="AP128" s="11"/>
      <c r="AQ128" s="36"/>
      <c r="AR128" s="11"/>
      <c r="AS128" s="11"/>
      <c r="AT128" s="11"/>
      <c r="AU128" s="12"/>
      <c r="AV128" s="11"/>
      <c r="AW128" s="11"/>
      <c r="AX128" s="15"/>
      <c r="AY128" s="15"/>
      <c r="AZ128" s="15"/>
      <c r="BA128" s="15"/>
      <c r="BB128" s="15"/>
      <c r="BC128" s="15"/>
      <c r="BD128" s="15"/>
      <c r="BE128" s="12"/>
      <c r="BF128" s="11"/>
      <c r="BG128" s="11"/>
      <c r="BH128" s="10"/>
      <c r="BI128" s="10"/>
      <c r="BJ128" s="10"/>
      <c r="BK128" s="23"/>
      <c r="BL128" s="23"/>
      <c r="BM128" s="23"/>
      <c r="BN128" s="23"/>
      <c r="BO128" s="23"/>
      <c r="BP128" s="23"/>
      <c r="BQ128" s="23"/>
      <c r="BR128" s="10"/>
      <c r="BS128" s="16"/>
      <c r="BT128" s="16"/>
      <c r="BU128" s="16"/>
      <c r="BV128" s="16"/>
      <c r="BW128" s="11"/>
      <c r="BX128" s="16"/>
      <c r="BY128" s="16"/>
      <c r="BZ128" s="17"/>
      <c r="CA128" s="18"/>
      <c r="CB128" s="18"/>
      <c r="CC128" s="18"/>
      <c r="CD128" s="18"/>
      <c r="CE128" s="18"/>
      <c r="CF128" s="18"/>
      <c r="CG128" s="19"/>
      <c r="CH128" s="15"/>
      <c r="CI128" s="17"/>
      <c r="CJ128" s="10"/>
      <c r="CK128" s="10"/>
      <c r="CL128" s="10"/>
      <c r="CM128" s="17"/>
      <c r="CN128" s="17"/>
      <c r="CO128" s="10"/>
      <c r="CP128" s="10"/>
      <c r="CQ128" s="10"/>
      <c r="CR128" s="10"/>
      <c r="CS128" s="10"/>
      <c r="CT128" s="10"/>
      <c r="CU128" s="10"/>
      <c r="CV128" s="10"/>
      <c r="CW128" s="10"/>
      <c r="CX128" s="10"/>
      <c r="CY128" s="10"/>
      <c r="CZ128" s="10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</row>
    <row r="129" spans="1:135" customFormat="1">
      <c r="A129" s="71">
        <f>'Old Data'!$I125-'Old Data'!$S125</f>
        <v>-88</v>
      </c>
      <c r="B129" s="72">
        <f>VLOOKUP('Old Data'!$F125,$R$6:$T$135,2,FALSE)+VLOOKUP('Old Data'!$P125,$R$6:$T$135,3,FALSE)+$B$2</f>
        <v>81.970592576019413</v>
      </c>
      <c r="C129" s="72">
        <f>VLOOKUP('Old Data'!$P125,$R$6:$T$135,2,FALSE)+VLOOKUP('Old Data'!$F125,$R$6:$T$135,3,FALSE)+$B$2</f>
        <v>142.813895292712</v>
      </c>
      <c r="D129" s="74">
        <f>('Old Data'!$I125-$B129)^2+('Old Data'!$S125-$C129)^2</f>
        <v>4310.0857467250562</v>
      </c>
      <c r="E129" s="75">
        <f>'Old Data'!$K125-'Old Data'!$U125</f>
        <v>-10</v>
      </c>
      <c r="F129" s="72">
        <f>VLOOKUP('Old Data'!$F125,$V$6:$X$135,2,FALSE)+VLOOKUP('Old Data'!$P125,$V$6:$X$135,3,FALSE)+$C$2</f>
        <v>324.34605985304489</v>
      </c>
      <c r="G129" s="72">
        <f>VLOOKUP('Old Data'!$P125,$V$6:$X$135,2,FALSE)+VLOOKUP('Old Data'!$F125,$V$6:$X$135,3,FALSE)+$C$2</f>
        <v>372.263720406978</v>
      </c>
      <c r="H129" s="74">
        <f>('Old Data'!$K125-$F129)^2+('Old Data'!$U125-$G129)^2</f>
        <v>52364.711163197033</v>
      </c>
      <c r="I129" s="75">
        <f>('Old Data'!$L125+'Old Data'!$M125)-('Old Data'!$V125+'Old Data'!$W125)</f>
        <v>57</v>
      </c>
      <c r="J129" s="72">
        <f>VLOOKUP('Old Data'!$F125,$Z$6:$AB$135,2,FALSE)+VLOOKUP('Old Data'!$P125,$Z$6:$AB$135,3,FALSE)+$D$2</f>
        <v>88.994292060845396</v>
      </c>
      <c r="K129" s="72">
        <f>VLOOKUP('Old Data'!$P125,$Z$6:$AB$135,2,FALSE)+VLOOKUP('Old Data'!$F125,$Z$6:$AB$135,3,FALSE)+$D$2</f>
        <v>64.125727241129823</v>
      </c>
      <c r="L129" s="74">
        <f>('Old Data'!$L125+'Old Data'!$M125-$J129)^2+('Old Data'!$V125+'Old Data'!$W125-$K129)^2</f>
        <v>19700.69798250169</v>
      </c>
      <c r="M129" s="75">
        <f>'Old Data'!$N125-'Old Data'!$X125</f>
        <v>0</v>
      </c>
      <c r="N129" s="72">
        <f>VLOOKUP('Old Data'!$F125,$AD$6:$AF$135,2,FALSE)+VLOOKUP('Old Data'!$P125,$AD$6:$AF$135,3,FALSE)+$E$2</f>
        <v>1.8714347118875883</v>
      </c>
      <c r="O129" s="72">
        <f>VLOOKUP('Old Data'!$P125,$AD$6:$AF$135,2,FALSE)+VLOOKUP('Old Data'!$F125,$AD$6:$AF$135,3,FALSE)+$E$2</f>
        <v>1.2650170094532442</v>
      </c>
      <c r="P129" s="73">
        <f>('Old Data'!$N125-$N129)^2+('Old Data'!$X125-$O129)^2</f>
        <v>5.1025359150638092</v>
      </c>
      <c r="Q129" s="62"/>
      <c r="R129" s="90" t="s">
        <v>132</v>
      </c>
      <c r="S129" s="96">
        <v>-11.7888606814947</v>
      </c>
      <c r="T129" s="96">
        <v>-18.454445426213599</v>
      </c>
      <c r="U129" s="6"/>
      <c r="V129" s="90" t="s">
        <v>132</v>
      </c>
      <c r="W129" s="96">
        <v>-11.434646225347599</v>
      </c>
      <c r="X129" s="96">
        <v>-49.686028329015301</v>
      </c>
      <c r="Y129" s="6"/>
      <c r="Z129" s="90" t="s">
        <v>132</v>
      </c>
      <c r="AA129" s="96">
        <v>-16.196705440148101</v>
      </c>
      <c r="AB129" s="96">
        <v>-7.05577205058432</v>
      </c>
      <c r="AC129" s="63"/>
      <c r="AD129" s="90" t="s">
        <v>132</v>
      </c>
      <c r="AE129" s="96">
        <v>0.31396706526928603</v>
      </c>
      <c r="AF129" s="96">
        <v>-0.140116430593065</v>
      </c>
      <c r="AG129" s="63"/>
      <c r="AH129" s="37"/>
      <c r="AI129" s="22"/>
      <c r="AJ129" s="6"/>
      <c r="AK129" s="10"/>
      <c r="AL129" s="10"/>
      <c r="AM129" s="10"/>
      <c r="AN129" s="11"/>
      <c r="AO129" s="11"/>
      <c r="AP129" s="11"/>
      <c r="AQ129" s="36"/>
      <c r="AR129" s="11"/>
      <c r="AS129" s="11"/>
      <c r="AT129" s="11"/>
      <c r="AU129" s="12"/>
      <c r="AV129" s="11"/>
      <c r="AW129" s="11"/>
      <c r="AX129" s="15"/>
      <c r="AY129" s="15"/>
      <c r="AZ129" s="15"/>
      <c r="BA129" s="15"/>
      <c r="BB129" s="15"/>
      <c r="BC129" s="15"/>
      <c r="BD129" s="15"/>
      <c r="BE129" s="12"/>
      <c r="BF129" s="11"/>
      <c r="BG129" s="11"/>
      <c r="BH129" s="10"/>
      <c r="BI129" s="10"/>
      <c r="BJ129" s="10"/>
      <c r="BK129" s="23"/>
      <c r="BL129" s="23"/>
      <c r="BM129" s="23"/>
      <c r="BN129" s="23"/>
      <c r="BO129" s="23"/>
      <c r="BP129" s="23"/>
      <c r="BQ129" s="23"/>
      <c r="BR129" s="10"/>
      <c r="BS129" s="16"/>
      <c r="BT129" s="16"/>
      <c r="BU129" s="16"/>
      <c r="BV129" s="16"/>
      <c r="BW129" s="11"/>
      <c r="BX129" s="16"/>
      <c r="BY129" s="16"/>
      <c r="BZ129" s="17"/>
      <c r="CA129" s="18"/>
      <c r="CB129" s="18"/>
      <c r="CC129" s="18"/>
      <c r="CD129" s="18"/>
      <c r="CE129" s="18"/>
      <c r="CF129" s="18"/>
      <c r="CG129" s="19"/>
      <c r="CH129" s="15"/>
      <c r="CI129" s="17"/>
      <c r="CJ129" s="10"/>
      <c r="CK129" s="10"/>
      <c r="CL129" s="10"/>
      <c r="CM129" s="17"/>
      <c r="CN129" s="17"/>
      <c r="CO129" s="10"/>
      <c r="CP129" s="10"/>
      <c r="CQ129" s="10"/>
      <c r="CR129" s="10"/>
      <c r="CS129" s="10"/>
      <c r="CT129" s="10"/>
      <c r="CU129" s="10"/>
      <c r="CV129" s="10"/>
      <c r="CW129" s="10"/>
      <c r="CX129" s="10"/>
      <c r="CY129" s="10"/>
      <c r="CZ129" s="10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</row>
    <row r="130" spans="1:135" customFormat="1">
      <c r="A130" s="71">
        <f>'Old Data'!$I126-'Old Data'!$S126</f>
        <v>-199</v>
      </c>
      <c r="B130" s="72">
        <f>VLOOKUP('Old Data'!$F126,$R$6:$T$135,2,FALSE)+VLOOKUP('Old Data'!$P126,$R$6:$T$135,3,FALSE)+$B$2</f>
        <v>126.16633933037122</v>
      </c>
      <c r="C130" s="72">
        <f>VLOOKUP('Old Data'!$P126,$R$6:$T$135,2,FALSE)+VLOOKUP('Old Data'!$F126,$R$6:$T$135,3,FALSE)+$B$2</f>
        <v>255.3458935104704</v>
      </c>
      <c r="D130" s="74">
        <f>('Old Data'!$I126-$B130)^2+('Old Data'!$S126-$C130)^2</f>
        <v>3140.1136705344893</v>
      </c>
      <c r="E130" s="75">
        <f>'Old Data'!$K126-'Old Data'!$U126</f>
        <v>-101</v>
      </c>
      <c r="F130" s="72">
        <f>VLOOKUP('Old Data'!$F126,$V$6:$X$135,2,FALSE)+VLOOKUP('Old Data'!$P126,$V$6:$X$135,3,FALSE)+$C$2</f>
        <v>215.16297308829741</v>
      </c>
      <c r="G130" s="72">
        <f>VLOOKUP('Old Data'!$P126,$V$6:$X$135,2,FALSE)+VLOOKUP('Old Data'!$F126,$V$6:$X$135,3,FALSE)+$C$2</f>
        <v>343.4439153676966</v>
      </c>
      <c r="H130" s="74">
        <f>('Old Data'!$K126-$F130)^2+('Old Data'!$U126-$G130)^2</f>
        <v>1918.1879277046353</v>
      </c>
      <c r="I130" s="75">
        <f>('Old Data'!$L126+'Old Data'!$M126)-('Old Data'!$V126+'Old Data'!$W126)</f>
        <v>11</v>
      </c>
      <c r="J130" s="72">
        <f>VLOOKUP('Old Data'!$F126,$Z$6:$AB$135,2,FALSE)+VLOOKUP('Old Data'!$P126,$Z$6:$AB$135,3,FALSE)+$D$2</f>
        <v>42.409406732341253</v>
      </c>
      <c r="K130" s="72">
        <f>VLOOKUP('Old Data'!$P126,$Z$6:$AB$135,2,FALSE)+VLOOKUP('Old Data'!$F126,$Z$6:$AB$135,3,FALSE)+$D$2</f>
        <v>36.96081958742915</v>
      </c>
      <c r="L130" s="74">
        <f>('Old Data'!$L126+'Old Data'!$M126-$J130)^2+('Old Data'!$V126+'Old Data'!$W126-$K130)^2</f>
        <v>999.76758417764063</v>
      </c>
      <c r="M130" s="75">
        <f>'Old Data'!$N126-'Old Data'!$X126</f>
        <v>-2</v>
      </c>
      <c r="N130" s="72">
        <f>VLOOKUP('Old Data'!$F126,$AD$6:$AF$135,2,FALSE)+VLOOKUP('Old Data'!$P126,$AD$6:$AF$135,3,FALSE)+$E$2</f>
        <v>1.4629527548910759</v>
      </c>
      <c r="O130" s="72">
        <f>VLOOKUP('Old Data'!$P126,$AD$6:$AF$135,2,FALSE)+VLOOKUP('Old Data'!$F126,$AD$6:$AF$135,3,FALSE)+$E$2</f>
        <v>0.92048355320712516</v>
      </c>
      <c r="P130" s="73">
        <f>('Old Data'!$N126-$N130)^2+('Old Data'!$X126-$O130)^2</f>
        <v>3.305586521939702</v>
      </c>
      <c r="Q130" s="62"/>
      <c r="R130" s="90" t="s">
        <v>114</v>
      </c>
      <c r="S130" s="96">
        <v>-48.603225956174803</v>
      </c>
      <c r="T130" s="96">
        <v>-24.046488843750399</v>
      </c>
      <c r="U130" s="6"/>
      <c r="V130" s="90" t="s">
        <v>114</v>
      </c>
      <c r="W130" s="96">
        <v>171.10088767540199</v>
      </c>
      <c r="X130" s="96">
        <v>101.268321604608</v>
      </c>
      <c r="Y130" s="6"/>
      <c r="Z130" s="90" t="s">
        <v>114</v>
      </c>
      <c r="AA130" s="96">
        <v>11.599368344539499</v>
      </c>
      <c r="AB130" s="96">
        <v>5.3945250369207498</v>
      </c>
      <c r="AC130" s="63"/>
      <c r="AD130" s="90" t="s">
        <v>114</v>
      </c>
      <c r="AE130" s="96">
        <v>0.182958372906357</v>
      </c>
      <c r="AF130" s="96">
        <v>0.55647246135985795</v>
      </c>
      <c r="AG130" s="63"/>
      <c r="AH130" s="37"/>
      <c r="AI130" s="22"/>
      <c r="AJ130" s="6"/>
      <c r="AK130" s="10"/>
      <c r="AL130" s="10"/>
      <c r="AM130" s="10"/>
      <c r="AN130" s="11"/>
      <c r="AO130" s="11"/>
      <c r="AP130" s="11"/>
      <c r="AQ130" s="36"/>
      <c r="AR130" s="11"/>
      <c r="AS130" s="11"/>
      <c r="AT130" s="11"/>
      <c r="AU130" s="12"/>
      <c r="AV130" s="11"/>
      <c r="AW130" s="11"/>
      <c r="AX130" s="15"/>
      <c r="AY130" s="15"/>
      <c r="AZ130" s="15"/>
      <c r="BA130" s="15"/>
      <c r="BB130" s="15"/>
      <c r="BC130" s="15"/>
      <c r="BD130" s="15"/>
      <c r="BE130" s="12"/>
      <c r="BF130" s="11"/>
      <c r="BG130" s="11"/>
      <c r="BH130" s="10"/>
      <c r="BI130" s="10"/>
      <c r="BJ130" s="10"/>
      <c r="BK130" s="23"/>
      <c r="BL130" s="23"/>
      <c r="BM130" s="23"/>
      <c r="BN130" s="23"/>
      <c r="BO130" s="23"/>
      <c r="BP130" s="23"/>
      <c r="BQ130" s="23"/>
      <c r="BR130" s="10"/>
      <c r="BS130" s="16"/>
      <c r="BT130" s="16"/>
      <c r="BU130" s="16"/>
      <c r="BV130" s="16"/>
      <c r="BW130" s="11"/>
      <c r="BX130" s="16"/>
      <c r="BY130" s="16"/>
      <c r="BZ130" s="17"/>
      <c r="CA130" s="18"/>
      <c r="CB130" s="18"/>
      <c r="CC130" s="18"/>
      <c r="CD130" s="18"/>
      <c r="CE130" s="18"/>
      <c r="CF130" s="18"/>
      <c r="CG130" s="19"/>
      <c r="CH130" s="15"/>
      <c r="CI130" s="17"/>
      <c r="CJ130" s="10"/>
      <c r="CK130" s="10"/>
      <c r="CL130" s="10"/>
      <c r="CM130" s="17"/>
      <c r="CN130" s="17"/>
      <c r="CO130" s="10"/>
      <c r="CP130" s="10"/>
      <c r="CQ130" s="10"/>
      <c r="CR130" s="10"/>
      <c r="CS130" s="10"/>
      <c r="CT130" s="10"/>
      <c r="CU130" s="10"/>
      <c r="CV130" s="10"/>
      <c r="CW130" s="10"/>
      <c r="CX130" s="10"/>
      <c r="CY130" s="10"/>
      <c r="CZ130" s="10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</row>
    <row r="131" spans="1:135" customFormat="1">
      <c r="A131" s="71">
        <f>'Old Data'!$I127-'Old Data'!$S127</f>
        <v>25</v>
      </c>
      <c r="B131" s="72">
        <f>VLOOKUP('Old Data'!$F127,$R$6:$T$135,2,FALSE)+VLOOKUP('Old Data'!$P127,$R$6:$T$135,3,FALSE)+$B$2</f>
        <v>126.25217613944911</v>
      </c>
      <c r="C131" s="72">
        <f>VLOOKUP('Old Data'!$P127,$R$6:$T$135,2,FALSE)+VLOOKUP('Old Data'!$F127,$R$6:$T$135,3,FALSE)+$B$2</f>
        <v>114.5441144620231</v>
      </c>
      <c r="D131" s="74">
        <f>('Old Data'!$I127-$B131)^2+('Old Data'!$S127-$C131)^2</f>
        <v>421.06211658335729</v>
      </c>
      <c r="E131" s="75">
        <f>'Old Data'!$K127-'Old Data'!$U127</f>
        <v>61</v>
      </c>
      <c r="F131" s="72">
        <f>VLOOKUP('Old Data'!$F127,$V$6:$X$135,2,FALSE)+VLOOKUP('Old Data'!$P127,$V$6:$X$135,3,FALSE)+$C$2</f>
        <v>308.96260792350699</v>
      </c>
      <c r="G131" s="72">
        <f>VLOOKUP('Old Data'!$P127,$V$6:$X$135,2,FALSE)+VLOOKUP('Old Data'!$F127,$V$6:$X$135,3,FALSE)+$C$2</f>
        <v>256.71349096676477</v>
      </c>
      <c r="H131" s="74">
        <f>('Old Data'!$K127-$F131)^2+('Old Data'!$U127-$G131)^2</f>
        <v>710.85709192288493</v>
      </c>
      <c r="I131" s="75">
        <f>('Old Data'!$L127+'Old Data'!$M127)-('Old Data'!$V127+'Old Data'!$W127)</f>
        <v>35</v>
      </c>
      <c r="J131" s="72">
        <f>VLOOKUP('Old Data'!$F127,$Z$6:$AB$135,2,FALSE)+VLOOKUP('Old Data'!$P127,$Z$6:$AB$135,3,FALSE)+$D$2</f>
        <v>61.959432377512201</v>
      </c>
      <c r="K131" s="72">
        <f>VLOOKUP('Old Data'!$P127,$Z$6:$AB$135,2,FALSE)+VLOOKUP('Old Data'!$F127,$Z$6:$AB$135,3,FALSE)+$D$2</f>
        <v>33.451081501718974</v>
      </c>
      <c r="L131" s="74">
        <f>('Old Data'!$L127+'Old Data'!$M127-$J131)^2+('Old Data'!$V127+'Old Data'!$W127-$K131)^2</f>
        <v>1845.7858477522987</v>
      </c>
      <c r="M131" s="75">
        <f>'Old Data'!$N127-'Old Data'!$X127</f>
        <v>-2</v>
      </c>
      <c r="N131" s="72">
        <f>VLOOKUP('Old Data'!$F127,$AD$6:$AF$135,2,FALSE)+VLOOKUP('Old Data'!$P127,$AD$6:$AF$135,3,FALSE)+$E$2</f>
        <v>0.98150343077021895</v>
      </c>
      <c r="O131" s="72">
        <f>VLOOKUP('Old Data'!$P127,$AD$6:$AF$135,2,FALSE)+VLOOKUP('Old Data'!$F127,$AD$6:$AF$135,3,FALSE)+$E$2</f>
        <v>1.4568066080117172</v>
      </c>
      <c r="P131" s="73">
        <f>('Old Data'!$N127-$N131)^2+('Old Data'!$X127-$O131)^2</f>
        <v>1.2584080457134461</v>
      </c>
      <c r="Q131" s="62"/>
      <c r="R131" s="90" t="s">
        <v>35</v>
      </c>
      <c r="S131" s="96">
        <v>88.988185475308498</v>
      </c>
      <c r="T131" s="96">
        <v>-87.196083537492498</v>
      </c>
      <c r="U131" s="6"/>
      <c r="V131" s="90" t="s">
        <v>35</v>
      </c>
      <c r="W131" s="96">
        <v>-4.85601596668171</v>
      </c>
      <c r="X131" s="96">
        <v>-55.928170823940498</v>
      </c>
      <c r="Y131" s="6"/>
      <c r="Z131" s="90" t="s">
        <v>35</v>
      </c>
      <c r="AA131" s="96">
        <v>12.567842209139901</v>
      </c>
      <c r="AB131" s="96">
        <v>-33.051478426796997</v>
      </c>
      <c r="AC131" s="63"/>
      <c r="AD131" s="90" t="s">
        <v>35</v>
      </c>
      <c r="AE131" s="96">
        <v>0.17628652442994899</v>
      </c>
      <c r="AF131" s="96">
        <v>6.5174957867366198E-2</v>
      </c>
      <c r="AG131" s="63"/>
      <c r="AH131" s="37"/>
      <c r="AI131" s="22"/>
      <c r="AJ131" s="6"/>
      <c r="AK131" s="10"/>
      <c r="AL131" s="10"/>
      <c r="AM131" s="10"/>
      <c r="AN131" s="11"/>
      <c r="AO131" s="11"/>
      <c r="AP131" s="11"/>
      <c r="AQ131" s="36"/>
      <c r="AR131" s="11"/>
      <c r="AS131" s="11"/>
      <c r="AT131" s="11"/>
      <c r="AU131" s="12"/>
      <c r="AV131" s="11"/>
      <c r="AW131" s="11"/>
      <c r="AX131" s="15"/>
      <c r="AY131" s="15"/>
      <c r="AZ131" s="15"/>
      <c r="BA131" s="15"/>
      <c r="BB131" s="15"/>
      <c r="BC131" s="15"/>
      <c r="BD131" s="15"/>
      <c r="BE131" s="12"/>
      <c r="BF131" s="11"/>
      <c r="BG131" s="11"/>
      <c r="BH131" s="10"/>
      <c r="BI131" s="10"/>
      <c r="BJ131" s="10"/>
      <c r="BK131" s="23"/>
      <c r="BL131" s="23"/>
      <c r="BM131" s="23"/>
      <c r="BN131" s="23"/>
      <c r="BO131" s="23"/>
      <c r="BP131" s="23"/>
      <c r="BQ131" s="23"/>
      <c r="BR131" s="10"/>
      <c r="BS131" s="16"/>
      <c r="BT131" s="16"/>
      <c r="BU131" s="16"/>
      <c r="BV131" s="16"/>
      <c r="BW131" s="11"/>
      <c r="BX131" s="16"/>
      <c r="BY131" s="16"/>
      <c r="BZ131" s="17"/>
      <c r="CA131" s="18"/>
      <c r="CB131" s="18"/>
      <c r="CC131" s="18"/>
      <c r="CD131" s="18"/>
      <c r="CE131" s="18"/>
      <c r="CF131" s="18"/>
      <c r="CG131" s="19"/>
      <c r="CH131" s="15"/>
      <c r="CI131" s="17"/>
      <c r="CJ131" s="10"/>
      <c r="CK131" s="10"/>
      <c r="CL131" s="10"/>
      <c r="CM131" s="17"/>
      <c r="CN131" s="17"/>
      <c r="CO131" s="10"/>
      <c r="CP131" s="10"/>
      <c r="CQ131" s="10"/>
      <c r="CR131" s="10"/>
      <c r="CS131" s="10"/>
      <c r="CT131" s="10"/>
      <c r="CU131" s="10"/>
      <c r="CV131" s="10"/>
      <c r="CW131" s="10"/>
      <c r="CX131" s="10"/>
      <c r="CY131" s="10"/>
      <c r="CZ131" s="10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</row>
    <row r="132" spans="1:135" customFormat="1">
      <c r="A132" s="71">
        <f>'Old Data'!$I128-'Old Data'!$S128</f>
        <v>51</v>
      </c>
      <c r="B132" s="72">
        <f>VLOOKUP('Old Data'!$F128,$R$6:$T$135,2,FALSE)+VLOOKUP('Old Data'!$P128,$R$6:$T$135,3,FALSE)+$B$2</f>
        <v>194.00959127995512</v>
      </c>
      <c r="C132" s="72">
        <f>VLOOKUP('Old Data'!$P128,$R$6:$T$135,2,FALSE)+VLOOKUP('Old Data'!$F128,$R$6:$T$135,3,FALSE)+$B$2</f>
        <v>123.02954061931901</v>
      </c>
      <c r="D132" s="74">
        <f>('Old Data'!$I128-$B132)^2+('Old Data'!$S128-$C132)^2</f>
        <v>326.97586746517709</v>
      </c>
      <c r="E132" s="75">
        <f>'Old Data'!$K128-'Old Data'!$U128</f>
        <v>6</v>
      </c>
      <c r="F132" s="72">
        <f>VLOOKUP('Old Data'!$F128,$V$6:$X$135,2,FALSE)+VLOOKUP('Old Data'!$P128,$V$6:$X$135,3,FALSE)+$C$2</f>
        <v>243.07899757183739</v>
      </c>
      <c r="G132" s="72">
        <f>VLOOKUP('Old Data'!$P128,$V$6:$X$135,2,FALSE)+VLOOKUP('Old Data'!$F128,$V$6:$X$135,3,FALSE)+$C$2</f>
        <v>277.45737924699972</v>
      </c>
      <c r="H132" s="74">
        <f>('Old Data'!$K128-$F132)^2+('Old Data'!$U128-$G132)^2</f>
        <v>836.5689643114581</v>
      </c>
      <c r="I132" s="75">
        <f>('Old Data'!$L128+'Old Data'!$M128)-('Old Data'!$V128+'Old Data'!$W128)</f>
        <v>-22</v>
      </c>
      <c r="J132" s="72">
        <f>VLOOKUP('Old Data'!$F128,$Z$6:$AB$135,2,FALSE)+VLOOKUP('Old Data'!$P128,$Z$6:$AB$135,3,FALSE)+$D$2</f>
        <v>49.558685667476198</v>
      </c>
      <c r="K132" s="72">
        <f>VLOOKUP('Old Data'!$P128,$Z$6:$AB$135,2,FALSE)+VLOOKUP('Old Data'!$F128,$Z$6:$AB$135,3,FALSE)+$D$2</f>
        <v>68.505965069769076</v>
      </c>
      <c r="L132" s="74">
        <f>('Old Data'!$L128+'Old Data'!$M128-$J132)^2+('Old Data'!$V128+'Old Data'!$W128-$K132)^2</f>
        <v>394.85142073987822</v>
      </c>
      <c r="M132" s="75">
        <f>'Old Data'!$N128-'Old Data'!$X128</f>
        <v>3</v>
      </c>
      <c r="N132" s="72">
        <f>VLOOKUP('Old Data'!$F128,$AD$6:$AF$135,2,FALSE)+VLOOKUP('Old Data'!$P128,$AD$6:$AF$135,3,FALSE)+$E$2</f>
        <v>2.3853153963959461</v>
      </c>
      <c r="O132" s="72">
        <f>VLOOKUP('Old Data'!$P128,$AD$6:$AF$135,2,FALSE)+VLOOKUP('Old Data'!$F128,$AD$6:$AF$135,3,FALSE)+$E$2</f>
        <v>1.1748593717575582</v>
      </c>
      <c r="P132" s="73">
        <f>('Old Data'!$N128-$N132)^2+('Old Data'!$X128-$O132)^2</f>
        <v>1.7581317053144372</v>
      </c>
      <c r="Q132" s="62"/>
      <c r="R132" s="90" t="s">
        <v>36</v>
      </c>
      <c r="S132" s="96">
        <v>-63.588517103908202</v>
      </c>
      <c r="T132" s="96">
        <v>-32.332627965267903</v>
      </c>
      <c r="U132" s="6"/>
      <c r="V132" s="90" t="s">
        <v>36</v>
      </c>
      <c r="W132" s="96">
        <v>-5.7164714860596701</v>
      </c>
      <c r="X132" s="96">
        <v>-21.468391377171301</v>
      </c>
      <c r="Y132" s="6"/>
      <c r="Z132" s="90" t="s">
        <v>36</v>
      </c>
      <c r="AA132" s="96">
        <v>-9.7983056492061102</v>
      </c>
      <c r="AB132" s="96">
        <v>2.4642443611223599</v>
      </c>
      <c r="AC132" s="63"/>
      <c r="AD132" s="90" t="s">
        <v>36</v>
      </c>
      <c r="AE132" s="96">
        <v>-0.13788658267943399</v>
      </c>
      <c r="AF132" s="96">
        <v>-0.18280077241481099</v>
      </c>
      <c r="AG132" s="63"/>
      <c r="AH132" s="37"/>
      <c r="AI132" s="22"/>
      <c r="AJ132" s="6"/>
      <c r="AK132" s="10"/>
      <c r="AL132" s="10"/>
      <c r="AM132" s="10"/>
      <c r="AN132" s="11"/>
      <c r="AO132" s="11"/>
      <c r="AP132" s="11"/>
      <c r="AQ132" s="36"/>
      <c r="AR132" s="11"/>
      <c r="AS132" s="11"/>
      <c r="AT132" s="11"/>
      <c r="AU132" s="12"/>
      <c r="AV132" s="11"/>
      <c r="AW132" s="11"/>
      <c r="AX132" s="15"/>
      <c r="AY132" s="15"/>
      <c r="AZ132" s="15"/>
      <c r="BA132" s="15"/>
      <c r="BB132" s="15"/>
      <c r="BC132" s="15"/>
      <c r="BD132" s="15"/>
      <c r="BE132" s="12"/>
      <c r="BF132" s="11"/>
      <c r="BG132" s="11"/>
      <c r="BH132" s="10"/>
      <c r="BI132" s="10"/>
      <c r="BJ132" s="10"/>
      <c r="BK132" s="23"/>
      <c r="BL132" s="23"/>
      <c r="BM132" s="23"/>
      <c r="BN132" s="23"/>
      <c r="BO132" s="23"/>
      <c r="BP132" s="23"/>
      <c r="BQ132" s="23"/>
      <c r="BR132" s="10"/>
      <c r="BS132" s="16"/>
      <c r="BT132" s="16"/>
      <c r="BU132" s="16"/>
      <c r="BV132" s="16"/>
      <c r="BW132" s="11"/>
      <c r="BX132" s="16"/>
      <c r="BY132" s="16"/>
      <c r="BZ132" s="17"/>
      <c r="CA132" s="18"/>
      <c r="CB132" s="18"/>
      <c r="CC132" s="18"/>
      <c r="CD132" s="18"/>
      <c r="CE132" s="18"/>
      <c r="CF132" s="18"/>
      <c r="CG132" s="19"/>
      <c r="CH132" s="15"/>
      <c r="CI132" s="17"/>
      <c r="CJ132" s="10"/>
      <c r="CK132" s="10"/>
      <c r="CL132" s="10"/>
      <c r="CM132" s="17"/>
      <c r="CN132" s="17"/>
      <c r="CO132" s="10"/>
      <c r="CP132" s="10"/>
      <c r="CQ132" s="10"/>
      <c r="CR132" s="10"/>
      <c r="CS132" s="10"/>
      <c r="CT132" s="10"/>
      <c r="CU132" s="10"/>
      <c r="CV132" s="10"/>
      <c r="CW132" s="10"/>
      <c r="CX132" s="10"/>
      <c r="CY132" s="10"/>
      <c r="CZ132" s="10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</row>
    <row r="133" spans="1:135" customFormat="1">
      <c r="A133" s="71">
        <f>'Old Data'!$I129-'Old Data'!$S129</f>
        <v>240</v>
      </c>
      <c r="B133" s="72">
        <f>VLOOKUP('Old Data'!$F129,$R$6:$T$135,2,FALSE)+VLOOKUP('Old Data'!$P129,$R$6:$T$135,3,FALSE)+$B$2</f>
        <v>226.73909385634266</v>
      </c>
      <c r="C133" s="72">
        <f>VLOOKUP('Old Data'!$P129,$R$6:$T$135,2,FALSE)+VLOOKUP('Old Data'!$F129,$R$6:$T$135,3,FALSE)+$B$2</f>
        <v>262.05045164836588</v>
      </c>
      <c r="D133" s="74">
        <f>('Old Data'!$I129-$B133)^2+('Old Data'!$S129-$C133)^2</f>
        <v>52554.681728885844</v>
      </c>
      <c r="E133" s="75">
        <f>'Old Data'!$K129-'Old Data'!$U129</f>
        <v>118</v>
      </c>
      <c r="F133" s="72">
        <f>VLOOKUP('Old Data'!$F129,$V$6:$X$135,2,FALSE)+VLOOKUP('Old Data'!$P129,$V$6:$X$135,3,FALSE)+$C$2</f>
        <v>275.04257111481598</v>
      </c>
      <c r="G133" s="72">
        <f>VLOOKUP('Old Data'!$P129,$V$6:$X$135,2,FALSE)+VLOOKUP('Old Data'!$F129,$V$6:$X$135,3,FALSE)+$C$2</f>
        <v>191.1533619984672</v>
      </c>
      <c r="H133" s="74">
        <f>('Old Data'!$K129-$F133)^2+('Old Data'!$U129-$G133)^2</f>
        <v>5208.6018011217175</v>
      </c>
      <c r="I133" s="75">
        <f>('Old Data'!$L129+'Old Data'!$M129)-('Old Data'!$V129+'Old Data'!$W129)</f>
        <v>7</v>
      </c>
      <c r="J133" s="72">
        <f>VLOOKUP('Old Data'!$F129,$Z$6:$AB$135,2,FALSE)+VLOOKUP('Old Data'!$P129,$Z$6:$AB$135,3,FALSE)+$D$2</f>
        <v>79.304871795051341</v>
      </c>
      <c r="K133" s="72">
        <f>VLOOKUP('Old Data'!$P129,$Z$6:$AB$135,2,FALSE)+VLOOKUP('Old Data'!$F129,$Z$6:$AB$135,3,FALSE)+$D$2</f>
        <v>12.719998493506395</v>
      </c>
      <c r="L133" s="74">
        <f>('Old Data'!$L129+'Old Data'!$M129-$J133)^2+('Old Data'!$V129+'Old Data'!$W129-$K133)^2</f>
        <v>1779.7534833118816</v>
      </c>
      <c r="M133" s="75">
        <f>'Old Data'!$N129-'Old Data'!$X129</f>
        <v>3</v>
      </c>
      <c r="N133" s="72">
        <f>VLOOKUP('Old Data'!$F129,$AD$6:$AF$135,2,FALSE)+VLOOKUP('Old Data'!$P129,$AD$6:$AF$135,3,FALSE)+$E$2</f>
        <v>1.601479343260912</v>
      </c>
      <c r="O133" s="72">
        <f>VLOOKUP('Old Data'!$P129,$AD$6:$AF$135,2,FALSE)+VLOOKUP('Old Data'!$F129,$AD$6:$AF$135,3,FALSE)+$E$2</f>
        <v>1.4700677099334227</v>
      </c>
      <c r="P133" s="73">
        <f>('Old Data'!$N129-$N133)^2+('Old Data'!$X129-$O133)^2</f>
        <v>4.1169590991148279</v>
      </c>
      <c r="Q133" s="62"/>
      <c r="R133" s="90" t="s">
        <v>37</v>
      </c>
      <c r="S133" s="96">
        <v>9.0265062672856704</v>
      </c>
      <c r="T133" s="96">
        <v>27.430368450354301</v>
      </c>
      <c r="U133" s="6"/>
      <c r="V133" s="90" t="s">
        <v>37</v>
      </c>
      <c r="W133" s="96">
        <v>1.0713215695989899</v>
      </c>
      <c r="X133" s="96">
        <v>21.151359048433601</v>
      </c>
      <c r="Y133" s="6"/>
      <c r="Z133" s="90" t="s">
        <v>37</v>
      </c>
      <c r="AA133" s="96">
        <v>6.61402635075794</v>
      </c>
      <c r="AB133" s="96">
        <v>10.774058604898601</v>
      </c>
      <c r="AC133" s="63"/>
      <c r="AD133" s="90" t="s">
        <v>37</v>
      </c>
      <c r="AE133" s="96">
        <v>0.40098329634058899</v>
      </c>
      <c r="AF133" s="96">
        <v>6.9962587466653903E-2</v>
      </c>
      <c r="AG133" s="63"/>
      <c r="AH133" s="37"/>
      <c r="AI133" s="22"/>
      <c r="AJ133" s="6"/>
      <c r="AK133" s="10"/>
      <c r="AL133" s="10"/>
      <c r="AM133" s="10"/>
      <c r="AN133" s="11"/>
      <c r="AO133" s="11"/>
      <c r="AP133" s="11"/>
      <c r="AQ133" s="36"/>
      <c r="AR133" s="11"/>
      <c r="AS133" s="11"/>
      <c r="AT133" s="11"/>
      <c r="AU133" s="12"/>
      <c r="AV133" s="11"/>
      <c r="AW133" s="11"/>
      <c r="AX133" s="15"/>
      <c r="AY133" s="15"/>
      <c r="AZ133" s="15"/>
      <c r="BA133" s="15"/>
      <c r="BB133" s="15"/>
      <c r="BC133" s="15"/>
      <c r="BD133" s="15"/>
      <c r="BE133" s="12"/>
      <c r="BF133" s="11"/>
      <c r="BG133" s="11"/>
      <c r="BH133" s="10"/>
      <c r="BI133" s="10"/>
      <c r="BJ133" s="10"/>
      <c r="BK133" s="23"/>
      <c r="BL133" s="23"/>
      <c r="BM133" s="23"/>
      <c r="BN133" s="23"/>
      <c r="BO133" s="23"/>
      <c r="BP133" s="23"/>
      <c r="BQ133" s="23"/>
      <c r="BR133" s="10"/>
      <c r="BS133" s="16"/>
      <c r="BT133" s="16"/>
      <c r="BU133" s="16"/>
      <c r="BV133" s="16"/>
      <c r="BW133" s="11"/>
      <c r="BX133" s="16"/>
      <c r="BY133" s="16"/>
      <c r="BZ133" s="17"/>
      <c r="CA133" s="18"/>
      <c r="CB133" s="18"/>
      <c r="CC133" s="18"/>
      <c r="CD133" s="18"/>
      <c r="CE133" s="18"/>
      <c r="CF133" s="18"/>
      <c r="CG133" s="19"/>
      <c r="CH133" s="15"/>
      <c r="CI133" s="17"/>
      <c r="CJ133" s="10"/>
      <c r="CK133" s="10"/>
      <c r="CL133" s="10"/>
      <c r="CM133" s="17"/>
      <c r="CN133" s="17"/>
      <c r="CO133" s="10"/>
      <c r="CP133" s="10"/>
      <c r="CQ133" s="10"/>
      <c r="CR133" s="10"/>
      <c r="CS133" s="10"/>
      <c r="CT133" s="10"/>
      <c r="CU133" s="10"/>
      <c r="CV133" s="10"/>
      <c r="CW133" s="10"/>
      <c r="CX133" s="10"/>
      <c r="CY133" s="10"/>
      <c r="CZ133" s="10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</row>
    <row r="134" spans="1:135" customFormat="1">
      <c r="A134" s="71">
        <f>'Old Data'!$I130-'Old Data'!$S130</f>
        <v>29</v>
      </c>
      <c r="B134" s="72">
        <f>VLOOKUP('Old Data'!$F130,$R$6:$T$135,2,FALSE)+VLOOKUP('Old Data'!$P130,$R$6:$T$135,3,FALSE)+$B$2</f>
        <v>99.024324215582396</v>
      </c>
      <c r="C134" s="72">
        <f>VLOOKUP('Old Data'!$P130,$R$6:$T$135,2,FALSE)+VLOOKUP('Old Data'!$F130,$R$6:$T$135,3,FALSE)+$B$2</f>
        <v>81.545222493756796</v>
      </c>
      <c r="D134" s="74">
        <f>('Old Data'!$I130-$B134)^2+('Old Data'!$S130-$C134)^2</f>
        <v>9372.9998411156121</v>
      </c>
      <c r="E134" s="75">
        <f>'Old Data'!$K130-'Old Data'!$U130</f>
        <v>47</v>
      </c>
      <c r="F134" s="72">
        <f>VLOOKUP('Old Data'!$F130,$V$6:$X$135,2,FALSE)+VLOOKUP('Old Data'!$P130,$V$6:$X$135,3,FALSE)+$C$2</f>
        <v>265.30490411442048</v>
      </c>
      <c r="G134" s="72">
        <f>VLOOKUP('Old Data'!$P130,$V$6:$X$135,2,FALSE)+VLOOKUP('Old Data'!$F130,$V$6:$X$135,3,FALSE)+$C$2</f>
        <v>215.3991130845489</v>
      </c>
      <c r="H134" s="74">
        <f>('Old Data'!$K130-$F134)^2+('Old Data'!$U130-$G134)^2</f>
        <v>137.00133848038394</v>
      </c>
      <c r="I134" s="75">
        <f>('Old Data'!$L130+'Old Data'!$M130)-('Old Data'!$V130+'Old Data'!$W130)</f>
        <v>38</v>
      </c>
      <c r="J134" s="72">
        <f>VLOOKUP('Old Data'!$F130,$Z$6:$AB$135,2,FALSE)+VLOOKUP('Old Data'!$P130,$Z$6:$AB$135,3,FALSE)+$D$2</f>
        <v>52.477542857558426</v>
      </c>
      <c r="K134" s="72">
        <f>VLOOKUP('Old Data'!$P130,$Z$6:$AB$135,2,FALSE)+VLOOKUP('Old Data'!$F130,$Z$6:$AB$135,3,FALSE)+$D$2</f>
        <v>31.109540559065678</v>
      </c>
      <c r="L134" s="74">
        <f>('Old Data'!$L130+'Old Data'!$M130-$J134)^2+('Old Data'!$V130+'Old Data'!$W130-$K134)^2</f>
        <v>487.13275499165798</v>
      </c>
      <c r="M134" s="75">
        <f>'Old Data'!$N130-'Old Data'!$X130</f>
        <v>-1</v>
      </c>
      <c r="N134" s="72">
        <f>VLOOKUP('Old Data'!$F130,$AD$6:$AF$135,2,FALSE)+VLOOKUP('Old Data'!$P130,$AD$6:$AF$135,3,FALSE)+$E$2</f>
        <v>1.231661869056746</v>
      </c>
      <c r="O134" s="72">
        <f>VLOOKUP('Old Data'!$P130,$AD$6:$AF$135,2,FALSE)+VLOOKUP('Old Data'!$F130,$AD$6:$AF$135,3,FALSE)+$E$2</f>
        <v>1.395356294177843</v>
      </c>
      <c r="P134" s="73">
        <f>('Old Data'!$N130-$N134)^2+('Old Data'!$X130-$O134)^2</f>
        <v>1.6732975590343941</v>
      </c>
      <c r="Q134" s="62"/>
      <c r="R134" s="90" t="s">
        <v>133</v>
      </c>
      <c r="S134" s="96">
        <v>-44.124694297834701</v>
      </c>
      <c r="T134" s="96">
        <v>-44.104169836319599</v>
      </c>
      <c r="U134" s="6"/>
      <c r="V134" s="90" t="s">
        <v>133</v>
      </c>
      <c r="W134" s="96">
        <v>13.2767086270983</v>
      </c>
      <c r="X134" s="96">
        <v>2.80614896961219</v>
      </c>
      <c r="Y134" s="6"/>
      <c r="Z134" s="90" t="s">
        <v>133</v>
      </c>
      <c r="AA134" s="96">
        <v>3.0808749479216799</v>
      </c>
      <c r="AB134" s="96">
        <v>-21.590086290798698</v>
      </c>
      <c r="AC134" s="63"/>
      <c r="AD134" s="90" t="s">
        <v>133</v>
      </c>
      <c r="AE134" s="96">
        <v>-0.47203607732680303</v>
      </c>
      <c r="AF134" s="96">
        <v>0.56419927709316098</v>
      </c>
      <c r="AG134" s="63"/>
      <c r="AH134" s="37"/>
      <c r="AI134" s="22"/>
      <c r="AJ134" s="6"/>
      <c r="AK134" s="10"/>
      <c r="AL134" s="10"/>
      <c r="AM134" s="10"/>
      <c r="AN134" s="11"/>
      <c r="AO134" s="11"/>
      <c r="AP134" s="11"/>
      <c r="AQ134" s="36"/>
      <c r="AR134" s="11"/>
      <c r="AS134" s="11"/>
      <c r="AT134" s="11"/>
      <c r="AU134" s="12"/>
      <c r="AV134" s="11"/>
      <c r="AW134" s="11"/>
      <c r="AX134" s="15"/>
      <c r="AY134" s="15"/>
      <c r="AZ134" s="15"/>
      <c r="BA134" s="15"/>
      <c r="BB134" s="15"/>
      <c r="BC134" s="15"/>
      <c r="BD134" s="15"/>
      <c r="BE134" s="12"/>
      <c r="BF134" s="11"/>
      <c r="BG134" s="11"/>
      <c r="BH134" s="10"/>
      <c r="BI134" s="10"/>
      <c r="BJ134" s="10"/>
      <c r="BK134" s="23"/>
      <c r="BL134" s="23"/>
      <c r="BM134" s="23"/>
      <c r="BN134" s="23"/>
      <c r="BO134" s="23"/>
      <c r="BP134" s="23"/>
      <c r="BQ134" s="23"/>
      <c r="BR134" s="10"/>
      <c r="BS134" s="16"/>
      <c r="BT134" s="16"/>
      <c r="BU134" s="16"/>
      <c r="BV134" s="16"/>
      <c r="BW134" s="11"/>
      <c r="BX134" s="16"/>
      <c r="BY134" s="16"/>
      <c r="BZ134" s="17"/>
      <c r="CA134" s="18"/>
      <c r="CB134" s="18"/>
      <c r="CC134" s="18"/>
      <c r="CD134" s="18"/>
      <c r="CE134" s="18"/>
      <c r="CF134" s="18"/>
      <c r="CG134" s="19"/>
      <c r="CH134" s="15"/>
      <c r="CI134" s="17"/>
      <c r="CJ134" s="10"/>
      <c r="CK134" s="10"/>
      <c r="CL134" s="10"/>
      <c r="CM134" s="17"/>
      <c r="CN134" s="17"/>
      <c r="CO134" s="10"/>
      <c r="CP134" s="10"/>
      <c r="CQ134" s="10"/>
      <c r="CR134" s="10"/>
      <c r="CS134" s="10"/>
      <c r="CT134" s="10"/>
      <c r="CU134" s="10"/>
      <c r="CV134" s="10"/>
      <c r="CW134" s="10"/>
      <c r="CX134" s="10"/>
      <c r="CY134" s="10"/>
      <c r="CZ134" s="10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</row>
    <row r="135" spans="1:135" customFormat="1">
      <c r="A135" s="71">
        <f>'Old Data'!$I131-'Old Data'!$S131</f>
        <v>-289</v>
      </c>
      <c r="B135" s="72">
        <f>VLOOKUP('Old Data'!$F131,$R$6:$T$135,2,FALSE)+VLOOKUP('Old Data'!$P131,$R$6:$T$135,3,FALSE)+$B$2</f>
        <v>166.4846145359009</v>
      </c>
      <c r="C135" s="72">
        <f>VLOOKUP('Old Data'!$P131,$R$6:$T$135,2,FALSE)+VLOOKUP('Old Data'!$F131,$R$6:$T$135,3,FALSE)+$B$2</f>
        <v>310.19325424057513</v>
      </c>
      <c r="D135" s="74">
        <f>('Old Data'!$I131-$B135)^2+('Old Data'!$S131-$C135)^2</f>
        <v>14225.138287272606</v>
      </c>
      <c r="E135" s="75">
        <f>'Old Data'!$K131-'Old Data'!$U131</f>
        <v>191</v>
      </c>
      <c r="F135" s="72">
        <f>VLOOKUP('Old Data'!$F131,$V$6:$X$135,2,FALSE)+VLOOKUP('Old Data'!$P131,$V$6:$X$135,3,FALSE)+$C$2</f>
        <v>146.21438917926798</v>
      </c>
      <c r="G135" s="72">
        <f>VLOOKUP('Old Data'!$P131,$V$6:$X$135,2,FALSE)+VLOOKUP('Old Data'!$F131,$V$6:$X$135,3,FALSE)+$C$2</f>
        <v>99.903453341974682</v>
      </c>
      <c r="H135" s="74">
        <f>('Old Data'!$K131-$F135)^2+('Old Data'!$U131-$G135)^2</f>
        <v>10650.208595473445</v>
      </c>
      <c r="I135" s="75">
        <f>('Old Data'!$L131+'Old Data'!$M131)-('Old Data'!$V131+'Old Data'!$W131)</f>
        <v>97</v>
      </c>
      <c r="J135" s="72">
        <f>VLOOKUP('Old Data'!$F131,$Z$6:$AB$135,2,FALSE)+VLOOKUP('Old Data'!$P131,$Z$6:$AB$135,3,FALSE)+$D$2</f>
        <v>67.513062158803663</v>
      </c>
      <c r="K135" s="72">
        <f>VLOOKUP('Old Data'!$P131,$Z$6:$AB$135,2,FALSE)+VLOOKUP('Old Data'!$F131,$Z$6:$AB$135,3,FALSE)+$D$2</f>
        <v>15.021542411559942</v>
      </c>
      <c r="L135" s="74">
        <f>('Old Data'!$L131+'Old Data'!$M131-$J135)^2+('Old Data'!$V131+'Old Data'!$W131-$K135)^2</f>
        <v>1340.7109848285074</v>
      </c>
      <c r="M135" s="75">
        <f>'Old Data'!$N131-'Old Data'!$X131</f>
        <v>-1</v>
      </c>
      <c r="N135" s="72">
        <f>VLOOKUP('Old Data'!$F131,$AD$6:$AF$135,2,FALSE)+VLOOKUP('Old Data'!$P131,$AD$6:$AF$135,3,FALSE)+$E$2</f>
        <v>1.2786438328583816</v>
      </c>
      <c r="O135" s="72">
        <f>VLOOKUP('Old Data'!$P131,$AD$6:$AF$135,2,FALSE)+VLOOKUP('Old Data'!$F131,$AD$6:$AF$135,3,FALSE)+$E$2</f>
        <v>1.550220232029337</v>
      </c>
      <c r="P135" s="73">
        <f>('Old Data'!$N131-$N135)^2+('Old Data'!$X131-$O135)^2</f>
        <v>2.622216095490316</v>
      </c>
      <c r="Q135" s="62"/>
      <c r="R135" s="90" t="s">
        <v>10</v>
      </c>
      <c r="S135" s="96">
        <v>35.420484621092903</v>
      </c>
      <c r="T135" s="96">
        <v>-36.573215360624999</v>
      </c>
      <c r="U135" s="6"/>
      <c r="V135" s="90" t="s">
        <v>10</v>
      </c>
      <c r="W135" s="96">
        <v>-85.148683262728895</v>
      </c>
      <c r="X135" s="96">
        <v>40.337477996464997</v>
      </c>
      <c r="Y135" s="6"/>
      <c r="Z135" s="90" t="s">
        <v>10</v>
      </c>
      <c r="AA135" s="96">
        <v>-13.7303143137184</v>
      </c>
      <c r="AB135" s="96">
        <v>-6.0575118165273096</v>
      </c>
      <c r="AC135" s="63"/>
      <c r="AD135" s="90" t="s">
        <v>10</v>
      </c>
      <c r="AE135" s="96">
        <v>0.11036014886018</v>
      </c>
      <c r="AF135" s="96">
        <v>-0.145051655539638</v>
      </c>
      <c r="AG135" s="63"/>
      <c r="AH135" s="37"/>
      <c r="AI135" s="22"/>
      <c r="AJ135" s="6"/>
      <c r="AK135" s="10"/>
      <c r="AL135" s="10"/>
      <c r="AM135" s="10"/>
      <c r="AN135" s="11"/>
      <c r="AO135" s="11"/>
      <c r="AP135" s="11"/>
      <c r="AQ135" s="36"/>
      <c r="AR135" s="11"/>
      <c r="AS135" s="11"/>
      <c r="AT135" s="11"/>
      <c r="AU135" s="12"/>
      <c r="AV135" s="11"/>
      <c r="AW135" s="11"/>
      <c r="AX135" s="15"/>
      <c r="AY135" s="15"/>
      <c r="AZ135" s="15"/>
      <c r="BA135" s="15"/>
      <c r="BB135" s="15"/>
      <c r="BC135" s="15"/>
      <c r="BD135" s="15"/>
      <c r="BE135" s="12"/>
      <c r="BF135" s="11"/>
      <c r="BG135" s="11"/>
      <c r="BH135" s="10"/>
      <c r="BI135" s="10"/>
      <c r="BJ135" s="10"/>
      <c r="BK135" s="23"/>
      <c r="BL135" s="23"/>
      <c r="BM135" s="23"/>
      <c r="BN135" s="23"/>
      <c r="BO135" s="23"/>
      <c r="BP135" s="23"/>
      <c r="BQ135" s="23"/>
      <c r="BR135" s="10"/>
      <c r="BS135" s="16"/>
      <c r="BT135" s="16"/>
      <c r="BU135" s="16"/>
      <c r="BV135" s="16"/>
      <c r="BW135" s="11"/>
      <c r="BX135" s="16"/>
      <c r="BY135" s="16"/>
      <c r="BZ135" s="17"/>
      <c r="CA135" s="18"/>
      <c r="CB135" s="18"/>
      <c r="CC135" s="18"/>
      <c r="CD135" s="18"/>
      <c r="CE135" s="18"/>
      <c r="CF135" s="18"/>
      <c r="CG135" s="19"/>
      <c r="CH135" s="15"/>
      <c r="CI135" s="17"/>
      <c r="CJ135" s="10"/>
      <c r="CK135" s="10"/>
      <c r="CL135" s="10"/>
      <c r="CM135" s="17"/>
      <c r="CN135" s="17"/>
      <c r="CO135" s="10"/>
      <c r="CP135" s="10"/>
      <c r="CQ135" s="10"/>
      <c r="CR135" s="10"/>
      <c r="CS135" s="10"/>
      <c r="CT135" s="10"/>
      <c r="CU135" s="10"/>
      <c r="CV135" s="10"/>
      <c r="CW135" s="10"/>
      <c r="CX135" s="10"/>
      <c r="CY135" s="10"/>
      <c r="CZ135" s="10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</row>
    <row r="136" spans="1:135" customFormat="1">
      <c r="A136" s="71">
        <f>'Old Data'!$I132-'Old Data'!$S132</f>
        <v>-127</v>
      </c>
      <c r="B136" s="72">
        <f>VLOOKUP('Old Data'!$F132,$R$6:$T$135,2,FALSE)+VLOOKUP('Old Data'!$P132,$R$6:$T$135,3,FALSE)+$B$2</f>
        <v>57.4857901837984</v>
      </c>
      <c r="C136" s="72">
        <f>VLOOKUP('Old Data'!$P132,$R$6:$T$135,2,FALSE)+VLOOKUP('Old Data'!$F132,$R$6:$T$135,3,FALSE)+$B$2</f>
        <v>257.55734253226683</v>
      </c>
      <c r="D136" s="74">
        <f>('Old Data'!$I132-$B136)^2+('Old Data'!$S132-$C136)^2</f>
        <v>3121.0207930050356</v>
      </c>
      <c r="E136" s="75">
        <f>'Old Data'!$K132-'Old Data'!$U132</f>
        <v>158</v>
      </c>
      <c r="F136" s="72">
        <f>VLOOKUP('Old Data'!$F132,$V$6:$X$135,2,FALSE)+VLOOKUP('Old Data'!$P132,$V$6:$X$135,3,FALSE)+$C$2</f>
        <v>283.2912260341613</v>
      </c>
      <c r="G136" s="72">
        <f>VLOOKUP('Old Data'!$P132,$V$6:$X$135,2,FALSE)+VLOOKUP('Old Data'!$F132,$V$6:$X$135,3,FALSE)+$C$2</f>
        <v>128.20898437028384</v>
      </c>
      <c r="H136" s="74">
        <f>('Old Data'!$K132-$F136)^2+('Old Data'!$U132-$G136)^2</f>
        <v>3244.3647193183074</v>
      </c>
      <c r="I136" s="75">
        <f>('Old Data'!$L132+'Old Data'!$M132)-('Old Data'!$V132+'Old Data'!$W132)</f>
        <v>-30</v>
      </c>
      <c r="J136" s="72">
        <f>VLOOKUP('Old Data'!$F132,$Z$6:$AB$135,2,FALSE)+VLOOKUP('Old Data'!$P132,$Z$6:$AB$135,3,FALSE)+$D$2</f>
        <v>76.099354867568877</v>
      </c>
      <c r="K136" s="72">
        <f>VLOOKUP('Old Data'!$P132,$Z$6:$AB$135,2,FALSE)+VLOOKUP('Old Data'!$F132,$Z$6:$AB$135,3,FALSE)+$D$2</f>
        <v>31.220209524926496</v>
      </c>
      <c r="L136" s="74">
        <f>('Old Data'!$L132+'Old Data'!$M132-$J136)^2+('Old Data'!$V132+'Old Data'!$W132-$K136)^2</f>
        <v>3499.8181468450853</v>
      </c>
      <c r="M136" s="75">
        <f>'Old Data'!$N132-'Old Data'!$X132</f>
        <v>0</v>
      </c>
      <c r="N136" s="72">
        <f>VLOOKUP('Old Data'!$F132,$AD$6:$AF$135,2,FALSE)+VLOOKUP('Old Data'!$P132,$AD$6:$AF$135,3,FALSE)+$E$2</f>
        <v>0.78290922063250112</v>
      </c>
      <c r="O136" s="72">
        <f>VLOOKUP('Old Data'!$P132,$AD$6:$AF$135,2,FALSE)+VLOOKUP('Old Data'!$F132,$AD$6:$AF$135,3,FALSE)+$E$2</f>
        <v>1.4211793943450461</v>
      </c>
      <c r="P136" s="73">
        <f>('Old Data'!$N132-$N136)^2+('Old Data'!$X132-$O136)^2</f>
        <v>2.6326977186623424</v>
      </c>
      <c r="Q136" s="62"/>
      <c r="R136" s="21"/>
      <c r="S136" s="21"/>
      <c r="T136" s="21"/>
      <c r="U136" s="6"/>
      <c r="V136" s="21"/>
      <c r="W136" s="21"/>
      <c r="X136" s="21"/>
      <c r="Y136" s="6"/>
      <c r="Z136" s="21"/>
      <c r="AA136" s="21"/>
      <c r="AB136" s="21"/>
      <c r="AC136" s="21"/>
      <c r="AD136" s="21"/>
      <c r="AE136" s="21"/>
      <c r="AF136" s="21"/>
      <c r="AG136" s="63"/>
      <c r="AH136" s="37"/>
      <c r="AI136" s="22"/>
      <c r="AJ136" s="6"/>
      <c r="AK136" s="10"/>
      <c r="AL136" s="10"/>
      <c r="AM136" s="10"/>
      <c r="AN136" s="11"/>
      <c r="AO136" s="11"/>
      <c r="AP136" s="11"/>
      <c r="AQ136" s="36"/>
      <c r="AR136" s="11"/>
      <c r="AS136" s="11"/>
      <c r="AT136" s="11"/>
      <c r="AU136" s="12"/>
      <c r="AV136" s="11"/>
      <c r="AW136" s="11"/>
      <c r="AX136" s="15"/>
      <c r="AY136" s="15"/>
      <c r="AZ136" s="15"/>
      <c r="BA136" s="15"/>
      <c r="BB136" s="15"/>
      <c r="BC136" s="15"/>
      <c r="BD136" s="15"/>
      <c r="BE136" s="12"/>
      <c r="BF136" s="11"/>
      <c r="BG136" s="11"/>
      <c r="BH136" s="10"/>
      <c r="BI136" s="10"/>
      <c r="BJ136" s="10"/>
      <c r="BK136" s="23"/>
      <c r="BL136" s="23"/>
      <c r="BM136" s="23"/>
      <c r="BN136" s="23"/>
      <c r="BO136" s="23"/>
      <c r="BP136" s="23"/>
      <c r="BQ136" s="23"/>
      <c r="BR136" s="10"/>
      <c r="BS136" s="16"/>
      <c r="BT136" s="16"/>
      <c r="BU136" s="16"/>
      <c r="BV136" s="16"/>
      <c r="BW136" s="11"/>
      <c r="BX136" s="16"/>
      <c r="BY136" s="16"/>
      <c r="BZ136" s="17"/>
      <c r="CA136" s="18"/>
      <c r="CB136" s="18"/>
      <c r="CC136" s="18"/>
      <c r="CD136" s="18"/>
      <c r="CE136" s="18"/>
      <c r="CF136" s="18"/>
      <c r="CG136" s="19"/>
      <c r="CH136" s="15"/>
      <c r="CI136" s="17"/>
      <c r="CJ136" s="10"/>
      <c r="CK136" s="10"/>
      <c r="CL136" s="10"/>
      <c r="CM136" s="17"/>
      <c r="CN136" s="17"/>
      <c r="CO136" s="10"/>
      <c r="CP136" s="10"/>
      <c r="CQ136" s="10"/>
      <c r="CR136" s="10"/>
      <c r="CS136" s="10"/>
      <c r="CT136" s="10"/>
      <c r="CU136" s="10"/>
      <c r="CV136" s="10"/>
      <c r="CW136" s="10"/>
      <c r="CX136" s="10"/>
      <c r="CY136" s="10"/>
      <c r="CZ136" s="10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</row>
    <row r="137" spans="1:135" customFormat="1">
      <c r="A137" s="71">
        <f>'Old Data'!$I133-'Old Data'!$S133</f>
        <v>-203</v>
      </c>
      <c r="B137" s="72">
        <f>VLOOKUP('Old Data'!$F133,$R$6:$T$135,2,FALSE)+VLOOKUP('Old Data'!$P133,$R$6:$T$135,3,FALSE)+$B$2</f>
        <v>140.14319353153772</v>
      </c>
      <c r="C137" s="72">
        <f>VLOOKUP('Old Data'!$P133,$R$6:$T$135,2,FALSE)+VLOOKUP('Old Data'!$F133,$R$6:$T$135,3,FALSE)+$B$2</f>
        <v>340.88916207675663</v>
      </c>
      <c r="D137" s="74">
        <f>('Old Data'!$I133-$B137)^2+('Old Data'!$S133-$C137)^2</f>
        <v>34.799697208620138</v>
      </c>
      <c r="E137" s="75">
        <f>'Old Data'!$K133-'Old Data'!$U133</f>
        <v>-68</v>
      </c>
      <c r="F137" s="72">
        <f>VLOOKUP('Old Data'!$F133,$V$6:$X$135,2,FALSE)+VLOOKUP('Old Data'!$P133,$V$6:$X$135,3,FALSE)+$C$2</f>
        <v>156.46929225319579</v>
      </c>
      <c r="G137" s="72">
        <f>VLOOKUP('Old Data'!$P133,$V$6:$X$135,2,FALSE)+VLOOKUP('Old Data'!$F133,$V$6:$X$135,3,FALSE)+$C$2</f>
        <v>292.49418493495079</v>
      </c>
      <c r="H137" s="74">
        <f>('Old Data'!$K133-$F137)^2+('Old Data'!$U133-$G137)^2</f>
        <v>10373.555282034653</v>
      </c>
      <c r="I137" s="75">
        <f>('Old Data'!$L133+'Old Data'!$M133)-('Old Data'!$V133+'Old Data'!$W133)</f>
        <v>15</v>
      </c>
      <c r="J137" s="72">
        <f>VLOOKUP('Old Data'!$F133,$Z$6:$AB$135,2,FALSE)+VLOOKUP('Old Data'!$P133,$Z$6:$AB$135,3,FALSE)+$D$2</f>
        <v>129.47665878674809</v>
      </c>
      <c r="K137" s="72">
        <f>VLOOKUP('Old Data'!$P133,$Z$6:$AB$135,2,FALSE)+VLOOKUP('Old Data'!$F133,$Z$6:$AB$135,3,FALSE)+$D$2</f>
        <v>50.173984566304895</v>
      </c>
      <c r="L137" s="74">
        <f>('Old Data'!$L133+'Old Data'!$M133-$J137)^2+('Old Data'!$V133+'Old Data'!$W133-$K137)^2</f>
        <v>2558.8080370389653</v>
      </c>
      <c r="M137" s="75">
        <f>'Old Data'!$N133-'Old Data'!$X133</f>
        <v>-1</v>
      </c>
      <c r="N137" s="72">
        <f>VLOOKUP('Old Data'!$F133,$AD$6:$AF$135,2,FALSE)+VLOOKUP('Old Data'!$P133,$AD$6:$AF$135,3,FALSE)+$E$2</f>
        <v>1.5017376026722751</v>
      </c>
      <c r="O137" s="72">
        <f>VLOOKUP('Old Data'!$P133,$AD$6:$AF$135,2,FALSE)+VLOOKUP('Old Data'!$F133,$AD$6:$AF$135,3,FALSE)+$E$2</f>
        <v>1.6540876993199736</v>
      </c>
      <c r="P137" s="73">
        <f>('Old Data'!$N133-$N137)^2+('Old Data'!$X133-$O137)^2</f>
        <v>2.683046545681568</v>
      </c>
      <c r="Q137" s="62"/>
      <c r="R137" s="7"/>
      <c r="S137" s="21"/>
      <c r="T137" s="21"/>
      <c r="U137" s="6"/>
      <c r="V137" s="21"/>
      <c r="W137" s="21"/>
      <c r="X137" s="21"/>
      <c r="Y137" s="6"/>
      <c r="Z137" s="21"/>
      <c r="AA137" s="21"/>
      <c r="AB137" s="21"/>
      <c r="AC137" s="21"/>
      <c r="AD137" s="21"/>
      <c r="AE137" s="21"/>
      <c r="AF137" s="21"/>
      <c r="AG137" s="63"/>
      <c r="AH137" s="37"/>
      <c r="AI137" s="22"/>
      <c r="AJ137" s="6"/>
      <c r="AK137" s="10"/>
      <c r="AL137" s="10"/>
      <c r="AM137" s="10"/>
      <c r="AN137" s="11"/>
      <c r="AO137" s="11"/>
      <c r="AP137" s="11"/>
      <c r="AQ137" s="36"/>
      <c r="AR137" s="11"/>
      <c r="AS137" s="11"/>
      <c r="AT137" s="11"/>
      <c r="AU137" s="12"/>
      <c r="AV137" s="11"/>
      <c r="AW137" s="11"/>
      <c r="AX137" s="15"/>
      <c r="AY137" s="15"/>
      <c r="AZ137" s="15"/>
      <c r="BA137" s="15"/>
      <c r="BB137" s="15"/>
      <c r="BC137" s="15"/>
      <c r="BD137" s="15"/>
      <c r="BE137" s="12"/>
      <c r="BF137" s="11"/>
      <c r="BG137" s="11"/>
      <c r="BH137" s="10"/>
      <c r="BI137" s="10"/>
      <c r="BJ137" s="10"/>
      <c r="BK137" s="23"/>
      <c r="BL137" s="23"/>
      <c r="BM137" s="23"/>
      <c r="BN137" s="23"/>
      <c r="BO137" s="23"/>
      <c r="BP137" s="23"/>
      <c r="BQ137" s="23"/>
      <c r="BR137" s="10"/>
      <c r="BS137" s="16"/>
      <c r="BT137" s="16"/>
      <c r="BU137" s="16"/>
      <c r="BV137" s="16"/>
      <c r="BW137" s="11"/>
      <c r="BX137" s="16"/>
      <c r="BY137" s="16"/>
      <c r="BZ137" s="17"/>
      <c r="CA137" s="18"/>
      <c r="CB137" s="18"/>
      <c r="CC137" s="18"/>
      <c r="CD137" s="18"/>
      <c r="CE137" s="18"/>
      <c r="CF137" s="18"/>
      <c r="CG137" s="19"/>
      <c r="CH137" s="15"/>
      <c r="CI137" s="17"/>
      <c r="CJ137" s="10"/>
      <c r="CK137" s="10"/>
      <c r="CL137" s="10"/>
      <c r="CM137" s="17"/>
      <c r="CN137" s="17"/>
      <c r="CO137" s="10"/>
      <c r="CP137" s="10"/>
      <c r="CQ137" s="10"/>
      <c r="CR137" s="10"/>
      <c r="CS137" s="10"/>
      <c r="CT137" s="10"/>
      <c r="CU137" s="10"/>
      <c r="CV137" s="10"/>
      <c r="CW137" s="10"/>
      <c r="CX137" s="10"/>
      <c r="CY137" s="10"/>
      <c r="CZ137" s="10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</row>
    <row r="138" spans="1:135" customFormat="1">
      <c r="A138" s="71">
        <f>'Old Data'!$I134-'Old Data'!$S134</f>
        <v>21</v>
      </c>
      <c r="B138" s="72">
        <f>VLOOKUP('Old Data'!$F134,$R$6:$T$135,2,FALSE)+VLOOKUP('Old Data'!$P134,$R$6:$T$135,3,FALSE)+$B$2</f>
        <v>245.86467639758081</v>
      </c>
      <c r="C138" s="72">
        <f>VLOOKUP('Old Data'!$P134,$R$6:$T$135,2,FALSE)+VLOOKUP('Old Data'!$F134,$R$6:$T$135,3,FALSE)+$B$2</f>
        <v>172.98030535938182</v>
      </c>
      <c r="D138" s="74">
        <f>('Old Data'!$I134-$B138)^2+('Old Data'!$S134-$C138)^2</f>
        <v>23428.559825380438</v>
      </c>
      <c r="E138" s="75">
        <f>'Old Data'!$K134-'Old Data'!$U134</f>
        <v>-43</v>
      </c>
      <c r="F138" s="72">
        <f>VLOOKUP('Old Data'!$F134,$V$6:$X$135,2,FALSE)+VLOOKUP('Old Data'!$P134,$V$6:$X$135,3,FALSE)+$C$2</f>
        <v>243.65282659129849</v>
      </c>
      <c r="G138" s="72">
        <f>VLOOKUP('Old Data'!$P134,$V$6:$X$135,2,FALSE)+VLOOKUP('Old Data'!$F134,$V$6:$X$135,3,FALSE)+$C$2</f>
        <v>219.75070369039054</v>
      </c>
      <c r="H138" s="74">
        <f>('Old Data'!$K134-$F138)^2+('Old Data'!$U134-$G138)^2</f>
        <v>3409.3978961892899</v>
      </c>
      <c r="I138" s="75">
        <f>('Old Data'!$L134+'Old Data'!$M134)-('Old Data'!$V134+'Old Data'!$W134)</f>
        <v>63</v>
      </c>
      <c r="J138" s="72">
        <f>VLOOKUP('Old Data'!$F134,$Z$6:$AB$135,2,FALSE)+VLOOKUP('Old Data'!$P134,$Z$6:$AB$135,3,FALSE)+$D$2</f>
        <v>71.564983876636802</v>
      </c>
      <c r="K138" s="72">
        <f>VLOOKUP('Old Data'!$P134,$Z$6:$AB$135,2,FALSE)+VLOOKUP('Old Data'!$F134,$Z$6:$AB$135,3,FALSE)+$D$2</f>
        <v>55.408774441275952</v>
      </c>
      <c r="L138" s="74">
        <f>('Old Data'!$L134+'Old Data'!$M134-$J138)^2+('Old Data'!$V134+'Old Data'!$W134-$K138)^2</f>
        <v>1169.4856017298744</v>
      </c>
      <c r="M138" s="75">
        <f>'Old Data'!$N134-'Old Data'!$X134</f>
        <v>0</v>
      </c>
      <c r="N138" s="72">
        <f>VLOOKUP('Old Data'!$F134,$AD$6:$AF$135,2,FALSE)+VLOOKUP('Old Data'!$P134,$AD$6:$AF$135,3,FALSE)+$E$2</f>
        <v>1.379000958973094</v>
      </c>
      <c r="O138" s="72">
        <f>VLOOKUP('Old Data'!$P134,$AD$6:$AF$135,2,FALSE)+VLOOKUP('Old Data'!$F134,$AD$6:$AF$135,3,FALSE)+$E$2</f>
        <v>1.1651158750461419</v>
      </c>
      <c r="P138" s="73">
        <f>('Old Data'!$N134-$N138)^2+('Old Data'!$X134-$O138)^2</f>
        <v>0.17090497909477806</v>
      </c>
      <c r="Q138" s="62"/>
      <c r="R138" s="21"/>
      <c r="S138" s="21"/>
      <c r="T138" s="21"/>
      <c r="U138" s="6"/>
      <c r="V138" s="21"/>
      <c r="W138" s="21"/>
      <c r="X138" s="21"/>
      <c r="Y138" s="6"/>
      <c r="Z138" s="21"/>
      <c r="AA138" s="21"/>
      <c r="AB138" s="21"/>
      <c r="AC138" s="21"/>
      <c r="AD138" s="21"/>
      <c r="AE138" s="21"/>
      <c r="AF138" s="21"/>
      <c r="AG138" s="21"/>
      <c r="AH138" s="37"/>
      <c r="AI138" s="22"/>
      <c r="AJ138" s="6"/>
      <c r="AK138" s="10"/>
      <c r="AL138" s="10"/>
      <c r="AM138" s="10"/>
      <c r="AN138" s="11"/>
      <c r="AO138" s="11"/>
      <c r="AP138" s="11"/>
      <c r="AQ138" s="36"/>
      <c r="AR138" s="11"/>
      <c r="AS138" s="11"/>
      <c r="AT138" s="11"/>
      <c r="AU138" s="12"/>
      <c r="AV138" s="11"/>
      <c r="AW138" s="11"/>
      <c r="AX138" s="15"/>
      <c r="AY138" s="15"/>
      <c r="AZ138" s="15"/>
      <c r="BA138" s="15"/>
      <c r="BB138" s="15"/>
      <c r="BC138" s="15"/>
      <c r="BD138" s="15"/>
      <c r="BE138" s="12"/>
      <c r="BF138" s="11"/>
      <c r="BG138" s="11"/>
      <c r="BH138" s="10"/>
      <c r="BI138" s="10"/>
      <c r="BJ138" s="10"/>
      <c r="BK138" s="23"/>
      <c r="BL138" s="23"/>
      <c r="BM138" s="23"/>
      <c r="BN138" s="23"/>
      <c r="BO138" s="23"/>
      <c r="BP138" s="23"/>
      <c r="BQ138" s="23"/>
      <c r="BR138" s="10"/>
      <c r="BS138" s="16"/>
      <c r="BT138" s="16"/>
      <c r="BU138" s="16"/>
      <c r="BV138" s="16"/>
      <c r="BW138" s="11"/>
      <c r="BX138" s="16"/>
      <c r="BY138" s="16"/>
      <c r="BZ138" s="17"/>
      <c r="CA138" s="18"/>
      <c r="CB138" s="18"/>
      <c r="CC138" s="18"/>
      <c r="CD138" s="18"/>
      <c r="CE138" s="18"/>
      <c r="CF138" s="18"/>
      <c r="CG138" s="19"/>
      <c r="CH138" s="15"/>
      <c r="CI138" s="17"/>
      <c r="CJ138" s="10"/>
      <c r="CK138" s="10"/>
      <c r="CL138" s="10"/>
      <c r="CM138" s="17"/>
      <c r="CN138" s="17"/>
      <c r="CO138" s="10"/>
      <c r="CP138" s="10"/>
      <c r="CQ138" s="10"/>
      <c r="CR138" s="10"/>
      <c r="CS138" s="10"/>
      <c r="CT138" s="10"/>
      <c r="CU138" s="10"/>
      <c r="CV138" s="10"/>
      <c r="CW138" s="10"/>
      <c r="CX138" s="10"/>
      <c r="CY138" s="10"/>
      <c r="CZ138" s="10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</row>
    <row r="139" spans="1:135" customFormat="1">
      <c r="A139" s="71">
        <f>'Old Data'!$I135-'Old Data'!$S135</f>
        <v>-149</v>
      </c>
      <c r="B139" s="72">
        <f>VLOOKUP('Old Data'!$F135,$R$6:$T$135,2,FALSE)+VLOOKUP('Old Data'!$P135,$R$6:$T$135,3,FALSE)+$B$2</f>
        <v>110.03174264176451</v>
      </c>
      <c r="C139" s="72">
        <f>VLOOKUP('Old Data'!$P135,$R$6:$T$135,2,FALSE)+VLOOKUP('Old Data'!$F135,$R$6:$T$135,3,FALSE)+$B$2</f>
        <v>216.8739687277384</v>
      </c>
      <c r="D139" s="74">
        <f>('Old Data'!$I135-$B139)^2+('Old Data'!$S135-$C139)^2</f>
        <v>921.39770490996739</v>
      </c>
      <c r="E139" s="75">
        <f>'Old Data'!$K135-'Old Data'!$U135</f>
        <v>147</v>
      </c>
      <c r="F139" s="72">
        <f>VLOOKUP('Old Data'!$F135,$V$6:$X$135,2,FALSE)+VLOOKUP('Old Data'!$P135,$V$6:$X$135,3,FALSE)+$C$2</f>
        <v>212.51567541035701</v>
      </c>
      <c r="G139" s="72">
        <f>VLOOKUP('Old Data'!$P135,$V$6:$X$135,2,FALSE)+VLOOKUP('Old Data'!$F135,$V$6:$X$135,3,FALSE)+$C$2</f>
        <v>125.77742216194079</v>
      </c>
      <c r="H139" s="74">
        <f>('Old Data'!$K135-$F139)^2+('Old Data'!$U135-$G139)^2</f>
        <v>2418.02359883903</v>
      </c>
      <c r="I139" s="75">
        <f>('Old Data'!$L135+'Old Data'!$M135)-('Old Data'!$V135+'Old Data'!$W135)</f>
        <v>33</v>
      </c>
      <c r="J139" s="72">
        <f>VLOOKUP('Old Data'!$F135,$Z$6:$AB$135,2,FALSE)+VLOOKUP('Old Data'!$P135,$Z$6:$AB$135,3,FALSE)+$D$2</f>
        <v>80.314003063277383</v>
      </c>
      <c r="K139" s="72">
        <f>VLOOKUP('Old Data'!$P135,$Z$6:$AB$135,2,FALSE)+VLOOKUP('Old Data'!$F135,$Z$6:$AB$135,3,FALSE)+$D$2</f>
        <v>1.2240843945702693</v>
      </c>
      <c r="L139" s="74">
        <f>('Old Data'!$L135+'Old Data'!$M135-$J139)^2+('Old Data'!$V135+'Old Data'!$W135-$K139)^2</f>
        <v>2240.1132684768522</v>
      </c>
      <c r="M139" s="75">
        <f>'Old Data'!$N135-'Old Data'!$X135</f>
        <v>1</v>
      </c>
      <c r="N139" s="72">
        <f>VLOOKUP('Old Data'!$F135,$AD$6:$AF$135,2,FALSE)+VLOOKUP('Old Data'!$P135,$AD$6:$AF$135,3,FALSE)+$E$2</f>
        <v>1.4184860313355976</v>
      </c>
      <c r="O139" s="72">
        <f>VLOOKUP('Old Data'!$P135,$AD$6:$AF$135,2,FALSE)+VLOOKUP('Old Data'!$F135,$AD$6:$AF$135,3,FALSE)+$E$2</f>
        <v>0.53459471997166808</v>
      </c>
      <c r="P139" s="73">
        <f>('Old Data'!$N135-$N139)^2+('Old Data'!$X135-$O139)^2</f>
        <v>0.46092207304460497</v>
      </c>
      <c r="Q139" s="62"/>
      <c r="R139" s="21"/>
      <c r="S139" s="21"/>
      <c r="T139" s="21"/>
      <c r="V139" s="21"/>
      <c r="W139" s="21"/>
      <c r="X139" s="21"/>
      <c r="Z139" s="21"/>
      <c r="AA139" s="21"/>
      <c r="AB139" s="21"/>
      <c r="AC139" s="21"/>
      <c r="AD139" s="21"/>
      <c r="AE139" s="21"/>
      <c r="AF139" s="21"/>
      <c r="AG139" s="21"/>
      <c r="AH139" s="37"/>
      <c r="AI139" s="22"/>
      <c r="AJ139" s="6"/>
      <c r="AK139" s="10"/>
      <c r="AL139" s="10"/>
      <c r="AM139" s="10"/>
      <c r="AN139" s="11"/>
      <c r="AO139" s="11"/>
      <c r="AP139" s="11"/>
      <c r="AQ139" s="36"/>
      <c r="AR139" s="11"/>
      <c r="AS139" s="11"/>
      <c r="AT139" s="11"/>
      <c r="AU139" s="12"/>
      <c r="AV139" s="11"/>
      <c r="AW139" s="11"/>
      <c r="AX139" s="15"/>
      <c r="AY139" s="15"/>
      <c r="AZ139" s="15"/>
      <c r="BA139" s="15"/>
      <c r="BB139" s="15"/>
      <c r="BC139" s="15"/>
      <c r="BD139" s="15"/>
      <c r="BE139" s="12"/>
      <c r="BF139" s="11"/>
      <c r="BG139" s="11"/>
      <c r="BH139" s="10"/>
      <c r="BI139" s="10"/>
      <c r="BJ139" s="10"/>
      <c r="BK139" s="23"/>
      <c r="BL139" s="23"/>
      <c r="BM139" s="23"/>
      <c r="BN139" s="23"/>
      <c r="BO139" s="23"/>
      <c r="BP139" s="23"/>
      <c r="BQ139" s="23"/>
      <c r="BR139" s="10"/>
      <c r="BS139" s="16"/>
      <c r="BT139" s="16"/>
      <c r="BU139" s="16"/>
      <c r="BV139" s="16"/>
      <c r="BW139" s="11"/>
      <c r="BX139" s="16"/>
      <c r="BY139" s="16"/>
      <c r="BZ139" s="17"/>
      <c r="CA139" s="18"/>
      <c r="CB139" s="18"/>
      <c r="CC139" s="18"/>
      <c r="CD139" s="18"/>
      <c r="CE139" s="18"/>
      <c r="CF139" s="18"/>
      <c r="CG139" s="19"/>
      <c r="CH139" s="15"/>
      <c r="CI139" s="17"/>
      <c r="CJ139" s="10"/>
      <c r="CK139" s="10"/>
      <c r="CL139" s="10"/>
      <c r="CM139" s="17"/>
      <c r="CN139" s="17"/>
      <c r="CO139" s="10"/>
      <c r="CP139" s="10"/>
      <c r="CQ139" s="10"/>
      <c r="CR139" s="10"/>
      <c r="CS139" s="10"/>
      <c r="CT139" s="10"/>
      <c r="CU139" s="10"/>
      <c r="CV139" s="10"/>
      <c r="CW139" s="10"/>
      <c r="CX139" s="10"/>
      <c r="CY139" s="10"/>
      <c r="CZ139" s="10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</row>
    <row r="140" spans="1:135" customFormat="1">
      <c r="A140" s="71">
        <f>'Old Data'!$I136-'Old Data'!$S136</f>
        <v>143</v>
      </c>
      <c r="B140" s="72">
        <f>VLOOKUP('Old Data'!$F136,$R$6:$T$135,2,FALSE)+VLOOKUP('Old Data'!$P136,$R$6:$T$135,3,FALSE)+$B$2</f>
        <v>193.16021450714121</v>
      </c>
      <c r="C140" s="72">
        <f>VLOOKUP('Old Data'!$P136,$R$6:$T$135,2,FALSE)+VLOOKUP('Old Data'!$F136,$R$6:$T$135,3,FALSE)+$B$2</f>
        <v>115.02799812111245</v>
      </c>
      <c r="D140" s="74">
        <f>('Old Data'!$I136-$B140)^2+('Old Data'!$S136-$C140)^2</f>
        <v>6985.7993372941028</v>
      </c>
      <c r="E140" s="75">
        <f>'Old Data'!$K136-'Old Data'!$U136</f>
        <v>-104</v>
      </c>
      <c r="F140" s="72">
        <f>VLOOKUP('Old Data'!$F136,$V$6:$X$135,2,FALSE)+VLOOKUP('Old Data'!$P136,$V$6:$X$135,3,FALSE)+$C$2</f>
        <v>206.97065132124419</v>
      </c>
      <c r="G140" s="72">
        <f>VLOOKUP('Old Data'!$P136,$V$6:$X$135,2,FALSE)+VLOOKUP('Old Data'!$F136,$V$6:$X$135,3,FALSE)+$C$2</f>
        <v>236.8479436416923</v>
      </c>
      <c r="H140" s="74">
        <f>('Old Data'!$K136-$F140)^2+('Old Data'!$U136-$G140)^2</f>
        <v>31590.641559663127</v>
      </c>
      <c r="I140" s="75">
        <f>('Old Data'!$L136+'Old Data'!$M136)-('Old Data'!$V136+'Old Data'!$W136)</f>
        <v>-25</v>
      </c>
      <c r="J140" s="72">
        <f>VLOOKUP('Old Data'!$F136,$Z$6:$AB$135,2,FALSE)+VLOOKUP('Old Data'!$P136,$Z$6:$AB$135,3,FALSE)+$D$2</f>
        <v>38.60265393649604</v>
      </c>
      <c r="K140" s="72">
        <f>VLOOKUP('Old Data'!$P136,$Z$6:$AB$135,2,FALSE)+VLOOKUP('Old Data'!$F136,$Z$6:$AB$135,3,FALSE)+$D$2</f>
        <v>80.279916655025303</v>
      </c>
      <c r="L140" s="74">
        <f>('Old Data'!$L136+'Old Data'!$M136-$J140)^2+('Old Data'!$V136+'Old Data'!$W136-$K140)^2</f>
        <v>2597.2924993179167</v>
      </c>
      <c r="M140" s="75">
        <f>'Old Data'!$N136-'Old Data'!$X136</f>
        <v>1</v>
      </c>
      <c r="N140" s="72">
        <f>VLOOKUP('Old Data'!$F136,$AD$6:$AF$135,2,FALSE)+VLOOKUP('Old Data'!$P136,$AD$6:$AF$135,3,FALSE)+$E$2</f>
        <v>1.5332750700226685</v>
      </c>
      <c r="O140" s="72">
        <f>VLOOKUP('Old Data'!$P136,$AD$6:$AF$135,2,FALSE)+VLOOKUP('Old Data'!$F136,$AD$6:$AF$135,3,FALSE)+$E$2</f>
        <v>1.6499751982036581</v>
      </c>
      <c r="P140" s="73">
        <f>('Old Data'!$N136-$N140)^2+('Old Data'!$X136-$O140)^2</f>
        <v>0.64029991854222967</v>
      </c>
      <c r="Q140" s="62"/>
      <c r="R140" s="3"/>
      <c r="S140" s="3"/>
      <c r="T140" s="3"/>
      <c r="V140" s="3"/>
      <c r="W140" s="3"/>
      <c r="X140" s="3"/>
      <c r="Z140" s="3"/>
      <c r="AA140" s="3"/>
      <c r="AB140" s="3"/>
      <c r="AC140" s="3"/>
      <c r="AD140" s="3"/>
      <c r="AE140" s="3"/>
      <c r="AF140" s="3"/>
      <c r="AG140" s="21"/>
      <c r="AH140" s="37"/>
      <c r="AI140" s="1"/>
      <c r="AK140" s="10"/>
      <c r="AL140" s="10"/>
      <c r="AM140" s="10"/>
      <c r="AN140" s="11"/>
      <c r="AO140" s="11"/>
      <c r="AP140" s="11"/>
      <c r="AQ140" s="36"/>
      <c r="AR140" s="11"/>
      <c r="AS140" s="11"/>
      <c r="AT140" s="11"/>
      <c r="AU140" s="12"/>
      <c r="AV140" s="11"/>
      <c r="AW140" s="11"/>
      <c r="AX140" s="15"/>
      <c r="AY140" s="15"/>
      <c r="AZ140" s="15"/>
      <c r="BA140" s="15"/>
      <c r="BB140" s="15"/>
      <c r="BC140" s="15"/>
      <c r="BD140" s="15"/>
      <c r="BE140" s="12"/>
      <c r="BF140" s="11"/>
      <c r="BG140" s="11"/>
      <c r="BH140" s="10"/>
      <c r="BI140" s="10"/>
      <c r="BJ140" s="10"/>
      <c r="BK140" s="23"/>
      <c r="BL140" s="23"/>
      <c r="BM140" s="23"/>
      <c r="BN140" s="23"/>
      <c r="BO140" s="23"/>
      <c r="BP140" s="23"/>
      <c r="BQ140" s="23"/>
      <c r="BR140" s="10"/>
      <c r="BS140" s="16"/>
      <c r="BT140" s="16"/>
      <c r="BU140" s="16"/>
      <c r="BV140" s="16"/>
      <c r="BW140" s="11"/>
      <c r="BX140" s="16"/>
      <c r="BY140" s="16"/>
      <c r="BZ140" s="17"/>
      <c r="CA140" s="18"/>
      <c r="CB140" s="18"/>
      <c r="CC140" s="18"/>
      <c r="CD140" s="18"/>
      <c r="CE140" s="18"/>
      <c r="CF140" s="18"/>
      <c r="CG140" s="19"/>
      <c r="CH140" s="15"/>
      <c r="CI140" s="17"/>
      <c r="CJ140" s="10"/>
      <c r="CK140" s="10"/>
      <c r="CL140" s="10"/>
      <c r="CM140" s="17"/>
      <c r="CN140" s="17"/>
      <c r="CO140" s="10"/>
      <c r="CP140" s="10"/>
      <c r="CQ140" s="10"/>
      <c r="CR140" s="10"/>
      <c r="CS140" s="10"/>
      <c r="CT140" s="10"/>
      <c r="CU140" s="10"/>
      <c r="CV140" s="10"/>
      <c r="CW140" s="10"/>
      <c r="CX140" s="10"/>
      <c r="CY140" s="10"/>
      <c r="CZ140" s="10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</row>
    <row r="141" spans="1:135" customFormat="1">
      <c r="A141" s="71">
        <f>'Old Data'!$I137-'Old Data'!$S137</f>
        <v>-219</v>
      </c>
      <c r="B141" s="72">
        <f>VLOOKUP('Old Data'!$F137,$R$6:$T$135,2,FALSE)+VLOOKUP('Old Data'!$P137,$R$6:$T$135,3,FALSE)+$B$2</f>
        <v>51.850879439534708</v>
      </c>
      <c r="C141" s="72">
        <f>VLOOKUP('Old Data'!$P137,$R$6:$T$135,2,FALSE)+VLOOKUP('Old Data'!$F137,$R$6:$T$135,3,FALSE)+$B$2</f>
        <v>229.47710184629659</v>
      </c>
      <c r="D141" s="74">
        <f>('Old Data'!$I137-$B141)^2+('Old Data'!$S137-$C141)^2</f>
        <v>875.91640974428185</v>
      </c>
      <c r="E141" s="75">
        <f>'Old Data'!$K137-'Old Data'!$U137</f>
        <v>158</v>
      </c>
      <c r="F141" s="72">
        <f>VLOOKUP('Old Data'!$F137,$V$6:$X$135,2,FALSE)+VLOOKUP('Old Data'!$P137,$V$6:$X$135,3,FALSE)+$C$2</f>
        <v>267.25224630947537</v>
      </c>
      <c r="G141" s="72">
        <f>VLOOKUP('Old Data'!$P137,$V$6:$X$135,2,FALSE)+VLOOKUP('Old Data'!$F137,$V$6:$X$135,3,FALSE)+$C$2</f>
        <v>213.75221249256717</v>
      </c>
      <c r="H141" s="74">
        <f>('Old Data'!$K137-$F141)^2+('Old Data'!$U137-$G141)^2</f>
        <v>10164.188972275995</v>
      </c>
      <c r="I141" s="75">
        <f>('Old Data'!$L137+'Old Data'!$M137)-('Old Data'!$V137+'Old Data'!$W137)</f>
        <v>120</v>
      </c>
      <c r="J141" s="72">
        <f>VLOOKUP('Old Data'!$F137,$Z$6:$AB$135,2,FALSE)+VLOOKUP('Old Data'!$P137,$Z$6:$AB$135,3,FALSE)+$D$2</f>
        <v>80.850799148973238</v>
      </c>
      <c r="K141" s="72">
        <f>VLOOKUP('Old Data'!$P137,$Z$6:$AB$135,2,FALSE)+VLOOKUP('Old Data'!$F137,$Z$6:$AB$135,3,FALSE)+$D$2</f>
        <v>65.491168426247299</v>
      </c>
      <c r="L141" s="74">
        <f>('Old Data'!$L137+'Old Data'!$M137-$J141)^2+('Old Data'!$V137+'Old Data'!$W137-$K141)^2</f>
        <v>5481.4940418525093</v>
      </c>
      <c r="M141" s="75">
        <f>'Old Data'!$N137-'Old Data'!$X137</f>
        <v>-1</v>
      </c>
      <c r="N141" s="72">
        <f>VLOOKUP('Old Data'!$F137,$AD$6:$AF$135,2,FALSE)+VLOOKUP('Old Data'!$P137,$AD$6:$AF$135,3,FALSE)+$E$2</f>
        <v>0.6695565398218285</v>
      </c>
      <c r="O141" s="72">
        <f>VLOOKUP('Old Data'!$P137,$AD$6:$AF$135,2,FALSE)+VLOOKUP('Old Data'!$F137,$AD$6:$AF$135,3,FALSE)+$E$2</f>
        <v>2.0096086512677989</v>
      </c>
      <c r="P141" s="73">
        <f>('Old Data'!$N137-$N141)^2+('Old Data'!$X137-$O141)^2</f>
        <v>0.10928520655370898</v>
      </c>
      <c r="Q141" s="62"/>
      <c r="R141" s="3"/>
      <c r="S141" s="3"/>
      <c r="T141" s="3"/>
      <c r="V141" s="3"/>
      <c r="W141" s="3"/>
      <c r="X141" s="3"/>
      <c r="Z141" s="3"/>
      <c r="AA141" s="3"/>
      <c r="AB141" s="3"/>
      <c r="AC141" s="3"/>
      <c r="AD141" s="3"/>
      <c r="AE141" s="3"/>
      <c r="AF141" s="3"/>
      <c r="AG141" s="21"/>
      <c r="AH141" s="37"/>
      <c r="AI141" s="1"/>
      <c r="AK141" s="10"/>
      <c r="AL141" s="10"/>
      <c r="AM141" s="10"/>
      <c r="AN141" s="11"/>
      <c r="AO141" s="11"/>
      <c r="AP141" s="11"/>
      <c r="AQ141" s="36"/>
      <c r="AR141" s="11"/>
      <c r="AS141" s="11"/>
      <c r="AT141" s="11"/>
      <c r="AU141" s="12"/>
      <c r="AV141" s="11"/>
      <c r="AW141" s="11"/>
      <c r="AX141" s="15"/>
      <c r="AY141" s="15"/>
      <c r="AZ141" s="15"/>
      <c r="BA141" s="15"/>
      <c r="BB141" s="15"/>
      <c r="BC141" s="15"/>
      <c r="BD141" s="15"/>
      <c r="BE141" s="12"/>
      <c r="BF141" s="11"/>
      <c r="BG141" s="11"/>
      <c r="BH141" s="10"/>
      <c r="BI141" s="10"/>
      <c r="BJ141" s="10"/>
      <c r="BK141" s="23"/>
      <c r="BL141" s="23"/>
      <c r="BM141" s="23"/>
      <c r="BN141" s="23"/>
      <c r="BO141" s="23"/>
      <c r="BP141" s="23"/>
      <c r="BQ141" s="23"/>
      <c r="BR141" s="10"/>
      <c r="BS141" s="16"/>
      <c r="BT141" s="16"/>
      <c r="BU141" s="16"/>
      <c r="BV141" s="16"/>
      <c r="BW141" s="11"/>
      <c r="BX141" s="16"/>
      <c r="BY141" s="16"/>
      <c r="BZ141" s="17"/>
      <c r="CA141" s="18"/>
      <c r="CB141" s="18"/>
      <c r="CC141" s="18"/>
      <c r="CD141" s="18"/>
      <c r="CE141" s="18"/>
      <c r="CF141" s="18"/>
      <c r="CG141" s="19"/>
      <c r="CH141" s="15"/>
      <c r="CI141" s="17"/>
      <c r="CJ141" s="10"/>
      <c r="CK141" s="10"/>
      <c r="CL141" s="10"/>
      <c r="CM141" s="17"/>
      <c r="CN141" s="17"/>
      <c r="CO141" s="10"/>
      <c r="CP141" s="10"/>
      <c r="CQ141" s="10"/>
      <c r="CR141" s="10"/>
      <c r="CS141" s="10"/>
      <c r="CT141" s="10"/>
      <c r="CU141" s="10"/>
      <c r="CV141" s="10"/>
      <c r="CW141" s="10"/>
      <c r="CX141" s="10"/>
      <c r="CY141" s="10"/>
      <c r="CZ141" s="10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</row>
    <row r="142" spans="1:135" customFormat="1">
      <c r="A142" s="71">
        <f>'Old Data'!$I138-'Old Data'!$S138</f>
        <v>-231</v>
      </c>
      <c r="B142" s="72">
        <f>VLOOKUP('Old Data'!$F138,$R$6:$T$135,2,FALSE)+VLOOKUP('Old Data'!$P138,$R$6:$T$135,3,FALSE)+$B$2</f>
        <v>38.910541083728617</v>
      </c>
      <c r="C142" s="72">
        <f>VLOOKUP('Old Data'!$P138,$R$6:$T$135,2,FALSE)+VLOOKUP('Old Data'!$F138,$R$6:$T$135,3,FALSE)+$B$2</f>
        <v>183.53544129918842</v>
      </c>
      <c r="D142" s="74">
        <f>('Old Data'!$I138-$B142)^2+('Old Data'!$S138-$C142)^2</f>
        <v>7476.1279142237927</v>
      </c>
      <c r="E142" s="75">
        <f>'Old Data'!$K138-'Old Data'!$U138</f>
        <v>-12</v>
      </c>
      <c r="F142" s="72">
        <f>VLOOKUP('Old Data'!$F138,$V$6:$X$135,2,FALSE)+VLOOKUP('Old Data'!$P138,$V$6:$X$135,3,FALSE)+$C$2</f>
        <v>260.62920580297492</v>
      </c>
      <c r="G142" s="72">
        <f>VLOOKUP('Old Data'!$P138,$V$6:$X$135,2,FALSE)+VLOOKUP('Old Data'!$F138,$V$6:$X$135,3,FALSE)+$C$2</f>
        <v>307.79725757125561</v>
      </c>
      <c r="H142" s="74">
        <f>('Old Data'!$K138-$F142)^2+('Old Data'!$U138-$G142)^2</f>
        <v>11932.456374227597</v>
      </c>
      <c r="I142" s="75">
        <f>('Old Data'!$L138+'Old Data'!$M138)-('Old Data'!$V138+'Old Data'!$W138)</f>
        <v>20</v>
      </c>
      <c r="J142" s="72">
        <f>VLOOKUP('Old Data'!$F138,$Z$6:$AB$135,2,FALSE)+VLOOKUP('Old Data'!$P138,$Z$6:$AB$135,3,FALSE)+$D$2</f>
        <v>85.829724672619193</v>
      </c>
      <c r="K142" s="72">
        <f>VLOOKUP('Old Data'!$P138,$Z$6:$AB$135,2,FALSE)+VLOOKUP('Old Data'!$F138,$Z$6:$AB$135,3,FALSE)+$D$2</f>
        <v>40.513264119502196</v>
      </c>
      <c r="L142" s="74">
        <f>('Old Data'!$L138+'Old Data'!$M138-$J142)^2+('Old Data'!$V138+'Old Data'!$W138-$K142)^2</f>
        <v>1907.7277804833227</v>
      </c>
      <c r="M142" s="75">
        <f>'Old Data'!$N138-'Old Data'!$X138</f>
        <v>-1</v>
      </c>
      <c r="N142" s="72">
        <f>VLOOKUP('Old Data'!$F138,$AD$6:$AF$135,2,FALSE)+VLOOKUP('Old Data'!$P138,$AD$6:$AF$135,3,FALSE)+$E$2</f>
        <v>1.0979329372768312</v>
      </c>
      <c r="O142" s="72">
        <f>VLOOKUP('Old Data'!$P138,$AD$6:$AF$135,2,FALSE)+VLOOKUP('Old Data'!$F138,$AD$6:$AF$135,3,FALSE)+$E$2</f>
        <v>2.0900728856895343</v>
      </c>
      <c r="P142" s="73">
        <f>('Old Data'!$N138-$N142)^2+('Old Data'!$X138-$O142)^2</f>
        <v>1.7703984940107664E-2</v>
      </c>
      <c r="Q142" s="62"/>
      <c r="R142" s="3"/>
      <c r="S142" s="3"/>
      <c r="T142" s="3"/>
      <c r="V142" s="3"/>
      <c r="W142" s="3"/>
      <c r="X142" s="3"/>
      <c r="Z142" s="3"/>
      <c r="AA142" s="3"/>
      <c r="AB142" s="3"/>
      <c r="AC142" s="3"/>
      <c r="AD142" s="3"/>
      <c r="AE142" s="3"/>
      <c r="AF142" s="3"/>
      <c r="AG142" s="3"/>
      <c r="AH142" s="37"/>
      <c r="AI142" s="1"/>
      <c r="AK142" s="10"/>
      <c r="AL142" s="10"/>
      <c r="AM142" s="10"/>
      <c r="AN142" s="11"/>
      <c r="AO142" s="11"/>
      <c r="AP142" s="11"/>
      <c r="AQ142" s="36"/>
      <c r="AR142" s="11"/>
      <c r="AS142" s="11"/>
      <c r="AT142" s="11"/>
      <c r="AU142" s="12"/>
      <c r="AV142" s="11"/>
      <c r="AW142" s="11"/>
      <c r="AX142" s="15"/>
      <c r="AY142" s="15"/>
      <c r="AZ142" s="15"/>
      <c r="BA142" s="15"/>
      <c r="BB142" s="15"/>
      <c r="BC142" s="15"/>
      <c r="BD142" s="15"/>
      <c r="BE142" s="12"/>
      <c r="BF142" s="11"/>
      <c r="BG142" s="11"/>
      <c r="BH142" s="10"/>
      <c r="BI142" s="10"/>
      <c r="BJ142" s="10"/>
      <c r="BK142" s="23"/>
      <c r="BL142" s="23"/>
      <c r="BM142" s="23"/>
      <c r="BN142" s="23"/>
      <c r="BO142" s="23"/>
      <c r="BP142" s="23"/>
      <c r="BQ142" s="23"/>
      <c r="BR142" s="10"/>
      <c r="BS142" s="16"/>
      <c r="BT142" s="16"/>
      <c r="BU142" s="16"/>
      <c r="BV142" s="16"/>
      <c r="BW142" s="11"/>
      <c r="BX142" s="16"/>
      <c r="BY142" s="16"/>
      <c r="BZ142" s="17"/>
      <c r="CA142" s="18"/>
      <c r="CB142" s="18"/>
      <c r="CC142" s="18"/>
      <c r="CD142" s="18"/>
      <c r="CE142" s="18"/>
      <c r="CF142" s="18"/>
      <c r="CG142" s="19"/>
      <c r="CH142" s="15"/>
      <c r="CI142" s="17"/>
      <c r="CJ142" s="10"/>
      <c r="CK142" s="10"/>
      <c r="CL142" s="10"/>
      <c r="CM142" s="17"/>
      <c r="CN142" s="17"/>
      <c r="CO142" s="10"/>
      <c r="CP142" s="10"/>
      <c r="CQ142" s="10"/>
      <c r="CR142" s="10"/>
      <c r="CS142" s="10"/>
      <c r="CT142" s="10"/>
      <c r="CU142" s="10"/>
      <c r="CV142" s="10"/>
      <c r="CW142" s="10"/>
      <c r="CX142" s="10"/>
      <c r="CY142" s="10"/>
      <c r="CZ142" s="10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</row>
    <row r="143" spans="1:135" customFormat="1">
      <c r="A143" s="71">
        <f>'Old Data'!$I139-'Old Data'!$S139</f>
        <v>124</v>
      </c>
      <c r="B143" s="72">
        <f>VLOOKUP('Old Data'!$F139,$R$6:$T$135,2,FALSE)+VLOOKUP('Old Data'!$P139,$R$6:$T$135,3,FALSE)+$B$2</f>
        <v>140.55474431675862</v>
      </c>
      <c r="C143" s="72">
        <f>VLOOKUP('Old Data'!$P139,$R$6:$T$135,2,FALSE)+VLOOKUP('Old Data'!$F139,$R$6:$T$135,3,FALSE)+$B$2</f>
        <v>87.605202069402608</v>
      </c>
      <c r="D143" s="74">
        <f>('Old Data'!$I139-$B143)^2+('Old Data'!$S139-$C143)^2</f>
        <v>2524.0965648533474</v>
      </c>
      <c r="E143" s="75">
        <f>'Old Data'!$K139-'Old Data'!$U139</f>
        <v>164</v>
      </c>
      <c r="F143" s="72">
        <f>VLOOKUP('Old Data'!$F139,$V$6:$X$135,2,FALSE)+VLOOKUP('Old Data'!$P139,$V$6:$X$135,3,FALSE)+$C$2</f>
        <v>355.14225507063861</v>
      </c>
      <c r="G143" s="72">
        <f>VLOOKUP('Old Data'!$P139,$V$6:$X$135,2,FALSE)+VLOOKUP('Old Data'!$F139,$V$6:$X$135,3,FALSE)+$C$2</f>
        <v>254.64129733596241</v>
      </c>
      <c r="H143" s="74">
        <f>('Old Data'!$K139-$F143)^2+('Old Data'!$U139-$G143)^2</f>
        <v>6796.8757449339328</v>
      </c>
      <c r="I143" s="75">
        <f>('Old Data'!$L139+'Old Data'!$M139)-('Old Data'!$V139+'Old Data'!$W139)</f>
        <v>-19</v>
      </c>
      <c r="J143" s="72">
        <f>VLOOKUP('Old Data'!$F139,$Z$6:$AB$135,2,FALSE)+VLOOKUP('Old Data'!$P139,$Z$6:$AB$135,3,FALSE)+$D$2</f>
        <v>103.5470670840977</v>
      </c>
      <c r="K143" s="72">
        <f>VLOOKUP('Old Data'!$P139,$Z$6:$AB$135,2,FALSE)+VLOOKUP('Old Data'!$F139,$Z$6:$AB$135,3,FALSE)+$D$2</f>
        <v>48.54036936125803</v>
      </c>
      <c r="L143" s="74">
        <f>('Old Data'!$L139+'Old Data'!$M139-$J143)^2+('Old Data'!$V139+'Old Data'!$W139-$K143)^2</f>
        <v>3943.2838623083007</v>
      </c>
      <c r="M143" s="75">
        <f>'Old Data'!$N139-'Old Data'!$X139</f>
        <v>1</v>
      </c>
      <c r="N143" s="72">
        <f>VLOOKUP('Old Data'!$F139,$AD$6:$AF$135,2,FALSE)+VLOOKUP('Old Data'!$P139,$AD$6:$AF$135,3,FALSE)+$E$2</f>
        <v>2.2233279647773374</v>
      </c>
      <c r="O143" s="72">
        <f>VLOOKUP('Old Data'!$P139,$AD$6:$AF$135,2,FALSE)+VLOOKUP('Old Data'!$F139,$AD$6:$AF$135,3,FALSE)+$E$2</f>
        <v>0.44354607544089508</v>
      </c>
      <c r="P143" s="73">
        <f>('Old Data'!$N139-$N143)^2+('Old Data'!$X139-$O143)^2</f>
        <v>0.35951635000881765</v>
      </c>
      <c r="Q143" s="62"/>
      <c r="R143" s="3"/>
      <c r="S143" s="3"/>
      <c r="T143" s="3"/>
      <c r="V143" s="3"/>
      <c r="W143" s="3"/>
      <c r="X143" s="3"/>
      <c r="Z143" s="3"/>
      <c r="AA143" s="3"/>
      <c r="AB143" s="3"/>
      <c r="AC143" s="3"/>
      <c r="AD143" s="3"/>
      <c r="AE143" s="3"/>
      <c r="AF143" s="3"/>
      <c r="AG143" s="3"/>
      <c r="AH143" s="37"/>
      <c r="AI143" s="1"/>
      <c r="AK143" s="10"/>
      <c r="AL143" s="10"/>
      <c r="AM143" s="10"/>
      <c r="AN143" s="11"/>
      <c r="AO143" s="11"/>
      <c r="AP143" s="11"/>
      <c r="AQ143" s="36"/>
      <c r="AR143" s="11"/>
      <c r="AS143" s="11"/>
      <c r="AT143" s="11"/>
      <c r="AU143" s="12"/>
      <c r="AV143" s="11"/>
      <c r="AW143" s="11"/>
      <c r="AX143" s="15"/>
      <c r="AY143" s="15"/>
      <c r="AZ143" s="15"/>
      <c r="BA143" s="15"/>
      <c r="BB143" s="15"/>
      <c r="BC143" s="15"/>
      <c r="BD143" s="15"/>
      <c r="BE143" s="12"/>
      <c r="BF143" s="11"/>
      <c r="BG143" s="11"/>
      <c r="BH143" s="10"/>
      <c r="BI143" s="10"/>
      <c r="BJ143" s="10"/>
      <c r="BK143" s="23"/>
      <c r="BL143" s="23"/>
      <c r="BM143" s="23"/>
      <c r="BN143" s="23"/>
      <c r="BO143" s="23"/>
      <c r="BP143" s="23"/>
      <c r="BQ143" s="23"/>
      <c r="BR143" s="10"/>
      <c r="BS143" s="16"/>
      <c r="BT143" s="16"/>
      <c r="BU143" s="16"/>
      <c r="BV143" s="16"/>
      <c r="BW143" s="11"/>
      <c r="BX143" s="16"/>
      <c r="BY143" s="16"/>
      <c r="BZ143" s="17"/>
      <c r="CA143" s="18"/>
      <c r="CB143" s="18"/>
      <c r="CC143" s="18"/>
      <c r="CD143" s="18"/>
      <c r="CE143" s="18"/>
      <c r="CF143" s="18"/>
      <c r="CG143" s="19"/>
      <c r="CH143" s="15"/>
      <c r="CI143" s="17"/>
      <c r="CJ143" s="10"/>
      <c r="CK143" s="10"/>
      <c r="CL143" s="10"/>
      <c r="CM143" s="17"/>
      <c r="CN143" s="17"/>
      <c r="CO143" s="10"/>
      <c r="CP143" s="10"/>
      <c r="CQ143" s="10"/>
      <c r="CR143" s="10"/>
      <c r="CS143" s="10"/>
      <c r="CT143" s="10"/>
      <c r="CU143" s="10"/>
      <c r="CV143" s="10"/>
      <c r="CW143" s="10"/>
      <c r="CX143" s="10"/>
      <c r="CY143" s="10"/>
      <c r="CZ143" s="10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</row>
    <row r="144" spans="1:135" customFormat="1">
      <c r="A144" s="71">
        <f>'Old Data'!$I140-'Old Data'!$S140</f>
        <v>25</v>
      </c>
      <c r="B144" s="72">
        <f>VLOOKUP('Old Data'!$F140,$R$6:$T$135,2,FALSE)+VLOOKUP('Old Data'!$P140,$R$6:$T$135,3,FALSE)+$B$2</f>
        <v>242.84806092587843</v>
      </c>
      <c r="C144" s="72">
        <f>VLOOKUP('Old Data'!$P140,$R$6:$T$135,2,FALSE)+VLOOKUP('Old Data'!$F140,$R$6:$T$135,3,FALSE)+$B$2</f>
        <v>157.92838023907279</v>
      </c>
      <c r="D144" s="74">
        <f>('Old Data'!$I140-$B144)^2+('Old Data'!$S140-$C144)^2</f>
        <v>15206.54540713274</v>
      </c>
      <c r="E144" s="75">
        <f>'Old Data'!$K140-'Old Data'!$U140</f>
        <v>-46</v>
      </c>
      <c r="F144" s="72">
        <f>VLOOKUP('Old Data'!$F140,$V$6:$X$135,2,FALSE)+VLOOKUP('Old Data'!$P140,$V$6:$X$135,3,FALSE)+$C$2</f>
        <v>217.85543274108537</v>
      </c>
      <c r="G144" s="72">
        <f>VLOOKUP('Old Data'!$P140,$V$6:$X$135,2,FALSE)+VLOOKUP('Old Data'!$F140,$V$6:$X$135,3,FALSE)+$C$2</f>
        <v>328.31017552563117</v>
      </c>
      <c r="H144" s="74">
        <f>('Old Data'!$K140-$F144)^2+('Old Data'!$U140-$G144)^2</f>
        <v>24514.111694216077</v>
      </c>
      <c r="I144" s="75">
        <f>('Old Data'!$L140+'Old Data'!$M140)-('Old Data'!$V140+'Old Data'!$W140)</f>
        <v>61</v>
      </c>
      <c r="J144" s="72">
        <f>VLOOKUP('Old Data'!$F140,$Z$6:$AB$135,2,FALSE)+VLOOKUP('Old Data'!$P140,$Z$6:$AB$135,3,FALSE)+$D$2</f>
        <v>100.01756918581479</v>
      </c>
      <c r="K144" s="72">
        <f>VLOOKUP('Old Data'!$P140,$Z$6:$AB$135,2,FALSE)+VLOOKUP('Old Data'!$F140,$Z$6:$AB$135,3,FALSE)+$D$2</f>
        <v>8.766845388077499</v>
      </c>
      <c r="L144" s="74">
        <f>('Old Data'!$L140+'Old Data'!$M140-$J144)^2+('Old Data'!$V140+'Old Data'!$W140-$K144)^2</f>
        <v>1599.2282832282999</v>
      </c>
      <c r="M144" s="75">
        <f>'Old Data'!$N140-'Old Data'!$X140</f>
        <v>-4</v>
      </c>
      <c r="N144" s="72">
        <f>VLOOKUP('Old Data'!$F140,$AD$6:$AF$135,2,FALSE)+VLOOKUP('Old Data'!$P140,$AD$6:$AF$135,3,FALSE)+$E$2</f>
        <v>1.0892661947479421</v>
      </c>
      <c r="O144" s="72">
        <f>VLOOKUP('Old Data'!$P140,$AD$6:$AF$135,2,FALSE)+VLOOKUP('Old Data'!$F140,$AD$6:$AF$135,3,FALSE)+$E$2</f>
        <v>2.2664805704705824</v>
      </c>
      <c r="P144" s="73">
        <f>('Old Data'!$N140-$N144)^2+('Old Data'!$X140-$O144)^2</f>
        <v>7.4800969251396108</v>
      </c>
      <c r="Q144" s="62"/>
      <c r="R144" s="3"/>
      <c r="S144" s="3"/>
      <c r="T144" s="3"/>
      <c r="V144" s="3"/>
      <c r="W144" s="3"/>
      <c r="X144" s="3"/>
      <c r="Z144" s="3"/>
      <c r="AA144" s="3"/>
      <c r="AB144" s="3"/>
      <c r="AC144" s="3"/>
      <c r="AD144" s="3"/>
      <c r="AE144" s="3"/>
      <c r="AF144" s="3"/>
      <c r="AG144" s="3"/>
      <c r="AH144" s="37"/>
      <c r="AI144" s="1"/>
      <c r="AK144" s="10"/>
      <c r="AL144" s="10"/>
      <c r="AM144" s="10"/>
      <c r="AN144" s="11"/>
      <c r="AO144" s="11"/>
      <c r="AP144" s="11"/>
      <c r="AQ144" s="36"/>
      <c r="AR144" s="11"/>
      <c r="AS144" s="11"/>
      <c r="AT144" s="11"/>
      <c r="AU144" s="12"/>
      <c r="AV144" s="11"/>
      <c r="AW144" s="11"/>
      <c r="AX144" s="15"/>
      <c r="AY144" s="15"/>
      <c r="AZ144" s="15"/>
      <c r="BA144" s="15"/>
      <c r="BB144" s="15"/>
      <c r="BC144" s="15"/>
      <c r="BD144" s="15"/>
      <c r="BE144" s="12"/>
      <c r="BF144" s="11"/>
      <c r="BG144" s="11"/>
      <c r="BH144" s="10"/>
      <c r="BI144" s="10"/>
      <c r="BJ144" s="10"/>
      <c r="BK144" s="23"/>
      <c r="BL144" s="23"/>
      <c r="BM144" s="23"/>
      <c r="BN144" s="23"/>
      <c r="BO144" s="23"/>
      <c r="BP144" s="23"/>
      <c r="BQ144" s="23"/>
      <c r="BR144" s="10"/>
      <c r="BS144" s="16"/>
      <c r="BT144" s="16"/>
      <c r="BU144" s="16"/>
      <c r="BV144" s="16"/>
      <c r="BW144" s="11"/>
      <c r="BX144" s="16"/>
      <c r="BY144" s="16"/>
      <c r="BZ144" s="17"/>
      <c r="CA144" s="18"/>
      <c r="CB144" s="18"/>
      <c r="CC144" s="18"/>
      <c r="CD144" s="18"/>
      <c r="CE144" s="18"/>
      <c r="CF144" s="18"/>
      <c r="CG144" s="19"/>
      <c r="CH144" s="15"/>
      <c r="CI144" s="17"/>
      <c r="CJ144" s="10"/>
      <c r="CK144" s="10"/>
      <c r="CL144" s="10"/>
      <c r="CM144" s="17"/>
      <c r="CN144" s="17"/>
      <c r="CO144" s="10"/>
      <c r="CP144" s="10"/>
      <c r="CQ144" s="10"/>
      <c r="CR144" s="10"/>
      <c r="CS144" s="10"/>
      <c r="CT144" s="10"/>
      <c r="CU144" s="10"/>
      <c r="CV144" s="10"/>
      <c r="CW144" s="10"/>
      <c r="CX144" s="10"/>
      <c r="CY144" s="10"/>
      <c r="CZ144" s="10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</row>
    <row r="145" spans="1:135" customFormat="1">
      <c r="A145" s="71">
        <f>'Old Data'!$I141-'Old Data'!$S141</f>
        <v>-30</v>
      </c>
      <c r="B145" s="72">
        <f>VLOOKUP('Old Data'!$F141,$R$6:$T$135,2,FALSE)+VLOOKUP('Old Data'!$P141,$R$6:$T$135,3,FALSE)+$B$2</f>
        <v>137.9983469005571</v>
      </c>
      <c r="C145" s="72">
        <f>VLOOKUP('Old Data'!$P141,$R$6:$T$135,2,FALSE)+VLOOKUP('Old Data'!$F141,$R$6:$T$135,3,FALSE)+$B$2</f>
        <v>124.63960360113596</v>
      </c>
      <c r="D145" s="74">
        <f>('Old Data'!$I141-$B145)^2+('Old Data'!$S141-$C145)^2</f>
        <v>1078.4010087009428</v>
      </c>
      <c r="E145" s="75">
        <f>'Old Data'!$K141-'Old Data'!$U141</f>
        <v>8</v>
      </c>
      <c r="F145" s="72">
        <f>VLOOKUP('Old Data'!$F141,$V$6:$X$135,2,FALSE)+VLOOKUP('Old Data'!$P141,$V$6:$X$135,3,FALSE)+$C$2</f>
        <v>264.87041929181964</v>
      </c>
      <c r="G145" s="72">
        <f>VLOOKUP('Old Data'!$P141,$V$6:$X$135,2,FALSE)+VLOOKUP('Old Data'!$F141,$V$6:$X$135,3,FALSE)+$C$2</f>
        <v>243.44471979818351</v>
      </c>
      <c r="H145" s="74">
        <f>('Old Data'!$K141-$F145)^2+('Old Data'!$U141-$G145)^2</f>
        <v>15173.340158109186</v>
      </c>
      <c r="I145" s="75">
        <f>('Old Data'!$L141+'Old Data'!$M141)-('Old Data'!$V141+'Old Data'!$W141)</f>
        <v>-51</v>
      </c>
      <c r="J145" s="72">
        <f>VLOOKUP('Old Data'!$F141,$Z$6:$AB$135,2,FALSE)+VLOOKUP('Old Data'!$P141,$Z$6:$AB$135,3,FALSE)+$D$2</f>
        <v>54.919236553537395</v>
      </c>
      <c r="K145" s="72">
        <f>VLOOKUP('Old Data'!$P141,$Z$6:$AB$135,2,FALSE)+VLOOKUP('Old Data'!$F141,$Z$6:$AB$135,3,FALSE)+$D$2</f>
        <v>53.464714486796296</v>
      </c>
      <c r="L145" s="74">
        <f>('Old Data'!$L141+'Old Data'!$M141-$J145)^2+('Old Data'!$V141+'Old Data'!$W141-$K145)^2</f>
        <v>2867.194844607448</v>
      </c>
      <c r="M145" s="75">
        <f>'Old Data'!$N141-'Old Data'!$X141</f>
        <v>0</v>
      </c>
      <c r="N145" s="72">
        <f>VLOOKUP('Old Data'!$F141,$AD$6:$AF$135,2,FALSE)+VLOOKUP('Old Data'!$P141,$AD$6:$AF$135,3,FALSE)+$E$2</f>
        <v>1.7174620752950891</v>
      </c>
      <c r="O145" s="72">
        <f>VLOOKUP('Old Data'!$P141,$AD$6:$AF$135,2,FALSE)+VLOOKUP('Old Data'!$F141,$AD$6:$AF$135,3,FALSE)+$E$2</f>
        <v>1.2941774599485034</v>
      </c>
      <c r="P145" s="73">
        <f>('Old Data'!$N141-$N145)^2+('Old Data'!$X141-$O145)^2</f>
        <v>0.60129220742848943</v>
      </c>
      <c r="Q145" s="62"/>
      <c r="R145" s="3"/>
      <c r="S145" s="3"/>
      <c r="T145" s="3"/>
      <c r="V145" s="3"/>
      <c r="W145" s="3"/>
      <c r="X145" s="3"/>
      <c r="Z145" s="3"/>
      <c r="AA145" s="3"/>
      <c r="AB145" s="3"/>
      <c r="AC145" s="3"/>
      <c r="AD145" s="3"/>
      <c r="AE145" s="3"/>
      <c r="AF145" s="3"/>
      <c r="AG145" s="3"/>
      <c r="AH145" s="37"/>
      <c r="AI145" s="1"/>
      <c r="AK145" s="10"/>
      <c r="AL145" s="10"/>
      <c r="AM145" s="10"/>
      <c r="AN145" s="11"/>
      <c r="AO145" s="11"/>
      <c r="AP145" s="11"/>
      <c r="AQ145" s="36"/>
      <c r="AR145" s="11"/>
      <c r="AS145" s="11"/>
      <c r="AT145" s="11"/>
      <c r="AU145" s="12"/>
      <c r="AV145" s="11"/>
      <c r="AW145" s="11"/>
      <c r="AX145" s="15"/>
      <c r="AY145" s="15"/>
      <c r="AZ145" s="15"/>
      <c r="BA145" s="15"/>
      <c r="BB145" s="15"/>
      <c r="BC145" s="15"/>
      <c r="BD145" s="15"/>
      <c r="BE145" s="12"/>
      <c r="BF145" s="11"/>
      <c r="BG145" s="11"/>
      <c r="BH145" s="10"/>
      <c r="BI145" s="10"/>
      <c r="BJ145" s="10"/>
      <c r="BK145" s="23"/>
      <c r="BL145" s="23"/>
      <c r="BM145" s="23"/>
      <c r="BN145" s="23"/>
      <c r="BO145" s="23"/>
      <c r="BP145" s="23"/>
      <c r="BQ145" s="23"/>
      <c r="BR145" s="10"/>
      <c r="BS145" s="16"/>
      <c r="BT145" s="16"/>
      <c r="BU145" s="16"/>
      <c r="BV145" s="16"/>
      <c r="BW145" s="11"/>
      <c r="BX145" s="16"/>
      <c r="BY145" s="16"/>
      <c r="BZ145" s="17"/>
      <c r="CA145" s="18"/>
      <c r="CB145" s="18"/>
      <c r="CC145" s="18"/>
      <c r="CD145" s="18"/>
      <c r="CE145" s="18"/>
      <c r="CF145" s="18"/>
      <c r="CG145" s="19"/>
      <c r="CH145" s="15"/>
      <c r="CI145" s="17"/>
      <c r="CJ145" s="10"/>
      <c r="CK145" s="10"/>
      <c r="CL145" s="10"/>
      <c r="CM145" s="17"/>
      <c r="CN145" s="17"/>
      <c r="CO145" s="10"/>
      <c r="CP145" s="10"/>
      <c r="CQ145" s="10"/>
      <c r="CR145" s="10"/>
      <c r="CS145" s="10"/>
      <c r="CT145" s="10"/>
      <c r="CU145" s="10"/>
      <c r="CV145" s="10"/>
      <c r="CW145" s="10"/>
      <c r="CX145" s="10"/>
      <c r="CY145" s="10"/>
      <c r="CZ145" s="10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</row>
    <row r="146" spans="1:135" customFormat="1">
      <c r="A146" s="71">
        <f>'Old Data'!$I142-'Old Data'!$S142</f>
        <v>186</v>
      </c>
      <c r="B146" s="72">
        <f>VLOOKUP('Old Data'!$F142,$R$6:$T$135,2,FALSE)+VLOOKUP('Old Data'!$P142,$R$6:$T$135,3,FALSE)+$B$2</f>
        <v>207.00218972662182</v>
      </c>
      <c r="C146" s="72">
        <f>VLOOKUP('Old Data'!$P142,$R$6:$T$135,2,FALSE)+VLOOKUP('Old Data'!$F142,$R$6:$T$135,3,FALSE)+$B$2</f>
        <v>70.520761781144202</v>
      </c>
      <c r="D146" s="74">
        <f>('Old Data'!$I142-$B146)^2+('Old Data'!$S142-$C146)^2</f>
        <v>1661.8468220244145</v>
      </c>
      <c r="E146" s="75">
        <f>'Old Data'!$K142-'Old Data'!$U142</f>
        <v>-196</v>
      </c>
      <c r="F146" s="72">
        <f>VLOOKUP('Old Data'!$F142,$V$6:$X$135,2,FALSE)+VLOOKUP('Old Data'!$P142,$V$6:$X$135,3,FALSE)+$C$2</f>
        <v>118.3286964022593</v>
      </c>
      <c r="G146" s="72">
        <f>VLOOKUP('Old Data'!$P142,$V$6:$X$135,2,FALSE)+VLOOKUP('Old Data'!$F142,$V$6:$X$135,3,FALSE)+$C$2</f>
        <v>215.35334772057482</v>
      </c>
      <c r="H146" s="74">
        <f>('Old Data'!$K142-$F146)^2+('Old Data'!$U142-$G146)^2</f>
        <v>4991.6589890201003</v>
      </c>
      <c r="I146" s="75">
        <f>('Old Data'!$L142+'Old Data'!$M142)-('Old Data'!$V142+'Old Data'!$W142)</f>
        <v>-58</v>
      </c>
      <c r="J146" s="72">
        <f>VLOOKUP('Old Data'!$F142,$Z$6:$AB$135,2,FALSE)+VLOOKUP('Old Data'!$P142,$Z$6:$AB$135,3,FALSE)+$D$2</f>
        <v>-0.58779987247970666</v>
      </c>
      <c r="K146" s="72">
        <f>VLOOKUP('Old Data'!$P142,$Z$6:$AB$135,2,FALSE)+VLOOKUP('Old Data'!$F142,$Z$6:$AB$135,3,FALSE)+$D$2</f>
        <v>61.442238164759949</v>
      </c>
      <c r="L146" s="74">
        <f>('Old Data'!$L142+'Old Data'!$M142-$J146)^2+('Old Data'!$V142+'Old Data'!$W142-$K146)^2</f>
        <v>12.194512273017104</v>
      </c>
      <c r="M146" s="75">
        <f>'Old Data'!$N142-'Old Data'!$X142</f>
        <v>2</v>
      </c>
      <c r="N146" s="72">
        <f>VLOOKUP('Old Data'!$F142,$AD$6:$AF$135,2,FALSE)+VLOOKUP('Old Data'!$P142,$AD$6:$AF$135,3,FALSE)+$E$2</f>
        <v>1.7624022809184172</v>
      </c>
      <c r="O146" s="72">
        <f>VLOOKUP('Old Data'!$P142,$AD$6:$AF$135,2,FALSE)+VLOOKUP('Old Data'!$F142,$AD$6:$AF$135,3,FALSE)+$E$2</f>
        <v>1.4747659364075851</v>
      </c>
      <c r="P146" s="73">
        <f>('Old Data'!$N142-$N146)^2+('Old Data'!$X142-$O146)^2</f>
        <v>5.2827143739969022</v>
      </c>
      <c r="Q146" s="62"/>
      <c r="R146" s="3"/>
      <c r="S146" s="3"/>
      <c r="T146" s="3"/>
      <c r="V146" s="3"/>
      <c r="W146" s="3"/>
      <c r="X146" s="3"/>
      <c r="Z146" s="3"/>
      <c r="AA146" s="3"/>
      <c r="AB146" s="3"/>
      <c r="AC146" s="3"/>
      <c r="AD146" s="3"/>
      <c r="AE146" s="3"/>
      <c r="AF146" s="3"/>
      <c r="AG146" s="3"/>
      <c r="AH146" s="37"/>
      <c r="AI146" s="1"/>
      <c r="AK146" s="10"/>
      <c r="AL146" s="10"/>
      <c r="AM146" s="10"/>
      <c r="AN146" s="11"/>
      <c r="AO146" s="11"/>
      <c r="AP146" s="11"/>
      <c r="AQ146" s="36"/>
      <c r="AR146" s="11"/>
      <c r="AS146" s="11"/>
      <c r="AT146" s="11"/>
      <c r="AU146" s="12"/>
      <c r="AV146" s="11"/>
      <c r="AW146" s="11"/>
      <c r="AX146" s="15"/>
      <c r="AY146" s="15"/>
      <c r="AZ146" s="15"/>
      <c r="BA146" s="15"/>
      <c r="BB146" s="15"/>
      <c r="BC146" s="15"/>
      <c r="BD146" s="15"/>
      <c r="BE146" s="12"/>
      <c r="BF146" s="11"/>
      <c r="BG146" s="11"/>
      <c r="BH146" s="10"/>
      <c r="BI146" s="10"/>
      <c r="BJ146" s="10"/>
      <c r="BK146" s="23"/>
      <c r="BL146" s="23"/>
      <c r="BM146" s="23"/>
      <c r="BN146" s="23"/>
      <c r="BO146" s="23"/>
      <c r="BP146" s="23"/>
      <c r="BQ146" s="23"/>
      <c r="BR146" s="10"/>
      <c r="BS146" s="16"/>
      <c r="BT146" s="16"/>
      <c r="BU146" s="16"/>
      <c r="BV146" s="16"/>
      <c r="BW146" s="11"/>
      <c r="BX146" s="16"/>
      <c r="BY146" s="16"/>
      <c r="BZ146" s="17"/>
      <c r="CA146" s="18"/>
      <c r="CB146" s="18"/>
      <c r="CC146" s="18"/>
      <c r="CD146" s="18"/>
      <c r="CE146" s="18"/>
      <c r="CF146" s="18"/>
      <c r="CG146" s="19"/>
      <c r="CH146" s="15"/>
      <c r="CI146" s="17"/>
      <c r="CJ146" s="10"/>
      <c r="CK146" s="10"/>
      <c r="CL146" s="10"/>
      <c r="CM146" s="17"/>
      <c r="CN146" s="17"/>
      <c r="CO146" s="10"/>
      <c r="CP146" s="10"/>
      <c r="CQ146" s="10"/>
      <c r="CR146" s="10"/>
      <c r="CS146" s="10"/>
      <c r="CT146" s="10"/>
      <c r="CU146" s="10"/>
      <c r="CV146" s="10"/>
      <c r="CW146" s="10"/>
      <c r="CX146" s="10"/>
      <c r="CY146" s="10"/>
      <c r="CZ146" s="10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</row>
    <row r="147" spans="1:135" customFormat="1">
      <c r="A147" s="71">
        <f>'Old Data'!$I143-'Old Data'!$S143</f>
        <v>-114</v>
      </c>
      <c r="B147" s="72">
        <f>VLOOKUP('Old Data'!$F143,$R$6:$T$135,2,FALSE)+VLOOKUP('Old Data'!$P143,$R$6:$T$135,3,FALSE)+$B$2</f>
        <v>105.5967530303962</v>
      </c>
      <c r="C147" s="72">
        <f>VLOOKUP('Old Data'!$P143,$R$6:$T$135,2,FALSE)+VLOOKUP('Old Data'!$F143,$R$6:$T$135,3,FALSE)+$B$2</f>
        <v>197.5807330258514</v>
      </c>
      <c r="D147" s="74">
        <f>('Old Data'!$I143-$B147)^2+('Old Data'!$S143-$C147)^2</f>
        <v>728.37038681401521</v>
      </c>
      <c r="E147" s="75">
        <f>'Old Data'!$K143-'Old Data'!$U143</f>
        <v>-13</v>
      </c>
      <c r="F147" s="72">
        <f>VLOOKUP('Old Data'!$F143,$V$6:$X$135,2,FALSE)+VLOOKUP('Old Data'!$P143,$V$6:$X$135,3,FALSE)+$C$2</f>
        <v>267.95961830555399</v>
      </c>
      <c r="G147" s="72">
        <f>VLOOKUP('Old Data'!$P143,$V$6:$X$135,2,FALSE)+VLOOKUP('Old Data'!$F143,$V$6:$X$135,3,FALSE)+$C$2</f>
        <v>196.84596124397132</v>
      </c>
      <c r="H147" s="74">
        <f>('Old Data'!$K143-$F147)^2+('Old Data'!$U143-$G147)^2</f>
        <v>8759.403437740968</v>
      </c>
      <c r="I147" s="75">
        <f>('Old Data'!$L143+'Old Data'!$M143)-('Old Data'!$V143+'Old Data'!$W143)</f>
        <v>-38</v>
      </c>
      <c r="J147" s="72">
        <f>VLOOKUP('Old Data'!$F143,$Z$6:$AB$135,2,FALSE)+VLOOKUP('Old Data'!$P143,$Z$6:$AB$135,3,FALSE)+$D$2</f>
        <v>38.419135320783077</v>
      </c>
      <c r="K147" s="72">
        <f>VLOOKUP('Old Data'!$P143,$Z$6:$AB$135,2,FALSE)+VLOOKUP('Old Data'!$F143,$Z$6:$AB$135,3,FALSE)+$D$2</f>
        <v>60.253581512184198</v>
      </c>
      <c r="L147" s="74">
        <f>('Old Data'!$L143+'Old Data'!$M143-$J147)^2+('Old Data'!$V143+'Old Data'!$W143-$K147)^2</f>
        <v>754.67103295120978</v>
      </c>
      <c r="M147" s="75">
        <f>'Old Data'!$N143-'Old Data'!$X143</f>
        <v>-1</v>
      </c>
      <c r="N147" s="72">
        <f>VLOOKUP('Old Data'!$F143,$AD$6:$AF$135,2,FALSE)+VLOOKUP('Old Data'!$P143,$AD$6:$AF$135,3,FALSE)+$E$2</f>
        <v>1.7380193458155211</v>
      </c>
      <c r="O147" s="72">
        <f>VLOOKUP('Old Data'!$P143,$AD$6:$AF$135,2,FALSE)+VLOOKUP('Old Data'!$F143,$AD$6:$AF$135,3,FALSE)+$E$2</f>
        <v>1.6298498491387672</v>
      </c>
      <c r="P147" s="73">
        <f>('Old Data'!$N143-$N147)^2+('Old Data'!$X143-$O147)^2</f>
        <v>1.9459452990719865</v>
      </c>
      <c r="Q147" s="62"/>
      <c r="R147" s="3"/>
      <c r="S147" s="3"/>
      <c r="T147" s="3"/>
      <c r="V147" s="3"/>
      <c r="W147" s="3"/>
      <c r="X147" s="3"/>
      <c r="Z147" s="3"/>
      <c r="AA147" s="3"/>
      <c r="AB147" s="3"/>
      <c r="AC147" s="3"/>
      <c r="AD147" s="3"/>
      <c r="AE147" s="3"/>
      <c r="AF147" s="3"/>
      <c r="AG147" s="3"/>
      <c r="AH147" s="37"/>
      <c r="AI147" s="1"/>
      <c r="AK147" s="10"/>
      <c r="AL147" s="10"/>
      <c r="AM147" s="10"/>
      <c r="AN147" s="11"/>
      <c r="AO147" s="11"/>
      <c r="AP147" s="11"/>
      <c r="AQ147" s="36"/>
      <c r="AR147" s="11"/>
      <c r="AS147" s="11"/>
      <c r="AT147" s="11"/>
      <c r="AU147" s="12"/>
      <c r="AV147" s="11"/>
      <c r="AW147" s="11"/>
      <c r="AX147" s="15"/>
      <c r="AY147" s="15"/>
      <c r="AZ147" s="15"/>
      <c r="BA147" s="15"/>
      <c r="BB147" s="15"/>
      <c r="BC147" s="15"/>
      <c r="BD147" s="15"/>
      <c r="BE147" s="12"/>
      <c r="BF147" s="11"/>
      <c r="BG147" s="11"/>
      <c r="BH147" s="10"/>
      <c r="BI147" s="10"/>
      <c r="BJ147" s="10"/>
      <c r="BK147" s="23"/>
      <c r="BL147" s="23"/>
      <c r="BM147" s="23"/>
      <c r="BN147" s="23"/>
      <c r="BO147" s="23"/>
      <c r="BP147" s="23"/>
      <c r="BQ147" s="23"/>
      <c r="BR147" s="10"/>
      <c r="BS147" s="16"/>
      <c r="BT147" s="16"/>
      <c r="BU147" s="16"/>
      <c r="BV147" s="16"/>
      <c r="BW147" s="11"/>
      <c r="BX147" s="16"/>
      <c r="BY147" s="16"/>
      <c r="BZ147" s="17"/>
      <c r="CA147" s="18"/>
      <c r="CB147" s="18"/>
      <c r="CC147" s="18"/>
      <c r="CD147" s="18"/>
      <c r="CE147" s="18"/>
      <c r="CF147" s="18"/>
      <c r="CG147" s="19"/>
      <c r="CH147" s="15"/>
      <c r="CI147" s="17"/>
      <c r="CJ147" s="10"/>
      <c r="CK147" s="10"/>
      <c r="CL147" s="10"/>
      <c r="CM147" s="17"/>
      <c r="CN147" s="17"/>
      <c r="CO147" s="10"/>
      <c r="CP147" s="10"/>
      <c r="CQ147" s="10"/>
      <c r="CR147" s="10"/>
      <c r="CS147" s="10"/>
      <c r="CT147" s="10"/>
      <c r="CU147" s="10"/>
      <c r="CV147" s="10"/>
      <c r="CW147" s="10"/>
      <c r="CX147" s="10"/>
      <c r="CY147" s="10"/>
      <c r="CZ147" s="10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</row>
    <row r="148" spans="1:135" customFormat="1">
      <c r="A148" s="71">
        <f>'Old Data'!$I144-'Old Data'!$S144</f>
        <v>82</v>
      </c>
      <c r="B148" s="72">
        <f>VLOOKUP('Old Data'!$F144,$R$6:$T$135,2,FALSE)+VLOOKUP('Old Data'!$P144,$R$6:$T$135,3,FALSE)+$B$2</f>
        <v>280.62562520735116</v>
      </c>
      <c r="C148" s="72">
        <f>VLOOKUP('Old Data'!$P144,$R$6:$T$135,2,FALSE)+VLOOKUP('Old Data'!$F144,$R$6:$T$135,3,FALSE)+$B$2</f>
        <v>106.24383023423188</v>
      </c>
      <c r="D148" s="74">
        <f>('Old Data'!$I144-$B148)^2+('Old Data'!$S144-$C148)^2</f>
        <v>4267.8370867270069</v>
      </c>
      <c r="E148" s="75">
        <f>'Old Data'!$K144-'Old Data'!$U144</f>
        <v>168</v>
      </c>
      <c r="F148" s="72">
        <f>VLOOKUP('Old Data'!$F144,$V$6:$X$135,2,FALSE)+VLOOKUP('Old Data'!$P144,$V$6:$X$135,3,FALSE)+$C$2</f>
        <v>272.05841635182219</v>
      </c>
      <c r="G148" s="72">
        <f>VLOOKUP('Old Data'!$P144,$V$6:$X$135,2,FALSE)+VLOOKUP('Old Data'!$F144,$V$6:$X$135,3,FALSE)+$C$2</f>
        <v>139.62786476458621</v>
      </c>
      <c r="H148" s="74">
        <f>('Old Data'!$K144-$F148)^2+('Old Data'!$U144-$G148)^2</f>
        <v>7557.6232116992915</v>
      </c>
      <c r="I148" s="75">
        <f>('Old Data'!$L144+'Old Data'!$M144)-('Old Data'!$V144+'Old Data'!$W144)</f>
        <v>24</v>
      </c>
      <c r="J148" s="72">
        <f>VLOOKUP('Old Data'!$F144,$Z$6:$AB$135,2,FALSE)+VLOOKUP('Old Data'!$P144,$Z$6:$AB$135,3,FALSE)+$D$2</f>
        <v>40.205877200101476</v>
      </c>
      <c r="K148" s="72">
        <f>VLOOKUP('Old Data'!$P144,$Z$6:$AB$135,2,FALSE)+VLOOKUP('Old Data'!$F144,$Z$6:$AB$135,3,FALSE)+$D$2</f>
        <v>2.3524737319823998</v>
      </c>
      <c r="L148" s="74">
        <f>('Old Data'!$L144+'Old Data'!$M144-$J148)^2+('Old Data'!$V144+'Old Data'!$W144-$K148)^2</f>
        <v>96.997569842758537</v>
      </c>
      <c r="M148" s="75">
        <f>'Old Data'!$N144-'Old Data'!$X144</f>
        <v>-1</v>
      </c>
      <c r="N148" s="72">
        <f>VLOOKUP('Old Data'!$F144,$AD$6:$AF$135,2,FALSE)+VLOOKUP('Old Data'!$P144,$AD$6:$AF$135,3,FALSE)+$E$2</f>
        <v>2.0778056234024813</v>
      </c>
      <c r="O148" s="72">
        <f>VLOOKUP('Old Data'!$P144,$AD$6:$AF$135,2,FALSE)+VLOOKUP('Old Data'!$F144,$AD$6:$AF$135,3,FALSE)+$E$2</f>
        <v>0.84986270109266548</v>
      </c>
      <c r="P148" s="73">
        <f>('Old Data'!$N144-$N148)^2+('Old Data'!$X144-$O148)^2</f>
        <v>2.4844807681758705</v>
      </c>
      <c r="Q148" s="62"/>
      <c r="R148" s="3"/>
      <c r="S148" s="3"/>
      <c r="T148" s="3"/>
      <c r="V148" s="3"/>
      <c r="W148" s="3"/>
      <c r="X148" s="3"/>
      <c r="Z148" s="3"/>
      <c r="AA148" s="3"/>
      <c r="AB148" s="3"/>
      <c r="AC148" s="3"/>
      <c r="AD148" s="3"/>
      <c r="AE148" s="3"/>
      <c r="AF148" s="3"/>
      <c r="AG148" s="3"/>
      <c r="AH148" s="37"/>
      <c r="AI148" s="1"/>
      <c r="AK148" s="10"/>
      <c r="AL148" s="10"/>
      <c r="AM148" s="10"/>
      <c r="AN148" s="11"/>
      <c r="AO148" s="11"/>
      <c r="AP148" s="11"/>
      <c r="AQ148" s="36"/>
      <c r="AR148" s="11"/>
      <c r="AS148" s="11"/>
      <c r="AT148" s="11"/>
      <c r="AU148" s="12"/>
      <c r="AV148" s="11"/>
      <c r="AW148" s="11"/>
      <c r="AX148" s="15"/>
      <c r="AY148" s="15"/>
      <c r="AZ148" s="15"/>
      <c r="BA148" s="15"/>
      <c r="BB148" s="15"/>
      <c r="BC148" s="15"/>
      <c r="BD148" s="15"/>
      <c r="BE148" s="12"/>
      <c r="BF148" s="11"/>
      <c r="BG148" s="11"/>
      <c r="BH148" s="10"/>
      <c r="BI148" s="10"/>
      <c r="BJ148" s="10"/>
      <c r="BK148" s="23"/>
      <c r="BL148" s="23"/>
      <c r="BM148" s="23"/>
      <c r="BN148" s="23"/>
      <c r="BO148" s="23"/>
      <c r="BP148" s="23"/>
      <c r="BQ148" s="23"/>
      <c r="BR148" s="10"/>
      <c r="BS148" s="16"/>
      <c r="BT148" s="16"/>
      <c r="BU148" s="16"/>
      <c r="BV148" s="16"/>
      <c r="BW148" s="11"/>
      <c r="BX148" s="16"/>
      <c r="BY148" s="16"/>
      <c r="BZ148" s="17"/>
      <c r="CA148" s="18"/>
      <c r="CB148" s="18"/>
      <c r="CC148" s="18"/>
      <c r="CD148" s="18"/>
      <c r="CE148" s="18"/>
      <c r="CF148" s="18"/>
      <c r="CG148" s="19"/>
      <c r="CH148" s="15"/>
      <c r="CI148" s="17"/>
      <c r="CJ148" s="10"/>
      <c r="CK148" s="10"/>
      <c r="CL148" s="10"/>
      <c r="CM148" s="17"/>
      <c r="CN148" s="17"/>
      <c r="CO148" s="10"/>
      <c r="CP148" s="10"/>
      <c r="CQ148" s="10"/>
      <c r="CR148" s="10"/>
      <c r="CS148" s="10"/>
      <c r="CT148" s="10"/>
      <c r="CU148" s="10"/>
      <c r="CV148" s="10"/>
      <c r="CW148" s="10"/>
      <c r="CX148" s="10"/>
      <c r="CY148" s="10"/>
      <c r="CZ148" s="10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</row>
    <row r="149" spans="1:135" customFormat="1">
      <c r="A149" s="71">
        <f>'Old Data'!$I145-'Old Data'!$S145</f>
        <v>40</v>
      </c>
      <c r="B149" s="72">
        <f>VLOOKUP('Old Data'!$F145,$R$6:$T$135,2,FALSE)+VLOOKUP('Old Data'!$P145,$R$6:$T$135,3,FALSE)+$B$2</f>
        <v>99.891349374351307</v>
      </c>
      <c r="C149" s="72">
        <f>VLOOKUP('Old Data'!$P145,$R$6:$T$135,2,FALSE)+VLOOKUP('Old Data'!$F145,$R$6:$T$135,3,FALSE)+$B$2</f>
        <v>112.64133554500719</v>
      </c>
      <c r="D149" s="74">
        <f>('Old Data'!$I145-$B149)^2+('Old Data'!$S145-$C149)^2</f>
        <v>1397.2916574364158</v>
      </c>
      <c r="E149" s="75">
        <f>'Old Data'!$K145-'Old Data'!$U145</f>
        <v>162</v>
      </c>
      <c r="F149" s="72">
        <f>VLOOKUP('Old Data'!$F145,$V$6:$X$135,2,FALSE)+VLOOKUP('Old Data'!$P145,$V$6:$X$135,3,FALSE)+$C$2</f>
        <v>294.3557477061276</v>
      </c>
      <c r="G149" s="72">
        <f>VLOOKUP('Old Data'!$P145,$V$6:$X$135,2,FALSE)+VLOOKUP('Old Data'!$F145,$V$6:$X$135,3,FALSE)+$C$2</f>
        <v>201.24641767349951</v>
      </c>
      <c r="H149" s="74">
        <f>('Old Data'!$K145-$F149)^2+('Old Data'!$U145-$G149)^2</f>
        <v>2872.3106326173297</v>
      </c>
      <c r="I149" s="75">
        <f>('Old Data'!$L145+'Old Data'!$M145)-('Old Data'!$V145+'Old Data'!$W145)</f>
        <v>10</v>
      </c>
      <c r="J149" s="72">
        <f>VLOOKUP('Old Data'!$F145,$Z$6:$AB$135,2,FALSE)+VLOOKUP('Old Data'!$P145,$Z$6:$AB$135,3,FALSE)+$D$2</f>
        <v>13.264748587133298</v>
      </c>
      <c r="K149" s="72">
        <f>VLOOKUP('Old Data'!$P145,$Z$6:$AB$135,2,FALSE)+VLOOKUP('Old Data'!$F145,$Z$6:$AB$135,3,FALSE)+$D$2</f>
        <v>26.651589679968396</v>
      </c>
      <c r="L149" s="74">
        <f>('Old Data'!$L145+'Old Data'!$M145-$J149)^2+('Old Data'!$V145+'Old Data'!$W145-$K149)^2</f>
        <v>720.96581580658676</v>
      </c>
      <c r="M149" s="75">
        <f>'Old Data'!$N145-'Old Data'!$X145</f>
        <v>1</v>
      </c>
      <c r="N149" s="72">
        <f>VLOOKUP('Old Data'!$F145,$AD$6:$AF$135,2,FALSE)+VLOOKUP('Old Data'!$P145,$AD$6:$AF$135,3,FALSE)+$E$2</f>
        <v>2.5235776646345873</v>
      </c>
      <c r="O149" s="72">
        <f>VLOOKUP('Old Data'!$P145,$AD$6:$AF$135,2,FALSE)+VLOOKUP('Old Data'!$F145,$AD$6:$AF$135,3,FALSE)+$E$2</f>
        <v>1.2757725113877143</v>
      </c>
      <c r="P149" s="73">
        <f>('Old Data'!$N145-$N149)^2+('Old Data'!$X145-$O149)^2</f>
        <v>5.1527833448520894</v>
      </c>
      <c r="Q149" s="62"/>
      <c r="R149" s="3"/>
      <c r="S149" s="3"/>
      <c r="T149" s="3"/>
      <c r="V149" s="3"/>
      <c r="W149" s="3"/>
      <c r="X149" s="3"/>
      <c r="Z149" s="3"/>
      <c r="AA149" s="3"/>
      <c r="AB149" s="3"/>
      <c r="AC149" s="3"/>
      <c r="AD149" s="3"/>
      <c r="AE149" s="3"/>
      <c r="AF149" s="3"/>
      <c r="AG149" s="3"/>
      <c r="AH149" s="37"/>
      <c r="AI149" s="1"/>
      <c r="AK149" s="10"/>
      <c r="AL149" s="10"/>
      <c r="AM149" s="10"/>
      <c r="AN149" s="11"/>
      <c r="AO149" s="11"/>
      <c r="AP149" s="11"/>
      <c r="AQ149" s="36"/>
      <c r="AR149" s="11"/>
      <c r="AS149" s="11"/>
      <c r="AT149" s="11"/>
      <c r="AU149" s="12"/>
      <c r="AV149" s="11"/>
      <c r="AW149" s="11"/>
      <c r="AX149" s="15"/>
      <c r="AY149" s="15"/>
      <c r="AZ149" s="15"/>
      <c r="BA149" s="15"/>
      <c r="BB149" s="15"/>
      <c r="BC149" s="15"/>
      <c r="BD149" s="15"/>
      <c r="BE149" s="12"/>
      <c r="BF149" s="11"/>
      <c r="BG149" s="11"/>
      <c r="BH149" s="10"/>
      <c r="BI149" s="10"/>
      <c r="BJ149" s="10"/>
      <c r="BK149" s="23"/>
      <c r="BL149" s="23"/>
      <c r="BM149" s="23"/>
      <c r="BN149" s="23"/>
      <c r="BO149" s="23"/>
      <c r="BP149" s="23"/>
      <c r="BQ149" s="23"/>
      <c r="BR149" s="10"/>
      <c r="BS149" s="16"/>
      <c r="BT149" s="16"/>
      <c r="BU149" s="16"/>
      <c r="BV149" s="16"/>
      <c r="BW149" s="11"/>
      <c r="BX149" s="16"/>
      <c r="BY149" s="16"/>
      <c r="BZ149" s="17"/>
      <c r="CA149" s="18"/>
      <c r="CB149" s="18"/>
      <c r="CC149" s="18"/>
      <c r="CD149" s="18"/>
      <c r="CE149" s="18"/>
      <c r="CF149" s="18"/>
      <c r="CG149" s="19"/>
      <c r="CH149" s="15"/>
      <c r="CI149" s="17"/>
      <c r="CJ149" s="10"/>
      <c r="CK149" s="10"/>
      <c r="CL149" s="10"/>
      <c r="CM149" s="17"/>
      <c r="CN149" s="17"/>
      <c r="CO149" s="10"/>
      <c r="CP149" s="10"/>
      <c r="CQ149" s="10"/>
      <c r="CR149" s="10"/>
      <c r="CS149" s="10"/>
      <c r="CT149" s="10"/>
      <c r="CU149" s="10"/>
      <c r="CV149" s="10"/>
      <c r="CW149" s="10"/>
      <c r="CX149" s="10"/>
      <c r="CY149" s="10"/>
      <c r="CZ149" s="10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</row>
    <row r="150" spans="1:135" customFormat="1">
      <c r="A150" s="71">
        <f>'Old Data'!$I146-'Old Data'!$S146</f>
        <v>16</v>
      </c>
      <c r="B150" s="72">
        <f>VLOOKUP('Old Data'!$F146,$R$6:$T$135,2,FALSE)+VLOOKUP('Old Data'!$P146,$R$6:$T$135,3,FALSE)+$B$2</f>
        <v>184.8460075762512</v>
      </c>
      <c r="C150" s="72">
        <f>VLOOKUP('Old Data'!$P146,$R$6:$T$135,2,FALSE)+VLOOKUP('Old Data'!$F146,$R$6:$T$135,3,FALSE)+$B$2</f>
        <v>198.42996053226</v>
      </c>
      <c r="D150" s="74">
        <f>('Old Data'!$I146-$B150)^2+('Old Data'!$S146-$C150)^2</f>
        <v>7550.9834203629598</v>
      </c>
      <c r="E150" s="75">
        <f>'Old Data'!$K146-'Old Data'!$U146</f>
        <v>96</v>
      </c>
      <c r="F150" s="72">
        <f>VLOOKUP('Old Data'!$F146,$V$6:$X$135,2,FALSE)+VLOOKUP('Old Data'!$P146,$V$6:$X$135,3,FALSE)+$C$2</f>
        <v>289.14592402581201</v>
      </c>
      <c r="G150" s="72">
        <f>VLOOKUP('Old Data'!$P146,$V$6:$X$135,2,FALSE)+VLOOKUP('Old Data'!$F146,$V$6:$X$135,3,FALSE)+$C$2</f>
        <v>273.0898072920557</v>
      </c>
      <c r="H150" s="74">
        <f>('Old Data'!$K146-$F150)^2+('Old Data'!$U146-$G150)^2</f>
        <v>8788.5525007765336</v>
      </c>
      <c r="I150" s="75">
        <f>('Old Data'!$L146+'Old Data'!$M146)-('Old Data'!$V146+'Old Data'!$W146)</f>
        <v>-15</v>
      </c>
      <c r="J150" s="72">
        <f>VLOOKUP('Old Data'!$F146,$Z$6:$AB$135,2,FALSE)+VLOOKUP('Old Data'!$P146,$Z$6:$AB$135,3,FALSE)+$D$2</f>
        <v>89.488311452903375</v>
      </c>
      <c r="K150" s="72">
        <f>VLOOKUP('Old Data'!$P146,$Z$6:$AB$135,2,FALSE)+VLOOKUP('Old Data'!$F146,$Z$6:$AB$135,3,FALSE)+$D$2</f>
        <v>74.871016937082899</v>
      </c>
      <c r="L150" s="74">
        <f>('Old Data'!$L146+'Old Data'!$M146-$J150)^2+('Old Data'!$V146+'Old Data'!$W146-$K150)^2</f>
        <v>4081.6995388131827</v>
      </c>
      <c r="M150" s="75">
        <f>'Old Data'!$N146-'Old Data'!$X146</f>
        <v>2</v>
      </c>
      <c r="N150" s="72">
        <f>VLOOKUP('Old Data'!$F146,$AD$6:$AF$135,2,FALSE)+VLOOKUP('Old Data'!$P146,$AD$6:$AF$135,3,FALSE)+$E$2</f>
        <v>1.536066814392365</v>
      </c>
      <c r="O150" s="72">
        <f>VLOOKUP('Old Data'!$P146,$AD$6:$AF$135,2,FALSE)+VLOOKUP('Old Data'!$F146,$AD$6:$AF$135,3,FALSE)+$E$2</f>
        <v>1.3176176977436382</v>
      </c>
      <c r="P150" s="73">
        <f>('Old Data'!$N146-$N150)^2+('Old Data'!$X146-$O150)^2</f>
        <v>1.9513503981152938</v>
      </c>
      <c r="Q150" s="62"/>
      <c r="R150" s="3"/>
      <c r="S150" s="3"/>
      <c r="T150" s="3"/>
      <c r="V150" s="3"/>
      <c r="W150" s="3"/>
      <c r="X150" s="3"/>
      <c r="Z150" s="3"/>
      <c r="AA150" s="3"/>
      <c r="AB150" s="3"/>
      <c r="AC150" s="3"/>
      <c r="AD150" s="3"/>
      <c r="AE150" s="3"/>
      <c r="AF150" s="3"/>
      <c r="AG150" s="3"/>
      <c r="AH150" s="37"/>
      <c r="AI150" s="1"/>
      <c r="AK150" s="10"/>
      <c r="AL150" s="10"/>
      <c r="AM150" s="10"/>
      <c r="AN150" s="11"/>
      <c r="AO150" s="11"/>
      <c r="AP150" s="11"/>
      <c r="AQ150" s="36"/>
      <c r="AR150" s="11"/>
      <c r="AS150" s="11"/>
      <c r="AT150" s="11"/>
      <c r="AU150" s="12"/>
      <c r="AV150" s="11"/>
      <c r="AW150" s="11"/>
      <c r="AX150" s="15"/>
      <c r="AY150" s="15"/>
      <c r="AZ150" s="15"/>
      <c r="BA150" s="15"/>
      <c r="BB150" s="15"/>
      <c r="BC150" s="15"/>
      <c r="BD150" s="15"/>
      <c r="BE150" s="12"/>
      <c r="BF150" s="11"/>
      <c r="BG150" s="11"/>
      <c r="BH150" s="10"/>
      <c r="BI150" s="10"/>
      <c r="BJ150" s="10"/>
      <c r="BK150" s="23"/>
      <c r="BL150" s="23"/>
      <c r="BM150" s="23"/>
      <c r="BN150" s="23"/>
      <c r="BO150" s="23"/>
      <c r="BP150" s="23"/>
      <c r="BQ150" s="23"/>
      <c r="BR150" s="10"/>
      <c r="BS150" s="16"/>
      <c r="BT150" s="16"/>
      <c r="BU150" s="16"/>
      <c r="BV150" s="16"/>
      <c r="BW150" s="11"/>
      <c r="BX150" s="16"/>
      <c r="BY150" s="16"/>
      <c r="BZ150" s="17"/>
      <c r="CA150" s="18"/>
      <c r="CB150" s="18"/>
      <c r="CC150" s="18"/>
      <c r="CD150" s="18"/>
      <c r="CE150" s="18"/>
      <c r="CF150" s="18"/>
      <c r="CG150" s="19"/>
      <c r="CH150" s="15"/>
      <c r="CI150" s="17"/>
      <c r="CJ150" s="10"/>
      <c r="CK150" s="10"/>
      <c r="CL150" s="10"/>
      <c r="CM150" s="17"/>
      <c r="CN150" s="17"/>
      <c r="CO150" s="10"/>
      <c r="CP150" s="10"/>
      <c r="CQ150" s="10"/>
      <c r="CR150" s="10"/>
      <c r="CS150" s="10"/>
      <c r="CT150" s="10"/>
      <c r="CU150" s="10"/>
      <c r="CV150" s="10"/>
      <c r="CW150" s="10"/>
      <c r="CX150" s="10"/>
      <c r="CY150" s="10"/>
      <c r="CZ150" s="10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</row>
    <row r="151" spans="1:135" customFormat="1">
      <c r="A151" s="71">
        <f>'Old Data'!$I147-'Old Data'!$S147</f>
        <v>108</v>
      </c>
      <c r="B151" s="72">
        <f>VLOOKUP('Old Data'!$F147,$R$6:$T$135,2,FALSE)+VLOOKUP('Old Data'!$P147,$R$6:$T$135,3,FALSE)+$B$2</f>
        <v>175.69373206846291</v>
      </c>
      <c r="C151" s="72">
        <f>VLOOKUP('Old Data'!$P147,$R$6:$T$135,2,FALSE)+VLOOKUP('Old Data'!$F147,$R$6:$T$135,3,FALSE)+$B$2</f>
        <v>87.367175078134807</v>
      </c>
      <c r="D151" s="74">
        <f>('Old Data'!$I147-$B151)^2+('Old Data'!$S147-$C151)^2</f>
        <v>2181.8611850033135</v>
      </c>
      <c r="E151" s="75">
        <f>'Old Data'!$K147-'Old Data'!$U147</f>
        <v>-88</v>
      </c>
      <c r="F151" s="72">
        <f>VLOOKUP('Old Data'!$F147,$V$6:$X$135,2,FALSE)+VLOOKUP('Old Data'!$P147,$V$6:$X$135,3,FALSE)+$C$2</f>
        <v>183.99186344841235</v>
      </c>
      <c r="G151" s="72">
        <f>VLOOKUP('Old Data'!$P147,$V$6:$X$135,2,FALSE)+VLOOKUP('Old Data'!$F147,$V$6:$X$135,3,FALSE)+$C$2</f>
        <v>205.3342536879201</v>
      </c>
      <c r="H151" s="74">
        <f>('Old Data'!$K147-$F151)^2+('Old Data'!$U147-$G151)^2</f>
        <v>4862.365094732073</v>
      </c>
      <c r="I151" s="75">
        <f>('Old Data'!$L147+'Old Data'!$M147)-('Old Data'!$V147+'Old Data'!$W147)</f>
        <v>14</v>
      </c>
      <c r="J151" s="72">
        <f>VLOOKUP('Old Data'!$F147,$Z$6:$AB$135,2,FALSE)+VLOOKUP('Old Data'!$P147,$Z$6:$AB$135,3,FALSE)+$D$2</f>
        <v>22.634383503874702</v>
      </c>
      <c r="K151" s="72">
        <f>VLOOKUP('Old Data'!$P147,$Z$6:$AB$135,2,FALSE)+VLOOKUP('Old Data'!$F147,$Z$6:$AB$135,3,FALSE)+$D$2</f>
        <v>21.399293866082168</v>
      </c>
      <c r="L151" s="74">
        <f>('Old Data'!$L147+'Old Data'!$M147-$J151)^2+('Old Data'!$V147+'Old Data'!$W147-$K151)^2</f>
        <v>153.87616379970183</v>
      </c>
      <c r="M151" s="75">
        <f>'Old Data'!$N147-'Old Data'!$X147</f>
        <v>1</v>
      </c>
      <c r="N151" s="72">
        <f>VLOOKUP('Old Data'!$F147,$AD$6:$AF$135,2,FALSE)+VLOOKUP('Old Data'!$P147,$AD$6:$AF$135,3,FALSE)+$E$2</f>
        <v>0.93637101049308813</v>
      </c>
      <c r="O151" s="72">
        <f>VLOOKUP('Old Data'!$P147,$AD$6:$AF$135,2,FALSE)+VLOOKUP('Old Data'!$F147,$AD$6:$AF$135,3,FALSE)+$E$2</f>
        <v>1.2395726251810621</v>
      </c>
      <c r="P151" s="73">
        <f>('Old Data'!$N147-$N151)^2+('Old Data'!$X147-$O151)^2</f>
        <v>1.1887016700556403</v>
      </c>
      <c r="Q151" s="62"/>
      <c r="R151" s="3"/>
      <c r="S151" s="3"/>
      <c r="T151" s="3"/>
      <c r="V151" s="3"/>
      <c r="W151" s="3"/>
      <c r="X151" s="3"/>
      <c r="Z151" s="3"/>
      <c r="AA151" s="3"/>
      <c r="AB151" s="3"/>
      <c r="AC151" s="3"/>
      <c r="AD151" s="3"/>
      <c r="AE151" s="3"/>
      <c r="AF151" s="3"/>
      <c r="AG151" s="3"/>
      <c r="AH151" s="37"/>
      <c r="AI151" s="1"/>
      <c r="AK151" s="10"/>
      <c r="AL151" s="10"/>
      <c r="AM151" s="10"/>
      <c r="AN151" s="11"/>
      <c r="AO151" s="11"/>
      <c r="AP151" s="11"/>
      <c r="AQ151" s="36"/>
      <c r="AR151" s="11"/>
      <c r="AS151" s="11"/>
      <c r="AT151" s="11"/>
      <c r="AU151" s="12"/>
      <c r="AV151" s="11"/>
      <c r="AW151" s="11"/>
      <c r="AX151" s="15"/>
      <c r="AY151" s="15"/>
      <c r="AZ151" s="15"/>
      <c r="BA151" s="15"/>
      <c r="BB151" s="15"/>
      <c r="BC151" s="15"/>
      <c r="BD151" s="15"/>
      <c r="BE151" s="12"/>
      <c r="BF151" s="11"/>
      <c r="BG151" s="11"/>
      <c r="BH151" s="10"/>
      <c r="BI151" s="10"/>
      <c r="BJ151" s="10"/>
      <c r="BK151" s="23"/>
      <c r="BL151" s="23"/>
      <c r="BM151" s="23"/>
      <c r="BN151" s="23"/>
      <c r="BO151" s="23"/>
      <c r="BP151" s="23"/>
      <c r="BQ151" s="23"/>
      <c r="BR151" s="10"/>
      <c r="BS151" s="16"/>
      <c r="BT151" s="16"/>
      <c r="BU151" s="16"/>
      <c r="BV151" s="16"/>
      <c r="BW151" s="11"/>
      <c r="BX151" s="16"/>
      <c r="BY151" s="16"/>
      <c r="BZ151" s="17"/>
      <c r="CA151" s="18"/>
      <c r="CB151" s="18"/>
      <c r="CC151" s="18"/>
      <c r="CD151" s="18"/>
      <c r="CE151" s="18"/>
      <c r="CF151" s="18"/>
      <c r="CG151" s="19"/>
      <c r="CH151" s="15"/>
      <c r="CI151" s="17"/>
      <c r="CJ151" s="10"/>
      <c r="CK151" s="10"/>
      <c r="CL151" s="10"/>
      <c r="CM151" s="17"/>
      <c r="CN151" s="17"/>
      <c r="CO151" s="10"/>
      <c r="CP151" s="10"/>
      <c r="CQ151" s="10"/>
      <c r="CR151" s="10"/>
      <c r="CS151" s="10"/>
      <c r="CT151" s="10"/>
      <c r="CU151" s="10"/>
      <c r="CV151" s="10"/>
      <c r="CW151" s="10"/>
      <c r="CX151" s="10"/>
      <c r="CY151" s="10"/>
      <c r="CZ151" s="10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</row>
    <row r="152" spans="1:135" customFormat="1">
      <c r="A152" s="71">
        <f>'Old Data'!$I148-'Old Data'!$S148</f>
        <v>-123</v>
      </c>
      <c r="B152" s="72">
        <f>VLOOKUP('Old Data'!$F148,$R$6:$T$135,2,FALSE)+VLOOKUP('Old Data'!$P148,$R$6:$T$135,3,FALSE)+$B$2</f>
        <v>169.15737611536818</v>
      </c>
      <c r="C152" s="72">
        <f>VLOOKUP('Old Data'!$P148,$R$6:$T$135,2,FALSE)+VLOOKUP('Old Data'!$F148,$R$6:$T$135,3,FALSE)+$B$2</f>
        <v>273.733028710187</v>
      </c>
      <c r="D152" s="74">
        <f>('Old Data'!$I148-$B152)^2+('Old Data'!$S148-$C152)^2</f>
        <v>7625.1049054868017</v>
      </c>
      <c r="E152" s="75">
        <f>'Old Data'!$K148-'Old Data'!$U148</f>
        <v>-249</v>
      </c>
      <c r="F152" s="72">
        <f>VLOOKUP('Old Data'!$F148,$V$6:$X$135,2,FALSE)+VLOOKUP('Old Data'!$P148,$V$6:$X$135,3,FALSE)+$C$2</f>
        <v>168.27438883919348</v>
      </c>
      <c r="G152" s="72">
        <f>VLOOKUP('Old Data'!$P148,$V$6:$X$135,2,FALSE)+VLOOKUP('Old Data'!$F148,$V$6:$X$135,3,FALSE)+$C$2</f>
        <v>212.08986222940712</v>
      </c>
      <c r="H152" s="74">
        <f>('Old Data'!$K148-$F152)^2+('Old Data'!$U148-$G152)^2</f>
        <v>21353.805042746535</v>
      </c>
      <c r="I152" s="75">
        <f>('Old Data'!$L148+'Old Data'!$M148)-('Old Data'!$V148+'Old Data'!$W148)</f>
        <v>177</v>
      </c>
      <c r="J152" s="72">
        <f>VLOOKUP('Old Data'!$F148,$Z$6:$AB$135,2,FALSE)+VLOOKUP('Old Data'!$P148,$Z$6:$AB$135,3,FALSE)+$D$2</f>
        <v>101.4168095145819</v>
      </c>
      <c r="K152" s="72">
        <f>VLOOKUP('Old Data'!$P148,$Z$6:$AB$135,2,FALSE)+VLOOKUP('Old Data'!$F148,$Z$6:$AB$135,3,FALSE)+$D$2</f>
        <v>35.253909348161926</v>
      </c>
      <c r="L152" s="74">
        <f>('Old Data'!$L148+'Old Data'!$M148-$J152)^2+('Old Data'!$V148+'Old Data'!$W148-$K152)^2</f>
        <v>9698.1451783226876</v>
      </c>
      <c r="M152" s="75">
        <f>'Old Data'!$N148-'Old Data'!$X148</f>
        <v>3</v>
      </c>
      <c r="N152" s="72">
        <f>VLOOKUP('Old Data'!$F148,$AD$6:$AF$135,2,FALSE)+VLOOKUP('Old Data'!$P148,$AD$6:$AF$135,3,FALSE)+$E$2</f>
        <v>2.465027398229247</v>
      </c>
      <c r="O152" s="72">
        <f>VLOOKUP('Old Data'!$P148,$AD$6:$AF$135,2,FALSE)+VLOOKUP('Old Data'!$F148,$AD$6:$AF$135,3,FALSE)+$E$2</f>
        <v>1.5715142056117162</v>
      </c>
      <c r="P152" s="73">
        <f>('Old Data'!$N148-$N152)^2+('Old Data'!$X148-$O152)^2</f>
        <v>2.6827693754028656</v>
      </c>
      <c r="Q152" s="62"/>
      <c r="R152" s="3"/>
      <c r="S152" s="3"/>
      <c r="T152" s="3"/>
      <c r="V152" s="3"/>
      <c r="W152" s="3"/>
      <c r="X152" s="3"/>
      <c r="Z152" s="3"/>
      <c r="AA152" s="3"/>
      <c r="AB152" s="3"/>
      <c r="AC152" s="3"/>
      <c r="AD152" s="3"/>
      <c r="AE152" s="3"/>
      <c r="AF152" s="3"/>
      <c r="AG152" s="3"/>
      <c r="AH152" s="37"/>
      <c r="AI152" s="1"/>
      <c r="AK152" s="10"/>
      <c r="AL152" s="10"/>
      <c r="AM152" s="10"/>
      <c r="AN152" s="11"/>
      <c r="AO152" s="11"/>
      <c r="AP152" s="11"/>
      <c r="AQ152" s="36"/>
      <c r="AR152" s="11"/>
      <c r="AS152" s="11"/>
      <c r="AT152" s="11"/>
      <c r="AU152" s="12"/>
      <c r="AV152" s="11"/>
      <c r="AW152" s="11"/>
      <c r="AX152" s="15"/>
      <c r="AY152" s="15"/>
      <c r="AZ152" s="15"/>
      <c r="BA152" s="15"/>
      <c r="BB152" s="15"/>
      <c r="BC152" s="15"/>
      <c r="BD152" s="15"/>
      <c r="BE152" s="12"/>
      <c r="BF152" s="11"/>
      <c r="BG152" s="11"/>
      <c r="BH152" s="10"/>
      <c r="BI152" s="10"/>
      <c r="BJ152" s="10"/>
      <c r="BK152" s="23"/>
      <c r="BL152" s="23"/>
      <c r="BM152" s="23"/>
      <c r="BN152" s="23"/>
      <c r="BO152" s="23"/>
      <c r="BP152" s="23"/>
      <c r="BQ152" s="23"/>
      <c r="BR152" s="10"/>
      <c r="BS152" s="16"/>
      <c r="BT152" s="16"/>
      <c r="BU152" s="16"/>
      <c r="BV152" s="16"/>
      <c r="BW152" s="11"/>
      <c r="BX152" s="16"/>
      <c r="BY152" s="16"/>
      <c r="BZ152" s="17"/>
      <c r="CA152" s="18"/>
      <c r="CB152" s="18"/>
      <c r="CC152" s="18"/>
      <c r="CD152" s="18"/>
      <c r="CE152" s="18"/>
      <c r="CF152" s="18"/>
      <c r="CG152" s="19"/>
      <c r="CH152" s="15"/>
      <c r="CI152" s="17"/>
      <c r="CJ152" s="10"/>
      <c r="CK152" s="10"/>
      <c r="CL152" s="10"/>
      <c r="CM152" s="17"/>
      <c r="CN152" s="17"/>
      <c r="CO152" s="10"/>
      <c r="CP152" s="10"/>
      <c r="CQ152" s="10"/>
      <c r="CR152" s="10"/>
      <c r="CS152" s="10"/>
      <c r="CT152" s="10"/>
      <c r="CU152" s="10"/>
      <c r="CV152" s="10"/>
      <c r="CW152" s="10"/>
      <c r="CX152" s="10"/>
      <c r="CY152" s="10"/>
      <c r="CZ152" s="10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</row>
    <row r="153" spans="1:135" customFormat="1">
      <c r="A153" s="71">
        <f>'Old Data'!$I149-'Old Data'!$S149</f>
        <v>127</v>
      </c>
      <c r="B153" s="72">
        <f>VLOOKUP('Old Data'!$F149,$R$6:$T$135,2,FALSE)+VLOOKUP('Old Data'!$P149,$R$6:$T$135,3,FALSE)+$B$2</f>
        <v>207.9165123602009</v>
      </c>
      <c r="C153" s="72">
        <f>VLOOKUP('Old Data'!$P149,$R$6:$T$135,2,FALSE)+VLOOKUP('Old Data'!$F149,$R$6:$T$135,3,FALSE)+$B$2</f>
        <v>66.820774583963811</v>
      </c>
      <c r="D153" s="74">
        <f>('Old Data'!$I149-$B153)^2+('Old Data'!$S149-$C153)^2</f>
        <v>1145.2946202346484</v>
      </c>
      <c r="E153" s="75">
        <f>'Old Data'!$K149-'Old Data'!$U149</f>
        <v>158</v>
      </c>
      <c r="F153" s="72">
        <f>VLOOKUP('Old Data'!$F149,$V$6:$X$135,2,FALSE)+VLOOKUP('Old Data'!$P149,$V$6:$X$135,3,FALSE)+$C$2</f>
        <v>339.59303028214219</v>
      </c>
      <c r="G153" s="72">
        <f>VLOOKUP('Old Data'!$P149,$V$6:$X$135,2,FALSE)+VLOOKUP('Old Data'!$F149,$V$6:$X$135,3,FALSE)+$C$2</f>
        <v>219.24606968751985</v>
      </c>
      <c r="H153" s="74">
        <f>('Old Data'!$K149-$F153)^2+('Old Data'!$U149-$G153)^2</f>
        <v>23359.116926179358</v>
      </c>
      <c r="I153" s="75">
        <f>('Old Data'!$L149+'Old Data'!$M149)-('Old Data'!$V149+'Old Data'!$W149)</f>
        <v>14</v>
      </c>
      <c r="J153" s="72">
        <f>VLOOKUP('Old Data'!$F149,$Z$6:$AB$135,2,FALSE)+VLOOKUP('Old Data'!$P149,$Z$6:$AB$135,3,FALSE)+$D$2</f>
        <v>63.53194809832894</v>
      </c>
      <c r="K153" s="72">
        <f>VLOOKUP('Old Data'!$P149,$Z$6:$AB$135,2,FALSE)+VLOOKUP('Old Data'!$F149,$Z$6:$AB$135,3,FALSE)+$D$2</f>
        <v>63.950378716188695</v>
      </c>
      <c r="L153" s="74">
        <f>('Old Data'!$L149+'Old Data'!$M149-$J153)^2+('Old Data'!$V149+'Old Data'!$W149-$K153)^2</f>
        <v>4107.4889768110888</v>
      </c>
      <c r="M153" s="75">
        <f>'Old Data'!$N149-'Old Data'!$X149</f>
        <v>-1</v>
      </c>
      <c r="N153" s="72">
        <f>VLOOKUP('Old Data'!$F149,$AD$6:$AF$135,2,FALSE)+VLOOKUP('Old Data'!$P149,$AD$6:$AF$135,3,FALSE)+$E$2</f>
        <v>1.626584938368695</v>
      </c>
      <c r="O153" s="72">
        <f>VLOOKUP('Old Data'!$P149,$AD$6:$AF$135,2,FALSE)+VLOOKUP('Old Data'!$F149,$AD$6:$AF$135,3,FALSE)+$E$2</f>
        <v>0.85331242076100111</v>
      </c>
      <c r="P153" s="73">
        <f>('Old Data'!$N149-$N153)^2+('Old Data'!$X149-$O153)^2</f>
        <v>1.7075010893714968</v>
      </c>
      <c r="Q153" s="62"/>
      <c r="R153" s="3"/>
      <c r="S153" s="3"/>
      <c r="T153" s="3"/>
      <c r="V153" s="3"/>
      <c r="W153" s="3"/>
      <c r="X153" s="3"/>
      <c r="Z153" s="3"/>
      <c r="AA153" s="3"/>
      <c r="AB153" s="3"/>
      <c r="AC153" s="3"/>
      <c r="AD153" s="3"/>
      <c r="AE153" s="3"/>
      <c r="AF153" s="3"/>
      <c r="AG153" s="3"/>
      <c r="AH153" s="37"/>
      <c r="AI153" s="1"/>
      <c r="AK153" s="10"/>
      <c r="AL153" s="10"/>
      <c r="AM153" s="10"/>
      <c r="AN153" s="11"/>
      <c r="AO153" s="11"/>
      <c r="AP153" s="11"/>
      <c r="AQ153" s="36"/>
      <c r="AR153" s="11"/>
      <c r="AS153" s="11"/>
      <c r="AT153" s="11"/>
      <c r="AU153" s="12"/>
      <c r="AV153" s="11"/>
      <c r="AW153" s="11"/>
      <c r="AX153" s="15"/>
      <c r="AY153" s="15"/>
      <c r="AZ153" s="15"/>
      <c r="BA153" s="15"/>
      <c r="BB153" s="15"/>
      <c r="BC153" s="15"/>
      <c r="BD153" s="15"/>
      <c r="BE153" s="12"/>
      <c r="BF153" s="11"/>
      <c r="BG153" s="11"/>
      <c r="BH153" s="10"/>
      <c r="BI153" s="10"/>
      <c r="BJ153" s="10"/>
      <c r="BK153" s="23"/>
      <c r="BL153" s="23"/>
      <c r="BM153" s="23"/>
      <c r="BN153" s="23"/>
      <c r="BO153" s="23"/>
      <c r="BP153" s="23"/>
      <c r="BQ153" s="23"/>
      <c r="BR153" s="10"/>
      <c r="BS153" s="16"/>
      <c r="BT153" s="16"/>
      <c r="BU153" s="16"/>
      <c r="BV153" s="16"/>
      <c r="BW153" s="11"/>
      <c r="BX153" s="16"/>
      <c r="BY153" s="16"/>
      <c r="BZ153" s="17"/>
      <c r="CA153" s="18"/>
      <c r="CB153" s="18"/>
      <c r="CC153" s="18"/>
      <c r="CD153" s="18"/>
      <c r="CE153" s="18"/>
      <c r="CF153" s="18"/>
      <c r="CG153" s="19"/>
      <c r="CH153" s="15"/>
      <c r="CI153" s="17"/>
      <c r="CJ153" s="10"/>
      <c r="CK153" s="10"/>
      <c r="CL153" s="10"/>
      <c r="CM153" s="17"/>
      <c r="CN153" s="17"/>
      <c r="CO153" s="10"/>
      <c r="CP153" s="10"/>
      <c r="CQ153" s="10"/>
      <c r="CR153" s="10"/>
      <c r="CS153" s="10"/>
      <c r="CT153" s="10"/>
      <c r="CU153" s="10"/>
      <c r="CV153" s="10"/>
      <c r="CW153" s="10"/>
      <c r="CX153" s="10"/>
      <c r="CY153" s="10"/>
      <c r="CZ153" s="10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  <c r="EE153" s="34"/>
    </row>
    <row r="154" spans="1:135" customFormat="1">
      <c r="A154" s="71">
        <f>'Old Data'!$I150-'Old Data'!$S150</f>
        <v>42</v>
      </c>
      <c r="B154" s="72">
        <f>VLOOKUP('Old Data'!$F150,$R$6:$T$135,2,FALSE)+VLOOKUP('Old Data'!$P150,$R$6:$T$135,3,FALSE)+$B$2</f>
        <v>266.67462003618505</v>
      </c>
      <c r="C154" s="72">
        <f>VLOOKUP('Old Data'!$P150,$R$6:$T$135,2,FALSE)+VLOOKUP('Old Data'!$F150,$R$6:$T$135,3,FALSE)+$B$2</f>
        <v>122.3855918634721</v>
      </c>
      <c r="D154" s="74">
        <f>('Old Data'!$I150-$B154)^2+('Old Data'!$S150-$C154)^2</f>
        <v>11165.461357932832</v>
      </c>
      <c r="E154" s="75">
        <f>'Old Data'!$K150-'Old Data'!$U150</f>
        <v>247</v>
      </c>
      <c r="F154" s="72">
        <f>VLOOKUP('Old Data'!$F150,$V$6:$X$135,2,FALSE)+VLOOKUP('Old Data'!$P150,$V$6:$X$135,3,FALSE)+$C$2</f>
        <v>335.3171471413994</v>
      </c>
      <c r="G154" s="72">
        <f>VLOOKUP('Old Data'!$P150,$V$6:$X$135,2,FALSE)+VLOOKUP('Old Data'!$F150,$V$6:$X$135,3,FALSE)+$C$2</f>
        <v>238.27821624126341</v>
      </c>
      <c r="H154" s="74">
        <f>('Old Data'!$K150-$F154)^2+('Old Data'!$U150-$G154)^2</f>
        <v>13515.853641544729</v>
      </c>
      <c r="I154" s="75">
        <f>('Old Data'!$L150+'Old Data'!$M150)-('Old Data'!$V150+'Old Data'!$W150)</f>
        <v>-123</v>
      </c>
      <c r="J154" s="72">
        <f>VLOOKUP('Old Data'!$F150,$Z$6:$AB$135,2,FALSE)+VLOOKUP('Old Data'!$P150,$Z$6:$AB$135,3,FALSE)+$D$2</f>
        <v>50.81177335153275</v>
      </c>
      <c r="K154" s="72">
        <f>VLOOKUP('Old Data'!$P150,$Z$6:$AB$135,2,FALSE)+VLOOKUP('Old Data'!$F150,$Z$6:$AB$135,3,FALSE)+$D$2</f>
        <v>85.083479803675203</v>
      </c>
      <c r="L154" s="74">
        <f>('Old Data'!$L150+'Old Data'!$M150-$J154)^2+('Old Data'!$V150+'Old Data'!$W150-$K154)^2</f>
        <v>7389.5545120258757</v>
      </c>
      <c r="M154" s="75">
        <f>'Old Data'!$N150-'Old Data'!$X150</f>
        <v>1</v>
      </c>
      <c r="N154" s="72">
        <f>VLOOKUP('Old Data'!$F150,$AD$6:$AF$135,2,FALSE)+VLOOKUP('Old Data'!$P150,$AD$6:$AF$135,3,FALSE)+$E$2</f>
        <v>1.3833291348748382</v>
      </c>
      <c r="O154" s="72">
        <f>VLOOKUP('Old Data'!$P150,$AD$6:$AF$135,2,FALSE)+VLOOKUP('Old Data'!$F150,$AD$6:$AF$135,3,FALSE)+$E$2</f>
        <v>1.2762698666835561</v>
      </c>
      <c r="P154" s="73">
        <f>('Old Data'!$N150-$N154)^2+('Old Data'!$X150-$O154)^2</f>
        <v>3.1374099920147769</v>
      </c>
      <c r="Q154" s="62"/>
      <c r="R154" s="3"/>
      <c r="S154" s="3"/>
      <c r="T154" s="3"/>
      <c r="V154" s="3"/>
      <c r="W154" s="3"/>
      <c r="X154" s="3"/>
      <c r="Z154" s="3"/>
      <c r="AA154" s="3"/>
      <c r="AB154" s="3"/>
      <c r="AC154" s="3"/>
      <c r="AD154" s="3"/>
      <c r="AE154" s="3"/>
      <c r="AF154" s="3"/>
      <c r="AG154" s="3"/>
      <c r="AH154" s="37"/>
      <c r="AI154" s="1"/>
      <c r="AK154" s="10"/>
      <c r="AL154" s="10"/>
      <c r="AM154" s="10"/>
      <c r="AN154" s="11"/>
      <c r="AO154" s="11"/>
      <c r="AP154" s="11"/>
      <c r="AQ154" s="36"/>
      <c r="AR154" s="11"/>
      <c r="AS154" s="11"/>
      <c r="AT154" s="11"/>
      <c r="AU154" s="12"/>
      <c r="AV154" s="11"/>
      <c r="AW154" s="11"/>
      <c r="AX154" s="15"/>
      <c r="AY154" s="15"/>
      <c r="AZ154" s="15"/>
      <c r="BA154" s="15"/>
      <c r="BB154" s="15"/>
      <c r="BC154" s="15"/>
      <c r="BD154" s="15"/>
      <c r="BE154" s="12"/>
      <c r="BF154" s="11"/>
      <c r="BG154" s="11"/>
      <c r="BH154" s="10"/>
      <c r="BI154" s="10"/>
      <c r="BJ154" s="10"/>
      <c r="BK154" s="23"/>
      <c r="BL154" s="23"/>
      <c r="BM154" s="23"/>
      <c r="BN154" s="23"/>
      <c r="BO154" s="23"/>
      <c r="BP154" s="23"/>
      <c r="BQ154" s="23"/>
      <c r="BR154" s="10"/>
      <c r="BS154" s="16"/>
      <c r="BT154" s="16"/>
      <c r="BU154" s="16"/>
      <c r="BV154" s="16"/>
      <c r="BW154" s="11"/>
      <c r="BX154" s="16"/>
      <c r="BY154" s="16"/>
      <c r="BZ154" s="17"/>
      <c r="CA154" s="18"/>
      <c r="CB154" s="18"/>
      <c r="CC154" s="18"/>
      <c r="CD154" s="18"/>
      <c r="CE154" s="18"/>
      <c r="CF154" s="18"/>
      <c r="CG154" s="19"/>
      <c r="CH154" s="15"/>
      <c r="CI154" s="17"/>
      <c r="CJ154" s="10"/>
      <c r="CK154" s="10"/>
      <c r="CL154" s="10"/>
      <c r="CM154" s="17"/>
      <c r="CN154" s="17"/>
      <c r="CO154" s="10"/>
      <c r="CP154" s="10"/>
      <c r="CQ154" s="10"/>
      <c r="CR154" s="10"/>
      <c r="CS154" s="10"/>
      <c r="CT154" s="10"/>
      <c r="CU154" s="10"/>
      <c r="CV154" s="10"/>
      <c r="CW154" s="10"/>
      <c r="CX154" s="10"/>
      <c r="CY154" s="10"/>
      <c r="CZ154" s="10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  <c r="EE154" s="34"/>
    </row>
    <row r="155" spans="1:135" customFormat="1">
      <c r="A155" s="71">
        <f>'Old Data'!$I151-'Old Data'!$S151</f>
        <v>-50</v>
      </c>
      <c r="B155" s="72">
        <f>VLOOKUP('Old Data'!$F151,$R$6:$T$135,2,FALSE)+VLOOKUP('Old Data'!$P151,$R$6:$T$135,3,FALSE)+$B$2</f>
        <v>142.07007489655692</v>
      </c>
      <c r="C155" s="72">
        <f>VLOOKUP('Old Data'!$P151,$R$6:$T$135,2,FALSE)+VLOOKUP('Old Data'!$F151,$R$6:$T$135,3,FALSE)+$B$2</f>
        <v>152.10816224920052</v>
      </c>
      <c r="D155" s="74">
        <f>('Old Data'!$I151-$B155)^2+('Old Data'!$S151-$C155)^2</f>
        <v>1591.3636296272382</v>
      </c>
      <c r="E155" s="75">
        <f>'Old Data'!$K151-'Old Data'!$U151</f>
        <v>73</v>
      </c>
      <c r="F155" s="72">
        <f>VLOOKUP('Old Data'!$F151,$V$6:$X$135,2,FALSE)+VLOOKUP('Old Data'!$P151,$V$6:$X$135,3,FALSE)+$C$2</f>
        <v>223.93697892377949</v>
      </c>
      <c r="G155" s="72">
        <f>VLOOKUP('Old Data'!$P151,$V$6:$X$135,2,FALSE)+VLOOKUP('Old Data'!$F151,$V$6:$X$135,3,FALSE)+$C$2</f>
        <v>258.11656149165117</v>
      </c>
      <c r="H155" s="74">
        <f>('Old Data'!$K151-$F155)^2+('Old Data'!$U151-$G155)^2</f>
        <v>5756.5005950768063</v>
      </c>
      <c r="I155" s="75">
        <f>('Old Data'!$L151+'Old Data'!$M151)-('Old Data'!$V151+'Old Data'!$W151)</f>
        <v>-17</v>
      </c>
      <c r="J155" s="72">
        <f>VLOOKUP('Old Data'!$F151,$Z$6:$AB$135,2,FALSE)+VLOOKUP('Old Data'!$P151,$Z$6:$AB$135,3,FALSE)+$D$2</f>
        <v>58.810418188421394</v>
      </c>
      <c r="K155" s="72">
        <f>VLOOKUP('Old Data'!$P151,$Z$6:$AB$135,2,FALSE)+VLOOKUP('Old Data'!$F151,$Z$6:$AB$135,3,FALSE)+$D$2</f>
        <v>69.936715849198336</v>
      </c>
      <c r="L155" s="74">
        <f>('Old Data'!$L151+'Old Data'!$M151-$J155)^2+('Old Data'!$V151+'Old Data'!$W151-$K155)^2</f>
        <v>729.67325361191217</v>
      </c>
      <c r="M155" s="75">
        <f>'Old Data'!$N151-'Old Data'!$X151</f>
        <v>-2</v>
      </c>
      <c r="N155" s="72">
        <f>VLOOKUP('Old Data'!$F151,$AD$6:$AF$135,2,FALSE)+VLOOKUP('Old Data'!$P151,$AD$6:$AF$135,3,FALSE)+$E$2</f>
        <v>1.079228890809045</v>
      </c>
      <c r="O155" s="72">
        <f>VLOOKUP('Old Data'!$P151,$AD$6:$AF$135,2,FALSE)+VLOOKUP('Old Data'!$F151,$AD$6:$AF$135,3,FALSE)+$E$2</f>
        <v>1.184446493425118</v>
      </c>
      <c r="P155" s="73">
        <f>('Old Data'!$N151-$N155)^2+('Old Data'!$X151-$O155)^2</f>
        <v>1.8298625208435078</v>
      </c>
      <c r="Q155" s="62"/>
      <c r="R155" s="3"/>
      <c r="S155" s="3"/>
      <c r="T155" s="3"/>
      <c r="V155" s="3"/>
      <c r="W155" s="3"/>
      <c r="X155" s="3"/>
      <c r="Z155" s="3"/>
      <c r="AA155" s="3"/>
      <c r="AB155" s="3"/>
      <c r="AC155" s="3"/>
      <c r="AD155" s="3"/>
      <c r="AE155" s="3"/>
      <c r="AF155" s="3"/>
      <c r="AG155" s="3"/>
      <c r="AH155" s="37"/>
      <c r="AI155" s="1"/>
      <c r="AK155" s="10"/>
      <c r="AL155" s="10"/>
      <c r="AM155" s="10"/>
      <c r="AN155" s="11"/>
      <c r="AO155" s="11"/>
      <c r="AP155" s="11"/>
      <c r="AQ155" s="36"/>
      <c r="AR155" s="11"/>
      <c r="AS155" s="11"/>
      <c r="AT155" s="11"/>
      <c r="AU155" s="12"/>
      <c r="AV155" s="11"/>
      <c r="AW155" s="11"/>
      <c r="AX155" s="15"/>
      <c r="AY155" s="15"/>
      <c r="AZ155" s="15"/>
      <c r="BA155" s="15"/>
      <c r="BB155" s="15"/>
      <c r="BC155" s="15"/>
      <c r="BD155" s="15"/>
      <c r="BE155" s="12"/>
      <c r="BF155" s="11"/>
      <c r="BG155" s="11"/>
      <c r="BH155" s="10"/>
      <c r="BI155" s="10"/>
      <c r="BJ155" s="10"/>
      <c r="BK155" s="23"/>
      <c r="BL155" s="23"/>
      <c r="BM155" s="23"/>
      <c r="BN155" s="23"/>
      <c r="BO155" s="23"/>
      <c r="BP155" s="23"/>
      <c r="BQ155" s="23"/>
      <c r="BR155" s="10"/>
      <c r="BS155" s="16"/>
      <c r="BT155" s="16"/>
      <c r="BU155" s="16"/>
      <c r="BV155" s="16"/>
      <c r="BW155" s="11"/>
      <c r="BX155" s="16"/>
      <c r="BY155" s="16"/>
      <c r="BZ155" s="17"/>
      <c r="CA155" s="18"/>
      <c r="CB155" s="18"/>
      <c r="CC155" s="18"/>
      <c r="CD155" s="18"/>
      <c r="CE155" s="18"/>
      <c r="CF155" s="18"/>
      <c r="CG155" s="19"/>
      <c r="CH155" s="15"/>
      <c r="CI155" s="17"/>
      <c r="CJ155" s="10"/>
      <c r="CK155" s="10"/>
      <c r="CL155" s="10"/>
      <c r="CM155" s="17"/>
      <c r="CN155" s="17"/>
      <c r="CO155" s="10"/>
      <c r="CP155" s="10"/>
      <c r="CQ155" s="10"/>
      <c r="CR155" s="10"/>
      <c r="CS155" s="10"/>
      <c r="CT155" s="10"/>
      <c r="CU155" s="10"/>
      <c r="CV155" s="10"/>
      <c r="CW155" s="10"/>
      <c r="CX155" s="10"/>
      <c r="CY155" s="10"/>
      <c r="CZ155" s="10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  <c r="EE155" s="34"/>
    </row>
    <row r="156" spans="1:135" customFormat="1">
      <c r="A156" s="71">
        <f>'Old Data'!$I152-'Old Data'!$S152</f>
        <v>219</v>
      </c>
      <c r="B156" s="72">
        <f>VLOOKUP('Old Data'!$F152,$R$6:$T$135,2,FALSE)+VLOOKUP('Old Data'!$P152,$R$6:$T$135,3,FALSE)+$B$2</f>
        <v>282.61598934531003</v>
      </c>
      <c r="C156" s="72">
        <f>VLOOKUP('Old Data'!$P152,$R$6:$T$135,2,FALSE)+VLOOKUP('Old Data'!$F152,$R$6:$T$135,3,FALSE)+$B$2</f>
        <v>224.0665947810389</v>
      </c>
      <c r="D156" s="74">
        <f>('Old Data'!$I152-$B156)^2+('Old Data'!$S152-$C156)^2</f>
        <v>13167.866749732024</v>
      </c>
      <c r="E156" s="75">
        <f>'Old Data'!$K152-'Old Data'!$U152</f>
        <v>169</v>
      </c>
      <c r="F156" s="72">
        <f>VLOOKUP('Old Data'!$F152,$V$6:$X$135,2,FALSE)+VLOOKUP('Old Data'!$P152,$V$6:$X$135,3,FALSE)+$C$2</f>
        <v>251.39516643407381</v>
      </c>
      <c r="G156" s="72">
        <f>VLOOKUP('Old Data'!$P152,$V$6:$X$135,2,FALSE)+VLOOKUP('Old Data'!$F152,$V$6:$X$135,3,FALSE)+$C$2</f>
        <v>163.1637450177754</v>
      </c>
      <c r="H156" s="74">
        <f>('Old Data'!$K152-$F156)^2+('Old Data'!$U152-$G156)^2</f>
        <v>17113.099621762474</v>
      </c>
      <c r="I156" s="75">
        <f>('Old Data'!$L152+'Old Data'!$M152)-('Old Data'!$V152+'Old Data'!$W152)</f>
        <v>-29</v>
      </c>
      <c r="J156" s="72">
        <f>VLOOKUP('Old Data'!$F152,$Z$6:$AB$135,2,FALSE)+VLOOKUP('Old Data'!$P152,$Z$6:$AB$135,3,FALSE)+$D$2</f>
        <v>82.243035696420193</v>
      </c>
      <c r="K156" s="72">
        <f>VLOOKUP('Old Data'!$P152,$Z$6:$AB$135,2,FALSE)+VLOOKUP('Old Data'!$F152,$Z$6:$AB$135,3,FALSE)+$D$2</f>
        <v>61.364902533735801</v>
      </c>
      <c r="L156" s="74">
        <f>('Old Data'!$L152+'Old Data'!$M152-$J156)^2+('Old Data'!$V152+'Old Data'!$W152-$K156)^2</f>
        <v>1712.3370252477607</v>
      </c>
      <c r="M156" s="75">
        <f>'Old Data'!$N152-'Old Data'!$X152</f>
        <v>2</v>
      </c>
      <c r="N156" s="72">
        <f>VLOOKUP('Old Data'!$F152,$AD$6:$AF$135,2,FALSE)+VLOOKUP('Old Data'!$P152,$AD$6:$AF$135,3,FALSE)+$E$2</f>
        <v>1.5159088096058591</v>
      </c>
      <c r="O156" s="72">
        <f>VLOOKUP('Old Data'!$P152,$AD$6:$AF$135,2,FALSE)+VLOOKUP('Old Data'!$F152,$AD$6:$AF$135,3,FALSE)+$E$2</f>
        <v>0.5959911223494021</v>
      </c>
      <c r="P156" s="73">
        <f>('Old Data'!$N152-$N156)^2+('Old Data'!$X152-$O156)^2</f>
        <v>0.5895496985365164</v>
      </c>
      <c r="Q156" s="62"/>
      <c r="R156" s="3"/>
      <c r="S156" s="3"/>
      <c r="T156" s="3"/>
      <c r="V156" s="3"/>
      <c r="W156" s="3"/>
      <c r="X156" s="3"/>
      <c r="Z156" s="3"/>
      <c r="AA156" s="3"/>
      <c r="AB156" s="3"/>
      <c r="AC156" s="3"/>
      <c r="AD156" s="3"/>
      <c r="AE156" s="3"/>
      <c r="AF156" s="3"/>
      <c r="AG156" s="3"/>
      <c r="AH156" s="37"/>
      <c r="AI156" s="1"/>
      <c r="AK156" s="10"/>
      <c r="AL156" s="10"/>
      <c r="AM156" s="10"/>
      <c r="AN156" s="11"/>
      <c r="AO156" s="11"/>
      <c r="AP156" s="11"/>
      <c r="AQ156" s="36"/>
      <c r="AR156" s="11"/>
      <c r="AS156" s="11"/>
      <c r="AT156" s="11"/>
      <c r="AU156" s="12"/>
      <c r="AV156" s="11"/>
      <c r="AW156" s="11"/>
      <c r="AX156" s="15"/>
      <c r="AY156" s="15"/>
      <c r="AZ156" s="15"/>
      <c r="BA156" s="15"/>
      <c r="BB156" s="15"/>
      <c r="BC156" s="15"/>
      <c r="BD156" s="15"/>
      <c r="BE156" s="12"/>
      <c r="BF156" s="11"/>
      <c r="BG156" s="11"/>
      <c r="BH156" s="10"/>
      <c r="BI156" s="10"/>
      <c r="BJ156" s="10"/>
      <c r="BK156" s="23"/>
      <c r="BL156" s="23"/>
      <c r="BM156" s="23"/>
      <c r="BN156" s="23"/>
      <c r="BO156" s="23"/>
      <c r="BP156" s="23"/>
      <c r="BQ156" s="23"/>
      <c r="BR156" s="10"/>
      <c r="BS156" s="16"/>
      <c r="BT156" s="16"/>
      <c r="BU156" s="16"/>
      <c r="BV156" s="16"/>
      <c r="BW156" s="11"/>
      <c r="BX156" s="16"/>
      <c r="BY156" s="16"/>
      <c r="BZ156" s="17"/>
      <c r="CA156" s="18"/>
      <c r="CB156" s="18"/>
      <c r="CC156" s="18"/>
      <c r="CD156" s="18"/>
      <c r="CE156" s="18"/>
      <c r="CF156" s="18"/>
      <c r="CG156" s="19"/>
      <c r="CH156" s="15"/>
      <c r="CI156" s="17"/>
      <c r="CJ156" s="10"/>
      <c r="CK156" s="10"/>
      <c r="CL156" s="10"/>
      <c r="CM156" s="17"/>
      <c r="CN156" s="17"/>
      <c r="CO156" s="10"/>
      <c r="CP156" s="10"/>
      <c r="CQ156" s="10"/>
      <c r="CR156" s="10"/>
      <c r="CS156" s="10"/>
      <c r="CT156" s="10"/>
      <c r="CU156" s="10"/>
      <c r="CV156" s="10"/>
      <c r="CW156" s="10"/>
      <c r="CX156" s="10"/>
      <c r="CY156" s="10"/>
      <c r="CZ156" s="10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  <c r="EE156" s="34"/>
    </row>
    <row r="157" spans="1:135" customFormat="1">
      <c r="A157" s="71">
        <f>'Old Data'!$I153-'Old Data'!$S153</f>
        <v>22</v>
      </c>
      <c r="B157" s="72">
        <f>VLOOKUP('Old Data'!$F153,$R$6:$T$135,2,FALSE)+VLOOKUP('Old Data'!$P153,$R$6:$T$135,3,FALSE)+$B$2</f>
        <v>99.0073001262991</v>
      </c>
      <c r="C157" s="72">
        <f>VLOOKUP('Old Data'!$P153,$R$6:$T$135,2,FALSE)+VLOOKUP('Old Data'!$F153,$R$6:$T$135,3,FALSE)+$B$2</f>
        <v>115.15021815998637</v>
      </c>
      <c r="D157" s="74">
        <f>('Old Data'!$I153-$B157)^2+('Old Data'!$S153-$C157)^2</f>
        <v>9197.9308812846593</v>
      </c>
      <c r="E157" s="75">
        <f>'Old Data'!$K153-'Old Data'!$U153</f>
        <v>33</v>
      </c>
      <c r="F157" s="72">
        <f>VLOOKUP('Old Data'!$F153,$V$6:$X$135,2,FALSE)+VLOOKUP('Old Data'!$P153,$V$6:$X$135,3,FALSE)+$C$2</f>
        <v>293.29766206977177</v>
      </c>
      <c r="G157" s="72">
        <f>VLOOKUP('Old Data'!$P153,$V$6:$X$135,2,FALSE)+VLOOKUP('Old Data'!$F153,$V$6:$X$135,3,FALSE)+$C$2</f>
        <v>200.23431324057009</v>
      </c>
      <c r="H157" s="74">
        <f>('Old Data'!$K153-$F157)^2+('Old Data'!$U153-$G157)^2</f>
        <v>2155.7757932234767</v>
      </c>
      <c r="I157" s="75">
        <f>('Old Data'!$L153+'Old Data'!$M153)-('Old Data'!$V153+'Old Data'!$W153)</f>
        <v>-49</v>
      </c>
      <c r="J157" s="72">
        <f>VLOOKUP('Old Data'!$F153,$Z$6:$AB$135,2,FALSE)+VLOOKUP('Old Data'!$P153,$Z$6:$AB$135,3,FALSE)+$D$2</f>
        <v>78.222825284449911</v>
      </c>
      <c r="K157" s="72">
        <f>VLOOKUP('Old Data'!$P153,$Z$6:$AB$135,2,FALSE)+VLOOKUP('Old Data'!$F153,$Z$6:$AB$135,3,FALSE)+$D$2</f>
        <v>65.7467856725372</v>
      </c>
      <c r="L157" s="74">
        <f>('Old Data'!$L153+'Old Data'!$M153-$J157)^2+('Old Data'!$V153+'Old Data'!$W153-$K157)^2</f>
        <v>2109.5140150264274</v>
      </c>
      <c r="M157" s="75">
        <f>'Old Data'!$N153-'Old Data'!$X153</f>
        <v>2</v>
      </c>
      <c r="N157" s="72">
        <f>VLOOKUP('Old Data'!$F153,$AD$6:$AF$135,2,FALSE)+VLOOKUP('Old Data'!$P153,$AD$6:$AF$135,3,FALSE)+$E$2</f>
        <v>2.290680922631497</v>
      </c>
      <c r="O157" s="72">
        <f>VLOOKUP('Old Data'!$P153,$AD$6:$AF$135,2,FALSE)+VLOOKUP('Old Data'!$F153,$AD$6:$AF$135,3,FALSE)+$E$2</f>
        <v>0.97770351017839507</v>
      </c>
      <c r="P157" s="73">
        <f>('Old Data'!$N153-$N157)^2+('Old Data'!$X153-$O157)^2</f>
        <v>0.5036306869772692</v>
      </c>
      <c r="Q157" s="62"/>
      <c r="R157" s="3"/>
      <c r="S157" s="3"/>
      <c r="T157" s="3"/>
      <c r="V157" s="3"/>
      <c r="W157" s="3"/>
      <c r="X157" s="3"/>
      <c r="Z157" s="3"/>
      <c r="AA157" s="3"/>
      <c r="AB157" s="3"/>
      <c r="AC157" s="3"/>
      <c r="AD157" s="3"/>
      <c r="AE157" s="3"/>
      <c r="AF157" s="3"/>
      <c r="AG157" s="3"/>
      <c r="AH157" s="37"/>
      <c r="AI157" s="1"/>
      <c r="AK157" s="10"/>
      <c r="AL157" s="10"/>
      <c r="AM157" s="10"/>
      <c r="AN157" s="11"/>
      <c r="AO157" s="11"/>
      <c r="AP157" s="11"/>
      <c r="AQ157" s="36"/>
      <c r="AR157" s="11"/>
      <c r="AS157" s="11"/>
      <c r="AT157" s="11"/>
      <c r="AU157" s="12"/>
      <c r="AV157" s="11"/>
      <c r="AW157" s="11"/>
      <c r="AX157" s="15"/>
      <c r="AY157" s="15"/>
      <c r="AZ157" s="15"/>
      <c r="BA157" s="15"/>
      <c r="BB157" s="15"/>
      <c r="BC157" s="15"/>
      <c r="BD157" s="15"/>
      <c r="BE157" s="12"/>
      <c r="BF157" s="11"/>
      <c r="BG157" s="11"/>
      <c r="BH157" s="10"/>
      <c r="BI157" s="10"/>
      <c r="BJ157" s="10"/>
      <c r="BK157" s="23"/>
      <c r="BL157" s="23"/>
      <c r="BM157" s="23"/>
      <c r="BN157" s="23"/>
      <c r="BO157" s="23"/>
      <c r="BP157" s="23"/>
      <c r="BQ157" s="23"/>
      <c r="BR157" s="10"/>
      <c r="BS157" s="16"/>
      <c r="BT157" s="16"/>
      <c r="BU157" s="16"/>
      <c r="BV157" s="16"/>
      <c r="BW157" s="11"/>
      <c r="BX157" s="16"/>
      <c r="BY157" s="16"/>
      <c r="BZ157" s="17"/>
      <c r="CA157" s="18"/>
      <c r="CB157" s="18"/>
      <c r="CC157" s="18"/>
      <c r="CD157" s="18"/>
      <c r="CE157" s="18"/>
      <c r="CF157" s="18"/>
      <c r="CG157" s="19"/>
      <c r="CH157" s="15"/>
      <c r="CI157" s="17"/>
      <c r="CJ157" s="10"/>
      <c r="CK157" s="10"/>
      <c r="CL157" s="10"/>
      <c r="CM157" s="17"/>
      <c r="CN157" s="17"/>
      <c r="CO157" s="10"/>
      <c r="CP157" s="10"/>
      <c r="CQ157" s="10"/>
      <c r="CR157" s="10"/>
      <c r="CS157" s="10"/>
      <c r="CT157" s="10"/>
      <c r="CU157" s="10"/>
      <c r="CV157" s="10"/>
      <c r="CW157" s="10"/>
      <c r="CX157" s="10"/>
      <c r="CY157" s="10"/>
      <c r="CZ157" s="10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  <c r="EE157" s="34"/>
    </row>
    <row r="158" spans="1:135" customFormat="1">
      <c r="A158" s="71">
        <f>'Old Data'!$I154-'Old Data'!$S154</f>
        <v>117</v>
      </c>
      <c r="B158" s="72">
        <f>VLOOKUP('Old Data'!$F154,$R$6:$T$135,2,FALSE)+VLOOKUP('Old Data'!$P154,$R$6:$T$135,3,FALSE)+$B$2</f>
        <v>220.38762864084089</v>
      </c>
      <c r="C158" s="72">
        <f>VLOOKUP('Old Data'!$P154,$R$6:$T$135,2,FALSE)+VLOOKUP('Old Data'!$F154,$R$6:$T$135,3,FALSE)+$B$2</f>
        <v>114.682982162505</v>
      </c>
      <c r="D158" s="74">
        <f>('Old Data'!$I154-$B158)^2+('Old Data'!$S154-$C158)^2</f>
        <v>4872.7148572603564</v>
      </c>
      <c r="E158" s="75">
        <f>'Old Data'!$K154-'Old Data'!$U154</f>
        <v>-25</v>
      </c>
      <c r="F158" s="72">
        <f>VLOOKUP('Old Data'!$F154,$V$6:$X$135,2,FALSE)+VLOOKUP('Old Data'!$P154,$V$6:$X$135,3,FALSE)+$C$2</f>
        <v>222.0792520799267</v>
      </c>
      <c r="G158" s="72">
        <f>VLOOKUP('Old Data'!$P154,$V$6:$X$135,2,FALSE)+VLOOKUP('Old Data'!$F154,$V$6:$X$135,3,FALSE)+$C$2</f>
        <v>217.21550492218131</v>
      </c>
      <c r="H158" s="74">
        <f>('Old Data'!$K154-$F158)^2+('Old Data'!$U154-$G158)^2</f>
        <v>40124.84366340156</v>
      </c>
      <c r="I158" s="75">
        <f>('Old Data'!$L154+'Old Data'!$M154)-('Old Data'!$V154+'Old Data'!$W154)</f>
        <v>6</v>
      </c>
      <c r="J158" s="72">
        <f>VLOOKUP('Old Data'!$F154,$Z$6:$AB$135,2,FALSE)+VLOOKUP('Old Data'!$P154,$Z$6:$AB$135,3,FALSE)+$D$2</f>
        <v>33.892399319436379</v>
      </c>
      <c r="K158" s="72">
        <f>VLOOKUP('Old Data'!$P154,$Z$6:$AB$135,2,FALSE)+VLOOKUP('Old Data'!$F154,$Z$6:$AB$135,3,FALSE)+$D$2</f>
        <v>29.118202703886709</v>
      </c>
      <c r="L158" s="74">
        <f>('Old Data'!$L154+'Old Data'!$M154-$J158)^2+('Old Data'!$V154+'Old Data'!$W154-$K158)^2</f>
        <v>265.49519970654524</v>
      </c>
      <c r="M158" s="75">
        <f>'Old Data'!$N154-'Old Data'!$X154</f>
        <v>1</v>
      </c>
      <c r="N158" s="72">
        <f>VLOOKUP('Old Data'!$F154,$AD$6:$AF$135,2,FALSE)+VLOOKUP('Old Data'!$P154,$AD$6:$AF$135,3,FALSE)+$E$2</f>
        <v>0.44072671572540112</v>
      </c>
      <c r="O158" s="72">
        <f>VLOOKUP('Old Data'!$P154,$AD$6:$AF$135,2,FALSE)+VLOOKUP('Old Data'!$F154,$AD$6:$AF$135,3,FALSE)+$E$2</f>
        <v>1.031189795122347</v>
      </c>
      <c r="P158" s="73">
        <f>('Old Data'!$N154-$N158)^2+('Old Data'!$X154-$O158)^2</f>
        <v>1.3761390000677642</v>
      </c>
      <c r="Q158" s="62"/>
      <c r="R158" s="3"/>
      <c r="S158" s="3"/>
      <c r="T158" s="3"/>
      <c r="V158" s="3"/>
      <c r="W158" s="3"/>
      <c r="X158" s="3"/>
      <c r="Z158" s="3"/>
      <c r="AA158" s="3"/>
      <c r="AB158" s="3"/>
      <c r="AC158" s="3"/>
      <c r="AD158" s="3"/>
      <c r="AE158" s="3"/>
      <c r="AF158" s="3"/>
      <c r="AG158" s="3"/>
      <c r="AH158" s="37"/>
      <c r="AI158" s="1"/>
      <c r="AK158" s="10"/>
      <c r="AL158" s="10"/>
      <c r="AM158" s="10"/>
      <c r="AN158" s="11"/>
      <c r="AO158" s="11"/>
      <c r="AP158" s="11"/>
      <c r="AQ158" s="36"/>
      <c r="AR158" s="11"/>
      <c r="AS158" s="11"/>
      <c r="AT158" s="11"/>
      <c r="AU158" s="12"/>
      <c r="AV158" s="11"/>
      <c r="AW158" s="11"/>
      <c r="AX158" s="15"/>
      <c r="AY158" s="15"/>
      <c r="AZ158" s="15"/>
      <c r="BA158" s="15"/>
      <c r="BB158" s="15"/>
      <c r="BC158" s="15"/>
      <c r="BD158" s="15"/>
      <c r="BE158" s="12"/>
      <c r="BF158" s="11"/>
      <c r="BG158" s="11"/>
      <c r="BH158" s="10"/>
      <c r="BI158" s="10"/>
      <c r="BJ158" s="10"/>
      <c r="BK158" s="23"/>
      <c r="BL158" s="23"/>
      <c r="BM158" s="23"/>
      <c r="BN158" s="23"/>
      <c r="BO158" s="23"/>
      <c r="BP158" s="23"/>
      <c r="BQ158" s="23"/>
      <c r="BR158" s="10"/>
      <c r="BS158" s="16"/>
      <c r="BT158" s="16"/>
      <c r="BU158" s="16"/>
      <c r="BV158" s="16"/>
      <c r="BW158" s="11"/>
      <c r="BX158" s="16"/>
      <c r="BY158" s="16"/>
      <c r="BZ158" s="17"/>
      <c r="CA158" s="18"/>
      <c r="CB158" s="18"/>
      <c r="CC158" s="18"/>
      <c r="CD158" s="18"/>
      <c r="CE158" s="18"/>
      <c r="CF158" s="18"/>
      <c r="CG158" s="19"/>
      <c r="CH158" s="15"/>
      <c r="CI158" s="17"/>
      <c r="CJ158" s="10"/>
      <c r="CK158" s="10"/>
      <c r="CL158" s="10"/>
      <c r="CM158" s="17"/>
      <c r="CN158" s="17"/>
      <c r="CO158" s="10"/>
      <c r="CP158" s="10"/>
      <c r="CQ158" s="10"/>
      <c r="CR158" s="10"/>
      <c r="CS158" s="10"/>
      <c r="CT158" s="10"/>
      <c r="CU158" s="10"/>
      <c r="CV158" s="10"/>
      <c r="CW158" s="10"/>
      <c r="CX158" s="10"/>
      <c r="CY158" s="10"/>
      <c r="CZ158" s="10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  <c r="EE158" s="34"/>
    </row>
    <row r="159" spans="1:135" customFormat="1">
      <c r="A159" s="71">
        <f>'Old Data'!$I155-'Old Data'!$S155</f>
        <v>178</v>
      </c>
      <c r="B159" s="72">
        <f>VLOOKUP('Old Data'!$F155,$R$6:$T$135,2,FALSE)+VLOOKUP('Old Data'!$P155,$R$6:$T$135,3,FALSE)+$B$2</f>
        <v>145.33404218963517</v>
      </c>
      <c r="C159" s="72">
        <f>VLOOKUP('Old Data'!$P155,$R$6:$T$135,2,FALSE)+VLOOKUP('Old Data'!$F155,$R$6:$T$135,3,FALSE)+$B$2</f>
        <v>112.8660481222939</v>
      </c>
      <c r="D159" s="74">
        <f>('Old Data'!$I155-$B159)^2+('Old Data'!$S155-$C159)^2</f>
        <v>11751.406728430768</v>
      </c>
      <c r="E159" s="75">
        <f>'Old Data'!$K155-'Old Data'!$U155</f>
        <v>-28</v>
      </c>
      <c r="F159" s="72">
        <f>VLOOKUP('Old Data'!$F155,$V$6:$X$135,2,FALSE)+VLOOKUP('Old Data'!$P155,$V$6:$X$135,3,FALSE)+$C$2</f>
        <v>218.96154731343537</v>
      </c>
      <c r="G159" s="72">
        <f>VLOOKUP('Old Data'!$P155,$V$6:$X$135,2,FALSE)+VLOOKUP('Old Data'!$F155,$V$6:$X$135,3,FALSE)+$C$2</f>
        <v>226.28810015912271</v>
      </c>
      <c r="H159" s="74">
        <f>('Old Data'!$K155-$F159)^2+('Old Data'!$U155-$G159)^2</f>
        <v>888.98991406670768</v>
      </c>
      <c r="I159" s="75">
        <f>('Old Data'!$L155+'Old Data'!$M155)-('Old Data'!$V155+'Old Data'!$W155)</f>
        <v>35</v>
      </c>
      <c r="J159" s="72">
        <f>VLOOKUP('Old Data'!$F155,$Z$6:$AB$135,2,FALSE)+VLOOKUP('Old Data'!$P155,$Z$6:$AB$135,3,FALSE)+$D$2</f>
        <v>44.970640811752986</v>
      </c>
      <c r="K159" s="72">
        <f>VLOOKUP('Old Data'!$P155,$Z$6:$AB$135,2,FALSE)+VLOOKUP('Old Data'!$F155,$Z$6:$AB$135,3,FALSE)+$D$2</f>
        <v>34.40953303692946</v>
      </c>
      <c r="L159" s="74">
        <f>('Old Data'!$L155+'Old Data'!$M155-$J159)^2+('Old Data'!$V155+'Old Data'!$W155-$K159)^2</f>
        <v>1283.4296420165342</v>
      </c>
      <c r="M159" s="75">
        <f>'Old Data'!$N155-'Old Data'!$X155</f>
        <v>1</v>
      </c>
      <c r="N159" s="72">
        <f>VLOOKUP('Old Data'!$F155,$AD$6:$AF$135,2,FALSE)+VLOOKUP('Old Data'!$P155,$AD$6:$AF$135,3,FALSE)+$E$2</f>
        <v>0.98245924201520096</v>
      </c>
      <c r="O159" s="72">
        <f>VLOOKUP('Old Data'!$P155,$AD$6:$AF$135,2,FALSE)+VLOOKUP('Old Data'!$F155,$AD$6:$AF$135,3,FALSE)+$E$2</f>
        <v>1.341191416222443</v>
      </c>
      <c r="P159" s="73">
        <f>('Old Data'!$N155-$N159)^2+('Old Data'!$X155-$O159)^2</f>
        <v>4.5044994601888675</v>
      </c>
      <c r="Q159" s="62"/>
      <c r="R159" s="3"/>
      <c r="S159" s="3"/>
      <c r="T159" s="3"/>
      <c r="V159" s="3"/>
      <c r="W159" s="3"/>
      <c r="X159" s="3"/>
      <c r="Z159" s="3"/>
      <c r="AA159" s="3"/>
      <c r="AB159" s="3"/>
      <c r="AC159" s="3"/>
      <c r="AD159" s="3"/>
      <c r="AE159" s="3"/>
      <c r="AF159" s="3"/>
      <c r="AG159" s="3"/>
      <c r="AH159" s="37"/>
      <c r="AI159" s="1"/>
      <c r="AK159" s="10"/>
      <c r="AL159" s="10"/>
      <c r="AM159" s="10"/>
      <c r="AN159" s="11"/>
      <c r="AO159" s="11"/>
      <c r="AP159" s="11"/>
      <c r="AQ159" s="36"/>
      <c r="AR159" s="11"/>
      <c r="AS159" s="11"/>
      <c r="AT159" s="11"/>
      <c r="AU159" s="12"/>
      <c r="AV159" s="11"/>
      <c r="AW159" s="11"/>
      <c r="AX159" s="15"/>
      <c r="AY159" s="15"/>
      <c r="AZ159" s="15"/>
      <c r="BA159" s="15"/>
      <c r="BB159" s="15"/>
      <c r="BC159" s="15"/>
      <c r="BD159" s="15"/>
      <c r="BE159" s="12"/>
      <c r="BF159" s="11"/>
      <c r="BG159" s="11"/>
      <c r="BH159" s="10"/>
      <c r="BI159" s="10"/>
      <c r="BJ159" s="10"/>
      <c r="BK159" s="23"/>
      <c r="BL159" s="23"/>
      <c r="BM159" s="23"/>
      <c r="BN159" s="23"/>
      <c r="BO159" s="23"/>
      <c r="BP159" s="23"/>
      <c r="BQ159" s="23"/>
      <c r="BR159" s="10"/>
      <c r="BS159" s="16"/>
      <c r="BT159" s="16"/>
      <c r="BU159" s="16"/>
      <c r="BV159" s="16"/>
      <c r="BW159" s="11"/>
      <c r="BX159" s="16"/>
      <c r="BY159" s="16"/>
      <c r="BZ159" s="17"/>
      <c r="CA159" s="18"/>
      <c r="CB159" s="18"/>
      <c r="CC159" s="18"/>
      <c r="CD159" s="18"/>
      <c r="CE159" s="18"/>
      <c r="CF159" s="18"/>
      <c r="CG159" s="19"/>
      <c r="CH159" s="15"/>
      <c r="CI159" s="17"/>
      <c r="CJ159" s="10"/>
      <c r="CK159" s="10"/>
      <c r="CL159" s="10"/>
      <c r="CM159" s="17"/>
      <c r="CN159" s="17"/>
      <c r="CO159" s="10"/>
      <c r="CP159" s="10"/>
      <c r="CQ159" s="10"/>
      <c r="CR159" s="10"/>
      <c r="CS159" s="10"/>
      <c r="CT159" s="10"/>
      <c r="CU159" s="10"/>
      <c r="CV159" s="10"/>
      <c r="CW159" s="10"/>
      <c r="CX159" s="10"/>
      <c r="CY159" s="10"/>
      <c r="CZ159" s="10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  <c r="EE159" s="34"/>
    </row>
    <row r="160" spans="1:135" customFormat="1">
      <c r="A160" s="71">
        <f>'Old Data'!$I156-'Old Data'!$S156</f>
        <v>87</v>
      </c>
      <c r="B160" s="72">
        <f>VLOOKUP('Old Data'!$F156,$R$6:$T$135,2,FALSE)+VLOOKUP('Old Data'!$P156,$R$6:$T$135,3,FALSE)+$B$2</f>
        <v>239.1372990404837</v>
      </c>
      <c r="C160" s="72">
        <f>VLOOKUP('Old Data'!$P156,$R$6:$T$135,2,FALSE)+VLOOKUP('Old Data'!$F156,$R$6:$T$135,3,FALSE)+$B$2</f>
        <v>220.7105363549588</v>
      </c>
      <c r="D160" s="74">
        <f>('Old Data'!$I156-$B160)^2+('Old Data'!$S156-$C160)^2</f>
        <v>4453.7653156308634</v>
      </c>
      <c r="E160" s="75">
        <f>'Old Data'!$K156-'Old Data'!$U156</f>
        <v>-52</v>
      </c>
      <c r="F160" s="72">
        <f>VLOOKUP('Old Data'!$F156,$V$6:$X$135,2,FALSE)+VLOOKUP('Old Data'!$P156,$V$6:$X$135,3,FALSE)+$C$2</f>
        <v>118.9951850486591</v>
      </c>
      <c r="G160" s="72">
        <f>VLOOKUP('Old Data'!$P156,$V$6:$X$135,2,FALSE)+VLOOKUP('Old Data'!$F156,$V$6:$X$135,3,FALSE)+$C$2</f>
        <v>133.94871282765496</v>
      </c>
      <c r="H160" s="74">
        <f>('Old Data'!$K156-$F160)^2+('Old Data'!$U156-$G160)^2</f>
        <v>13335.642363401021</v>
      </c>
      <c r="I160" s="75">
        <f>('Old Data'!$L156+'Old Data'!$M156)-('Old Data'!$V156+'Old Data'!$W156)</f>
        <v>-47</v>
      </c>
      <c r="J160" s="72">
        <f>VLOOKUP('Old Data'!$F156,$Z$6:$AB$135,2,FALSE)+VLOOKUP('Old Data'!$P156,$Z$6:$AB$135,3,FALSE)+$D$2</f>
        <v>3.376387901123195</v>
      </c>
      <c r="K160" s="72">
        <f>VLOOKUP('Old Data'!$P156,$Z$6:$AB$135,2,FALSE)+VLOOKUP('Old Data'!$F156,$Z$6:$AB$135,3,FALSE)+$D$2</f>
        <v>62.471110176070468</v>
      </c>
      <c r="L160" s="74">
        <f>('Old Data'!$L156+'Old Data'!$M156-$J160)^2+('Old Data'!$V156+'Old Data'!$W156-$K160)^2</f>
        <v>250.75524533896228</v>
      </c>
      <c r="M160" s="75">
        <f>'Old Data'!$N156-'Old Data'!$X156</f>
        <v>-1</v>
      </c>
      <c r="N160" s="72">
        <f>VLOOKUP('Old Data'!$F156,$AD$6:$AF$135,2,FALSE)+VLOOKUP('Old Data'!$P156,$AD$6:$AF$135,3,FALSE)+$E$2</f>
        <v>1.9296567189200686</v>
      </c>
      <c r="O160" s="72">
        <f>VLOOKUP('Old Data'!$P156,$AD$6:$AF$135,2,FALSE)+VLOOKUP('Old Data'!$F156,$AD$6:$AF$135,3,FALSE)+$E$2</f>
        <v>1.9567065628080691</v>
      </c>
      <c r="P160" s="73">
        <f>('Old Data'!$N156-$N160)^2+('Old Data'!$X156-$O160)^2</f>
        <v>0.86613593673711919</v>
      </c>
      <c r="Q160" s="62"/>
      <c r="R160" s="3"/>
      <c r="S160" s="3"/>
      <c r="T160" s="3"/>
      <c r="V160" s="3"/>
      <c r="W160" s="3"/>
      <c r="X160" s="3"/>
      <c r="Z160" s="3"/>
      <c r="AA160" s="3"/>
      <c r="AB160" s="3"/>
      <c r="AC160" s="3"/>
      <c r="AD160" s="3"/>
      <c r="AE160" s="3"/>
      <c r="AF160" s="3"/>
      <c r="AG160" s="3"/>
      <c r="AH160" s="37"/>
      <c r="AI160" s="1"/>
      <c r="AK160" s="10"/>
      <c r="AL160" s="10"/>
      <c r="AM160" s="10"/>
      <c r="AN160" s="11"/>
      <c r="AO160" s="11"/>
      <c r="AP160" s="11"/>
      <c r="AQ160" s="36"/>
      <c r="AR160" s="11"/>
      <c r="AS160" s="11"/>
      <c r="AT160" s="11"/>
      <c r="AU160" s="12"/>
      <c r="AV160" s="11"/>
      <c r="AW160" s="11"/>
      <c r="AX160" s="15"/>
      <c r="AY160" s="15"/>
      <c r="AZ160" s="15"/>
      <c r="BA160" s="15"/>
      <c r="BB160" s="15"/>
      <c r="BC160" s="15"/>
      <c r="BD160" s="15"/>
      <c r="BE160" s="12"/>
      <c r="BF160" s="11"/>
      <c r="BG160" s="11"/>
      <c r="BH160" s="10"/>
      <c r="BI160" s="10"/>
      <c r="BJ160" s="10"/>
      <c r="BK160" s="23"/>
      <c r="BL160" s="23"/>
      <c r="BM160" s="23"/>
      <c r="BN160" s="23"/>
      <c r="BO160" s="23"/>
      <c r="BP160" s="23"/>
      <c r="BQ160" s="23"/>
      <c r="BR160" s="10"/>
      <c r="BS160" s="16"/>
      <c r="BT160" s="16"/>
      <c r="BU160" s="16"/>
      <c r="BV160" s="16"/>
      <c r="BW160" s="11"/>
      <c r="BX160" s="16"/>
      <c r="BY160" s="16"/>
      <c r="BZ160" s="17"/>
      <c r="CA160" s="18"/>
      <c r="CB160" s="18"/>
      <c r="CC160" s="18"/>
      <c r="CD160" s="18"/>
      <c r="CE160" s="18"/>
      <c r="CF160" s="18"/>
      <c r="CG160" s="19"/>
      <c r="CH160" s="15"/>
      <c r="CI160" s="17"/>
      <c r="CJ160" s="10"/>
      <c r="CK160" s="10"/>
      <c r="CL160" s="10"/>
      <c r="CM160" s="17"/>
      <c r="CN160" s="17"/>
      <c r="CO160" s="10"/>
      <c r="CP160" s="10"/>
      <c r="CQ160" s="10"/>
      <c r="CR160" s="10"/>
      <c r="CS160" s="10"/>
      <c r="CT160" s="10"/>
      <c r="CU160" s="10"/>
      <c r="CV160" s="10"/>
      <c r="CW160" s="10"/>
      <c r="CX160" s="10"/>
      <c r="CY160" s="10"/>
      <c r="CZ160" s="10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  <c r="EE160" s="34"/>
    </row>
    <row r="161" spans="1:135" customFormat="1">
      <c r="A161" s="71">
        <f>'Old Data'!$I157-'Old Data'!$S157</f>
        <v>-15</v>
      </c>
      <c r="B161" s="72">
        <f>VLOOKUP('Old Data'!$F157,$R$6:$T$135,2,FALSE)+VLOOKUP('Old Data'!$P157,$R$6:$T$135,3,FALSE)+$B$2</f>
        <v>172.98461753699752</v>
      </c>
      <c r="C161" s="72">
        <f>VLOOKUP('Old Data'!$P157,$R$6:$T$135,2,FALSE)+VLOOKUP('Old Data'!$F157,$R$6:$T$135,3,FALSE)+$B$2</f>
        <v>179.83947412424226</v>
      </c>
      <c r="D161" s="74">
        <f>('Old Data'!$I157-$B161)^2+('Old Data'!$S157-$C161)^2</f>
        <v>1083.0953688960276</v>
      </c>
      <c r="E161" s="75">
        <f>'Old Data'!$K157-'Old Data'!$U157</f>
        <v>99</v>
      </c>
      <c r="F161" s="72">
        <f>VLOOKUP('Old Data'!$F157,$V$6:$X$135,2,FALSE)+VLOOKUP('Old Data'!$P157,$V$6:$X$135,3,FALSE)+$C$2</f>
        <v>299.50461269121411</v>
      </c>
      <c r="G161" s="72">
        <f>VLOOKUP('Old Data'!$P157,$V$6:$X$135,2,FALSE)+VLOOKUP('Old Data'!$F157,$V$6:$X$135,3,FALSE)+$C$2</f>
        <v>209.94260754002434</v>
      </c>
      <c r="H161" s="74">
        <f>('Old Data'!$K157-$F161)^2+('Old Data'!$U157-$G161)^2</f>
        <v>749.64350756363774</v>
      </c>
      <c r="I161" s="75">
        <f>('Old Data'!$L157+'Old Data'!$M157)-('Old Data'!$V157+'Old Data'!$W157)</f>
        <v>115</v>
      </c>
      <c r="J161" s="72">
        <f>VLOOKUP('Old Data'!$F157,$Z$6:$AB$135,2,FALSE)+VLOOKUP('Old Data'!$P157,$Z$6:$AB$135,3,FALSE)+$D$2</f>
        <v>73.436890750999027</v>
      </c>
      <c r="K161" s="72">
        <f>VLOOKUP('Old Data'!$P157,$Z$6:$AB$135,2,FALSE)+VLOOKUP('Old Data'!$F157,$Z$6:$AB$135,3,FALSE)+$D$2</f>
        <v>58.307650943811623</v>
      </c>
      <c r="L161" s="74">
        <f>('Old Data'!$L157+'Old Data'!$M157-$J161)^2+('Old Data'!$V157+'Old Data'!$W157-$K161)^2</f>
        <v>5212.981624626962</v>
      </c>
      <c r="M161" s="75">
        <f>'Old Data'!$N157-'Old Data'!$X157</f>
        <v>-2</v>
      </c>
      <c r="N161" s="72">
        <f>VLOOKUP('Old Data'!$F157,$AD$6:$AF$135,2,FALSE)+VLOOKUP('Old Data'!$P157,$AD$6:$AF$135,3,FALSE)+$E$2</f>
        <v>1.1014404172981722</v>
      </c>
      <c r="O161" s="72">
        <f>VLOOKUP('Old Data'!$P157,$AD$6:$AF$135,2,FALSE)+VLOOKUP('Old Data'!$F157,$AD$6:$AF$135,3,FALSE)+$E$2</f>
        <v>0.95813864070447607</v>
      </c>
      <c r="P161" s="73">
        <f>('Old Data'!$N157-$N161)^2+('Old Data'!$X157-$O161)^2</f>
        <v>4.179487968845792</v>
      </c>
      <c r="Q161" s="62"/>
      <c r="R161" s="3"/>
      <c r="S161" s="3"/>
      <c r="T161" s="3"/>
      <c r="V161" s="3"/>
      <c r="W161" s="3"/>
      <c r="X161" s="3"/>
      <c r="Z161" s="3"/>
      <c r="AA161" s="3"/>
      <c r="AB161" s="3"/>
      <c r="AC161" s="3"/>
      <c r="AD161" s="3"/>
      <c r="AE161" s="3"/>
      <c r="AF161" s="3"/>
      <c r="AG161" s="3"/>
      <c r="AH161" s="37"/>
      <c r="AI161" s="1"/>
      <c r="AK161" s="10"/>
      <c r="AL161" s="10"/>
      <c r="AM161" s="10"/>
      <c r="AN161" s="11"/>
      <c r="AO161" s="11"/>
      <c r="AP161" s="11"/>
      <c r="AQ161" s="36"/>
      <c r="AR161" s="11"/>
      <c r="AS161" s="11"/>
      <c r="AT161" s="11"/>
      <c r="AU161" s="12"/>
      <c r="AV161" s="11"/>
      <c r="AW161" s="11"/>
      <c r="AX161" s="15"/>
      <c r="AY161" s="15"/>
      <c r="AZ161" s="15"/>
      <c r="BA161" s="15"/>
      <c r="BB161" s="15"/>
      <c r="BC161" s="15"/>
      <c r="BD161" s="15"/>
      <c r="BE161" s="12"/>
      <c r="BF161" s="11"/>
      <c r="BG161" s="11"/>
      <c r="BH161" s="10"/>
      <c r="BI161" s="10"/>
      <c r="BJ161" s="10"/>
      <c r="BK161" s="23"/>
      <c r="BL161" s="23"/>
      <c r="BM161" s="23"/>
      <c r="BN161" s="23"/>
      <c r="BO161" s="23"/>
      <c r="BP161" s="23"/>
      <c r="BQ161" s="23"/>
      <c r="BR161" s="10"/>
      <c r="BS161" s="16"/>
      <c r="BT161" s="16"/>
      <c r="BU161" s="16"/>
      <c r="BV161" s="16"/>
      <c r="BW161" s="11"/>
      <c r="BX161" s="16"/>
      <c r="BY161" s="16"/>
      <c r="BZ161" s="17"/>
      <c r="CA161" s="18"/>
      <c r="CB161" s="18"/>
      <c r="CC161" s="18"/>
      <c r="CD161" s="18"/>
      <c r="CE161" s="18"/>
      <c r="CF161" s="18"/>
      <c r="CG161" s="19"/>
      <c r="CH161" s="15"/>
      <c r="CI161" s="17"/>
      <c r="CJ161" s="10"/>
      <c r="CK161" s="10"/>
      <c r="CL161" s="10"/>
      <c r="CM161" s="17"/>
      <c r="CN161" s="17"/>
      <c r="CO161" s="10"/>
      <c r="CP161" s="10"/>
      <c r="CQ161" s="10"/>
      <c r="CR161" s="10"/>
      <c r="CS161" s="10"/>
      <c r="CT161" s="10"/>
      <c r="CU161" s="10"/>
      <c r="CV161" s="10"/>
      <c r="CW161" s="10"/>
      <c r="CX161" s="10"/>
      <c r="CY161" s="10"/>
      <c r="CZ161" s="10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</row>
    <row r="162" spans="1:135" customFormat="1">
      <c r="A162" s="71">
        <f>'Old Data'!$I158-'Old Data'!$S158</f>
        <v>120</v>
      </c>
      <c r="B162" s="72">
        <f>VLOOKUP('Old Data'!$F158,$R$6:$T$135,2,FALSE)+VLOOKUP('Old Data'!$P158,$R$6:$T$135,3,FALSE)+$B$2</f>
        <v>145.97872204287842</v>
      </c>
      <c r="C162" s="72">
        <f>VLOOKUP('Old Data'!$P158,$R$6:$T$135,2,FALSE)+VLOOKUP('Old Data'!$F158,$R$6:$T$135,3,FALSE)+$B$2</f>
        <v>183.3603217300352</v>
      </c>
      <c r="D162" s="74">
        <f>('Old Data'!$I158-$B162)^2+('Old Data'!$S158-$C162)^2</f>
        <v>13238.942230073668</v>
      </c>
      <c r="E162" s="75">
        <f>'Old Data'!$K158-'Old Data'!$U158</f>
        <v>-148</v>
      </c>
      <c r="F162" s="72">
        <f>VLOOKUP('Old Data'!$F158,$V$6:$X$135,2,FALSE)+VLOOKUP('Old Data'!$P158,$V$6:$X$135,3,FALSE)+$C$2</f>
        <v>239.0047463720974</v>
      </c>
      <c r="G162" s="72">
        <f>VLOOKUP('Old Data'!$P158,$V$6:$X$135,2,FALSE)+VLOOKUP('Old Data'!$F158,$V$6:$X$135,3,FALSE)+$C$2</f>
        <v>231.95453342758731</v>
      </c>
      <c r="H162" s="74">
        <f>('Old Data'!$K158-$F162)^2+('Old Data'!$U158-$G162)^2</f>
        <v>13126.698945551138</v>
      </c>
      <c r="I162" s="75">
        <f>('Old Data'!$L158+'Old Data'!$M158)-('Old Data'!$V158+'Old Data'!$W158)</f>
        <v>179</v>
      </c>
      <c r="J162" s="72">
        <f>VLOOKUP('Old Data'!$F158,$Z$6:$AB$135,2,FALSE)+VLOOKUP('Old Data'!$P158,$Z$6:$AB$135,3,FALSE)+$D$2</f>
        <v>110.50244210697937</v>
      </c>
      <c r="K162" s="72">
        <f>VLOOKUP('Old Data'!$P158,$Z$6:$AB$135,2,FALSE)+VLOOKUP('Old Data'!$F158,$Z$6:$AB$135,3,FALSE)+$D$2</f>
        <v>77.05041278169594</v>
      </c>
      <c r="L162" s="74">
        <f>('Old Data'!$L158+'Old Data'!$M158-$J162)^2+('Old Data'!$V158+'Old Data'!$W158-$K162)^2</f>
        <v>12242.193124484875</v>
      </c>
      <c r="M162" s="75">
        <f>'Old Data'!$N158-'Old Data'!$X158</f>
        <v>-2</v>
      </c>
      <c r="N162" s="72">
        <f>VLOOKUP('Old Data'!$F158,$AD$6:$AF$135,2,FALSE)+VLOOKUP('Old Data'!$P158,$AD$6:$AF$135,3,FALSE)+$E$2</f>
        <v>0.99993990365885121</v>
      </c>
      <c r="O162" s="72">
        <f>VLOOKUP('Old Data'!$P158,$AD$6:$AF$135,2,FALSE)+VLOOKUP('Old Data'!$F158,$AD$6:$AF$135,3,FALSE)+$E$2</f>
        <v>2.5771503278958772</v>
      </c>
      <c r="P162" s="73">
        <f>('Old Data'!$N158-$N162)^2+('Old Data'!$X158-$O162)^2</f>
        <v>0.17880184881013442</v>
      </c>
      <c r="Q162" s="62"/>
      <c r="R162" s="3"/>
      <c r="S162" s="3"/>
      <c r="T162" s="3"/>
      <c r="V162" s="3"/>
      <c r="W162" s="3"/>
      <c r="X162" s="3"/>
      <c r="Z162" s="3"/>
      <c r="AA162" s="3"/>
      <c r="AB162" s="3"/>
      <c r="AC162" s="3"/>
      <c r="AD162" s="3"/>
      <c r="AE162" s="3"/>
      <c r="AF162" s="3"/>
      <c r="AG162" s="3"/>
      <c r="AH162" s="37"/>
      <c r="AI162" s="1"/>
      <c r="AK162" s="10"/>
      <c r="AL162" s="10"/>
      <c r="AM162" s="10"/>
      <c r="AN162" s="11"/>
      <c r="AO162" s="11"/>
      <c r="AP162" s="11"/>
      <c r="AQ162" s="36"/>
      <c r="AR162" s="11"/>
      <c r="AS162" s="11"/>
      <c r="AT162" s="11"/>
      <c r="AU162" s="12"/>
      <c r="AV162" s="11"/>
      <c r="AW162" s="11"/>
      <c r="AX162" s="15"/>
      <c r="AY162" s="15"/>
      <c r="AZ162" s="15"/>
      <c r="BA162" s="15"/>
      <c r="BB162" s="15"/>
      <c r="BC162" s="15"/>
      <c r="BD162" s="15"/>
      <c r="BE162" s="12"/>
      <c r="BF162" s="11"/>
      <c r="BG162" s="11"/>
      <c r="BH162" s="10"/>
      <c r="BI162" s="10"/>
      <c r="BJ162" s="10"/>
      <c r="BK162" s="23"/>
      <c r="BL162" s="23"/>
      <c r="BM162" s="23"/>
      <c r="BN162" s="23"/>
      <c r="BO162" s="23"/>
      <c r="BP162" s="23"/>
      <c r="BQ162" s="23"/>
      <c r="BR162" s="10"/>
      <c r="BS162" s="16"/>
      <c r="BT162" s="16"/>
      <c r="BU162" s="16"/>
      <c r="BV162" s="16"/>
      <c r="BW162" s="11"/>
      <c r="BX162" s="16"/>
      <c r="BY162" s="16"/>
      <c r="BZ162" s="17"/>
      <c r="CA162" s="18"/>
      <c r="CB162" s="18"/>
      <c r="CC162" s="18"/>
      <c r="CD162" s="18"/>
      <c r="CE162" s="18"/>
      <c r="CF162" s="18"/>
      <c r="CG162" s="19"/>
      <c r="CH162" s="15"/>
      <c r="CI162" s="17"/>
      <c r="CJ162" s="10"/>
      <c r="CK162" s="10"/>
      <c r="CL162" s="10"/>
      <c r="CM162" s="17"/>
      <c r="CN162" s="17"/>
      <c r="CO162" s="10"/>
      <c r="CP162" s="10"/>
      <c r="CQ162" s="10"/>
      <c r="CR162" s="10"/>
      <c r="CS162" s="10"/>
      <c r="CT162" s="10"/>
      <c r="CU162" s="10"/>
      <c r="CV162" s="10"/>
      <c r="CW162" s="10"/>
      <c r="CX162" s="10"/>
      <c r="CY162" s="10"/>
      <c r="CZ162" s="10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  <c r="EE162" s="34"/>
    </row>
    <row r="163" spans="1:135" customFormat="1">
      <c r="A163" s="71">
        <f>'Old Data'!$I159-'Old Data'!$S159</f>
        <v>89</v>
      </c>
      <c r="B163" s="72">
        <f>VLOOKUP('Old Data'!$F159,$R$6:$T$135,2,FALSE)+VLOOKUP('Old Data'!$P159,$R$6:$T$135,3,FALSE)+$B$2</f>
        <v>311.88509149884078</v>
      </c>
      <c r="C163" s="72">
        <f>VLOOKUP('Old Data'!$P159,$R$6:$T$135,2,FALSE)+VLOOKUP('Old Data'!$F159,$R$6:$T$135,3,FALSE)+$B$2</f>
        <v>155.7549210428129</v>
      </c>
      <c r="D163" s="74">
        <f>('Old Data'!$I159-$B163)^2+('Old Data'!$S159-$C163)^2</f>
        <v>4748.2355786701737</v>
      </c>
      <c r="E163" s="75">
        <f>'Old Data'!$K159-'Old Data'!$U159</f>
        <v>20</v>
      </c>
      <c r="F163" s="72">
        <f>VLOOKUP('Old Data'!$F159,$V$6:$X$135,2,FALSE)+VLOOKUP('Old Data'!$P159,$V$6:$X$135,3,FALSE)+$C$2</f>
        <v>166.67096741987598</v>
      </c>
      <c r="G163" s="72">
        <f>VLOOKUP('Old Data'!$P159,$V$6:$X$135,2,FALSE)+VLOOKUP('Old Data'!$F159,$V$6:$X$135,3,FALSE)+$C$2</f>
        <v>241.95650335021739</v>
      </c>
      <c r="H163" s="74">
        <f>('Old Data'!$K159-$F163)^2+('Old Data'!$U159-$G163)^2</f>
        <v>44124.916781383523</v>
      </c>
      <c r="I163" s="75">
        <f>('Old Data'!$L159+'Old Data'!$M159)-('Old Data'!$V159+'Old Data'!$W159)</f>
        <v>-57</v>
      </c>
      <c r="J163" s="72">
        <f>VLOOKUP('Old Data'!$F159,$Z$6:$AB$135,2,FALSE)+VLOOKUP('Old Data'!$P159,$Z$6:$AB$135,3,FALSE)+$D$2</f>
        <v>44.537025111847015</v>
      </c>
      <c r="K163" s="72">
        <f>VLOOKUP('Old Data'!$P159,$Z$6:$AB$135,2,FALSE)+VLOOKUP('Old Data'!$F159,$Z$6:$AB$135,3,FALSE)+$D$2</f>
        <v>44.225646010213453</v>
      </c>
      <c r="L163" s="74">
        <f>('Old Data'!$L159+'Old Data'!$M159-$J163)^2+('Old Data'!$V159+'Old Data'!$W159-$K163)^2</f>
        <v>2904.1916936607086</v>
      </c>
      <c r="M163" s="75">
        <f>'Old Data'!$N159-'Old Data'!$X159</f>
        <v>0</v>
      </c>
      <c r="N163" s="72">
        <f>VLOOKUP('Old Data'!$F159,$AD$6:$AF$135,2,FALSE)+VLOOKUP('Old Data'!$P159,$AD$6:$AF$135,3,FALSE)+$E$2</f>
        <v>1.4521306832847061</v>
      </c>
      <c r="O163" s="72">
        <f>VLOOKUP('Old Data'!$P159,$AD$6:$AF$135,2,FALSE)+VLOOKUP('Old Data'!$F159,$AD$6:$AF$135,3,FALSE)+$E$2</f>
        <v>1.7423879576194852</v>
      </c>
      <c r="P163" s="73">
        <f>('Old Data'!$N159-$N163)^2+('Old Data'!$X159-$O163)^2</f>
        <v>0.75556203438592573</v>
      </c>
      <c r="Q163" s="62"/>
      <c r="R163" s="3"/>
      <c r="S163" s="3"/>
      <c r="T163" s="3"/>
      <c r="V163" s="3"/>
      <c r="W163" s="3"/>
      <c r="X163" s="3"/>
      <c r="Z163" s="3"/>
      <c r="AA163" s="3"/>
      <c r="AB163" s="3"/>
      <c r="AC163" s="3"/>
      <c r="AD163" s="3"/>
      <c r="AE163" s="3"/>
      <c r="AF163" s="3"/>
      <c r="AG163" s="3"/>
      <c r="AH163" s="37"/>
      <c r="AI163" s="1"/>
      <c r="AK163" s="10"/>
      <c r="AL163" s="10"/>
      <c r="AM163" s="10"/>
      <c r="AN163" s="11"/>
      <c r="AO163" s="11"/>
      <c r="AP163" s="11"/>
      <c r="AQ163" s="36"/>
      <c r="AR163" s="11"/>
      <c r="AS163" s="11"/>
      <c r="AT163" s="11"/>
      <c r="AU163" s="12"/>
      <c r="AV163" s="11"/>
      <c r="AW163" s="11"/>
      <c r="AX163" s="15"/>
      <c r="AY163" s="15"/>
      <c r="AZ163" s="15"/>
      <c r="BA163" s="15"/>
      <c r="BB163" s="15"/>
      <c r="BC163" s="15"/>
      <c r="BD163" s="15"/>
      <c r="BE163" s="12"/>
      <c r="BF163" s="11"/>
      <c r="BG163" s="11"/>
      <c r="BH163" s="10"/>
      <c r="BI163" s="10"/>
      <c r="BJ163" s="10"/>
      <c r="BK163" s="23"/>
      <c r="BL163" s="23"/>
      <c r="BM163" s="23"/>
      <c r="BN163" s="23"/>
      <c r="BO163" s="23"/>
      <c r="BP163" s="23"/>
      <c r="BQ163" s="23"/>
      <c r="BR163" s="10"/>
      <c r="BS163" s="16"/>
      <c r="BT163" s="16"/>
      <c r="BU163" s="16"/>
      <c r="BV163" s="16"/>
      <c r="BW163" s="11"/>
      <c r="BX163" s="16"/>
      <c r="BY163" s="16"/>
      <c r="BZ163" s="17"/>
      <c r="CA163" s="18"/>
      <c r="CB163" s="18"/>
      <c r="CC163" s="18"/>
      <c r="CD163" s="18"/>
      <c r="CE163" s="18"/>
      <c r="CF163" s="18"/>
      <c r="CG163" s="19"/>
      <c r="CH163" s="15"/>
      <c r="CI163" s="17"/>
      <c r="CJ163" s="10"/>
      <c r="CK163" s="10"/>
      <c r="CL163" s="10"/>
      <c r="CM163" s="17"/>
      <c r="CN163" s="17"/>
      <c r="CO163" s="10"/>
      <c r="CP163" s="10"/>
      <c r="CQ163" s="10"/>
      <c r="CR163" s="10"/>
      <c r="CS163" s="10"/>
      <c r="CT163" s="10"/>
      <c r="CU163" s="10"/>
      <c r="CV163" s="10"/>
      <c r="CW163" s="10"/>
      <c r="CX163" s="10"/>
      <c r="CY163" s="10"/>
      <c r="CZ163" s="10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  <c r="EE163" s="34"/>
    </row>
    <row r="164" spans="1:135" customFormat="1">
      <c r="A164" s="71">
        <f>'Old Data'!$I160-'Old Data'!$S160</f>
        <v>28</v>
      </c>
      <c r="B164" s="72">
        <f>VLOOKUP('Old Data'!$F160,$R$6:$T$135,2,FALSE)+VLOOKUP('Old Data'!$P160,$R$6:$T$135,3,FALSE)+$B$2</f>
        <v>127.30273759020452</v>
      </c>
      <c r="C164" s="72">
        <f>VLOOKUP('Old Data'!$P160,$R$6:$T$135,2,FALSE)+VLOOKUP('Old Data'!$F160,$R$6:$T$135,3,FALSE)+$B$2</f>
        <v>118.85667087349471</v>
      </c>
      <c r="D164" s="74">
        <f>('Old Data'!$I160-$B164)^2+('Old Data'!$S160-$C164)^2</f>
        <v>208.23440817063613</v>
      </c>
      <c r="E164" s="75">
        <f>'Old Data'!$K160-'Old Data'!$U160</f>
        <v>-102</v>
      </c>
      <c r="F164" s="72">
        <f>VLOOKUP('Old Data'!$F160,$V$6:$X$135,2,FALSE)+VLOOKUP('Old Data'!$P160,$V$6:$X$135,3,FALSE)+$C$2</f>
        <v>106.6231159004659</v>
      </c>
      <c r="G164" s="72">
        <f>VLOOKUP('Old Data'!$P160,$V$6:$X$135,2,FALSE)+VLOOKUP('Old Data'!$F160,$V$6:$X$135,3,FALSE)+$C$2</f>
        <v>209.89879022700089</v>
      </c>
      <c r="H164" s="74">
        <f>('Old Data'!$K160-$F164)^2+('Old Data'!$U160-$G164)^2</f>
        <v>703.11743265289579</v>
      </c>
      <c r="I164" s="75">
        <f>('Old Data'!$L160+'Old Data'!$M160)-('Old Data'!$V160+'Old Data'!$W160)</f>
        <v>-11</v>
      </c>
      <c r="J164" s="72">
        <f>VLOOKUP('Old Data'!$F160,$Z$6:$AB$135,2,FALSE)+VLOOKUP('Old Data'!$P160,$Z$6:$AB$135,3,FALSE)+$D$2</f>
        <v>66.853338159989192</v>
      </c>
      <c r="K164" s="72">
        <f>VLOOKUP('Old Data'!$P160,$Z$6:$AB$135,2,FALSE)+VLOOKUP('Old Data'!$F160,$Z$6:$AB$135,3,FALSE)+$D$2</f>
        <v>38.887708610663196</v>
      </c>
      <c r="L164" s="74">
        <f>('Old Data'!$L160+'Old Data'!$M160-$J164)^2+('Old Data'!$V160+'Old Data'!$W160-$K164)^2</f>
        <v>802.02425053927698</v>
      </c>
      <c r="M164" s="75">
        <f>'Old Data'!$N160-'Old Data'!$X160</f>
        <v>-2</v>
      </c>
      <c r="N164" s="72">
        <f>VLOOKUP('Old Data'!$F160,$AD$6:$AF$135,2,FALSE)+VLOOKUP('Old Data'!$P160,$AD$6:$AF$135,3,FALSE)+$E$2</f>
        <v>1.4535922735982041</v>
      </c>
      <c r="O164" s="72">
        <f>VLOOKUP('Old Data'!$P160,$AD$6:$AF$135,2,FALSE)+VLOOKUP('Old Data'!$F160,$AD$6:$AF$135,3,FALSE)+$E$2</f>
        <v>2.1457188649075274</v>
      </c>
      <c r="P164" s="73">
        <f>('Old Data'!$N160-$N164)^2+('Old Data'!$X160-$O164)^2</f>
        <v>0.9355422084428715</v>
      </c>
      <c r="Q164" s="62"/>
      <c r="R164" s="3"/>
      <c r="S164" s="3"/>
      <c r="T164" s="3"/>
      <c r="V164" s="3"/>
      <c r="W164" s="3"/>
      <c r="X164" s="3"/>
      <c r="Z164" s="3"/>
      <c r="AA164" s="3"/>
      <c r="AB164" s="3"/>
      <c r="AC164" s="3"/>
      <c r="AD164" s="3"/>
      <c r="AE164" s="3"/>
      <c r="AF164" s="3"/>
      <c r="AG164" s="3"/>
      <c r="AH164" s="37"/>
      <c r="AI164" s="1"/>
      <c r="AK164" s="10"/>
      <c r="AL164" s="10"/>
      <c r="AM164" s="10"/>
      <c r="AN164" s="11"/>
      <c r="AO164" s="11"/>
      <c r="AP164" s="11"/>
      <c r="AQ164" s="36"/>
      <c r="AR164" s="11"/>
      <c r="AS164" s="11"/>
      <c r="AT164" s="11"/>
      <c r="AU164" s="12"/>
      <c r="AV164" s="11"/>
      <c r="AW164" s="11"/>
      <c r="AX164" s="15"/>
      <c r="AY164" s="15"/>
      <c r="AZ164" s="15"/>
      <c r="BA164" s="15"/>
      <c r="BB164" s="15"/>
      <c r="BC164" s="15"/>
      <c r="BD164" s="15"/>
      <c r="BE164" s="12"/>
      <c r="BF164" s="11"/>
      <c r="BG164" s="11"/>
      <c r="BH164" s="10"/>
      <c r="BI164" s="10"/>
      <c r="BJ164" s="10"/>
      <c r="BK164" s="23"/>
      <c r="BL164" s="23"/>
      <c r="BM164" s="23"/>
      <c r="BN164" s="23"/>
      <c r="BO164" s="23"/>
      <c r="BP164" s="23"/>
      <c r="BQ164" s="23"/>
      <c r="BR164" s="10"/>
      <c r="BS164" s="16"/>
      <c r="BT164" s="16"/>
      <c r="BU164" s="16"/>
      <c r="BV164" s="16"/>
      <c r="BW164" s="11"/>
      <c r="BX164" s="16"/>
      <c r="BY164" s="16"/>
      <c r="BZ164" s="17"/>
      <c r="CA164" s="18"/>
      <c r="CB164" s="18"/>
      <c r="CC164" s="18"/>
      <c r="CD164" s="18"/>
      <c r="CE164" s="18"/>
      <c r="CF164" s="18"/>
      <c r="CG164" s="19"/>
      <c r="CH164" s="15"/>
      <c r="CI164" s="17"/>
      <c r="CJ164" s="10"/>
      <c r="CK164" s="10"/>
      <c r="CL164" s="10"/>
      <c r="CM164" s="17"/>
      <c r="CN164" s="17"/>
      <c r="CO164" s="10"/>
      <c r="CP164" s="10"/>
      <c r="CQ164" s="10"/>
      <c r="CR164" s="10"/>
      <c r="CS164" s="10"/>
      <c r="CT164" s="10"/>
      <c r="CU164" s="10"/>
      <c r="CV164" s="10"/>
      <c r="CW164" s="10"/>
      <c r="CX164" s="10"/>
      <c r="CY164" s="10"/>
      <c r="CZ164" s="10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  <c r="EE164" s="34"/>
    </row>
    <row r="165" spans="1:135" customFormat="1">
      <c r="A165" s="71">
        <f>'Old Data'!$I161-'Old Data'!$S161</f>
        <v>155</v>
      </c>
      <c r="B165" s="72">
        <f>VLOOKUP('Old Data'!$F161,$R$6:$T$135,2,FALSE)+VLOOKUP('Old Data'!$P161,$R$6:$T$135,3,FALSE)+$B$2</f>
        <v>309.37535268402485</v>
      </c>
      <c r="C165" s="72">
        <f>VLOOKUP('Old Data'!$P161,$R$6:$T$135,2,FALSE)+VLOOKUP('Old Data'!$F161,$R$6:$T$135,3,FALSE)+$B$2</f>
        <v>28.199551609340205</v>
      </c>
      <c r="D165" s="74">
        <f>('Old Data'!$I161-$B165)^2+('Old Data'!$S161-$C165)^2</f>
        <v>8704.1780090403317</v>
      </c>
      <c r="E165" s="75">
        <f>'Old Data'!$K161-'Old Data'!$U161</f>
        <v>314</v>
      </c>
      <c r="F165" s="72">
        <f>VLOOKUP('Old Data'!$F161,$V$6:$X$135,2,FALSE)+VLOOKUP('Old Data'!$P161,$V$6:$X$135,3,FALSE)+$C$2</f>
        <v>279.57587556547463</v>
      </c>
      <c r="G165" s="72">
        <f>VLOOKUP('Old Data'!$P161,$V$6:$X$135,2,FALSE)+VLOOKUP('Old Data'!$F161,$V$6:$X$135,3,FALSE)+$C$2</f>
        <v>120.82330864986361</v>
      </c>
      <c r="H165" s="74">
        <f>('Old Data'!$K161-$F165)^2+('Old Data'!$U161-$G165)^2</f>
        <v>12615.390150343304</v>
      </c>
      <c r="I165" s="75">
        <f>('Old Data'!$L161+'Old Data'!$M161)-('Old Data'!$V161+'Old Data'!$W161)</f>
        <v>53</v>
      </c>
      <c r="J165" s="72">
        <f>VLOOKUP('Old Data'!$F161,$Z$6:$AB$135,2,FALSE)+VLOOKUP('Old Data'!$P161,$Z$6:$AB$135,3,FALSE)+$D$2</f>
        <v>25.575908504712601</v>
      </c>
      <c r="K165" s="72">
        <f>VLOOKUP('Old Data'!$P161,$Z$6:$AB$135,2,FALSE)+VLOOKUP('Old Data'!$F161,$Z$6:$AB$135,3,FALSE)+$D$2</f>
        <v>77.672311814793815</v>
      </c>
      <c r="L165" s="74">
        <f>('Old Data'!$L161+'Old Data'!$M161-$J165)^2+('Old Data'!$V161+'Old Data'!$W161-$K165)^2</f>
        <v>5921.6079699673128</v>
      </c>
      <c r="M165" s="75">
        <f>'Old Data'!$N161-'Old Data'!$X161</f>
        <v>2</v>
      </c>
      <c r="N165" s="72">
        <f>VLOOKUP('Old Data'!$F161,$AD$6:$AF$135,2,FALSE)+VLOOKUP('Old Data'!$P161,$AD$6:$AF$135,3,FALSE)+$E$2</f>
        <v>1.7486938448653562</v>
      </c>
      <c r="O165" s="72">
        <f>VLOOKUP('Old Data'!$P161,$AD$6:$AF$135,2,FALSE)+VLOOKUP('Old Data'!$F161,$AD$6:$AF$135,3,FALSE)+$E$2</f>
        <v>0.67270442623435112</v>
      </c>
      <c r="P165" s="73">
        <f>('Old Data'!$N161-$N165)^2+('Old Data'!$X161-$O165)^2</f>
        <v>1.6728894864844308</v>
      </c>
      <c r="Q165" s="62"/>
      <c r="R165" s="3"/>
      <c r="S165" s="3"/>
      <c r="T165" s="3"/>
      <c r="V165" s="3"/>
      <c r="W165" s="3"/>
      <c r="X165" s="3"/>
      <c r="Z165" s="3"/>
      <c r="AA165" s="3"/>
      <c r="AB165" s="3"/>
      <c r="AC165" s="3"/>
      <c r="AD165" s="3"/>
      <c r="AE165" s="3"/>
      <c r="AF165" s="3"/>
      <c r="AG165" s="3"/>
      <c r="AH165" s="37"/>
      <c r="AI165" s="1"/>
      <c r="AK165" s="10"/>
      <c r="AL165" s="10"/>
      <c r="AM165" s="10"/>
      <c r="AN165" s="11"/>
      <c r="AO165" s="11"/>
      <c r="AP165" s="11"/>
      <c r="AQ165" s="36"/>
      <c r="AR165" s="11"/>
      <c r="AS165" s="11"/>
      <c r="AT165" s="11"/>
      <c r="AU165" s="12"/>
      <c r="AV165" s="11"/>
      <c r="AW165" s="11"/>
      <c r="AX165" s="15"/>
      <c r="AY165" s="15"/>
      <c r="AZ165" s="15"/>
      <c r="BA165" s="15"/>
      <c r="BB165" s="15"/>
      <c r="BC165" s="15"/>
      <c r="BD165" s="15"/>
      <c r="BE165" s="12"/>
      <c r="BF165" s="11"/>
      <c r="BG165" s="11"/>
      <c r="BH165" s="10"/>
      <c r="BI165" s="10"/>
      <c r="BJ165" s="10"/>
      <c r="BK165" s="23"/>
      <c r="BL165" s="23"/>
      <c r="BM165" s="23"/>
      <c r="BN165" s="23"/>
      <c r="BO165" s="23"/>
      <c r="BP165" s="23"/>
      <c r="BQ165" s="23"/>
      <c r="BR165" s="10"/>
      <c r="BS165" s="16"/>
      <c r="BT165" s="16"/>
      <c r="BU165" s="16"/>
      <c r="BV165" s="16"/>
      <c r="BW165" s="11"/>
      <c r="BX165" s="16"/>
      <c r="BY165" s="16"/>
      <c r="BZ165" s="17"/>
      <c r="CA165" s="18"/>
      <c r="CB165" s="18"/>
      <c r="CC165" s="18"/>
      <c r="CD165" s="18"/>
      <c r="CE165" s="18"/>
      <c r="CF165" s="18"/>
      <c r="CG165" s="19"/>
      <c r="CH165" s="15"/>
      <c r="CI165" s="17"/>
      <c r="CJ165" s="10"/>
      <c r="CK165" s="10"/>
      <c r="CL165" s="10"/>
      <c r="CM165" s="17"/>
      <c r="CN165" s="17"/>
      <c r="CO165" s="10"/>
      <c r="CP165" s="10"/>
      <c r="CQ165" s="10"/>
      <c r="CR165" s="10"/>
      <c r="CS165" s="10"/>
      <c r="CT165" s="10"/>
      <c r="CU165" s="10"/>
      <c r="CV165" s="10"/>
      <c r="CW165" s="10"/>
      <c r="CX165" s="10"/>
      <c r="CY165" s="10"/>
      <c r="CZ165" s="10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  <c r="EE165" s="34"/>
    </row>
    <row r="166" spans="1:135" customFormat="1">
      <c r="A166" s="71">
        <f>'Old Data'!$I162-'Old Data'!$S162</f>
        <v>-182</v>
      </c>
      <c r="B166" s="72">
        <f>VLOOKUP('Old Data'!$F162,$R$6:$T$135,2,FALSE)+VLOOKUP('Old Data'!$P162,$R$6:$T$135,3,FALSE)+$B$2</f>
        <v>227.99315940042561</v>
      </c>
      <c r="C166" s="72">
        <f>VLOOKUP('Old Data'!$P162,$R$6:$T$135,2,FALSE)+VLOOKUP('Old Data'!$F162,$R$6:$T$135,3,FALSE)+$B$2</f>
        <v>246.8603722263606</v>
      </c>
      <c r="D166" s="74">
        <f>('Old Data'!$I162-$B166)^2+('Old Data'!$S162-$C166)^2</f>
        <v>17077.92110361197</v>
      </c>
      <c r="E166" s="75">
        <f>'Old Data'!$K162-'Old Data'!$U162</f>
        <v>73</v>
      </c>
      <c r="F166" s="72">
        <f>VLOOKUP('Old Data'!$F162,$V$6:$X$135,2,FALSE)+VLOOKUP('Old Data'!$P162,$V$6:$X$135,3,FALSE)+$C$2</f>
        <v>200.37970298671161</v>
      </c>
      <c r="G166" s="72">
        <f>VLOOKUP('Old Data'!$P162,$V$6:$X$135,2,FALSE)+VLOOKUP('Old Data'!$F162,$V$6:$X$135,3,FALSE)+$C$2</f>
        <v>255.477777020692</v>
      </c>
      <c r="H166" s="74">
        <f>('Old Data'!$K162-$F166)^2+('Old Data'!$U162-$G166)^2</f>
        <v>8520.6314413966156</v>
      </c>
      <c r="I166" s="75">
        <f>('Old Data'!$L162+'Old Data'!$M162)-('Old Data'!$V162+'Old Data'!$W162)</f>
        <v>33</v>
      </c>
      <c r="J166" s="72">
        <f>VLOOKUP('Old Data'!$F162,$Z$6:$AB$135,2,FALSE)+VLOOKUP('Old Data'!$P162,$Z$6:$AB$135,3,FALSE)+$D$2</f>
        <v>70.695100918313713</v>
      </c>
      <c r="K166" s="72">
        <f>VLOOKUP('Old Data'!$P162,$Z$6:$AB$135,2,FALSE)+VLOOKUP('Old Data'!$F162,$Z$6:$AB$135,3,FALSE)+$D$2</f>
        <v>55.894518997844095</v>
      </c>
      <c r="L166" s="74">
        <f>('Old Data'!$L162+'Old Data'!$M162-$J166)^2+('Old Data'!$V162+'Old Data'!$W162-$K166)^2</f>
        <v>493.02373294347882</v>
      </c>
      <c r="M166" s="75">
        <f>'Old Data'!$N162-'Old Data'!$X162</f>
        <v>-4</v>
      </c>
      <c r="N166" s="72">
        <f>VLOOKUP('Old Data'!$F162,$AD$6:$AF$135,2,FALSE)+VLOOKUP('Old Data'!$P162,$AD$6:$AF$135,3,FALSE)+$E$2</f>
        <v>0.8842502995847451</v>
      </c>
      <c r="O166" s="72">
        <f>VLOOKUP('Old Data'!$P162,$AD$6:$AF$135,2,FALSE)+VLOOKUP('Old Data'!$F162,$AD$6:$AF$135,3,FALSE)+$E$2</f>
        <v>1.4145181467659746</v>
      </c>
      <c r="P166" s="73">
        <f>('Old Data'!$N162-$N166)^2+('Old Data'!$X162-$O166)^2</f>
        <v>12.869078113016721</v>
      </c>
      <c r="Q166" s="62"/>
      <c r="R166" s="3"/>
      <c r="S166" s="3"/>
      <c r="T166" s="3"/>
      <c r="V166" s="3"/>
      <c r="W166" s="3"/>
      <c r="X166" s="3"/>
      <c r="Z166" s="3"/>
      <c r="AA166" s="3"/>
      <c r="AB166" s="3"/>
      <c r="AC166" s="3"/>
      <c r="AD166" s="3"/>
      <c r="AE166" s="3"/>
      <c r="AF166" s="3"/>
      <c r="AG166" s="3"/>
      <c r="AH166" s="37"/>
      <c r="AI166" s="1"/>
      <c r="AK166" s="10"/>
      <c r="AL166" s="10"/>
      <c r="AM166" s="10"/>
      <c r="AN166" s="11"/>
      <c r="AO166" s="11"/>
      <c r="AP166" s="11"/>
      <c r="AQ166" s="36"/>
      <c r="AR166" s="11"/>
      <c r="AS166" s="11"/>
      <c r="AT166" s="11"/>
      <c r="AU166" s="12"/>
      <c r="AV166" s="11"/>
      <c r="AW166" s="11"/>
      <c r="AX166" s="15"/>
      <c r="AY166" s="15"/>
      <c r="AZ166" s="15"/>
      <c r="BA166" s="15"/>
      <c r="BB166" s="15"/>
      <c r="BC166" s="15"/>
      <c r="BD166" s="15"/>
      <c r="BE166" s="12"/>
      <c r="BF166" s="11"/>
      <c r="BG166" s="11"/>
      <c r="BH166" s="10"/>
      <c r="BI166" s="10"/>
      <c r="BJ166" s="10"/>
      <c r="BK166" s="23"/>
      <c r="BL166" s="23"/>
      <c r="BM166" s="23"/>
      <c r="BN166" s="23"/>
      <c r="BO166" s="23"/>
      <c r="BP166" s="23"/>
      <c r="BQ166" s="23"/>
      <c r="BR166" s="10"/>
      <c r="BS166" s="16"/>
      <c r="BT166" s="16"/>
      <c r="BU166" s="16"/>
      <c r="BV166" s="16"/>
      <c r="BW166" s="11"/>
      <c r="BX166" s="16"/>
      <c r="BY166" s="16"/>
      <c r="BZ166" s="17"/>
      <c r="CA166" s="18"/>
      <c r="CB166" s="18"/>
      <c r="CC166" s="18"/>
      <c r="CD166" s="18"/>
      <c r="CE166" s="18"/>
      <c r="CF166" s="18"/>
      <c r="CG166" s="19"/>
      <c r="CH166" s="15"/>
      <c r="CI166" s="17"/>
      <c r="CJ166" s="10"/>
      <c r="CK166" s="10"/>
      <c r="CL166" s="10"/>
      <c r="CM166" s="17"/>
      <c r="CN166" s="17"/>
      <c r="CO166" s="10"/>
      <c r="CP166" s="10"/>
      <c r="CQ166" s="10"/>
      <c r="CR166" s="10"/>
      <c r="CS166" s="10"/>
      <c r="CT166" s="10"/>
      <c r="CU166" s="10"/>
      <c r="CV166" s="10"/>
      <c r="CW166" s="10"/>
      <c r="CX166" s="10"/>
      <c r="CY166" s="10"/>
      <c r="CZ166" s="10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  <c r="EE166" s="34"/>
    </row>
    <row r="167" spans="1:135" customFormat="1">
      <c r="A167" s="71">
        <f>'Old Data'!$I163-'Old Data'!$S163</f>
        <v>111</v>
      </c>
      <c r="B167" s="72">
        <f>VLOOKUP('Old Data'!$F163,$R$6:$T$135,2,FALSE)+VLOOKUP('Old Data'!$P163,$R$6:$T$135,3,FALSE)+$B$2</f>
        <v>124.6506074320536</v>
      </c>
      <c r="C167" s="72">
        <f>VLOOKUP('Old Data'!$P163,$R$6:$T$135,2,FALSE)+VLOOKUP('Old Data'!$F163,$R$6:$T$135,3,FALSE)+$B$2</f>
        <v>142.83109943531969</v>
      </c>
      <c r="D167" s="74">
        <f>('Old Data'!$I163-$B167)^2+('Old Data'!$S163-$C167)^2</f>
        <v>8435.1718817127567</v>
      </c>
      <c r="E167" s="75">
        <f>'Old Data'!$K163-'Old Data'!$U163</f>
        <v>-95</v>
      </c>
      <c r="F167" s="72">
        <f>VLOOKUP('Old Data'!$F163,$V$6:$X$135,2,FALSE)+VLOOKUP('Old Data'!$P163,$V$6:$X$135,3,FALSE)+$C$2</f>
        <v>243.08005393283869</v>
      </c>
      <c r="G167" s="72">
        <f>VLOOKUP('Old Data'!$P163,$V$6:$X$135,2,FALSE)+VLOOKUP('Old Data'!$F163,$V$6:$X$135,3,FALSE)+$C$2</f>
        <v>273.68490484436239</v>
      </c>
      <c r="H167" s="74">
        <f>('Old Data'!$K163-$F167)^2+('Old Data'!$U163-$G167)^2</f>
        <v>4136.437873510883</v>
      </c>
      <c r="I167" s="75">
        <f>('Old Data'!$L163+'Old Data'!$M163)-('Old Data'!$V163+'Old Data'!$W163)</f>
        <v>-14</v>
      </c>
      <c r="J167" s="72">
        <f>VLOOKUP('Old Data'!$F163,$Z$6:$AB$135,2,FALSE)+VLOOKUP('Old Data'!$P163,$Z$6:$AB$135,3,FALSE)+$D$2</f>
        <v>57.921754236648667</v>
      </c>
      <c r="K167" s="72">
        <f>VLOOKUP('Old Data'!$P163,$Z$6:$AB$135,2,FALSE)+VLOOKUP('Old Data'!$F163,$Z$6:$AB$135,3,FALSE)+$D$2</f>
        <v>26.822361994389027</v>
      </c>
      <c r="L167" s="74">
        <f>('Old Data'!$L163+'Old Data'!$M163-$J167)^2+('Old Data'!$V163+'Old Data'!$W163-$K167)^2</f>
        <v>9114.0075672204166</v>
      </c>
      <c r="M167" s="75">
        <f>'Old Data'!$N163-'Old Data'!$X163</f>
        <v>1</v>
      </c>
      <c r="N167" s="72">
        <f>VLOOKUP('Old Data'!$F163,$AD$6:$AF$135,2,FALSE)+VLOOKUP('Old Data'!$P163,$AD$6:$AF$135,3,FALSE)+$E$2</f>
        <v>1.4704758024407452</v>
      </c>
      <c r="O167" s="72">
        <f>VLOOKUP('Old Data'!$P163,$AD$6:$AF$135,2,FALSE)+VLOOKUP('Old Data'!$F163,$AD$6:$AF$135,3,FALSE)+$E$2</f>
        <v>1.5195720203600813</v>
      </c>
      <c r="P167" s="73">
        <f>('Old Data'!$N163-$N167)^2+('Old Data'!$X163-$O167)^2</f>
        <v>0.55035096014182949</v>
      </c>
      <c r="Q167" s="62"/>
      <c r="R167" s="3"/>
      <c r="S167" s="3"/>
      <c r="T167" s="3"/>
      <c r="V167" s="3"/>
      <c r="W167" s="3"/>
      <c r="X167" s="3"/>
      <c r="Z167" s="3"/>
      <c r="AA167" s="3"/>
      <c r="AB167" s="3"/>
      <c r="AC167" s="3"/>
      <c r="AD167" s="3"/>
      <c r="AE167" s="3"/>
      <c r="AF167" s="3"/>
      <c r="AG167" s="3"/>
      <c r="AH167" s="37"/>
      <c r="AI167" s="1"/>
      <c r="AK167" s="10"/>
      <c r="AL167" s="10"/>
      <c r="AM167" s="10"/>
      <c r="AN167" s="11"/>
      <c r="AO167" s="11"/>
      <c r="AP167" s="11"/>
      <c r="AQ167" s="36"/>
      <c r="AR167" s="11"/>
      <c r="AS167" s="11"/>
      <c r="AT167" s="11"/>
      <c r="AU167" s="12"/>
      <c r="AV167" s="11"/>
      <c r="AW167" s="11"/>
      <c r="AX167" s="15"/>
      <c r="AY167" s="15"/>
      <c r="AZ167" s="15"/>
      <c r="BA167" s="15"/>
      <c r="BB167" s="15"/>
      <c r="BC167" s="15"/>
      <c r="BD167" s="15"/>
      <c r="BE167" s="12"/>
      <c r="BF167" s="11"/>
      <c r="BG167" s="11"/>
      <c r="BH167" s="10"/>
      <c r="BI167" s="10"/>
      <c r="BJ167" s="10"/>
      <c r="BK167" s="23"/>
      <c r="BL167" s="23"/>
      <c r="BM167" s="23"/>
      <c r="BN167" s="23"/>
      <c r="BO167" s="23"/>
      <c r="BP167" s="23"/>
      <c r="BQ167" s="23"/>
      <c r="BR167" s="10"/>
      <c r="BS167" s="16"/>
      <c r="BT167" s="16"/>
      <c r="BU167" s="16"/>
      <c r="BV167" s="16"/>
      <c r="BW167" s="11"/>
      <c r="BX167" s="16"/>
      <c r="BY167" s="16"/>
      <c r="BZ167" s="17"/>
      <c r="CA167" s="18"/>
      <c r="CB167" s="18"/>
      <c r="CC167" s="18"/>
      <c r="CD167" s="18"/>
      <c r="CE167" s="18"/>
      <c r="CF167" s="18"/>
      <c r="CG167" s="19"/>
      <c r="CH167" s="15"/>
      <c r="CI167" s="17"/>
      <c r="CJ167" s="10"/>
      <c r="CK167" s="10"/>
      <c r="CL167" s="10"/>
      <c r="CM167" s="17"/>
      <c r="CN167" s="17"/>
      <c r="CO167" s="10"/>
      <c r="CP167" s="10"/>
      <c r="CQ167" s="10"/>
      <c r="CR167" s="10"/>
      <c r="CS167" s="10"/>
      <c r="CT167" s="10"/>
      <c r="CU167" s="10"/>
      <c r="CV167" s="10"/>
      <c r="CW167" s="10"/>
      <c r="CX167" s="10"/>
      <c r="CY167" s="10"/>
      <c r="CZ167" s="10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  <c r="EE167" s="34"/>
    </row>
    <row r="168" spans="1:135" customFormat="1">
      <c r="A168" s="71">
        <f>'Old Data'!$I164-'Old Data'!$S164</f>
        <v>-60</v>
      </c>
      <c r="B168" s="72">
        <f>VLOOKUP('Old Data'!$F164,$R$6:$T$135,2,FALSE)+VLOOKUP('Old Data'!$P164,$R$6:$T$135,3,FALSE)+$B$2</f>
        <v>69.222701307002296</v>
      </c>
      <c r="C168" s="72">
        <f>VLOOKUP('Old Data'!$P164,$R$6:$T$135,2,FALSE)+VLOOKUP('Old Data'!$F164,$R$6:$T$135,3,FALSE)+$B$2</f>
        <v>171.3246430516607</v>
      </c>
      <c r="D168" s="74">
        <f>('Old Data'!$I164-$B168)^2+('Old Data'!$S164-$C168)^2</f>
        <v>2266.8984489092609</v>
      </c>
      <c r="E168" s="75">
        <f>'Old Data'!$K164-'Old Data'!$U164</f>
        <v>-125</v>
      </c>
      <c r="F168" s="72">
        <f>VLOOKUP('Old Data'!$F164,$V$6:$X$135,2,FALSE)+VLOOKUP('Old Data'!$P164,$V$6:$X$135,3,FALSE)+$C$2</f>
        <v>142.17551843576291</v>
      </c>
      <c r="G168" s="72">
        <f>VLOOKUP('Old Data'!$P164,$V$6:$X$135,2,FALSE)+VLOOKUP('Old Data'!$F164,$V$6:$X$135,3,FALSE)+$C$2</f>
        <v>268.79770854931689</v>
      </c>
      <c r="H168" s="74">
        <f>('Old Data'!$K164-$F168)^2+('Old Data'!$U164-$G168)^2</f>
        <v>2453.190219823834</v>
      </c>
      <c r="I168" s="75">
        <f>('Old Data'!$L164+'Old Data'!$M164)-('Old Data'!$V164+'Old Data'!$W164)</f>
        <v>-4</v>
      </c>
      <c r="J168" s="72">
        <f>VLOOKUP('Old Data'!$F164,$Z$6:$AB$135,2,FALSE)+VLOOKUP('Old Data'!$P164,$Z$6:$AB$135,3,FALSE)+$D$2</f>
        <v>44.150285906542763</v>
      </c>
      <c r="K168" s="72">
        <f>VLOOKUP('Old Data'!$P164,$Z$6:$AB$135,2,FALSE)+VLOOKUP('Old Data'!$F164,$Z$6:$AB$135,3,FALSE)+$D$2</f>
        <v>39.855018758507569</v>
      </c>
      <c r="L168" s="74">
        <f>('Old Data'!$L164+'Old Data'!$M164-$J168)^2+('Old Data'!$V164+'Old Data'!$W164-$K168)^2</f>
        <v>36.395133268270953</v>
      </c>
      <c r="M168" s="75">
        <f>'Old Data'!$N164-'Old Data'!$X164</f>
        <v>1</v>
      </c>
      <c r="N168" s="72">
        <f>VLOOKUP('Old Data'!$F164,$AD$6:$AF$135,2,FALSE)+VLOOKUP('Old Data'!$P164,$AD$6:$AF$135,3,FALSE)+$E$2</f>
        <v>1.0032708722841353</v>
      </c>
      <c r="O168" s="72">
        <f>VLOOKUP('Old Data'!$P164,$AD$6:$AF$135,2,FALSE)+VLOOKUP('Old Data'!$F164,$AD$6:$AF$135,3,FALSE)+$E$2</f>
        <v>2.3257754478092743</v>
      </c>
      <c r="P168" s="73">
        <f>('Old Data'!$N164-$N168)^2+('Old Data'!$X164-$O168)^2</f>
        <v>2.7511494920511099</v>
      </c>
      <c r="Q168" s="62"/>
      <c r="R168" s="3"/>
      <c r="S168" s="3"/>
      <c r="T168" s="3"/>
      <c r="V168" s="3"/>
      <c r="W168" s="3"/>
      <c r="X168" s="3"/>
      <c r="Z168" s="3"/>
      <c r="AA168" s="3"/>
      <c r="AB168" s="3"/>
      <c r="AC168" s="3"/>
      <c r="AD168" s="3"/>
      <c r="AE168" s="3"/>
      <c r="AF168" s="3"/>
      <c r="AG168" s="3"/>
      <c r="AH168" s="37"/>
      <c r="AI168" s="1"/>
      <c r="AK168" s="10"/>
      <c r="AL168" s="10"/>
      <c r="AM168" s="10"/>
      <c r="AN168" s="11"/>
      <c r="AO168" s="11"/>
      <c r="AP168" s="11"/>
      <c r="AQ168" s="36"/>
      <c r="AR168" s="11"/>
      <c r="AS168" s="11"/>
      <c r="AT168" s="11"/>
      <c r="AU168" s="12"/>
      <c r="AV168" s="11"/>
      <c r="AW168" s="11"/>
      <c r="AX168" s="15"/>
      <c r="AY168" s="15"/>
      <c r="AZ168" s="15"/>
      <c r="BA168" s="15"/>
      <c r="BB168" s="15"/>
      <c r="BC168" s="15"/>
      <c r="BD168" s="15"/>
      <c r="BE168" s="12"/>
      <c r="BF168" s="11"/>
      <c r="BG168" s="11"/>
      <c r="BH168" s="10"/>
      <c r="BI168" s="10"/>
      <c r="BJ168" s="10"/>
      <c r="BK168" s="23"/>
      <c r="BL168" s="23"/>
      <c r="BM168" s="23"/>
      <c r="BN168" s="23"/>
      <c r="BO168" s="23"/>
      <c r="BP168" s="23"/>
      <c r="BQ168" s="23"/>
      <c r="BR168" s="10"/>
      <c r="BS168" s="16"/>
      <c r="BT168" s="16"/>
      <c r="BU168" s="16"/>
      <c r="BV168" s="16"/>
      <c r="BW168" s="11"/>
      <c r="BX168" s="16"/>
      <c r="BY168" s="16"/>
      <c r="BZ168" s="17"/>
      <c r="CA168" s="18"/>
      <c r="CB168" s="18"/>
      <c r="CC168" s="18"/>
      <c r="CD168" s="18"/>
      <c r="CE168" s="18"/>
      <c r="CF168" s="18"/>
      <c r="CG168" s="19"/>
      <c r="CH168" s="15"/>
      <c r="CI168" s="17"/>
      <c r="CJ168" s="10"/>
      <c r="CK168" s="10"/>
      <c r="CL168" s="10"/>
      <c r="CM168" s="17"/>
      <c r="CN168" s="17"/>
      <c r="CO168" s="10"/>
      <c r="CP168" s="10"/>
      <c r="CQ168" s="10"/>
      <c r="CR168" s="10"/>
      <c r="CS168" s="10"/>
      <c r="CT168" s="10"/>
      <c r="CU168" s="10"/>
      <c r="CV168" s="10"/>
      <c r="CW168" s="10"/>
      <c r="CX168" s="10"/>
      <c r="CY168" s="10"/>
      <c r="CZ168" s="10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  <c r="EE168" s="34"/>
    </row>
    <row r="169" spans="1:135" customFormat="1">
      <c r="A169" s="71">
        <f>'Old Data'!$I165-'Old Data'!$S165</f>
        <v>-205</v>
      </c>
      <c r="B169" s="72">
        <f>VLOOKUP('Old Data'!$F165,$R$6:$T$135,2,FALSE)+VLOOKUP('Old Data'!$P165,$R$6:$T$135,3,FALSE)+$B$2</f>
        <v>168.2392884828312</v>
      </c>
      <c r="C169" s="72">
        <f>VLOOKUP('Old Data'!$P165,$R$6:$T$135,2,FALSE)+VLOOKUP('Old Data'!$F165,$R$6:$T$135,3,FALSE)+$B$2</f>
        <v>276.07364381213631</v>
      </c>
      <c r="D169" s="74">
        <f>('Old Data'!$I165-$B169)^2+('Old Data'!$S165-$C169)^2</f>
        <v>8532.3553251086578</v>
      </c>
      <c r="E169" s="75">
        <f>'Old Data'!$K165-'Old Data'!$U165</f>
        <v>145</v>
      </c>
      <c r="F169" s="72">
        <f>VLOOKUP('Old Data'!$F165,$V$6:$X$135,2,FALSE)+VLOOKUP('Old Data'!$P165,$V$6:$X$135,3,FALSE)+$C$2</f>
        <v>199.468438136917</v>
      </c>
      <c r="G169" s="72">
        <f>VLOOKUP('Old Data'!$P165,$V$6:$X$135,2,FALSE)+VLOOKUP('Old Data'!$F165,$V$6:$X$135,3,FALSE)+$C$2</f>
        <v>175.12549769746846</v>
      </c>
      <c r="H169" s="74">
        <f>('Old Data'!$K165-$F169)^2+('Old Data'!$U165-$G169)^2</f>
        <v>11186.879101526609</v>
      </c>
      <c r="I169" s="75">
        <f>('Old Data'!$L165+'Old Data'!$M165)-('Old Data'!$V165+'Old Data'!$W165)</f>
        <v>41</v>
      </c>
      <c r="J169" s="72">
        <f>VLOOKUP('Old Data'!$F165,$Z$6:$AB$135,2,FALSE)+VLOOKUP('Old Data'!$P165,$Z$6:$AB$135,3,FALSE)+$D$2</f>
        <v>54.991149388088203</v>
      </c>
      <c r="K169" s="72">
        <f>VLOOKUP('Old Data'!$P165,$Z$6:$AB$135,2,FALSE)+VLOOKUP('Old Data'!$F165,$Z$6:$AB$135,3,FALSE)+$D$2</f>
        <v>81.776654678009493</v>
      </c>
      <c r="L169" s="74">
        <f>('Old Data'!$L165+'Old Data'!$M165-$J169)^2+('Old Data'!$V165+'Old Data'!$W165-$K169)^2</f>
        <v>3438.3189163535235</v>
      </c>
      <c r="M169" s="75">
        <f>'Old Data'!$N165-'Old Data'!$X165</f>
        <v>-2</v>
      </c>
      <c r="N169" s="72">
        <f>VLOOKUP('Old Data'!$F165,$AD$6:$AF$135,2,FALSE)+VLOOKUP('Old Data'!$P165,$AD$6:$AF$135,3,FALSE)+$E$2</f>
        <v>0.43881087482399006</v>
      </c>
      <c r="O169" s="72">
        <f>VLOOKUP('Old Data'!$P165,$AD$6:$AF$135,2,FALSE)+VLOOKUP('Old Data'!$F165,$AD$6:$AF$135,3,FALSE)+$E$2</f>
        <v>1.6526632993226391</v>
      </c>
      <c r="P169" s="73">
        <f>('Old Data'!$N165-$N169)^2+('Old Data'!$X165-$O169)^2</f>
        <v>0.31319776750123007</v>
      </c>
      <c r="Q169" s="62"/>
      <c r="R169" s="3"/>
      <c r="S169" s="3"/>
      <c r="T169" s="3"/>
      <c r="V169" s="3"/>
      <c r="W169" s="3"/>
      <c r="X169" s="3"/>
      <c r="Z169" s="3"/>
      <c r="AA169" s="3"/>
      <c r="AB169" s="3"/>
      <c r="AC169" s="3"/>
      <c r="AD169" s="3"/>
      <c r="AE169" s="3"/>
      <c r="AF169" s="3"/>
      <c r="AG169" s="3"/>
      <c r="AH169" s="37"/>
      <c r="AI169" s="1"/>
      <c r="AK169" s="10"/>
      <c r="AL169" s="10"/>
      <c r="AM169" s="10"/>
      <c r="AN169" s="11"/>
      <c r="AO169" s="11"/>
      <c r="AP169" s="11"/>
      <c r="AQ169" s="36"/>
      <c r="AR169" s="11"/>
      <c r="AS169" s="11"/>
      <c r="AT169" s="11"/>
      <c r="AU169" s="12"/>
      <c r="AV169" s="11"/>
      <c r="AW169" s="11"/>
      <c r="AX169" s="15"/>
      <c r="AY169" s="15"/>
      <c r="AZ169" s="15"/>
      <c r="BA169" s="15"/>
      <c r="BB169" s="15"/>
      <c r="BC169" s="15"/>
      <c r="BD169" s="15"/>
      <c r="BE169" s="12"/>
      <c r="BF169" s="11"/>
      <c r="BG169" s="11"/>
      <c r="BH169" s="10"/>
      <c r="BI169" s="10"/>
      <c r="BJ169" s="10"/>
      <c r="BK169" s="23"/>
      <c r="BL169" s="23"/>
      <c r="BM169" s="23"/>
      <c r="BN169" s="23"/>
      <c r="BO169" s="23"/>
      <c r="BP169" s="23"/>
      <c r="BQ169" s="23"/>
      <c r="BR169" s="10"/>
      <c r="BS169" s="16"/>
      <c r="BT169" s="16"/>
      <c r="BU169" s="16"/>
      <c r="BV169" s="16"/>
      <c r="BW169" s="11"/>
      <c r="BX169" s="16"/>
      <c r="BY169" s="16"/>
      <c r="BZ169" s="17"/>
      <c r="CA169" s="18"/>
      <c r="CB169" s="18"/>
      <c r="CC169" s="18"/>
      <c r="CD169" s="18"/>
      <c r="CE169" s="18"/>
      <c r="CF169" s="18"/>
      <c r="CG169" s="19"/>
      <c r="CH169" s="15"/>
      <c r="CI169" s="17"/>
      <c r="CJ169" s="10"/>
      <c r="CK169" s="10"/>
      <c r="CL169" s="10"/>
      <c r="CM169" s="17"/>
      <c r="CN169" s="17"/>
      <c r="CO169" s="10"/>
      <c r="CP169" s="10"/>
      <c r="CQ169" s="10"/>
      <c r="CR169" s="10"/>
      <c r="CS169" s="10"/>
      <c r="CT169" s="10"/>
      <c r="CU169" s="10"/>
      <c r="CV169" s="10"/>
      <c r="CW169" s="10"/>
      <c r="CX169" s="10"/>
      <c r="CY169" s="10"/>
      <c r="CZ169" s="10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  <c r="EE169" s="34"/>
    </row>
    <row r="170" spans="1:135" customFormat="1">
      <c r="A170" s="71">
        <f>'Old Data'!$I166-'Old Data'!$S166</f>
        <v>9</v>
      </c>
      <c r="B170" s="72">
        <f>VLOOKUP('Old Data'!$F166,$R$6:$T$135,2,FALSE)+VLOOKUP('Old Data'!$P166,$R$6:$T$135,3,FALSE)+$B$2</f>
        <v>151.5673288612943</v>
      </c>
      <c r="C170" s="72">
        <f>VLOOKUP('Old Data'!$P166,$R$6:$T$135,2,FALSE)+VLOOKUP('Old Data'!$F166,$R$6:$T$135,3,FALSE)+$B$2</f>
        <v>94.611017241414103</v>
      </c>
      <c r="D170" s="74">
        <f>('Old Data'!$I166-$B170)^2+('Old Data'!$S166-$C170)^2</f>
        <v>3827.4390812554175</v>
      </c>
      <c r="E170" s="75">
        <f>'Old Data'!$K166-'Old Data'!$U166</f>
        <v>-12</v>
      </c>
      <c r="F170" s="72">
        <f>VLOOKUP('Old Data'!$F166,$V$6:$X$135,2,FALSE)+VLOOKUP('Old Data'!$P166,$V$6:$X$135,3,FALSE)+$C$2</f>
        <v>209.06351868982154</v>
      </c>
      <c r="G170" s="72">
        <f>VLOOKUP('Old Data'!$P166,$V$6:$X$135,2,FALSE)+VLOOKUP('Old Data'!$F166,$V$6:$X$135,3,FALSE)+$C$2</f>
        <v>218.92016563349461</v>
      </c>
      <c r="H170" s="74">
        <f>('Old Data'!$K166-$F170)^2+('Old Data'!$U166-$G170)^2</f>
        <v>10662.679203058529</v>
      </c>
      <c r="I170" s="75">
        <f>('Old Data'!$L166+'Old Data'!$M166)-('Old Data'!$V166+'Old Data'!$W166)</f>
        <v>42</v>
      </c>
      <c r="J170" s="72">
        <f>VLOOKUP('Old Data'!$F166,$Z$6:$AB$135,2,FALSE)+VLOOKUP('Old Data'!$P166,$Z$6:$AB$135,3,FALSE)+$D$2</f>
        <v>69.459602518302191</v>
      </c>
      <c r="K170" s="72">
        <f>VLOOKUP('Old Data'!$P166,$Z$6:$AB$135,2,FALSE)+VLOOKUP('Old Data'!$F166,$Z$6:$AB$135,3,FALSE)+$D$2</f>
        <v>33.140203154228189</v>
      </c>
      <c r="L170" s="74">
        <f>('Old Data'!$L166+'Old Data'!$M166-$J170)^2+('Old Data'!$V166+'Old Data'!$W166-$K170)^2</f>
        <v>1663.5257662080792</v>
      </c>
      <c r="M170" s="75">
        <f>'Old Data'!$N166-'Old Data'!$X166</f>
        <v>-1</v>
      </c>
      <c r="N170" s="72">
        <f>VLOOKUP('Old Data'!$F166,$AD$6:$AF$135,2,FALSE)+VLOOKUP('Old Data'!$P166,$AD$6:$AF$135,3,FALSE)+$E$2</f>
        <v>2.123224883007746</v>
      </c>
      <c r="O170" s="72">
        <f>VLOOKUP('Old Data'!$P166,$AD$6:$AF$135,2,FALSE)+VLOOKUP('Old Data'!$F166,$AD$6:$AF$135,3,FALSE)+$E$2</f>
        <v>1.4843496755065573</v>
      </c>
      <c r="P170" s="73">
        <f>('Old Data'!$N166-$N170)^2+('Old Data'!$X166-$O170)^2</f>
        <v>4.7426785119865649</v>
      </c>
      <c r="Q170" s="62"/>
      <c r="R170" s="3"/>
      <c r="S170" s="3"/>
      <c r="T170" s="3"/>
      <c r="V170" s="3"/>
      <c r="W170" s="3"/>
      <c r="X170" s="3"/>
      <c r="Z170" s="3"/>
      <c r="AA170" s="3"/>
      <c r="AB170" s="3"/>
      <c r="AC170" s="3"/>
      <c r="AD170" s="3"/>
      <c r="AE170" s="3"/>
      <c r="AF170" s="3"/>
      <c r="AG170" s="3"/>
      <c r="AH170" s="37"/>
      <c r="AI170" s="1"/>
      <c r="AK170" s="10"/>
      <c r="AL170" s="10"/>
      <c r="AM170" s="10"/>
      <c r="AN170" s="11"/>
      <c r="AO170" s="11"/>
      <c r="AP170" s="11"/>
      <c r="AQ170" s="36"/>
      <c r="AR170" s="11"/>
      <c r="AS170" s="11"/>
      <c r="AT170" s="11"/>
      <c r="AU170" s="12"/>
      <c r="AV170" s="11"/>
      <c r="AW170" s="11"/>
      <c r="AX170" s="15"/>
      <c r="AY170" s="15"/>
      <c r="AZ170" s="15"/>
      <c r="BA170" s="15"/>
      <c r="BB170" s="15"/>
      <c r="BC170" s="15"/>
      <c r="BD170" s="15"/>
      <c r="BE170" s="12"/>
      <c r="BF170" s="11"/>
      <c r="BG170" s="11"/>
      <c r="BH170" s="10"/>
      <c r="BI170" s="10"/>
      <c r="BJ170" s="10"/>
      <c r="BK170" s="23"/>
      <c r="BL170" s="23"/>
      <c r="BM170" s="23"/>
      <c r="BN170" s="23"/>
      <c r="BO170" s="23"/>
      <c r="BP170" s="23"/>
      <c r="BQ170" s="23"/>
      <c r="BR170" s="10"/>
      <c r="BS170" s="16"/>
      <c r="BT170" s="16"/>
      <c r="BU170" s="16"/>
      <c r="BV170" s="16"/>
      <c r="BW170" s="11"/>
      <c r="BX170" s="16"/>
      <c r="BY170" s="16"/>
      <c r="BZ170" s="17"/>
      <c r="CA170" s="18"/>
      <c r="CB170" s="18"/>
      <c r="CC170" s="18"/>
      <c r="CD170" s="18"/>
      <c r="CE170" s="18"/>
      <c r="CF170" s="18"/>
      <c r="CG170" s="19"/>
      <c r="CH170" s="15"/>
      <c r="CI170" s="17"/>
      <c r="CJ170" s="10"/>
      <c r="CK170" s="10"/>
      <c r="CL170" s="10"/>
      <c r="CM170" s="17"/>
      <c r="CN170" s="17"/>
      <c r="CO170" s="10"/>
      <c r="CP170" s="10"/>
      <c r="CQ170" s="10"/>
      <c r="CR170" s="10"/>
      <c r="CS170" s="10"/>
      <c r="CT170" s="10"/>
      <c r="CU170" s="10"/>
      <c r="CV170" s="10"/>
      <c r="CW170" s="10"/>
      <c r="CX170" s="10"/>
      <c r="CY170" s="10"/>
      <c r="CZ170" s="10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  <c r="EE170" s="34"/>
    </row>
    <row r="171" spans="1:135" customFormat="1">
      <c r="A171" s="71">
        <f>'Old Data'!$I167-'Old Data'!$S167</f>
        <v>53</v>
      </c>
      <c r="B171" s="72">
        <f>VLOOKUP('Old Data'!$F167,$R$6:$T$135,2,FALSE)+VLOOKUP('Old Data'!$P167,$R$6:$T$135,3,FALSE)+$B$2</f>
        <v>75.996717537824907</v>
      </c>
      <c r="C171" s="72">
        <f>VLOOKUP('Old Data'!$P167,$R$6:$T$135,2,FALSE)+VLOOKUP('Old Data'!$F167,$R$6:$T$135,3,FALSE)+$B$2</f>
        <v>182.64219046232901</v>
      </c>
      <c r="D171" s="74">
        <f>('Old Data'!$I167-$B171)^2+('Old Data'!$S167-$C171)^2</f>
        <v>16241.071978373391</v>
      </c>
      <c r="E171" s="75">
        <f>'Old Data'!$K167-'Old Data'!$U167</f>
        <v>-139</v>
      </c>
      <c r="F171" s="72">
        <f>VLOOKUP('Old Data'!$F167,$V$6:$X$135,2,FALSE)+VLOOKUP('Old Data'!$P167,$V$6:$X$135,3,FALSE)+$C$2</f>
        <v>225.14438696951979</v>
      </c>
      <c r="G171" s="72">
        <f>VLOOKUP('Old Data'!$P167,$V$6:$X$135,2,FALSE)+VLOOKUP('Old Data'!$F167,$V$6:$X$135,3,FALSE)+$C$2</f>
        <v>268.05254772616041</v>
      </c>
      <c r="H171" s="74">
        <f>('Old Data'!$K167-$F171)^2+('Old Data'!$U167-$G171)^2</f>
        <v>11137.290731530533</v>
      </c>
      <c r="I171" s="75">
        <f>('Old Data'!$L167+'Old Data'!$M167)-('Old Data'!$V167+'Old Data'!$W167)</f>
        <v>51</v>
      </c>
      <c r="J171" s="72">
        <f>VLOOKUP('Old Data'!$F167,$Z$6:$AB$135,2,FALSE)+VLOOKUP('Old Data'!$P167,$Z$6:$AB$135,3,FALSE)+$D$2</f>
        <v>103.86584209678689</v>
      </c>
      <c r="K171" s="72">
        <f>VLOOKUP('Old Data'!$P167,$Z$6:$AB$135,2,FALSE)+VLOOKUP('Old Data'!$F167,$Z$6:$AB$135,3,FALSE)+$D$2</f>
        <v>74.493222305021675</v>
      </c>
      <c r="L171" s="74">
        <f>('Old Data'!$L167+'Old Data'!$M167-$J171)^2+('Old Data'!$V167+'Old Data'!$W167-$K171)^2</f>
        <v>3708.238596308207</v>
      </c>
      <c r="M171" s="75">
        <f>'Old Data'!$N167-'Old Data'!$X167</f>
        <v>-1</v>
      </c>
      <c r="N171" s="72">
        <f>VLOOKUP('Old Data'!$F167,$AD$6:$AF$135,2,FALSE)+VLOOKUP('Old Data'!$P167,$AD$6:$AF$135,3,FALSE)+$E$2</f>
        <v>0.58297832796837001</v>
      </c>
      <c r="O171" s="72">
        <f>VLOOKUP('Old Data'!$P167,$AD$6:$AF$135,2,FALSE)+VLOOKUP('Old Data'!$F167,$AD$6:$AF$135,3,FALSE)+$E$2</f>
        <v>1.524322748860333</v>
      </c>
      <c r="P171" s="73">
        <f>('Old Data'!$N167-$N171)^2+('Old Data'!$X167-$O171)^2</f>
        <v>0.61477807585325228</v>
      </c>
      <c r="Q171" s="62"/>
      <c r="R171" s="3"/>
      <c r="S171" s="3"/>
      <c r="T171" s="3"/>
      <c r="V171" s="3"/>
      <c r="W171" s="3"/>
      <c r="X171" s="3"/>
      <c r="Z171" s="3"/>
      <c r="AA171" s="3"/>
      <c r="AB171" s="3"/>
      <c r="AC171" s="3"/>
      <c r="AD171" s="3"/>
      <c r="AE171" s="3"/>
      <c r="AF171" s="3"/>
      <c r="AG171" s="3"/>
      <c r="AH171" s="37"/>
      <c r="AI171" s="1"/>
      <c r="AK171" s="10"/>
      <c r="AL171" s="10"/>
      <c r="AM171" s="10"/>
      <c r="AN171" s="11"/>
      <c r="AO171" s="11"/>
      <c r="AP171" s="11"/>
      <c r="AQ171" s="36"/>
      <c r="AR171" s="11"/>
      <c r="AS171" s="11"/>
      <c r="AT171" s="11"/>
      <c r="AU171" s="12"/>
      <c r="AV171" s="11"/>
      <c r="AW171" s="11"/>
      <c r="AX171" s="15"/>
      <c r="AY171" s="15"/>
      <c r="AZ171" s="15"/>
      <c r="BA171" s="15"/>
      <c r="BB171" s="15"/>
      <c r="BC171" s="15"/>
      <c r="BD171" s="15"/>
      <c r="BE171" s="12"/>
      <c r="BF171" s="11"/>
      <c r="BG171" s="11"/>
      <c r="BH171" s="10"/>
      <c r="BI171" s="10"/>
      <c r="BJ171" s="10"/>
      <c r="BK171" s="23"/>
      <c r="BL171" s="23"/>
      <c r="BM171" s="23"/>
      <c r="BN171" s="23"/>
      <c r="BO171" s="23"/>
      <c r="BP171" s="23"/>
      <c r="BQ171" s="23"/>
      <c r="BR171" s="10"/>
      <c r="BS171" s="16"/>
      <c r="BT171" s="16"/>
      <c r="BU171" s="16"/>
      <c r="BV171" s="16"/>
      <c r="BW171" s="11"/>
      <c r="BX171" s="16"/>
      <c r="BY171" s="16"/>
      <c r="BZ171" s="17"/>
      <c r="CA171" s="18"/>
      <c r="CB171" s="18"/>
      <c r="CC171" s="18"/>
      <c r="CD171" s="18"/>
      <c r="CE171" s="18"/>
      <c r="CF171" s="18"/>
      <c r="CG171" s="19"/>
      <c r="CH171" s="15"/>
      <c r="CI171" s="17"/>
      <c r="CJ171" s="10"/>
      <c r="CK171" s="10"/>
      <c r="CL171" s="10"/>
      <c r="CM171" s="17"/>
      <c r="CN171" s="17"/>
      <c r="CO171" s="10"/>
      <c r="CP171" s="10"/>
      <c r="CQ171" s="10"/>
      <c r="CR171" s="10"/>
      <c r="CS171" s="10"/>
      <c r="CT171" s="10"/>
      <c r="CU171" s="10"/>
      <c r="CV171" s="10"/>
      <c r="CW171" s="10"/>
      <c r="CX171" s="10"/>
      <c r="CY171" s="10"/>
      <c r="CZ171" s="10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  <c r="EE171" s="34"/>
    </row>
    <row r="172" spans="1:135" customFormat="1">
      <c r="A172" s="71">
        <f>'Old Data'!$I168-'Old Data'!$S168</f>
        <v>57</v>
      </c>
      <c r="B172" s="72">
        <f>VLOOKUP('Old Data'!$F168,$R$6:$T$135,2,FALSE)+VLOOKUP('Old Data'!$P168,$R$6:$T$135,3,FALSE)+$B$2</f>
        <v>182.3652954243328</v>
      </c>
      <c r="C172" s="72">
        <f>VLOOKUP('Old Data'!$P168,$R$6:$T$135,2,FALSE)+VLOOKUP('Old Data'!$F168,$R$6:$T$135,3,FALSE)+$B$2</f>
        <v>239.69174654998298</v>
      </c>
      <c r="D172" s="74">
        <f>('Old Data'!$I168-$B172)^2+('Old Data'!$S168-$C172)^2</f>
        <v>7217.6597873365727</v>
      </c>
      <c r="E172" s="75">
        <f>'Old Data'!$K168-'Old Data'!$U168</f>
        <v>-69</v>
      </c>
      <c r="F172" s="72">
        <f>VLOOKUP('Old Data'!$F168,$V$6:$X$135,2,FALSE)+VLOOKUP('Old Data'!$P168,$V$6:$X$135,3,FALSE)+$C$2</f>
        <v>260.84162023400222</v>
      </c>
      <c r="G172" s="72">
        <f>VLOOKUP('Old Data'!$P168,$V$6:$X$135,2,FALSE)+VLOOKUP('Old Data'!$F168,$V$6:$X$135,3,FALSE)+$C$2</f>
        <v>279.73878636595867</v>
      </c>
      <c r="H172" s="74">
        <f>('Old Data'!$K168-$F172)^2+('Old Data'!$U168-$G172)^2</f>
        <v>6500.0335369190525</v>
      </c>
      <c r="I172" s="75">
        <f>('Old Data'!$L168+'Old Data'!$M168)-('Old Data'!$V168+'Old Data'!$W168)</f>
        <v>37</v>
      </c>
      <c r="J172" s="72">
        <f>VLOOKUP('Old Data'!$F168,$Z$6:$AB$135,2,FALSE)+VLOOKUP('Old Data'!$P168,$Z$6:$AB$135,3,FALSE)+$D$2</f>
        <v>73.405925159543273</v>
      </c>
      <c r="K172" s="72">
        <f>VLOOKUP('Old Data'!$P168,$Z$6:$AB$135,2,FALSE)+VLOOKUP('Old Data'!$F168,$Z$6:$AB$135,3,FALSE)+$D$2</f>
        <v>32.994947814248739</v>
      </c>
      <c r="L172" s="74">
        <f>('Old Data'!$L168+'Old Data'!$M168-$J172)^2+('Old Data'!$V168+'Old Data'!$W168-$K172)^2</f>
        <v>750.76368681772624</v>
      </c>
      <c r="M172" s="75">
        <f>'Old Data'!$N168-'Old Data'!$X168</f>
        <v>2</v>
      </c>
      <c r="N172" s="72">
        <f>VLOOKUP('Old Data'!$F168,$AD$6:$AF$135,2,FALSE)+VLOOKUP('Old Data'!$P168,$AD$6:$AF$135,3,FALSE)+$E$2</f>
        <v>2.0456775936251468</v>
      </c>
      <c r="O172" s="72">
        <f>VLOOKUP('Old Data'!$P168,$AD$6:$AF$135,2,FALSE)+VLOOKUP('Old Data'!$F168,$AD$6:$AF$135,3,FALSE)+$E$2</f>
        <v>1.1586598411939082</v>
      </c>
      <c r="P172" s="73">
        <f>('Old Data'!$N168-$N172)^2+('Old Data'!$X168-$O172)^2</f>
        <v>4.5272293308786571</v>
      </c>
      <c r="Q172" s="62"/>
      <c r="R172" s="3"/>
      <c r="S172" s="3"/>
      <c r="T172" s="3"/>
      <c r="V172" s="3"/>
      <c r="W172" s="3"/>
      <c r="X172" s="3"/>
      <c r="Z172" s="3"/>
      <c r="AA172" s="3"/>
      <c r="AB172" s="3"/>
      <c r="AC172" s="3"/>
      <c r="AD172" s="3"/>
      <c r="AE172" s="3"/>
      <c r="AF172" s="3"/>
      <c r="AG172" s="3"/>
      <c r="AH172" s="37"/>
      <c r="AI172" s="1"/>
      <c r="AK172" s="10"/>
      <c r="AL172" s="10"/>
      <c r="AM172" s="10"/>
      <c r="AN172" s="11"/>
      <c r="AO172" s="11"/>
      <c r="AP172" s="11"/>
      <c r="AQ172" s="36"/>
      <c r="AR172" s="11"/>
      <c r="AS172" s="11"/>
      <c r="AT172" s="11"/>
      <c r="AU172" s="12"/>
      <c r="AV172" s="11"/>
      <c r="AW172" s="11"/>
      <c r="AX172" s="15"/>
      <c r="AY172" s="15"/>
      <c r="AZ172" s="15"/>
      <c r="BA172" s="15"/>
      <c r="BB172" s="15"/>
      <c r="BC172" s="15"/>
      <c r="BD172" s="15"/>
      <c r="BE172" s="12"/>
      <c r="BF172" s="11"/>
      <c r="BG172" s="11"/>
      <c r="BH172" s="10"/>
      <c r="BI172" s="10"/>
      <c r="BJ172" s="10"/>
      <c r="BK172" s="23"/>
      <c r="BL172" s="23"/>
      <c r="BM172" s="23"/>
      <c r="BN172" s="23"/>
      <c r="BO172" s="23"/>
      <c r="BP172" s="23"/>
      <c r="BQ172" s="23"/>
      <c r="BR172" s="10"/>
      <c r="BS172" s="16"/>
      <c r="BT172" s="16"/>
      <c r="BU172" s="16"/>
      <c r="BV172" s="16"/>
      <c r="BW172" s="11"/>
      <c r="BX172" s="16"/>
      <c r="BY172" s="16"/>
      <c r="BZ172" s="17"/>
      <c r="CA172" s="18"/>
      <c r="CB172" s="18"/>
      <c r="CC172" s="18"/>
      <c r="CD172" s="18"/>
      <c r="CE172" s="18"/>
      <c r="CF172" s="18"/>
      <c r="CG172" s="19"/>
      <c r="CH172" s="15"/>
      <c r="CI172" s="17"/>
      <c r="CJ172" s="10"/>
      <c r="CK172" s="10"/>
      <c r="CL172" s="10"/>
      <c r="CM172" s="17"/>
      <c r="CN172" s="17"/>
      <c r="CO172" s="10"/>
      <c r="CP172" s="10"/>
      <c r="CQ172" s="10"/>
      <c r="CR172" s="10"/>
      <c r="CS172" s="10"/>
      <c r="CT172" s="10"/>
      <c r="CU172" s="10"/>
      <c r="CV172" s="10"/>
      <c r="CW172" s="10"/>
      <c r="CX172" s="10"/>
      <c r="CY172" s="10"/>
      <c r="CZ172" s="10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  <c r="EE172" s="34"/>
    </row>
    <row r="173" spans="1:135" customFormat="1">
      <c r="A173" s="71">
        <f>'Old Data'!$I169-'Old Data'!$S169</f>
        <v>118</v>
      </c>
      <c r="B173" s="72">
        <f>VLOOKUP('Old Data'!$F169,$R$6:$T$135,2,FALSE)+VLOOKUP('Old Data'!$P169,$R$6:$T$135,3,FALSE)+$B$2</f>
        <v>230.51491469327135</v>
      </c>
      <c r="C173" s="72">
        <f>VLOOKUP('Old Data'!$P169,$R$6:$T$135,2,FALSE)+VLOOKUP('Old Data'!$F169,$R$6:$T$135,3,FALSE)+$B$2</f>
        <v>122.36396026015353</v>
      </c>
      <c r="D173" s="74">
        <f>('Old Data'!$I169-$B173)^2+('Old Data'!$S169-$C173)^2</f>
        <v>49.130309974289816</v>
      </c>
      <c r="E173" s="75">
        <f>'Old Data'!$K169-'Old Data'!$U169</f>
        <v>-100</v>
      </c>
      <c r="F173" s="72">
        <f>VLOOKUP('Old Data'!$F169,$V$6:$X$135,2,FALSE)+VLOOKUP('Old Data'!$P169,$V$6:$X$135,3,FALSE)+$C$2</f>
        <v>235.57598223526281</v>
      </c>
      <c r="G173" s="72">
        <f>VLOOKUP('Old Data'!$P169,$V$6:$X$135,2,FALSE)+VLOOKUP('Old Data'!$F169,$V$6:$X$135,3,FALSE)+$C$2</f>
        <v>251.51247198396061</v>
      </c>
      <c r="H173" s="74">
        <f>('Old Data'!$K169-$F173)^2+('Old Data'!$U169-$G173)^2</f>
        <v>3594.8137863713027</v>
      </c>
      <c r="I173" s="75">
        <f>('Old Data'!$L169+'Old Data'!$M169)-('Old Data'!$V169+'Old Data'!$W169)</f>
        <v>56</v>
      </c>
      <c r="J173" s="72">
        <f>VLOOKUP('Old Data'!$F169,$Z$6:$AB$135,2,FALSE)+VLOOKUP('Old Data'!$P169,$Z$6:$AB$135,3,FALSE)+$D$2</f>
        <v>99.986399074824092</v>
      </c>
      <c r="K173" s="72">
        <f>VLOOKUP('Old Data'!$P169,$Z$6:$AB$135,2,FALSE)+VLOOKUP('Old Data'!$F169,$Z$6:$AB$135,3,FALSE)+$D$2</f>
        <v>90.645578056047754</v>
      </c>
      <c r="L173" s="74">
        <f>('Old Data'!$L169+'Old Data'!$M169-$J173)^2+('Old Data'!$V169+'Old Data'!$W169-$K173)^2</f>
        <v>1834.7543201210347</v>
      </c>
      <c r="M173" s="75">
        <f>'Old Data'!$N169-'Old Data'!$X169</f>
        <v>-2</v>
      </c>
      <c r="N173" s="72">
        <f>VLOOKUP('Old Data'!$F169,$AD$6:$AF$135,2,FALSE)+VLOOKUP('Old Data'!$P169,$AD$6:$AF$135,3,FALSE)+$E$2</f>
        <v>1.4791796905892882</v>
      </c>
      <c r="O173" s="72">
        <f>VLOOKUP('Old Data'!$P169,$AD$6:$AF$135,2,FALSE)+VLOOKUP('Old Data'!$F169,$AD$6:$AF$135,3,FALSE)+$E$2</f>
        <v>1.7913446641339108</v>
      </c>
      <c r="P173" s="73">
        <f>('Old Data'!$N169-$N173)^2+('Old Data'!$X169-$O173)^2</f>
        <v>1.690460896790815</v>
      </c>
      <c r="Q173" s="62"/>
      <c r="R173" s="3"/>
      <c r="S173" s="3"/>
      <c r="T173" s="3"/>
      <c r="V173" s="3"/>
      <c r="W173" s="3"/>
      <c r="X173" s="3"/>
      <c r="Z173" s="3"/>
      <c r="AA173" s="3"/>
      <c r="AB173" s="3"/>
      <c r="AC173" s="3"/>
      <c r="AD173" s="3"/>
      <c r="AE173" s="3"/>
      <c r="AF173" s="3"/>
      <c r="AG173" s="3"/>
      <c r="AH173" s="37"/>
      <c r="AI173" s="1"/>
      <c r="AK173" s="10"/>
      <c r="AL173" s="10"/>
      <c r="AM173" s="10"/>
      <c r="AN173" s="11"/>
      <c r="AO173" s="11"/>
      <c r="AP173" s="11"/>
      <c r="AQ173" s="36"/>
      <c r="AR173" s="11"/>
      <c r="AS173" s="11"/>
      <c r="AT173" s="11"/>
      <c r="AU173" s="12"/>
      <c r="AV173" s="11"/>
      <c r="AW173" s="11"/>
      <c r="AX173" s="15"/>
      <c r="AY173" s="15"/>
      <c r="AZ173" s="15"/>
      <c r="BA173" s="15"/>
      <c r="BB173" s="15"/>
      <c r="BC173" s="15"/>
      <c r="BD173" s="15"/>
      <c r="BE173" s="12"/>
      <c r="BF173" s="11"/>
      <c r="BG173" s="11"/>
      <c r="BH173" s="10"/>
      <c r="BI173" s="10"/>
      <c r="BJ173" s="10"/>
      <c r="BK173" s="23"/>
      <c r="BL173" s="23"/>
      <c r="BM173" s="23"/>
      <c r="BN173" s="23"/>
      <c r="BO173" s="23"/>
      <c r="BP173" s="23"/>
      <c r="BQ173" s="23"/>
      <c r="BR173" s="10"/>
      <c r="BS173" s="16"/>
      <c r="BT173" s="16"/>
      <c r="BU173" s="16"/>
      <c r="BV173" s="16"/>
      <c r="BW173" s="11"/>
      <c r="BX173" s="16"/>
      <c r="BY173" s="16"/>
      <c r="BZ173" s="17"/>
      <c r="CA173" s="18"/>
      <c r="CB173" s="18"/>
      <c r="CC173" s="18"/>
      <c r="CD173" s="18"/>
      <c r="CE173" s="18"/>
      <c r="CF173" s="18"/>
      <c r="CG173" s="19"/>
      <c r="CH173" s="15"/>
      <c r="CI173" s="17"/>
      <c r="CJ173" s="10"/>
      <c r="CK173" s="10"/>
      <c r="CL173" s="10"/>
      <c r="CM173" s="17"/>
      <c r="CN173" s="17"/>
      <c r="CO173" s="10"/>
      <c r="CP173" s="10"/>
      <c r="CQ173" s="10"/>
      <c r="CR173" s="10"/>
      <c r="CS173" s="10"/>
      <c r="CT173" s="10"/>
      <c r="CU173" s="10"/>
      <c r="CV173" s="10"/>
      <c r="CW173" s="10"/>
      <c r="CX173" s="10"/>
      <c r="CY173" s="10"/>
      <c r="CZ173" s="10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  <c r="EE173" s="34"/>
    </row>
    <row r="174" spans="1:135" customFormat="1">
      <c r="A174" s="71">
        <f>'Old Data'!$I170-'Old Data'!$S170</f>
        <v>-4</v>
      </c>
      <c r="B174" s="72">
        <f>VLOOKUP('Old Data'!$F170,$R$6:$T$135,2,FALSE)+VLOOKUP('Old Data'!$P170,$R$6:$T$135,3,FALSE)+$B$2</f>
        <v>185.63254760907012</v>
      </c>
      <c r="C174" s="72">
        <f>VLOOKUP('Old Data'!$P170,$R$6:$T$135,2,FALSE)+VLOOKUP('Old Data'!$F170,$R$6:$T$135,3,FALSE)+$B$2</f>
        <v>223.8759472213263</v>
      </c>
      <c r="D174" s="74">
        <f>('Old Data'!$I170-$B174)^2+('Old Data'!$S170-$C174)^2</f>
        <v>1327.1031936131433</v>
      </c>
      <c r="E174" s="75">
        <f>'Old Data'!$K170-'Old Data'!$U170</f>
        <v>13</v>
      </c>
      <c r="F174" s="72">
        <f>VLOOKUP('Old Data'!$F170,$V$6:$X$135,2,FALSE)+VLOOKUP('Old Data'!$P170,$V$6:$X$135,3,FALSE)+$C$2</f>
        <v>298.60613463516802</v>
      </c>
      <c r="G174" s="72">
        <f>VLOOKUP('Old Data'!$P170,$V$6:$X$135,2,FALSE)+VLOOKUP('Old Data'!$F170,$V$6:$X$135,3,FALSE)+$C$2</f>
        <v>269.42340564193881</v>
      </c>
      <c r="H174" s="74">
        <f>('Old Data'!$K170-$F174)^2+('Old Data'!$U170-$G174)^2</f>
        <v>312.00206041316613</v>
      </c>
      <c r="I174" s="75">
        <f>('Old Data'!$L170+'Old Data'!$M170)-('Old Data'!$V170+'Old Data'!$W170)</f>
        <v>15</v>
      </c>
      <c r="J174" s="72">
        <f>VLOOKUP('Old Data'!$F170,$Z$6:$AB$135,2,FALSE)+VLOOKUP('Old Data'!$P170,$Z$6:$AB$135,3,FALSE)+$D$2</f>
        <v>27.900224926416428</v>
      </c>
      <c r="K174" s="72">
        <f>VLOOKUP('Old Data'!$P170,$Z$6:$AB$135,2,FALSE)+VLOOKUP('Old Data'!$F170,$Z$6:$AB$135,3,FALSE)+$D$2</f>
        <v>31.707509504772819</v>
      </c>
      <c r="L174" s="74">
        <f>('Old Data'!$L170+'Old Data'!$M170-$J174)^2+('Old Data'!$V170+'Old Data'!$W170-$K174)^2</f>
        <v>552.02508310176859</v>
      </c>
      <c r="M174" s="75">
        <f>'Old Data'!$N170-'Old Data'!$X170</f>
        <v>-1</v>
      </c>
      <c r="N174" s="72">
        <f>VLOOKUP('Old Data'!$F170,$AD$6:$AF$135,2,FALSE)+VLOOKUP('Old Data'!$P170,$AD$6:$AF$135,3,FALSE)+$E$2</f>
        <v>1.859376835804039</v>
      </c>
      <c r="O174" s="72">
        <f>VLOOKUP('Old Data'!$P170,$AD$6:$AF$135,2,FALSE)+VLOOKUP('Old Data'!$F170,$AD$6:$AF$135,3,FALSE)+$E$2</f>
        <v>1.2301137896644208</v>
      </c>
      <c r="P174" s="73">
        <f>('Old Data'!$N170-$N174)^2+('Old Data'!$X170-$O174)^2</f>
        <v>3.1522720718445223</v>
      </c>
      <c r="Q174" s="62"/>
      <c r="R174" s="3"/>
      <c r="S174" s="3"/>
      <c r="T174" s="3"/>
      <c r="V174" s="3"/>
      <c r="W174" s="3"/>
      <c r="X174" s="3"/>
      <c r="Z174" s="3"/>
      <c r="AA174" s="3"/>
      <c r="AB174" s="3"/>
      <c r="AC174" s="3"/>
      <c r="AD174" s="3"/>
      <c r="AE174" s="3"/>
      <c r="AF174" s="3"/>
      <c r="AG174" s="3"/>
      <c r="AH174" s="37"/>
      <c r="AI174" s="1"/>
      <c r="AK174" s="10"/>
      <c r="AL174" s="10"/>
      <c r="AM174" s="10"/>
      <c r="AN174" s="11"/>
      <c r="AO174" s="11"/>
      <c r="AP174" s="11"/>
      <c r="AQ174" s="36"/>
      <c r="AR174" s="11"/>
      <c r="AS174" s="11"/>
      <c r="AT174" s="11"/>
      <c r="AU174" s="12"/>
      <c r="AV174" s="11"/>
      <c r="AW174" s="11"/>
      <c r="AX174" s="15"/>
      <c r="AY174" s="15"/>
      <c r="AZ174" s="15"/>
      <c r="BA174" s="15"/>
      <c r="BB174" s="15"/>
      <c r="BC174" s="15"/>
      <c r="BD174" s="15"/>
      <c r="BE174" s="12"/>
      <c r="BF174" s="11"/>
      <c r="BG174" s="11"/>
      <c r="BH174" s="10"/>
      <c r="BI174" s="10"/>
      <c r="BJ174" s="10"/>
      <c r="BK174" s="23"/>
      <c r="BL174" s="23"/>
      <c r="BM174" s="23"/>
      <c r="BN174" s="23"/>
      <c r="BO174" s="23"/>
      <c r="BP174" s="23"/>
      <c r="BQ174" s="23"/>
      <c r="BR174" s="10"/>
      <c r="BS174" s="16"/>
      <c r="BT174" s="16"/>
      <c r="BU174" s="16"/>
      <c r="BV174" s="16"/>
      <c r="BW174" s="11"/>
      <c r="BX174" s="16"/>
      <c r="BY174" s="16"/>
      <c r="BZ174" s="17"/>
      <c r="CA174" s="18"/>
      <c r="CB174" s="18"/>
      <c r="CC174" s="18"/>
      <c r="CD174" s="18"/>
      <c r="CE174" s="18"/>
      <c r="CF174" s="18"/>
      <c r="CG174" s="19"/>
      <c r="CH174" s="15"/>
      <c r="CI174" s="17"/>
      <c r="CJ174" s="10"/>
      <c r="CK174" s="10"/>
      <c r="CL174" s="10"/>
      <c r="CM174" s="17"/>
      <c r="CN174" s="17"/>
      <c r="CO174" s="10"/>
      <c r="CP174" s="10"/>
      <c r="CQ174" s="10"/>
      <c r="CR174" s="10"/>
      <c r="CS174" s="10"/>
      <c r="CT174" s="10"/>
      <c r="CU174" s="10"/>
      <c r="CV174" s="10"/>
      <c r="CW174" s="10"/>
      <c r="CX174" s="10"/>
      <c r="CY174" s="10"/>
      <c r="CZ174" s="10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  <c r="EE174" s="34"/>
    </row>
    <row r="175" spans="1:135" customFormat="1">
      <c r="A175" s="71">
        <f>'Old Data'!$I171-'Old Data'!$S171</f>
        <v>-58</v>
      </c>
      <c r="B175" s="72">
        <f>VLOOKUP('Old Data'!$F171,$R$6:$T$135,2,FALSE)+VLOOKUP('Old Data'!$P171,$R$6:$T$135,3,FALSE)+$B$2</f>
        <v>120.74397875460522</v>
      </c>
      <c r="C175" s="72">
        <f>VLOOKUP('Old Data'!$P171,$R$6:$T$135,2,FALSE)+VLOOKUP('Old Data'!$F171,$R$6:$T$135,3,FALSE)+$B$2</f>
        <v>191.09486196138761</v>
      </c>
      <c r="D175" s="74">
        <f>('Old Data'!$I171-$B175)^2+('Old Data'!$S171-$C175)^2</f>
        <v>3590.7477642945978</v>
      </c>
      <c r="E175" s="75">
        <f>'Old Data'!$K171-'Old Data'!$U171</f>
        <v>140</v>
      </c>
      <c r="F175" s="72">
        <f>VLOOKUP('Old Data'!$F171,$V$6:$X$135,2,FALSE)+VLOOKUP('Old Data'!$P171,$V$6:$X$135,3,FALSE)+$C$2</f>
        <v>308.47290193911306</v>
      </c>
      <c r="G175" s="72">
        <f>VLOOKUP('Old Data'!$P171,$V$6:$X$135,2,FALSE)+VLOOKUP('Old Data'!$F171,$V$6:$X$135,3,FALSE)+$C$2</f>
        <v>116.81555279421571</v>
      </c>
      <c r="H175" s="74">
        <f>('Old Data'!$K171-$F175)^2+('Old Data'!$U171-$G175)^2</f>
        <v>11517.533436539492</v>
      </c>
      <c r="I175" s="75">
        <f>('Old Data'!$L171+'Old Data'!$M171)-('Old Data'!$V171+'Old Data'!$W171)</f>
        <v>-18</v>
      </c>
      <c r="J175" s="72">
        <f>VLOOKUP('Old Data'!$F171,$Z$6:$AB$135,2,FALSE)+VLOOKUP('Old Data'!$P171,$Z$6:$AB$135,3,FALSE)+$D$2</f>
        <v>34.640356257727092</v>
      </c>
      <c r="K175" s="72">
        <f>VLOOKUP('Old Data'!$P171,$Z$6:$AB$135,2,FALSE)+VLOOKUP('Old Data'!$F171,$Z$6:$AB$135,3,FALSE)+$D$2</f>
        <v>87.880328823077392</v>
      </c>
      <c r="L175" s="74">
        <f>('Old Data'!$L171+'Old Data'!$M171-$J175)^2+('Old Data'!$V171+'Old Data'!$W171-$K175)^2</f>
        <v>2833.4286050131027</v>
      </c>
      <c r="M175" s="75">
        <f>'Old Data'!$N171-'Old Data'!$X171</f>
        <v>0</v>
      </c>
      <c r="N175" s="72">
        <f>VLOOKUP('Old Data'!$F171,$AD$6:$AF$135,2,FALSE)+VLOOKUP('Old Data'!$P171,$AD$6:$AF$135,3,FALSE)+$E$2</f>
        <v>1.2584783800465962</v>
      </c>
      <c r="O175" s="72">
        <f>VLOOKUP('Old Data'!$P171,$AD$6:$AF$135,2,FALSE)+VLOOKUP('Old Data'!$F171,$AD$6:$AF$135,3,FALSE)+$E$2</f>
        <v>1.6629266350729022</v>
      </c>
      <c r="P175" s="73">
        <f>('Old Data'!$N171-$N175)^2+('Old Data'!$X171-$O175)^2</f>
        <v>0.50628279644059337</v>
      </c>
      <c r="Q175" s="62"/>
      <c r="R175" s="3"/>
      <c r="S175" s="3"/>
      <c r="T175" s="3"/>
      <c r="V175" s="3"/>
      <c r="W175" s="3"/>
      <c r="X175" s="3"/>
      <c r="Z175" s="3"/>
      <c r="AA175" s="3"/>
      <c r="AB175" s="3"/>
      <c r="AC175" s="3"/>
      <c r="AD175" s="3"/>
      <c r="AE175" s="3"/>
      <c r="AF175" s="3"/>
      <c r="AG175" s="3"/>
      <c r="AH175" s="37"/>
      <c r="AI175" s="1"/>
      <c r="AK175" s="10"/>
      <c r="AL175" s="10"/>
      <c r="AM175" s="10"/>
      <c r="AN175" s="11"/>
      <c r="AO175" s="11"/>
      <c r="AP175" s="11"/>
      <c r="AQ175" s="36"/>
      <c r="AR175" s="11"/>
      <c r="AS175" s="11"/>
      <c r="AT175" s="11"/>
      <c r="AU175" s="12"/>
      <c r="AV175" s="11"/>
      <c r="AW175" s="11"/>
      <c r="AX175" s="15"/>
      <c r="AY175" s="15"/>
      <c r="AZ175" s="15"/>
      <c r="BA175" s="15"/>
      <c r="BB175" s="15"/>
      <c r="BC175" s="15"/>
      <c r="BD175" s="15"/>
      <c r="BE175" s="12"/>
      <c r="BF175" s="11"/>
      <c r="BG175" s="11"/>
      <c r="BH175" s="10"/>
      <c r="BI175" s="10"/>
      <c r="BJ175" s="10"/>
      <c r="BK175" s="23"/>
      <c r="BL175" s="23"/>
      <c r="BM175" s="23"/>
      <c r="BN175" s="23"/>
      <c r="BO175" s="23"/>
      <c r="BP175" s="23"/>
      <c r="BQ175" s="23"/>
      <c r="BR175" s="10"/>
      <c r="BS175" s="16"/>
      <c r="BT175" s="16"/>
      <c r="BU175" s="16"/>
      <c r="BV175" s="16"/>
      <c r="BW175" s="11"/>
      <c r="BX175" s="16"/>
      <c r="BY175" s="16"/>
      <c r="BZ175" s="17"/>
      <c r="CA175" s="18"/>
      <c r="CB175" s="18"/>
      <c r="CC175" s="18"/>
      <c r="CD175" s="18"/>
      <c r="CE175" s="18"/>
      <c r="CF175" s="18"/>
      <c r="CG175" s="19"/>
      <c r="CH175" s="15"/>
      <c r="CI175" s="17"/>
      <c r="CJ175" s="10"/>
      <c r="CK175" s="10"/>
      <c r="CL175" s="10"/>
      <c r="CM175" s="17"/>
      <c r="CN175" s="17"/>
      <c r="CO175" s="10"/>
      <c r="CP175" s="10"/>
      <c r="CQ175" s="10"/>
      <c r="CR175" s="10"/>
      <c r="CS175" s="10"/>
      <c r="CT175" s="10"/>
      <c r="CU175" s="10"/>
      <c r="CV175" s="10"/>
      <c r="CW175" s="10"/>
      <c r="CX175" s="10"/>
      <c r="CY175" s="10"/>
      <c r="CZ175" s="10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  <c r="EE175" s="34"/>
    </row>
    <row r="176" spans="1:135" customFormat="1">
      <c r="A176" s="71">
        <f>'Old Data'!$I172-'Old Data'!$S172</f>
        <v>-139</v>
      </c>
      <c r="B176" s="72">
        <f>VLOOKUP('Old Data'!$F172,$R$6:$T$135,2,FALSE)+VLOOKUP('Old Data'!$P172,$R$6:$T$135,3,FALSE)+$B$2</f>
        <v>129.4991016418866</v>
      </c>
      <c r="C176" s="72">
        <f>VLOOKUP('Old Data'!$P172,$R$6:$T$135,2,FALSE)+VLOOKUP('Old Data'!$F172,$R$6:$T$135,3,FALSE)+$B$2</f>
        <v>151.24697859582642</v>
      </c>
      <c r="D176" s="74">
        <f>('Old Data'!$I172-$B176)^2+('Old Data'!$S172-$C176)^2</f>
        <v>7316.4448241584487</v>
      </c>
      <c r="E176" s="75">
        <f>'Old Data'!$K172-'Old Data'!$U172</f>
        <v>229</v>
      </c>
      <c r="F176" s="72">
        <f>VLOOKUP('Old Data'!$F172,$V$6:$X$135,2,FALSE)+VLOOKUP('Old Data'!$P172,$V$6:$X$135,3,FALSE)+$C$2</f>
        <v>196.90118611778257</v>
      </c>
      <c r="G176" s="72">
        <f>VLOOKUP('Old Data'!$P172,$V$6:$X$135,2,FALSE)+VLOOKUP('Old Data'!$F172,$V$6:$X$135,3,FALSE)+$C$2</f>
        <v>184.36801462191792</v>
      </c>
      <c r="H176" s="74">
        <f>('Old Data'!$K172-$F176)^2+('Old Data'!$U172-$G176)^2</f>
        <v>25212.828111456467</v>
      </c>
      <c r="I176" s="75">
        <f>('Old Data'!$L172+'Old Data'!$M172)-('Old Data'!$V172+'Old Data'!$W172)</f>
        <v>-63</v>
      </c>
      <c r="J176" s="72">
        <f>VLOOKUP('Old Data'!$F172,$Z$6:$AB$135,2,FALSE)+VLOOKUP('Old Data'!$P172,$Z$6:$AB$135,3,FALSE)+$D$2</f>
        <v>53.811137718459413</v>
      </c>
      <c r="K176" s="72">
        <f>VLOOKUP('Old Data'!$P172,$Z$6:$AB$135,2,FALSE)+VLOOKUP('Old Data'!$F172,$Z$6:$AB$135,3,FALSE)+$D$2</f>
        <v>91.625998834543765</v>
      </c>
      <c r="L176" s="74">
        <f>('Old Data'!$L172+'Old Data'!$M172-$J176)^2+('Old Data'!$V172+'Old Data'!$W172-$K176)^2</f>
        <v>1217.6008897101792</v>
      </c>
      <c r="M176" s="75">
        <f>'Old Data'!$N172-'Old Data'!$X172</f>
        <v>-1</v>
      </c>
      <c r="N176" s="72">
        <f>VLOOKUP('Old Data'!$F172,$AD$6:$AF$135,2,FALSE)+VLOOKUP('Old Data'!$P172,$AD$6:$AF$135,3,FALSE)+$E$2</f>
        <v>1.0126520891440332</v>
      </c>
      <c r="O176" s="72">
        <f>VLOOKUP('Old Data'!$P172,$AD$6:$AF$135,2,FALSE)+VLOOKUP('Old Data'!$F172,$AD$6:$AF$135,3,FALSE)+$E$2</f>
        <v>1.7720468274764232</v>
      </c>
      <c r="P176" s="73">
        <f>('Old Data'!$N172-$N176)^2+('Old Data'!$X172-$O176)^2</f>
        <v>1.6215205574641849</v>
      </c>
      <c r="Q176" s="62"/>
      <c r="R176" s="3"/>
      <c r="S176" s="3"/>
      <c r="T176" s="3"/>
      <c r="V176" s="3"/>
      <c r="W176" s="3"/>
      <c r="X176" s="3"/>
      <c r="Z176" s="3"/>
      <c r="AA176" s="3"/>
      <c r="AB176" s="3"/>
      <c r="AC176" s="3"/>
      <c r="AD176" s="3"/>
      <c r="AE176" s="3"/>
      <c r="AF176" s="3"/>
      <c r="AG176" s="3"/>
      <c r="AH176" s="37"/>
      <c r="AI176" s="1"/>
      <c r="AK176" s="10"/>
      <c r="AL176" s="10"/>
      <c r="AM176" s="10"/>
      <c r="AN176" s="11"/>
      <c r="AO176" s="11"/>
      <c r="AP176" s="11"/>
      <c r="AQ176" s="36"/>
      <c r="AR176" s="11"/>
      <c r="AS176" s="11"/>
      <c r="AT176" s="11"/>
      <c r="AU176" s="12"/>
      <c r="AV176" s="11"/>
      <c r="AW176" s="11"/>
      <c r="AX176" s="15"/>
      <c r="AY176" s="15"/>
      <c r="AZ176" s="15"/>
      <c r="BA176" s="15"/>
      <c r="BB176" s="15"/>
      <c r="BC176" s="15"/>
      <c r="BD176" s="15"/>
      <c r="BE176" s="12"/>
      <c r="BF176" s="11"/>
      <c r="BG176" s="11"/>
      <c r="BH176" s="10"/>
      <c r="BI176" s="10"/>
      <c r="BJ176" s="10"/>
      <c r="BK176" s="23"/>
      <c r="BL176" s="23"/>
      <c r="BM176" s="23"/>
      <c r="BN176" s="23"/>
      <c r="BO176" s="23"/>
      <c r="BP176" s="23"/>
      <c r="BQ176" s="23"/>
      <c r="BR176" s="10"/>
      <c r="BS176" s="16"/>
      <c r="BT176" s="16"/>
      <c r="BU176" s="16"/>
      <c r="BV176" s="16"/>
      <c r="BW176" s="11"/>
      <c r="BX176" s="16"/>
      <c r="BY176" s="16"/>
      <c r="BZ176" s="17"/>
      <c r="CA176" s="18"/>
      <c r="CB176" s="18"/>
      <c r="CC176" s="18"/>
      <c r="CD176" s="18"/>
      <c r="CE176" s="18"/>
      <c r="CF176" s="18"/>
      <c r="CG176" s="19"/>
      <c r="CH176" s="15"/>
      <c r="CI176" s="17"/>
      <c r="CJ176" s="10"/>
      <c r="CK176" s="10"/>
      <c r="CL176" s="10"/>
      <c r="CM176" s="17"/>
      <c r="CN176" s="17"/>
      <c r="CO176" s="10"/>
      <c r="CP176" s="10"/>
      <c r="CQ176" s="10"/>
      <c r="CR176" s="10"/>
      <c r="CS176" s="10"/>
      <c r="CT176" s="10"/>
      <c r="CU176" s="10"/>
      <c r="CV176" s="10"/>
      <c r="CW176" s="10"/>
      <c r="CX176" s="10"/>
      <c r="CY176" s="10"/>
      <c r="CZ176" s="10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  <c r="EE176" s="34"/>
    </row>
    <row r="177" spans="1:135" customFormat="1">
      <c r="A177" s="71">
        <f>'Old Data'!$I173-'Old Data'!$S173</f>
        <v>94</v>
      </c>
      <c r="B177" s="72">
        <f>VLOOKUP('Old Data'!$F173,$R$6:$T$135,2,FALSE)+VLOOKUP('Old Data'!$P173,$R$6:$T$135,3,FALSE)+$B$2</f>
        <v>184.98233865441773</v>
      </c>
      <c r="C177" s="72">
        <f>VLOOKUP('Old Data'!$P173,$R$6:$T$135,2,FALSE)+VLOOKUP('Old Data'!$F173,$R$6:$T$135,3,FALSE)+$B$2</f>
        <v>105.72036682559991</v>
      </c>
      <c r="D177" s="74">
        <f>('Old Data'!$I173-$B177)^2+('Old Data'!$S173-$C177)^2</f>
        <v>258.20293604278561</v>
      </c>
      <c r="E177" s="75">
        <f>'Old Data'!$K173-'Old Data'!$U173</f>
        <v>230</v>
      </c>
      <c r="F177" s="72">
        <f>VLOOKUP('Old Data'!$F173,$V$6:$X$135,2,FALSE)+VLOOKUP('Old Data'!$P173,$V$6:$X$135,3,FALSE)+$C$2</f>
        <v>196.52390734326576</v>
      </c>
      <c r="G177" s="72">
        <f>VLOOKUP('Old Data'!$P173,$V$6:$X$135,2,FALSE)+VLOOKUP('Old Data'!$F173,$V$6:$X$135,3,FALSE)+$C$2</f>
        <v>141.33677343812082</v>
      </c>
      <c r="H177" s="74">
        <f>('Old Data'!$K173-$F177)^2+('Old Data'!$U173-$G177)^2</f>
        <v>16969.859295750779</v>
      </c>
      <c r="I177" s="75">
        <f>('Old Data'!$L173+'Old Data'!$M173)-('Old Data'!$V173+'Old Data'!$W173)</f>
        <v>26</v>
      </c>
      <c r="J177" s="72">
        <f>VLOOKUP('Old Data'!$F173,$Z$6:$AB$135,2,FALSE)+VLOOKUP('Old Data'!$P173,$Z$6:$AB$135,3,FALSE)+$D$2</f>
        <v>49.305196776963896</v>
      </c>
      <c r="K177" s="72">
        <f>VLOOKUP('Old Data'!$P173,$Z$6:$AB$135,2,FALSE)+VLOOKUP('Old Data'!$F173,$Z$6:$AB$135,3,FALSE)+$D$2</f>
        <v>36.113965851480188</v>
      </c>
      <c r="L177" s="74">
        <f>('Old Data'!$L173+'Old Data'!$M173-$J177)^2+('Old Data'!$V173+'Old Data'!$W173-$K177)^2</f>
        <v>858.96747376600376</v>
      </c>
      <c r="M177" s="75">
        <f>'Old Data'!$N173-'Old Data'!$X173</f>
        <v>-2</v>
      </c>
      <c r="N177" s="72">
        <f>VLOOKUP('Old Data'!$F173,$AD$6:$AF$135,2,FALSE)+VLOOKUP('Old Data'!$P173,$AD$6:$AF$135,3,FALSE)+$E$2</f>
        <v>1.8948139846217331</v>
      </c>
      <c r="O177" s="72">
        <f>VLOOKUP('Old Data'!$P173,$AD$6:$AF$135,2,FALSE)+VLOOKUP('Old Data'!$F173,$AD$6:$AF$135,3,FALSE)+$E$2</f>
        <v>1.514322883770598</v>
      </c>
      <c r="P177" s="73">
        <f>('Old Data'!$N173-$N177)^2+('Old Data'!$X173-$O177)^2</f>
        <v>3.8262022975469976</v>
      </c>
      <c r="Q177" s="62"/>
      <c r="R177" s="3"/>
      <c r="S177" s="3"/>
      <c r="T177" s="3"/>
      <c r="V177" s="3"/>
      <c r="W177" s="3"/>
      <c r="X177" s="3"/>
      <c r="Z177" s="3"/>
      <c r="AA177" s="3"/>
      <c r="AB177" s="3"/>
      <c r="AC177" s="3"/>
      <c r="AD177" s="3"/>
      <c r="AE177" s="3"/>
      <c r="AF177" s="3"/>
      <c r="AG177" s="3"/>
      <c r="AH177" s="37"/>
      <c r="AI177" s="1"/>
      <c r="AK177" s="10"/>
      <c r="AL177" s="10"/>
      <c r="AM177" s="10"/>
      <c r="AN177" s="11"/>
      <c r="AO177" s="11"/>
      <c r="AP177" s="11"/>
      <c r="AQ177" s="36"/>
      <c r="AR177" s="11"/>
      <c r="AS177" s="11"/>
      <c r="AT177" s="11"/>
      <c r="AU177" s="12"/>
      <c r="AV177" s="11"/>
      <c r="AW177" s="11"/>
      <c r="AX177" s="15"/>
      <c r="AY177" s="15"/>
      <c r="AZ177" s="15"/>
      <c r="BA177" s="15"/>
      <c r="BB177" s="15"/>
      <c r="BC177" s="15"/>
      <c r="BD177" s="15"/>
      <c r="BE177" s="12"/>
      <c r="BF177" s="11"/>
      <c r="BG177" s="11"/>
      <c r="BH177" s="10"/>
      <c r="BI177" s="10"/>
      <c r="BJ177" s="10"/>
      <c r="BK177" s="23"/>
      <c r="BL177" s="23"/>
      <c r="BM177" s="23"/>
      <c r="BN177" s="23"/>
      <c r="BO177" s="23"/>
      <c r="BP177" s="23"/>
      <c r="BQ177" s="23"/>
      <c r="BR177" s="10"/>
      <c r="BS177" s="16"/>
      <c r="BT177" s="16"/>
      <c r="BU177" s="16"/>
      <c r="BV177" s="16"/>
      <c r="BW177" s="11"/>
      <c r="BX177" s="16"/>
      <c r="BY177" s="16"/>
      <c r="BZ177" s="17"/>
      <c r="CA177" s="18"/>
      <c r="CB177" s="18"/>
      <c r="CC177" s="18"/>
      <c r="CD177" s="18"/>
      <c r="CE177" s="18"/>
      <c r="CF177" s="18"/>
      <c r="CG177" s="19"/>
      <c r="CH177" s="15"/>
      <c r="CI177" s="17"/>
      <c r="CJ177" s="10"/>
      <c r="CK177" s="10"/>
      <c r="CL177" s="10"/>
      <c r="CM177" s="17"/>
      <c r="CN177" s="17"/>
      <c r="CO177" s="10"/>
      <c r="CP177" s="10"/>
      <c r="CQ177" s="10"/>
      <c r="CR177" s="10"/>
      <c r="CS177" s="10"/>
      <c r="CT177" s="10"/>
      <c r="CU177" s="10"/>
      <c r="CV177" s="10"/>
      <c r="CW177" s="10"/>
      <c r="CX177" s="10"/>
      <c r="CY177" s="10"/>
      <c r="CZ177" s="10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  <c r="EE177" s="34"/>
    </row>
    <row r="178" spans="1:135" customFormat="1">
      <c r="A178" s="71">
        <f>'Old Data'!$I174-'Old Data'!$S174</f>
        <v>-38</v>
      </c>
      <c r="B178" s="72">
        <f>VLOOKUP('Old Data'!$F174,$R$6:$T$135,2,FALSE)+VLOOKUP('Old Data'!$P174,$R$6:$T$135,3,FALSE)+$B$2</f>
        <v>125.0129827698576</v>
      </c>
      <c r="C178" s="72">
        <f>VLOOKUP('Old Data'!$P174,$R$6:$T$135,2,FALSE)+VLOOKUP('Old Data'!$F174,$R$6:$T$135,3,FALSE)+$B$2</f>
        <v>165.73565494441658</v>
      </c>
      <c r="D178" s="74">
        <f>('Old Data'!$I174-$B178)^2+('Old Data'!$S174-$C178)^2</f>
        <v>2542.0847856709347</v>
      </c>
      <c r="E178" s="75">
        <f>'Old Data'!$K174-'Old Data'!$U174</f>
        <v>-87</v>
      </c>
      <c r="F178" s="72">
        <f>VLOOKUP('Old Data'!$F174,$V$6:$X$135,2,FALSE)+VLOOKUP('Old Data'!$P174,$V$6:$X$135,3,FALSE)+$C$2</f>
        <v>203.89136585051239</v>
      </c>
      <c r="G178" s="72">
        <f>VLOOKUP('Old Data'!$P174,$V$6:$X$135,2,FALSE)+VLOOKUP('Old Data'!$F174,$V$6:$X$135,3,FALSE)+$C$2</f>
        <v>226.53487503382681</v>
      </c>
      <c r="H178" s="74">
        <f>('Old Data'!$K174-$F178)^2+('Old Data'!$U174-$G178)^2</f>
        <v>8278.78253392646</v>
      </c>
      <c r="I178" s="75">
        <f>('Old Data'!$L174+'Old Data'!$M174)-('Old Data'!$V174+'Old Data'!$W174)</f>
        <v>16</v>
      </c>
      <c r="J178" s="72">
        <f>VLOOKUP('Old Data'!$F174,$Z$6:$AB$135,2,FALSE)+VLOOKUP('Old Data'!$P174,$Z$6:$AB$135,3,FALSE)+$D$2</f>
        <v>62.964162611112378</v>
      </c>
      <c r="K178" s="72">
        <f>VLOOKUP('Old Data'!$P174,$Z$6:$AB$135,2,FALSE)+VLOOKUP('Old Data'!$F174,$Z$6:$AB$135,3,FALSE)+$D$2</f>
        <v>45.841290454740516</v>
      </c>
      <c r="L178" s="74">
        <f>('Old Data'!$L174+'Old Data'!$M174-$J178)^2+('Old Data'!$V174+'Old Data'!$W174-$K178)^2</f>
        <v>4123.4455741871843</v>
      </c>
      <c r="M178" s="75">
        <f>'Old Data'!$N174-'Old Data'!$X174</f>
        <v>-1</v>
      </c>
      <c r="N178" s="72">
        <f>VLOOKUP('Old Data'!$F174,$AD$6:$AF$135,2,FALSE)+VLOOKUP('Old Data'!$P174,$AD$6:$AF$135,3,FALSE)+$E$2</f>
        <v>0.98090363586625506</v>
      </c>
      <c r="O178" s="72">
        <f>VLOOKUP('Old Data'!$P174,$AD$6:$AF$135,2,FALSE)+VLOOKUP('Old Data'!$F174,$AD$6:$AF$135,3,FALSE)+$E$2</f>
        <v>1.0503889622748592</v>
      </c>
      <c r="P178" s="73">
        <f>('Old Data'!$N174-$N178)^2+('Old Data'!$X174-$O178)^2</f>
        <v>4.839540597810319</v>
      </c>
      <c r="Q178" s="62"/>
      <c r="R178" s="3"/>
      <c r="S178" s="3"/>
      <c r="T178" s="3"/>
      <c r="V178" s="3"/>
      <c r="W178" s="3"/>
      <c r="X178" s="3"/>
      <c r="Z178" s="3"/>
      <c r="AA178" s="3"/>
      <c r="AB178" s="3"/>
      <c r="AC178" s="3"/>
      <c r="AD178" s="3"/>
      <c r="AE178" s="3"/>
      <c r="AF178" s="3"/>
      <c r="AG178" s="3"/>
      <c r="AH178" s="37"/>
      <c r="AI178" s="1"/>
      <c r="AK178" s="10"/>
      <c r="AL178" s="10"/>
      <c r="AM178" s="10"/>
      <c r="AN178" s="11"/>
      <c r="AO178" s="11"/>
      <c r="AP178" s="11"/>
      <c r="AQ178" s="36"/>
      <c r="AR178" s="11"/>
      <c r="AS178" s="11"/>
      <c r="AT178" s="11"/>
      <c r="AU178" s="12"/>
      <c r="AV178" s="11"/>
      <c r="AW178" s="11"/>
      <c r="AX178" s="15"/>
      <c r="AY178" s="15"/>
      <c r="AZ178" s="15"/>
      <c r="BA178" s="15"/>
      <c r="BB178" s="15"/>
      <c r="BC178" s="15"/>
      <c r="BD178" s="15"/>
      <c r="BE178" s="12"/>
      <c r="BF178" s="11"/>
      <c r="BG178" s="11"/>
      <c r="BH178" s="10"/>
      <c r="BI178" s="10"/>
      <c r="BJ178" s="10"/>
      <c r="BK178" s="23"/>
      <c r="BL178" s="23"/>
      <c r="BM178" s="23"/>
      <c r="BN178" s="23"/>
      <c r="BO178" s="23"/>
      <c r="BP178" s="23"/>
      <c r="BQ178" s="23"/>
      <c r="BR178" s="10"/>
      <c r="BS178" s="16"/>
      <c r="BT178" s="16"/>
      <c r="BU178" s="16"/>
      <c r="BV178" s="16"/>
      <c r="BW178" s="11"/>
      <c r="BX178" s="16"/>
      <c r="BY178" s="16"/>
      <c r="BZ178" s="17"/>
      <c r="CA178" s="18"/>
      <c r="CB178" s="18"/>
      <c r="CC178" s="18"/>
      <c r="CD178" s="18"/>
      <c r="CE178" s="18"/>
      <c r="CF178" s="18"/>
      <c r="CG178" s="19"/>
      <c r="CH178" s="15"/>
      <c r="CI178" s="17"/>
      <c r="CJ178" s="10"/>
      <c r="CK178" s="10"/>
      <c r="CL178" s="10"/>
      <c r="CM178" s="17"/>
      <c r="CN178" s="17"/>
      <c r="CO178" s="10"/>
      <c r="CP178" s="10"/>
      <c r="CQ178" s="10"/>
      <c r="CR178" s="10"/>
      <c r="CS178" s="10"/>
      <c r="CT178" s="10"/>
      <c r="CU178" s="10"/>
      <c r="CV178" s="10"/>
      <c r="CW178" s="10"/>
      <c r="CX178" s="10"/>
      <c r="CY178" s="10"/>
      <c r="CZ178" s="10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  <c r="EE178" s="34"/>
    </row>
    <row r="179" spans="1:135" customFormat="1">
      <c r="A179" s="71">
        <f>'Old Data'!$I175-'Old Data'!$S175</f>
        <v>-36</v>
      </c>
      <c r="B179" s="72">
        <f>VLOOKUP('Old Data'!$F175,$R$6:$T$135,2,FALSE)+VLOOKUP('Old Data'!$P175,$R$6:$T$135,3,FALSE)+$B$2</f>
        <v>64.178768405113303</v>
      </c>
      <c r="C179" s="72">
        <f>VLOOKUP('Old Data'!$P175,$R$6:$T$135,2,FALSE)+VLOOKUP('Old Data'!$F175,$R$6:$T$135,3,FALSE)+$B$2</f>
        <v>249.2839931333896</v>
      </c>
      <c r="D179" s="74">
        <f>('Old Data'!$I175-$B179)^2+('Old Data'!$S175-$C179)^2</f>
        <v>11194.775194755111</v>
      </c>
      <c r="E179" s="75">
        <f>'Old Data'!$K175-'Old Data'!$U175</f>
        <v>-189</v>
      </c>
      <c r="F179" s="72">
        <f>VLOOKUP('Old Data'!$F175,$V$6:$X$135,2,FALSE)+VLOOKUP('Old Data'!$P175,$V$6:$X$135,3,FALSE)+$C$2</f>
        <v>169.21581008966891</v>
      </c>
      <c r="G179" s="72">
        <f>VLOOKUP('Old Data'!$P175,$V$6:$X$135,2,FALSE)+VLOOKUP('Old Data'!$F175,$V$6:$X$135,3,FALSE)+$C$2</f>
        <v>404.65251281248925</v>
      </c>
      <c r="H179" s="74">
        <f>('Old Data'!$K175-$F179)^2+('Old Data'!$U175-$G179)^2</f>
        <v>3752.3047774552979</v>
      </c>
      <c r="I179" s="75">
        <f>('Old Data'!$L175+'Old Data'!$M175)-('Old Data'!$V175+'Old Data'!$W175)</f>
        <v>-82</v>
      </c>
      <c r="J179" s="72">
        <f>VLOOKUP('Old Data'!$F175,$Z$6:$AB$135,2,FALSE)+VLOOKUP('Old Data'!$P175,$Z$6:$AB$135,3,FALSE)+$D$2</f>
        <v>41.836973546934203</v>
      </c>
      <c r="K179" s="72">
        <f>VLOOKUP('Old Data'!$P175,$Z$6:$AB$135,2,FALSE)+VLOOKUP('Old Data'!$F175,$Z$6:$AB$135,3,FALSE)+$D$2</f>
        <v>32.262910393979851</v>
      </c>
      <c r="L179" s="74">
        <f>('Old Data'!$L175+'Old Data'!$M175-$J179)^2+('Old Data'!$V175+'Old Data'!$W175-$K179)^2</f>
        <v>4639.9129913440411</v>
      </c>
      <c r="M179" s="75">
        <f>'Old Data'!$N175-'Old Data'!$X175</f>
        <v>0</v>
      </c>
      <c r="N179" s="72">
        <f>VLOOKUP('Old Data'!$F175,$AD$6:$AF$135,2,FALSE)+VLOOKUP('Old Data'!$P175,$AD$6:$AF$135,3,FALSE)+$E$2</f>
        <v>0.38570702355753417</v>
      </c>
      <c r="O179" s="72">
        <f>VLOOKUP('Old Data'!$P175,$AD$6:$AF$135,2,FALSE)+VLOOKUP('Old Data'!$F175,$AD$6:$AF$135,3,FALSE)+$E$2</f>
        <v>1.4260985746497361</v>
      </c>
      <c r="P179" s="73">
        <f>('Old Data'!$N175-$N179)^2+('Old Data'!$X175-$O179)^2</f>
        <v>2.9353046598105399</v>
      </c>
      <c r="Q179" s="62"/>
      <c r="R179" s="3"/>
      <c r="S179" s="3"/>
      <c r="T179" s="3"/>
      <c r="V179" s="3"/>
      <c r="W179" s="3"/>
      <c r="X179" s="3"/>
      <c r="Z179" s="3"/>
      <c r="AA179" s="3"/>
      <c r="AB179" s="3"/>
      <c r="AC179" s="3"/>
      <c r="AD179" s="3"/>
      <c r="AE179" s="3"/>
      <c r="AF179" s="3"/>
      <c r="AG179" s="3"/>
      <c r="AH179" s="37"/>
      <c r="AI179" s="1"/>
      <c r="AK179" s="10"/>
      <c r="AL179" s="10"/>
      <c r="AM179" s="10"/>
      <c r="AN179" s="11"/>
      <c r="AO179" s="11"/>
      <c r="AP179" s="11"/>
      <c r="AQ179" s="36"/>
      <c r="AR179" s="11"/>
      <c r="AS179" s="11"/>
      <c r="AT179" s="11"/>
      <c r="AU179" s="12"/>
      <c r="AV179" s="11"/>
      <c r="AW179" s="11"/>
      <c r="AX179" s="15"/>
      <c r="AY179" s="15"/>
      <c r="AZ179" s="15"/>
      <c r="BA179" s="15"/>
      <c r="BB179" s="15"/>
      <c r="BC179" s="15"/>
      <c r="BD179" s="15"/>
      <c r="BE179" s="12"/>
      <c r="BF179" s="11"/>
      <c r="BG179" s="11"/>
      <c r="BH179" s="10"/>
      <c r="BI179" s="10"/>
      <c r="BJ179" s="10"/>
      <c r="BK179" s="23"/>
      <c r="BL179" s="23"/>
      <c r="BM179" s="23"/>
      <c r="BN179" s="23"/>
      <c r="BO179" s="23"/>
      <c r="BP179" s="23"/>
      <c r="BQ179" s="23"/>
      <c r="BR179" s="10"/>
      <c r="BS179" s="16"/>
      <c r="BT179" s="16"/>
      <c r="BU179" s="16"/>
      <c r="BV179" s="16"/>
      <c r="BW179" s="11"/>
      <c r="BX179" s="16"/>
      <c r="BY179" s="16"/>
      <c r="BZ179" s="17"/>
      <c r="CA179" s="18"/>
      <c r="CB179" s="18"/>
      <c r="CC179" s="18"/>
      <c r="CD179" s="18"/>
      <c r="CE179" s="18"/>
      <c r="CF179" s="18"/>
      <c r="CG179" s="19"/>
      <c r="CH179" s="15"/>
      <c r="CI179" s="17"/>
      <c r="CJ179" s="10"/>
      <c r="CK179" s="10"/>
      <c r="CL179" s="10"/>
      <c r="CM179" s="17"/>
      <c r="CN179" s="17"/>
      <c r="CO179" s="10"/>
      <c r="CP179" s="10"/>
      <c r="CQ179" s="10"/>
      <c r="CR179" s="10"/>
      <c r="CS179" s="10"/>
      <c r="CT179" s="10"/>
      <c r="CU179" s="10"/>
      <c r="CV179" s="10"/>
      <c r="CW179" s="10"/>
      <c r="CX179" s="10"/>
      <c r="CY179" s="10"/>
      <c r="CZ179" s="10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  <c r="EE179" s="34"/>
    </row>
    <row r="180" spans="1:135" customFormat="1">
      <c r="A180" s="71">
        <f>'Old Data'!$I176-'Old Data'!$S176</f>
        <v>5</v>
      </c>
      <c r="B180" s="72">
        <f>VLOOKUP('Old Data'!$F176,$R$6:$T$135,2,FALSE)+VLOOKUP('Old Data'!$P176,$R$6:$T$135,3,FALSE)+$B$2</f>
        <v>142.08564911064576</v>
      </c>
      <c r="C180" s="72">
        <f>VLOOKUP('Old Data'!$P176,$R$6:$T$135,2,FALSE)+VLOOKUP('Old Data'!$F176,$R$6:$T$135,3,FALSE)+$B$2</f>
        <v>57.3841621512247</v>
      </c>
      <c r="D180" s="74">
        <f>('Old Data'!$I176-$B180)^2+('Old Data'!$S176-$C180)^2</f>
        <v>5385.2814163657231</v>
      </c>
      <c r="E180" s="75">
        <f>'Old Data'!$K176-'Old Data'!$U176</f>
        <v>-31</v>
      </c>
      <c r="F180" s="72">
        <f>VLOOKUP('Old Data'!$F176,$V$6:$X$135,2,FALSE)+VLOOKUP('Old Data'!$P176,$V$6:$X$135,3,FALSE)+$C$2</f>
        <v>279.8440894234073</v>
      </c>
      <c r="G180" s="72">
        <f>VLOOKUP('Old Data'!$P176,$V$6:$X$135,2,FALSE)+VLOOKUP('Old Data'!$F176,$V$6:$X$135,3,FALSE)+$C$2</f>
        <v>165.12640016040314</v>
      </c>
      <c r="H180" s="74">
        <f>('Old Data'!$K176-$F180)^2+('Old Data'!$U176-$G180)^2</f>
        <v>12662.93425087092</v>
      </c>
      <c r="I180" s="75">
        <f>('Old Data'!$L176+'Old Data'!$M176)-('Old Data'!$V176+'Old Data'!$W176)</f>
        <v>87</v>
      </c>
      <c r="J180" s="72">
        <f>VLOOKUP('Old Data'!$F176,$Z$6:$AB$135,2,FALSE)+VLOOKUP('Old Data'!$P176,$Z$6:$AB$135,3,FALSE)+$D$2</f>
        <v>100.97294824150765</v>
      </c>
      <c r="K180" s="72">
        <f>VLOOKUP('Old Data'!$P176,$Z$6:$AB$135,2,FALSE)+VLOOKUP('Old Data'!$F176,$Z$6:$AB$135,3,FALSE)+$D$2</f>
        <v>54.754129817399999</v>
      </c>
      <c r="L180" s="74">
        <f>('Old Data'!$L176+'Old Data'!$M176-$J180)^2+('Old Data'!$V176+'Old Data'!$W176-$K180)^2</f>
        <v>948.18345767230073</v>
      </c>
      <c r="M180" s="75">
        <f>'Old Data'!$N176-'Old Data'!$X176</f>
        <v>1</v>
      </c>
      <c r="N180" s="72">
        <f>VLOOKUP('Old Data'!$F176,$AD$6:$AF$135,2,FALSE)+VLOOKUP('Old Data'!$P176,$AD$6:$AF$135,3,FALSE)+$E$2</f>
        <v>1.4428546672826157</v>
      </c>
      <c r="O180" s="72">
        <f>VLOOKUP('Old Data'!$P176,$AD$6:$AF$135,2,FALSE)+VLOOKUP('Old Data'!$F176,$AD$6:$AF$135,3,FALSE)+$E$2</f>
        <v>1.0554734063444673</v>
      </c>
      <c r="P180" s="73">
        <f>('Old Data'!$N176-$N180)^2+('Old Data'!$X176-$O180)^2</f>
        <v>1.3101443678343894</v>
      </c>
      <c r="Q180" s="62"/>
      <c r="R180" s="3"/>
      <c r="S180" s="3"/>
      <c r="T180" s="3"/>
      <c r="V180" s="3"/>
      <c r="W180" s="3"/>
      <c r="X180" s="3"/>
      <c r="Z180" s="3"/>
      <c r="AA180" s="3"/>
      <c r="AB180" s="3"/>
      <c r="AC180" s="3"/>
      <c r="AD180" s="3"/>
      <c r="AE180" s="3"/>
      <c r="AF180" s="3"/>
      <c r="AG180" s="3"/>
      <c r="AH180" s="37"/>
      <c r="AI180" s="1"/>
      <c r="AK180" s="10"/>
      <c r="AL180" s="10"/>
      <c r="AM180" s="10"/>
      <c r="AN180" s="11"/>
      <c r="AO180" s="11"/>
      <c r="AP180" s="11"/>
      <c r="AQ180" s="36"/>
      <c r="AR180" s="11"/>
      <c r="AS180" s="11"/>
      <c r="AT180" s="11"/>
      <c r="AU180" s="12"/>
      <c r="AV180" s="11"/>
      <c r="AW180" s="11"/>
      <c r="AX180" s="15"/>
      <c r="AY180" s="15"/>
      <c r="AZ180" s="15"/>
      <c r="BA180" s="15"/>
      <c r="BB180" s="15"/>
      <c r="BC180" s="15"/>
      <c r="BD180" s="15"/>
      <c r="BE180" s="12"/>
      <c r="BF180" s="11"/>
      <c r="BG180" s="11"/>
      <c r="BH180" s="10"/>
      <c r="BI180" s="10"/>
      <c r="BJ180" s="10"/>
      <c r="BK180" s="23"/>
      <c r="BL180" s="23"/>
      <c r="BM180" s="23"/>
      <c r="BN180" s="23"/>
      <c r="BO180" s="23"/>
      <c r="BP180" s="23"/>
      <c r="BQ180" s="23"/>
      <c r="BR180" s="10"/>
      <c r="BS180" s="16"/>
      <c r="BT180" s="16"/>
      <c r="BU180" s="16"/>
      <c r="BV180" s="16"/>
      <c r="BW180" s="11"/>
      <c r="BX180" s="16"/>
      <c r="BY180" s="16"/>
      <c r="BZ180" s="17"/>
      <c r="CA180" s="18"/>
      <c r="CB180" s="18"/>
      <c r="CC180" s="18"/>
      <c r="CD180" s="18"/>
      <c r="CE180" s="18"/>
      <c r="CF180" s="18"/>
      <c r="CG180" s="19"/>
      <c r="CH180" s="15"/>
      <c r="CI180" s="17"/>
      <c r="CJ180" s="10"/>
      <c r="CK180" s="10"/>
      <c r="CL180" s="10"/>
      <c r="CM180" s="17"/>
      <c r="CN180" s="17"/>
      <c r="CO180" s="10"/>
      <c r="CP180" s="10"/>
      <c r="CQ180" s="10"/>
      <c r="CR180" s="10"/>
      <c r="CS180" s="10"/>
      <c r="CT180" s="10"/>
      <c r="CU180" s="10"/>
      <c r="CV180" s="10"/>
      <c r="CW180" s="10"/>
      <c r="CX180" s="10"/>
      <c r="CY180" s="10"/>
      <c r="CZ180" s="10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  <c r="EE180" s="34"/>
    </row>
    <row r="181" spans="1:135" customFormat="1">
      <c r="A181" s="71">
        <f>'Old Data'!$I177-'Old Data'!$S177</f>
        <v>0</v>
      </c>
      <c r="B181" s="72">
        <f>VLOOKUP('Old Data'!$F177,$R$6:$T$135,2,FALSE)+VLOOKUP('Old Data'!$P177,$R$6:$T$135,3,FALSE)+$B$2</f>
        <v>102.87015938591361</v>
      </c>
      <c r="C181" s="72">
        <f>VLOOKUP('Old Data'!$P177,$R$6:$T$135,2,FALSE)+VLOOKUP('Old Data'!$F177,$R$6:$T$135,3,FALSE)+$B$2</f>
        <v>155.15080960122671</v>
      </c>
      <c r="D181" s="74">
        <f>('Old Data'!$I177-$B181)^2+('Old Data'!$S177-$C181)^2</f>
        <v>3287.3333361144701</v>
      </c>
      <c r="E181" s="75">
        <f>'Old Data'!$K177-'Old Data'!$U177</f>
        <v>63</v>
      </c>
      <c r="F181" s="72">
        <f>VLOOKUP('Old Data'!$F177,$V$6:$X$135,2,FALSE)+VLOOKUP('Old Data'!$P177,$V$6:$X$135,3,FALSE)+$C$2</f>
        <v>460.14196583685771</v>
      </c>
      <c r="G181" s="72">
        <f>VLOOKUP('Old Data'!$P177,$V$6:$X$135,2,FALSE)+VLOOKUP('Old Data'!$F177,$V$6:$X$135,3,FALSE)+$C$2</f>
        <v>351.51838750880569</v>
      </c>
      <c r="H181" s="74">
        <f>('Old Data'!$K177-$F181)^2+('Old Data'!$U177-$G181)^2</f>
        <v>36243.319493052048</v>
      </c>
      <c r="I181" s="75">
        <f>('Old Data'!$L177+'Old Data'!$M177)-('Old Data'!$V177+'Old Data'!$W177)</f>
        <v>-129</v>
      </c>
      <c r="J181" s="72">
        <f>VLOOKUP('Old Data'!$F177,$Z$6:$AB$135,2,FALSE)+VLOOKUP('Old Data'!$P177,$Z$6:$AB$135,3,FALSE)+$D$2</f>
        <v>39.994542452905293</v>
      </c>
      <c r="K181" s="72">
        <f>VLOOKUP('Old Data'!$P177,$Z$6:$AB$135,2,FALSE)+VLOOKUP('Old Data'!$F177,$Z$6:$AB$135,3,FALSE)+$D$2</f>
        <v>50.354281516324448</v>
      </c>
      <c r="L181" s="74">
        <f>('Old Data'!$L177+'Old Data'!$M177-$J181)^2+('Old Data'!$V177+'Old Data'!$W177-$K181)^2</f>
        <v>22289.272402015547</v>
      </c>
      <c r="M181" s="75">
        <f>'Old Data'!$N177-'Old Data'!$X177</f>
        <v>-5</v>
      </c>
      <c r="N181" s="72">
        <f>VLOOKUP('Old Data'!$F177,$AD$6:$AF$135,2,FALSE)+VLOOKUP('Old Data'!$P177,$AD$6:$AF$135,3,FALSE)+$E$2</f>
        <v>1.9978178546396441</v>
      </c>
      <c r="O181" s="72">
        <f>VLOOKUP('Old Data'!$P177,$AD$6:$AF$135,2,FALSE)+VLOOKUP('Old Data'!$F177,$AD$6:$AF$135,3,FALSE)+$E$2</f>
        <v>1.9921198856136928</v>
      </c>
      <c r="P181" s="73">
        <f>('Old Data'!$N177-$N181)^2+('Old Data'!$X177-$O181)^2</f>
        <v>17.058743482330854</v>
      </c>
      <c r="Q181" s="62"/>
      <c r="R181" s="3"/>
      <c r="S181" s="3"/>
      <c r="T181" s="3"/>
      <c r="V181" s="3"/>
      <c r="W181" s="3"/>
      <c r="X181" s="3"/>
      <c r="Z181" s="3"/>
      <c r="AA181" s="3"/>
      <c r="AB181" s="3"/>
      <c r="AC181" s="3"/>
      <c r="AD181" s="3"/>
      <c r="AE181" s="3"/>
      <c r="AF181" s="3"/>
      <c r="AG181" s="3"/>
      <c r="AH181" s="37"/>
      <c r="AI181" s="1"/>
      <c r="AK181" s="10"/>
      <c r="AL181" s="10"/>
      <c r="AM181" s="10"/>
      <c r="AN181" s="11"/>
      <c r="AO181" s="11"/>
      <c r="AP181" s="11"/>
      <c r="AQ181" s="36"/>
      <c r="AR181" s="11"/>
      <c r="AS181" s="11"/>
      <c r="AT181" s="11"/>
      <c r="AU181" s="12"/>
      <c r="AV181" s="11"/>
      <c r="AW181" s="11"/>
      <c r="AX181" s="15"/>
      <c r="AY181" s="15"/>
      <c r="AZ181" s="15"/>
      <c r="BA181" s="15"/>
      <c r="BB181" s="15"/>
      <c r="BC181" s="15"/>
      <c r="BD181" s="15"/>
      <c r="BE181" s="12"/>
      <c r="BF181" s="11"/>
      <c r="BG181" s="11"/>
      <c r="BH181" s="10"/>
      <c r="BI181" s="10"/>
      <c r="BJ181" s="10"/>
      <c r="BK181" s="23"/>
      <c r="BL181" s="23"/>
      <c r="BM181" s="23"/>
      <c r="BN181" s="23"/>
      <c r="BO181" s="23"/>
      <c r="BP181" s="23"/>
      <c r="BQ181" s="23"/>
      <c r="BR181" s="10"/>
      <c r="BS181" s="16"/>
      <c r="BT181" s="16"/>
      <c r="BU181" s="16"/>
      <c r="BV181" s="16"/>
      <c r="BW181" s="11"/>
      <c r="BX181" s="16"/>
      <c r="BY181" s="16"/>
      <c r="BZ181" s="17"/>
      <c r="CA181" s="18"/>
      <c r="CB181" s="18"/>
      <c r="CC181" s="18"/>
      <c r="CD181" s="18"/>
      <c r="CE181" s="18"/>
      <c r="CF181" s="18"/>
      <c r="CG181" s="19"/>
      <c r="CH181" s="15"/>
      <c r="CI181" s="17"/>
      <c r="CJ181" s="10"/>
      <c r="CK181" s="10"/>
      <c r="CL181" s="10"/>
      <c r="CM181" s="17"/>
      <c r="CN181" s="17"/>
      <c r="CO181" s="10"/>
      <c r="CP181" s="10"/>
      <c r="CQ181" s="10"/>
      <c r="CR181" s="10"/>
      <c r="CS181" s="10"/>
      <c r="CT181" s="10"/>
      <c r="CU181" s="10"/>
      <c r="CV181" s="10"/>
      <c r="CW181" s="10"/>
      <c r="CX181" s="10"/>
      <c r="CY181" s="10"/>
      <c r="CZ181" s="10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  <c r="EE181" s="34"/>
    </row>
    <row r="182" spans="1:135" customFormat="1">
      <c r="A182" s="71">
        <f>'Old Data'!$I178-'Old Data'!$S178</f>
        <v>319</v>
      </c>
      <c r="B182" s="72">
        <f>VLOOKUP('Old Data'!$F178,$R$6:$T$135,2,FALSE)+VLOOKUP('Old Data'!$P178,$R$6:$T$135,3,FALSE)+$B$2</f>
        <v>186.1199891106989</v>
      </c>
      <c r="C182" s="72">
        <f>VLOOKUP('Old Data'!$P178,$R$6:$T$135,2,FALSE)+VLOOKUP('Old Data'!$F178,$R$6:$T$135,3,FALSE)+$B$2</f>
        <v>88.342723389738083</v>
      </c>
      <c r="D182" s="74">
        <f>('Old Data'!$I178-$B182)^2+('Old Data'!$S178-$C182)^2</f>
        <v>32224.517069821595</v>
      </c>
      <c r="E182" s="75">
        <f>'Old Data'!$K178-'Old Data'!$U178</f>
        <v>-131</v>
      </c>
      <c r="F182" s="72">
        <f>VLOOKUP('Old Data'!$F178,$V$6:$X$135,2,FALSE)+VLOOKUP('Old Data'!$P178,$V$6:$X$135,3,FALSE)+$C$2</f>
        <v>186.73695674053107</v>
      </c>
      <c r="G182" s="72">
        <f>VLOOKUP('Old Data'!$P178,$V$6:$X$135,2,FALSE)+VLOOKUP('Old Data'!$F178,$V$6:$X$135,3,FALSE)+$C$2</f>
        <v>209.77991589653561</v>
      </c>
      <c r="H182" s="74">
        <f>('Old Data'!$K178-$F182)^2+('Old Data'!$U178-$G182)^2</f>
        <v>5872.6467662911255</v>
      </c>
      <c r="I182" s="75">
        <f>('Old Data'!$L178+'Old Data'!$M178)-('Old Data'!$V178+'Old Data'!$W178)</f>
        <v>30</v>
      </c>
      <c r="J182" s="72">
        <f>VLOOKUP('Old Data'!$F178,$Z$6:$AB$135,2,FALSE)+VLOOKUP('Old Data'!$P178,$Z$6:$AB$135,3,FALSE)+$D$2</f>
        <v>56.823636622661795</v>
      </c>
      <c r="K182" s="72">
        <f>VLOOKUP('Old Data'!$P178,$Z$6:$AB$135,2,FALSE)+VLOOKUP('Old Data'!$F178,$Z$6:$AB$135,3,FALSE)+$D$2</f>
        <v>45.7137923155029</v>
      </c>
      <c r="L182" s="74">
        <f>('Old Data'!$L178+'Old Data'!$M178-$J182)^2+('Old Data'!$V178+'Old Data'!$W178-$K182)^2</f>
        <v>707.76113200294719</v>
      </c>
      <c r="M182" s="75">
        <f>'Old Data'!$N178-'Old Data'!$X178</f>
        <v>4</v>
      </c>
      <c r="N182" s="72">
        <f>VLOOKUP('Old Data'!$F178,$AD$6:$AF$135,2,FALSE)+VLOOKUP('Old Data'!$P178,$AD$6:$AF$135,3,FALSE)+$E$2</f>
        <v>1.5359887778479075</v>
      </c>
      <c r="O182" s="72">
        <f>VLOOKUP('Old Data'!$P178,$AD$6:$AF$135,2,FALSE)+VLOOKUP('Old Data'!$F178,$AD$6:$AF$135,3,FALSE)+$E$2</f>
        <v>1.6107427840810953</v>
      </c>
      <c r="P182" s="73">
        <f>('Old Data'!$N178-$N182)^2+('Old Data'!$X178-$O182)^2</f>
        <v>8.665843619360766</v>
      </c>
      <c r="Q182" s="62"/>
      <c r="R182" s="3"/>
      <c r="S182" s="3"/>
      <c r="T182" s="3"/>
      <c r="V182" s="3"/>
      <c r="W182" s="3"/>
      <c r="X182" s="3"/>
      <c r="Z182" s="3"/>
      <c r="AA182" s="3"/>
      <c r="AB182" s="3"/>
      <c r="AC182" s="3"/>
      <c r="AD182" s="3"/>
      <c r="AE182" s="3"/>
      <c r="AF182" s="3"/>
      <c r="AG182" s="3"/>
      <c r="AH182" s="37"/>
      <c r="AI182" s="1"/>
      <c r="AK182" s="10"/>
      <c r="AL182" s="10"/>
      <c r="AM182" s="10"/>
      <c r="AN182" s="11"/>
      <c r="AO182" s="11"/>
      <c r="AP182" s="11"/>
      <c r="AQ182" s="36"/>
      <c r="AR182" s="11"/>
      <c r="AS182" s="11"/>
      <c r="AT182" s="11"/>
      <c r="AU182" s="12"/>
      <c r="AV182" s="11"/>
      <c r="AW182" s="11"/>
      <c r="AX182" s="15"/>
      <c r="AY182" s="15"/>
      <c r="AZ182" s="15"/>
      <c r="BA182" s="15"/>
      <c r="BB182" s="15"/>
      <c r="BC182" s="15"/>
      <c r="BD182" s="15"/>
      <c r="BE182" s="12"/>
      <c r="BF182" s="11"/>
      <c r="BG182" s="11"/>
      <c r="BH182" s="10"/>
      <c r="BI182" s="10"/>
      <c r="BJ182" s="10"/>
      <c r="BK182" s="23"/>
      <c r="BL182" s="23"/>
      <c r="BM182" s="23"/>
      <c r="BN182" s="23"/>
      <c r="BO182" s="23"/>
      <c r="BP182" s="23"/>
      <c r="BQ182" s="23"/>
      <c r="BR182" s="10"/>
      <c r="BS182" s="16"/>
      <c r="BT182" s="16"/>
      <c r="BU182" s="16"/>
      <c r="BV182" s="16"/>
      <c r="BW182" s="11"/>
      <c r="BX182" s="16"/>
      <c r="BY182" s="16"/>
      <c r="BZ182" s="17"/>
      <c r="CA182" s="18"/>
      <c r="CB182" s="18"/>
      <c r="CC182" s="18"/>
      <c r="CD182" s="18"/>
      <c r="CE182" s="18"/>
      <c r="CF182" s="18"/>
      <c r="CG182" s="19"/>
      <c r="CH182" s="15"/>
      <c r="CI182" s="17"/>
      <c r="CJ182" s="10"/>
      <c r="CK182" s="10"/>
      <c r="CL182" s="10"/>
      <c r="CM182" s="17"/>
      <c r="CN182" s="17"/>
      <c r="CO182" s="10"/>
      <c r="CP182" s="10"/>
      <c r="CQ182" s="10"/>
      <c r="CR182" s="10"/>
      <c r="CS182" s="10"/>
      <c r="CT182" s="10"/>
      <c r="CU182" s="10"/>
      <c r="CV182" s="10"/>
      <c r="CW182" s="10"/>
      <c r="CX182" s="10"/>
      <c r="CY182" s="10"/>
      <c r="CZ182" s="10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  <c r="EE182" s="34"/>
    </row>
    <row r="183" spans="1:135" customFormat="1">
      <c r="A183" s="71">
        <f>'Old Data'!$I179-'Old Data'!$S179</f>
        <v>-128</v>
      </c>
      <c r="B183" s="72">
        <f>VLOOKUP('Old Data'!$F179,$R$6:$T$135,2,FALSE)+VLOOKUP('Old Data'!$P179,$R$6:$T$135,3,FALSE)+$B$2</f>
        <v>198.91100102967133</v>
      </c>
      <c r="C183" s="72">
        <f>VLOOKUP('Old Data'!$P179,$R$6:$T$135,2,FALSE)+VLOOKUP('Old Data'!$F179,$R$6:$T$135,3,FALSE)+$B$2</f>
        <v>185.7834798137396</v>
      </c>
      <c r="D183" s="74">
        <f>('Old Data'!$I179-$B183)^2+('Old Data'!$S179-$C183)^2</f>
        <v>12946.560268311508</v>
      </c>
      <c r="E183" s="75">
        <f>'Old Data'!$K179-'Old Data'!$U179</f>
        <v>-83</v>
      </c>
      <c r="F183" s="72">
        <f>VLOOKUP('Old Data'!$F179,$V$6:$X$135,2,FALSE)+VLOOKUP('Old Data'!$P179,$V$6:$X$135,3,FALSE)+$C$2</f>
        <v>181.55674359101653</v>
      </c>
      <c r="G183" s="72">
        <f>VLOOKUP('Old Data'!$P179,$V$6:$X$135,2,FALSE)+VLOOKUP('Old Data'!$F179,$V$6:$X$135,3,FALSE)+$C$2</f>
        <v>277.88778832727917</v>
      </c>
      <c r="H183" s="74">
        <f>('Old Data'!$K179-$F183)^2+('Old Data'!$U179-$G183)^2</f>
        <v>7342.301011388794</v>
      </c>
      <c r="I183" s="75">
        <f>('Old Data'!$L179+'Old Data'!$M179)-('Old Data'!$V179+'Old Data'!$W179)</f>
        <v>24</v>
      </c>
      <c r="J183" s="72">
        <f>VLOOKUP('Old Data'!$F179,$Z$6:$AB$135,2,FALSE)+VLOOKUP('Old Data'!$P179,$Z$6:$AB$135,3,FALSE)+$D$2</f>
        <v>77.480074348855652</v>
      </c>
      <c r="K183" s="72">
        <f>VLOOKUP('Old Data'!$P179,$Z$6:$AB$135,2,FALSE)+VLOOKUP('Old Data'!$F179,$Z$6:$AB$135,3,FALSE)+$D$2</f>
        <v>90.487100293978344</v>
      </c>
      <c r="L183" s="74">
        <f>('Old Data'!$L179+'Old Data'!$M179-$J183)^2+('Old Data'!$V179+'Old Data'!$W179-$K183)^2</f>
        <v>7642.8871312579404</v>
      </c>
      <c r="M183" s="75">
        <f>'Old Data'!$N179-'Old Data'!$X179</f>
        <v>-4</v>
      </c>
      <c r="N183" s="72">
        <f>VLOOKUP('Old Data'!$F179,$AD$6:$AF$135,2,FALSE)+VLOOKUP('Old Data'!$P179,$AD$6:$AF$135,3,FALSE)+$E$2</f>
        <v>1.5806135167832052</v>
      </c>
      <c r="O183" s="72">
        <f>VLOOKUP('Old Data'!$P179,$AD$6:$AF$135,2,FALSE)+VLOOKUP('Old Data'!$F179,$AD$6:$AF$135,3,FALSE)+$E$2</f>
        <v>1.5923049164089871</v>
      </c>
      <c r="P183" s="73">
        <f>('Old Data'!$N179-$N183)^2+('Old Data'!$X179-$O183)^2</f>
        <v>8.2953347049861055</v>
      </c>
      <c r="Q183" s="62"/>
      <c r="R183" s="3"/>
      <c r="S183" s="3"/>
      <c r="T183" s="3"/>
      <c r="V183" s="3"/>
      <c r="W183" s="3"/>
      <c r="X183" s="3"/>
      <c r="Z183" s="3"/>
      <c r="AA183" s="3"/>
      <c r="AB183" s="3"/>
      <c r="AC183" s="3"/>
      <c r="AD183" s="3"/>
      <c r="AE183" s="3"/>
      <c r="AF183" s="3"/>
      <c r="AG183" s="3"/>
      <c r="AH183" s="37"/>
      <c r="AI183" s="1"/>
      <c r="AK183" s="10"/>
      <c r="AL183" s="10"/>
      <c r="AM183" s="10"/>
      <c r="AN183" s="11"/>
      <c r="AO183" s="11"/>
      <c r="AP183" s="11"/>
      <c r="AQ183" s="36"/>
      <c r="AR183" s="11"/>
      <c r="AS183" s="11"/>
      <c r="AT183" s="11"/>
      <c r="AU183" s="12"/>
      <c r="AV183" s="11"/>
      <c r="AW183" s="11"/>
      <c r="AX183" s="15"/>
      <c r="AY183" s="15"/>
      <c r="AZ183" s="15"/>
      <c r="BA183" s="15"/>
      <c r="BB183" s="15"/>
      <c r="BC183" s="15"/>
      <c r="BD183" s="15"/>
      <c r="BE183" s="12"/>
      <c r="BF183" s="11"/>
      <c r="BG183" s="11"/>
      <c r="BH183" s="10"/>
      <c r="BI183" s="10"/>
      <c r="BJ183" s="10"/>
      <c r="BK183" s="23"/>
      <c r="BL183" s="23"/>
      <c r="BM183" s="23"/>
      <c r="BN183" s="23"/>
      <c r="BO183" s="23"/>
      <c r="BP183" s="23"/>
      <c r="BQ183" s="23"/>
      <c r="BR183" s="10"/>
      <c r="BS183" s="16"/>
      <c r="BT183" s="16"/>
      <c r="BU183" s="16"/>
      <c r="BV183" s="16"/>
      <c r="BW183" s="11"/>
      <c r="BX183" s="16"/>
      <c r="BY183" s="16"/>
      <c r="BZ183" s="17"/>
      <c r="CA183" s="18"/>
      <c r="CB183" s="18"/>
      <c r="CC183" s="18"/>
      <c r="CD183" s="18"/>
      <c r="CE183" s="18"/>
      <c r="CF183" s="18"/>
      <c r="CG183" s="19"/>
      <c r="CH183" s="15"/>
      <c r="CI183" s="17"/>
      <c r="CJ183" s="10"/>
      <c r="CK183" s="10"/>
      <c r="CL183" s="10"/>
      <c r="CM183" s="17"/>
      <c r="CN183" s="17"/>
      <c r="CO183" s="10"/>
      <c r="CP183" s="10"/>
      <c r="CQ183" s="10"/>
      <c r="CR183" s="10"/>
      <c r="CS183" s="10"/>
      <c r="CT183" s="10"/>
      <c r="CU183" s="10"/>
      <c r="CV183" s="10"/>
      <c r="CW183" s="10"/>
      <c r="CX183" s="10"/>
      <c r="CY183" s="10"/>
      <c r="CZ183" s="10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  <c r="DY183" s="34"/>
      <c r="DZ183" s="34"/>
      <c r="EA183" s="34"/>
      <c r="EB183" s="34"/>
      <c r="EC183" s="34"/>
      <c r="ED183" s="34"/>
      <c r="EE183" s="34"/>
    </row>
    <row r="184" spans="1:135" customFormat="1">
      <c r="A184" s="71">
        <f>'Old Data'!$I180-'Old Data'!$S180</f>
        <v>-225</v>
      </c>
      <c r="B184" s="72">
        <f>VLOOKUP('Old Data'!$F180,$R$6:$T$135,2,FALSE)+VLOOKUP('Old Data'!$P180,$R$6:$T$135,3,FALSE)+$B$2</f>
        <v>112.19803791436961</v>
      </c>
      <c r="C184" s="72">
        <f>VLOOKUP('Old Data'!$P180,$R$6:$T$135,2,FALSE)+VLOOKUP('Old Data'!$F180,$R$6:$T$135,3,FALSE)+$B$2</f>
        <v>294.60987710987058</v>
      </c>
      <c r="D184" s="74">
        <f>('Old Data'!$I180-$B184)^2+('Old Data'!$S180-$C184)^2</f>
        <v>1561.8092278012432</v>
      </c>
      <c r="E184" s="75">
        <f>'Old Data'!$K180-'Old Data'!$U180</f>
        <v>-82</v>
      </c>
      <c r="F184" s="72">
        <f>VLOOKUP('Old Data'!$F180,$V$6:$X$135,2,FALSE)+VLOOKUP('Old Data'!$P180,$V$6:$X$135,3,FALSE)+$C$2</f>
        <v>185.6482442119956</v>
      </c>
      <c r="G184" s="72">
        <f>VLOOKUP('Old Data'!$P180,$V$6:$X$135,2,FALSE)+VLOOKUP('Old Data'!$F180,$V$6:$X$135,3,FALSE)+$C$2</f>
        <v>254.71589740196919</v>
      </c>
      <c r="H184" s="74">
        <f>('Old Data'!$K180-$F184)^2+('Old Data'!$U180-$G184)^2</f>
        <v>3415.8294842197975</v>
      </c>
      <c r="I184" s="75">
        <f>('Old Data'!$L180+'Old Data'!$M180)-('Old Data'!$V180+'Old Data'!$W180)</f>
        <v>253</v>
      </c>
      <c r="J184" s="72">
        <f>VLOOKUP('Old Data'!$F180,$Z$6:$AB$135,2,FALSE)+VLOOKUP('Old Data'!$P180,$Z$6:$AB$135,3,FALSE)+$D$2</f>
        <v>164.95774981134008</v>
      </c>
      <c r="K184" s="72">
        <f>VLOOKUP('Old Data'!$P180,$Z$6:$AB$135,2,FALSE)+VLOOKUP('Old Data'!$F180,$Z$6:$AB$135,3,FALSE)+$D$2</f>
        <v>49.254742751846898</v>
      </c>
      <c r="L184" s="74">
        <f>('Old Data'!$L180+'Old Data'!$M180-$J184)^2+('Old Data'!$V180+'Old Data'!$W180-$K184)^2</f>
        <v>17718.343171146375</v>
      </c>
      <c r="M184" s="75">
        <f>'Old Data'!$N180-'Old Data'!$X180</f>
        <v>0</v>
      </c>
      <c r="N184" s="72">
        <f>VLOOKUP('Old Data'!$F180,$AD$6:$AF$135,2,FALSE)+VLOOKUP('Old Data'!$P180,$AD$6:$AF$135,3,FALSE)+$E$2</f>
        <v>1.8698861255336581</v>
      </c>
      <c r="O184" s="72">
        <f>VLOOKUP('Old Data'!$P180,$AD$6:$AF$135,2,FALSE)+VLOOKUP('Old Data'!$F180,$AD$6:$AF$135,3,FALSE)+$E$2</f>
        <v>1.5562051350138981</v>
      </c>
      <c r="P184" s="73">
        <f>('Old Data'!$N180-$N184)^2+('Old Data'!$X180-$O184)^2</f>
        <v>1.0660660236117878</v>
      </c>
      <c r="Q184" s="62"/>
      <c r="R184" s="3"/>
      <c r="S184" s="3"/>
      <c r="T184" s="3"/>
      <c r="V184" s="3"/>
      <c r="W184" s="3"/>
      <c r="X184" s="3"/>
      <c r="Z184" s="3"/>
      <c r="AA184" s="3"/>
      <c r="AB184" s="3"/>
      <c r="AC184" s="3"/>
      <c r="AD184" s="3"/>
      <c r="AE184" s="3"/>
      <c r="AF184" s="3"/>
      <c r="AG184" s="3"/>
      <c r="AH184" s="37"/>
      <c r="AI184" s="1"/>
      <c r="AK184" s="10"/>
      <c r="AL184" s="10"/>
      <c r="AM184" s="10"/>
      <c r="AN184" s="11"/>
      <c r="AO184" s="11"/>
      <c r="AP184" s="11"/>
      <c r="AQ184" s="36"/>
      <c r="AR184" s="11"/>
      <c r="AS184" s="11"/>
      <c r="AT184" s="11"/>
      <c r="AU184" s="12"/>
      <c r="AV184" s="11"/>
      <c r="AW184" s="11"/>
      <c r="AX184" s="15"/>
      <c r="AY184" s="15"/>
      <c r="AZ184" s="15"/>
      <c r="BA184" s="15"/>
      <c r="BB184" s="15"/>
      <c r="BC184" s="15"/>
      <c r="BD184" s="15"/>
      <c r="BE184" s="12"/>
      <c r="BF184" s="11"/>
      <c r="BG184" s="11"/>
      <c r="BH184" s="10"/>
      <c r="BI184" s="10"/>
      <c r="BJ184" s="10"/>
      <c r="BK184" s="23"/>
      <c r="BL184" s="23"/>
      <c r="BM184" s="23"/>
      <c r="BN184" s="23"/>
      <c r="BO184" s="23"/>
      <c r="BP184" s="23"/>
      <c r="BQ184" s="23"/>
      <c r="BR184" s="10"/>
      <c r="BS184" s="16"/>
      <c r="BT184" s="16"/>
      <c r="BU184" s="16"/>
      <c r="BV184" s="16"/>
      <c r="BW184" s="11"/>
      <c r="BX184" s="16"/>
      <c r="BY184" s="16"/>
      <c r="BZ184" s="17"/>
      <c r="CA184" s="18"/>
      <c r="CB184" s="18"/>
      <c r="CC184" s="18"/>
      <c r="CD184" s="18"/>
      <c r="CE184" s="18"/>
      <c r="CF184" s="18"/>
      <c r="CG184" s="19"/>
      <c r="CH184" s="15"/>
      <c r="CI184" s="17"/>
      <c r="CJ184" s="10"/>
      <c r="CK184" s="10"/>
      <c r="CL184" s="10"/>
      <c r="CM184" s="17"/>
      <c r="CN184" s="17"/>
      <c r="CO184" s="10"/>
      <c r="CP184" s="10"/>
      <c r="CQ184" s="10"/>
      <c r="CR184" s="10"/>
      <c r="CS184" s="10"/>
      <c r="CT184" s="10"/>
      <c r="CU184" s="10"/>
      <c r="CV184" s="10"/>
      <c r="CW184" s="10"/>
      <c r="CX184" s="10"/>
      <c r="CY184" s="10"/>
      <c r="CZ184" s="10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  <c r="DY184" s="34"/>
      <c r="DZ184" s="34"/>
      <c r="EA184" s="34"/>
      <c r="EB184" s="34"/>
      <c r="EC184" s="34"/>
      <c r="ED184" s="34"/>
      <c r="EE184" s="34"/>
    </row>
    <row r="185" spans="1:135" customFormat="1">
      <c r="A185" s="71">
        <f>'Old Data'!$I181-'Old Data'!$S181</f>
        <v>-186</v>
      </c>
      <c r="B185" s="72">
        <f>VLOOKUP('Old Data'!$F181,$R$6:$T$135,2,FALSE)+VLOOKUP('Old Data'!$P181,$R$6:$T$135,3,FALSE)+$B$2</f>
        <v>145.98025453541402</v>
      </c>
      <c r="C185" s="72">
        <f>VLOOKUP('Old Data'!$P181,$R$6:$T$135,2,FALSE)+VLOOKUP('Old Data'!$F181,$R$6:$T$135,3,FALSE)+$B$2</f>
        <v>323.13320412811089</v>
      </c>
      <c r="D185" s="74">
        <f>('Old Data'!$I181-$B185)^2+('Old Data'!$S181-$C185)^2</f>
        <v>2711.924069326164</v>
      </c>
      <c r="E185" s="75">
        <f>'Old Data'!$K181-'Old Data'!$U181</f>
        <v>114</v>
      </c>
      <c r="F185" s="72">
        <f>VLOOKUP('Old Data'!$F181,$V$6:$X$135,2,FALSE)+VLOOKUP('Old Data'!$P181,$V$6:$X$135,3,FALSE)+$C$2</f>
        <v>280.13464481235337</v>
      </c>
      <c r="G185" s="72">
        <f>VLOOKUP('Old Data'!$P181,$V$6:$X$135,2,FALSE)+VLOOKUP('Old Data'!$F181,$V$6:$X$135,3,FALSE)+$C$2</f>
        <v>96.782537459289955</v>
      </c>
      <c r="H185" s="74">
        <f>('Old Data'!$K181-$F185)^2+('Old Data'!$U181-$G185)^2</f>
        <v>7297.1618714361712</v>
      </c>
      <c r="I185" s="75">
        <f>('Old Data'!$L181+'Old Data'!$M181)-('Old Data'!$V181+'Old Data'!$W181)</f>
        <v>149</v>
      </c>
      <c r="J185" s="72">
        <f>VLOOKUP('Old Data'!$F181,$Z$6:$AB$135,2,FALSE)+VLOOKUP('Old Data'!$P181,$Z$6:$AB$135,3,FALSE)+$D$2</f>
        <v>117.0512331934661</v>
      </c>
      <c r="K185" s="72">
        <f>VLOOKUP('Old Data'!$P181,$Z$6:$AB$135,2,FALSE)+VLOOKUP('Old Data'!$F181,$Z$6:$AB$135,3,FALSE)+$D$2</f>
        <v>14.616493754464365</v>
      </c>
      <c r="L185" s="74">
        <f>('Old Data'!$L181+'Old Data'!$M181-$J185)^2+('Old Data'!$V181+'Old Data'!$W181-$K185)^2</f>
        <v>6422.9410726105571</v>
      </c>
      <c r="M185" s="75">
        <f>'Old Data'!$N181-'Old Data'!$X181</f>
        <v>1</v>
      </c>
      <c r="N185" s="72">
        <f>VLOOKUP('Old Data'!$F181,$AD$6:$AF$135,2,FALSE)+VLOOKUP('Old Data'!$P181,$AD$6:$AF$135,3,FALSE)+$E$2</f>
        <v>1.4146366492654385</v>
      </c>
      <c r="O185" s="72">
        <f>VLOOKUP('Old Data'!$P181,$AD$6:$AF$135,2,FALSE)+VLOOKUP('Old Data'!$F181,$AD$6:$AF$135,3,FALSE)+$E$2</f>
        <v>1.6221480760175462</v>
      </c>
      <c r="P185" s="73">
        <f>('Old Data'!$N181-$N185)^2+('Old Data'!$X181-$O185)^2</f>
        <v>0.72971848087552771</v>
      </c>
      <c r="Q185" s="62"/>
      <c r="R185" s="3"/>
      <c r="S185" s="3"/>
      <c r="T185" s="3"/>
      <c r="V185" s="3"/>
      <c r="W185" s="3"/>
      <c r="X185" s="3"/>
      <c r="Z185" s="3"/>
      <c r="AA185" s="3"/>
      <c r="AB185" s="3"/>
      <c r="AC185" s="3"/>
      <c r="AD185" s="3"/>
      <c r="AE185" s="3"/>
      <c r="AF185" s="3"/>
      <c r="AG185" s="3"/>
      <c r="AH185" s="37"/>
      <c r="AI185" s="1"/>
      <c r="AK185" s="10"/>
      <c r="AL185" s="10"/>
      <c r="AM185" s="10"/>
      <c r="AN185" s="11"/>
      <c r="AO185" s="11"/>
      <c r="AP185" s="11"/>
      <c r="AQ185" s="36"/>
      <c r="AR185" s="11"/>
      <c r="AS185" s="11"/>
      <c r="AT185" s="11"/>
      <c r="AU185" s="12"/>
      <c r="AV185" s="11"/>
      <c r="AW185" s="11"/>
      <c r="AX185" s="15"/>
      <c r="AY185" s="15"/>
      <c r="AZ185" s="15"/>
      <c r="BA185" s="15"/>
      <c r="BB185" s="15"/>
      <c r="BC185" s="15"/>
      <c r="BD185" s="15"/>
      <c r="BE185" s="12"/>
      <c r="BF185" s="11"/>
      <c r="BG185" s="11"/>
      <c r="BH185" s="10"/>
      <c r="BI185" s="10"/>
      <c r="BJ185" s="10"/>
      <c r="BK185" s="23"/>
      <c r="BL185" s="23"/>
      <c r="BM185" s="23"/>
      <c r="BN185" s="23"/>
      <c r="BO185" s="23"/>
      <c r="BP185" s="23"/>
      <c r="BQ185" s="23"/>
      <c r="BR185" s="10"/>
      <c r="BS185" s="16"/>
      <c r="BT185" s="16"/>
      <c r="BU185" s="16"/>
      <c r="BV185" s="16"/>
      <c r="BW185" s="11"/>
      <c r="BX185" s="16"/>
      <c r="BY185" s="16"/>
      <c r="BZ185" s="17"/>
      <c r="CA185" s="18"/>
      <c r="CB185" s="18"/>
      <c r="CC185" s="18"/>
      <c r="CD185" s="18"/>
      <c r="CE185" s="18"/>
      <c r="CF185" s="18"/>
      <c r="CG185" s="19"/>
      <c r="CH185" s="15"/>
      <c r="CI185" s="17"/>
      <c r="CJ185" s="10"/>
      <c r="CK185" s="10"/>
      <c r="CL185" s="10"/>
      <c r="CM185" s="17"/>
      <c r="CN185" s="17"/>
      <c r="CO185" s="10"/>
      <c r="CP185" s="10"/>
      <c r="CQ185" s="10"/>
      <c r="CR185" s="10"/>
      <c r="CS185" s="10"/>
      <c r="CT185" s="10"/>
      <c r="CU185" s="10"/>
      <c r="CV185" s="10"/>
      <c r="CW185" s="10"/>
      <c r="CX185" s="10"/>
      <c r="CY185" s="10"/>
      <c r="CZ185" s="10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  <c r="DY185" s="34"/>
      <c r="DZ185" s="34"/>
      <c r="EA185" s="34"/>
      <c r="EB185" s="34"/>
      <c r="EC185" s="34"/>
      <c r="ED185" s="34"/>
      <c r="EE185" s="34"/>
    </row>
    <row r="186" spans="1:135" customFormat="1">
      <c r="A186" s="71">
        <f>'Old Data'!$I182-'Old Data'!$S182</f>
        <v>284</v>
      </c>
      <c r="B186" s="72">
        <f>VLOOKUP('Old Data'!$F182,$R$6:$T$135,2,FALSE)+VLOOKUP('Old Data'!$P182,$R$6:$T$135,3,FALSE)+$B$2</f>
        <v>335.06495911717042</v>
      </c>
      <c r="C186" s="72">
        <f>VLOOKUP('Old Data'!$P182,$R$6:$T$135,2,FALSE)+VLOOKUP('Old Data'!$F182,$R$6:$T$135,3,FALSE)+$B$2</f>
        <v>37.834798107557305</v>
      </c>
      <c r="D186" s="74">
        <f>('Old Data'!$I182-$B186)^2+('Old Data'!$S182-$C186)^2</f>
        <v>5822.7495814312751</v>
      </c>
      <c r="E186" s="75">
        <f>'Old Data'!$K182-'Old Data'!$U182</f>
        <v>-149</v>
      </c>
      <c r="F186" s="72">
        <f>VLOOKUP('Old Data'!$F182,$V$6:$X$135,2,FALSE)+VLOOKUP('Old Data'!$P182,$V$6:$X$135,3,FALSE)+$C$2</f>
        <v>145.23785861194867</v>
      </c>
      <c r="G186" s="72">
        <f>VLOOKUP('Old Data'!$P182,$V$6:$X$135,2,FALSE)+VLOOKUP('Old Data'!$F182,$V$6:$X$135,3,FALSE)+$C$2</f>
        <v>319.3182373843253</v>
      </c>
      <c r="H186" s="74">
        <f>('Old Data'!$K182-$F186)^2+('Old Data'!$U182-$G186)^2</f>
        <v>1748.6404088639965</v>
      </c>
      <c r="I186" s="75">
        <f>('Old Data'!$L182+'Old Data'!$M182)-('Old Data'!$V182+'Old Data'!$W182)</f>
        <v>11</v>
      </c>
      <c r="J186" s="72">
        <f>VLOOKUP('Old Data'!$F182,$Z$6:$AB$135,2,FALSE)+VLOOKUP('Old Data'!$P182,$Z$6:$AB$135,3,FALSE)+$D$2</f>
        <v>20.697393917987597</v>
      </c>
      <c r="K186" s="72">
        <f>VLOOKUP('Old Data'!$P182,$Z$6:$AB$135,2,FALSE)+VLOOKUP('Old Data'!$F182,$Z$6:$AB$135,3,FALSE)+$D$2</f>
        <v>49.981148808719993</v>
      </c>
      <c r="L186" s="74">
        <f>('Old Data'!$L182+'Old Data'!$M182-$J186)^2+('Old Data'!$V182+'Old Data'!$W182-$K186)^2</f>
        <v>2592.1546850400346</v>
      </c>
      <c r="M186" s="75">
        <f>'Old Data'!$N182-'Old Data'!$X182</f>
        <v>-2</v>
      </c>
      <c r="N186" s="72">
        <f>VLOOKUP('Old Data'!$F182,$AD$6:$AF$135,2,FALSE)+VLOOKUP('Old Data'!$P182,$AD$6:$AF$135,3,FALSE)+$E$2</f>
        <v>0.7752575324431572</v>
      </c>
      <c r="O186" s="72">
        <f>VLOOKUP('Old Data'!$P182,$AD$6:$AF$135,2,FALSE)+VLOOKUP('Old Data'!$F182,$AD$6:$AF$135,3,FALSE)+$E$2</f>
        <v>1.7365455871384097</v>
      </c>
      <c r="P186" s="73">
        <f>('Old Data'!$N182-$N186)^2+('Old Data'!$X182-$O186)^2</f>
        <v>0.67043246926609823</v>
      </c>
      <c r="Q186" s="62"/>
      <c r="R186" s="3"/>
      <c r="S186" s="3"/>
      <c r="T186" s="3"/>
      <c r="V186" s="3"/>
      <c r="W186" s="3"/>
      <c r="X186" s="3"/>
      <c r="Z186" s="3"/>
      <c r="AA186" s="3"/>
      <c r="AB186" s="3"/>
      <c r="AC186" s="3"/>
      <c r="AD186" s="3"/>
      <c r="AE186" s="3"/>
      <c r="AF186" s="3"/>
      <c r="AG186" s="3"/>
      <c r="AH186" s="37"/>
      <c r="AI186" s="1"/>
      <c r="AK186" s="10"/>
      <c r="AL186" s="10"/>
      <c r="AM186" s="10"/>
      <c r="AN186" s="11"/>
      <c r="AO186" s="11"/>
      <c r="AP186" s="11"/>
      <c r="AQ186" s="36"/>
      <c r="AR186" s="11"/>
      <c r="AS186" s="11"/>
      <c r="AT186" s="11"/>
      <c r="AU186" s="12"/>
      <c r="AV186" s="11"/>
      <c r="AW186" s="11"/>
      <c r="AX186" s="15"/>
      <c r="AY186" s="15"/>
      <c r="AZ186" s="15"/>
      <c r="BA186" s="15"/>
      <c r="BB186" s="15"/>
      <c r="BC186" s="15"/>
      <c r="BD186" s="15"/>
      <c r="BE186" s="12"/>
      <c r="BF186" s="11"/>
      <c r="BG186" s="11"/>
      <c r="BH186" s="10"/>
      <c r="BI186" s="10"/>
      <c r="BJ186" s="10"/>
      <c r="BK186" s="23"/>
      <c r="BL186" s="23"/>
      <c r="BM186" s="23"/>
      <c r="BN186" s="23"/>
      <c r="BO186" s="23"/>
      <c r="BP186" s="23"/>
      <c r="BQ186" s="23"/>
      <c r="BR186" s="10"/>
      <c r="BS186" s="16"/>
      <c r="BT186" s="16"/>
      <c r="BU186" s="16"/>
      <c r="BV186" s="16"/>
      <c r="BW186" s="11"/>
      <c r="BX186" s="16"/>
      <c r="BY186" s="16"/>
      <c r="BZ186" s="17"/>
      <c r="CA186" s="18"/>
      <c r="CB186" s="18"/>
      <c r="CC186" s="18"/>
      <c r="CD186" s="18"/>
      <c r="CE186" s="18"/>
      <c r="CF186" s="18"/>
      <c r="CG186" s="19"/>
      <c r="CH186" s="15"/>
      <c r="CI186" s="17"/>
      <c r="CJ186" s="10"/>
      <c r="CK186" s="10"/>
      <c r="CL186" s="10"/>
      <c r="CM186" s="17"/>
      <c r="CN186" s="17"/>
      <c r="CO186" s="10"/>
      <c r="CP186" s="10"/>
      <c r="CQ186" s="10"/>
      <c r="CR186" s="10"/>
      <c r="CS186" s="10"/>
      <c r="CT186" s="10"/>
      <c r="CU186" s="10"/>
      <c r="CV186" s="10"/>
      <c r="CW186" s="10"/>
      <c r="CX186" s="10"/>
      <c r="CY186" s="10"/>
      <c r="CZ186" s="10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  <c r="DY186" s="34"/>
      <c r="DZ186" s="34"/>
      <c r="EA186" s="34"/>
      <c r="EB186" s="34"/>
      <c r="EC186" s="34"/>
      <c r="ED186" s="34"/>
      <c r="EE186" s="34"/>
    </row>
    <row r="187" spans="1:135" customFormat="1">
      <c r="A187" s="71">
        <f>'Old Data'!$I183-'Old Data'!$S183</f>
        <v>-86</v>
      </c>
      <c r="B187" s="72">
        <f>VLOOKUP('Old Data'!$F183,$R$6:$T$135,2,FALSE)+VLOOKUP('Old Data'!$P183,$R$6:$T$135,3,FALSE)+$B$2</f>
        <v>99.382986870357499</v>
      </c>
      <c r="C187" s="72">
        <f>VLOOKUP('Old Data'!$P183,$R$6:$T$135,2,FALSE)+VLOOKUP('Old Data'!$F183,$R$6:$T$135,3,FALSE)+$B$2</f>
        <v>112.00045953487451</v>
      </c>
      <c r="D187" s="74">
        <f>('Old Data'!$I183-$B187)^2+('Old Data'!$S183-$C187)^2</f>
        <v>6272.4782301995765</v>
      </c>
      <c r="E187" s="75">
        <f>'Old Data'!$K183-'Old Data'!$U183</f>
        <v>-34</v>
      </c>
      <c r="F187" s="72">
        <f>VLOOKUP('Old Data'!$F183,$V$6:$X$135,2,FALSE)+VLOOKUP('Old Data'!$P183,$V$6:$X$135,3,FALSE)+$C$2</f>
        <v>191.61295944982379</v>
      </c>
      <c r="G187" s="72">
        <f>VLOOKUP('Old Data'!$P183,$V$6:$X$135,2,FALSE)+VLOOKUP('Old Data'!$F183,$V$6:$X$135,3,FALSE)+$C$2</f>
        <v>246.97933363250013</v>
      </c>
      <c r="H187" s="74">
        <f>('Old Data'!$K183-$F187)^2+('Old Data'!$U183-$G187)^2</f>
        <v>7989.8807206129195</v>
      </c>
      <c r="I187" s="75">
        <f>('Old Data'!$L183+'Old Data'!$M183)-('Old Data'!$V183+'Old Data'!$W183)</f>
        <v>-47</v>
      </c>
      <c r="J187" s="72">
        <f>VLOOKUP('Old Data'!$F183,$Z$6:$AB$135,2,FALSE)+VLOOKUP('Old Data'!$P183,$Z$6:$AB$135,3,FALSE)+$D$2</f>
        <v>48.866241846330496</v>
      </c>
      <c r="K187" s="72">
        <f>VLOOKUP('Old Data'!$P183,$Z$6:$AB$135,2,FALSE)+VLOOKUP('Old Data'!$F183,$Z$6:$AB$135,3,FALSE)+$D$2</f>
        <v>62.531682408903876</v>
      </c>
      <c r="L187" s="74">
        <f>('Old Data'!$L183+'Old Data'!$M183-$J187)^2+('Old Data'!$V183+'Old Data'!$W183-$K187)^2</f>
        <v>747.71711319542851</v>
      </c>
      <c r="M187" s="75">
        <f>'Old Data'!$N183-'Old Data'!$X183</f>
        <v>0</v>
      </c>
      <c r="N187" s="72">
        <f>VLOOKUP('Old Data'!$F183,$AD$6:$AF$135,2,FALSE)+VLOOKUP('Old Data'!$P183,$AD$6:$AF$135,3,FALSE)+$E$2</f>
        <v>1.23185032294435</v>
      </c>
      <c r="O187" s="72">
        <f>VLOOKUP('Old Data'!$P183,$AD$6:$AF$135,2,FALSE)+VLOOKUP('Old Data'!$F183,$AD$6:$AF$135,3,FALSE)+$E$2</f>
        <v>1.3551452747067441</v>
      </c>
      <c r="P187" s="73">
        <f>('Old Data'!$N183-$N187)^2+('Old Data'!$X183-$O187)^2</f>
        <v>0.17988273839592811</v>
      </c>
      <c r="Q187" s="62"/>
      <c r="R187" s="3"/>
      <c r="S187" s="3"/>
      <c r="T187" s="3"/>
      <c r="V187" s="3"/>
      <c r="W187" s="3"/>
      <c r="X187" s="3"/>
      <c r="Z187" s="3"/>
      <c r="AA187" s="3"/>
      <c r="AB187" s="3"/>
      <c r="AC187" s="3"/>
      <c r="AD187" s="3"/>
      <c r="AE187" s="3"/>
      <c r="AF187" s="3"/>
      <c r="AG187" s="3"/>
      <c r="AH187" s="37"/>
      <c r="AI187" s="1"/>
      <c r="AK187" s="10"/>
      <c r="AL187" s="10"/>
      <c r="AM187" s="10"/>
      <c r="AN187" s="11"/>
      <c r="AO187" s="11"/>
      <c r="AP187" s="11"/>
      <c r="AQ187" s="36"/>
      <c r="AR187" s="11"/>
      <c r="AS187" s="11"/>
      <c r="AT187" s="11"/>
      <c r="AU187" s="12"/>
      <c r="AV187" s="11"/>
      <c r="AW187" s="11"/>
      <c r="AX187" s="15"/>
      <c r="AY187" s="15"/>
      <c r="AZ187" s="15"/>
      <c r="BA187" s="15"/>
      <c r="BB187" s="15"/>
      <c r="BC187" s="15"/>
      <c r="BD187" s="15"/>
      <c r="BE187" s="12"/>
      <c r="BF187" s="11"/>
      <c r="BG187" s="11"/>
      <c r="BH187" s="10"/>
      <c r="BI187" s="10"/>
      <c r="BJ187" s="10"/>
      <c r="BK187" s="23"/>
      <c r="BL187" s="23"/>
      <c r="BM187" s="23"/>
      <c r="BN187" s="23"/>
      <c r="BO187" s="23"/>
      <c r="BP187" s="23"/>
      <c r="BQ187" s="23"/>
      <c r="BR187" s="10"/>
      <c r="BS187" s="16"/>
      <c r="BT187" s="16"/>
      <c r="BU187" s="16"/>
      <c r="BV187" s="16"/>
      <c r="BW187" s="11"/>
      <c r="BX187" s="16"/>
      <c r="BY187" s="16"/>
      <c r="BZ187" s="17"/>
      <c r="CA187" s="18"/>
      <c r="CB187" s="18"/>
      <c r="CC187" s="18"/>
      <c r="CD187" s="18"/>
      <c r="CE187" s="18"/>
      <c r="CF187" s="18"/>
      <c r="CG187" s="19"/>
      <c r="CH187" s="15"/>
      <c r="CI187" s="17"/>
      <c r="CJ187" s="10"/>
      <c r="CK187" s="10"/>
      <c r="CL187" s="10"/>
      <c r="CM187" s="17"/>
      <c r="CN187" s="17"/>
      <c r="CO187" s="10"/>
      <c r="CP187" s="10"/>
      <c r="CQ187" s="10"/>
      <c r="CR187" s="10"/>
      <c r="CS187" s="10"/>
      <c r="CT187" s="10"/>
      <c r="CU187" s="10"/>
      <c r="CV187" s="10"/>
      <c r="CW187" s="10"/>
      <c r="CX187" s="10"/>
      <c r="CY187" s="10"/>
      <c r="CZ187" s="10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  <c r="DY187" s="34"/>
      <c r="DZ187" s="34"/>
      <c r="EA187" s="34"/>
      <c r="EB187" s="34"/>
      <c r="EC187" s="34"/>
      <c r="ED187" s="34"/>
      <c r="EE187" s="34"/>
    </row>
    <row r="188" spans="1:135" customFormat="1">
      <c r="A188" s="71">
        <f>'Old Data'!$I184-'Old Data'!$S184</f>
        <v>-141</v>
      </c>
      <c r="B188" s="72">
        <f>VLOOKUP('Old Data'!$F184,$R$6:$T$135,2,FALSE)+VLOOKUP('Old Data'!$P184,$R$6:$T$135,3,FALSE)+$B$2</f>
        <v>113.47492933606141</v>
      </c>
      <c r="C188" s="72">
        <f>VLOOKUP('Old Data'!$P184,$R$6:$T$135,2,FALSE)+VLOOKUP('Old Data'!$F184,$R$6:$T$135,3,FALSE)+$B$2</f>
        <v>235.5950607119465</v>
      </c>
      <c r="D188" s="74">
        <f>('Old Data'!$I184-$B188)^2+('Old Data'!$S184-$C188)^2</f>
        <v>4056.3862931600252</v>
      </c>
      <c r="E188" s="75">
        <f>'Old Data'!$K184-'Old Data'!$U184</f>
        <v>-353</v>
      </c>
      <c r="F188" s="72">
        <f>VLOOKUP('Old Data'!$F184,$V$6:$X$135,2,FALSE)+VLOOKUP('Old Data'!$P184,$V$6:$X$135,3,FALSE)+$C$2</f>
        <v>186.71571542284698</v>
      </c>
      <c r="G188" s="72">
        <f>VLOOKUP('Old Data'!$P184,$V$6:$X$135,2,FALSE)+VLOOKUP('Old Data'!$F184,$V$6:$X$135,3,FALSE)+$C$2</f>
        <v>264.03186965951147</v>
      </c>
      <c r="H188" s="74">
        <f>('Old Data'!$K184-$F188)^2+('Old Data'!$U184-$G188)^2</f>
        <v>38732.415030946984</v>
      </c>
      <c r="I188" s="75">
        <f>('Old Data'!$L184+'Old Data'!$M184)-('Old Data'!$V184+'Old Data'!$W184)</f>
        <v>-37</v>
      </c>
      <c r="J188" s="72">
        <f>VLOOKUP('Old Data'!$F184,$Z$6:$AB$135,2,FALSE)+VLOOKUP('Old Data'!$P184,$Z$6:$AB$135,3,FALSE)+$D$2</f>
        <v>69.499575543358304</v>
      </c>
      <c r="K188" s="72">
        <f>VLOOKUP('Old Data'!$P184,$Z$6:$AB$135,2,FALSE)+VLOOKUP('Old Data'!$F184,$Z$6:$AB$135,3,FALSE)+$D$2</f>
        <v>91.785825198159927</v>
      </c>
      <c r="L188" s="74">
        <f>('Old Data'!$L184+'Old Data'!$M184-$J188)^2+('Old Data'!$V184+'Old Data'!$W184-$K188)^2</f>
        <v>240.85436326633396</v>
      </c>
      <c r="M188" s="75">
        <f>'Old Data'!$N184-'Old Data'!$X184</f>
        <v>-2</v>
      </c>
      <c r="N188" s="72">
        <f>VLOOKUP('Old Data'!$F184,$AD$6:$AF$135,2,FALSE)+VLOOKUP('Old Data'!$P184,$AD$6:$AF$135,3,FALSE)+$E$2</f>
        <v>1.0842908511393952</v>
      </c>
      <c r="O188" s="72">
        <f>VLOOKUP('Old Data'!$P184,$AD$6:$AF$135,2,FALSE)+VLOOKUP('Old Data'!$F184,$AD$6:$AF$135,3,FALSE)+$E$2</f>
        <v>2.146902449275637</v>
      </c>
      <c r="P188" s="73">
        <f>('Old Data'!$N184-$N188)^2+('Old Data'!$X184-$O188)^2</f>
        <v>0.73488037863771083</v>
      </c>
      <c r="Q188" s="62"/>
      <c r="R188" s="3"/>
      <c r="S188" s="3"/>
      <c r="T188" s="3"/>
      <c r="V188" s="3"/>
      <c r="W188" s="3"/>
      <c r="X188" s="3"/>
      <c r="Z188" s="3"/>
      <c r="AA188" s="3"/>
      <c r="AB188" s="3"/>
      <c r="AC188" s="3"/>
      <c r="AD188" s="3"/>
      <c r="AE188" s="3"/>
      <c r="AF188" s="3"/>
      <c r="AG188" s="3"/>
      <c r="AH188" s="37"/>
      <c r="AI188" s="1"/>
      <c r="AK188" s="10"/>
      <c r="AL188" s="10"/>
      <c r="AM188" s="10"/>
      <c r="AN188" s="11"/>
      <c r="AO188" s="11"/>
      <c r="AP188" s="11"/>
      <c r="AQ188" s="36"/>
      <c r="AR188" s="11"/>
      <c r="AS188" s="11"/>
      <c r="AT188" s="11"/>
      <c r="AU188" s="12"/>
      <c r="AV188" s="11"/>
      <c r="AW188" s="11"/>
      <c r="AX188" s="15"/>
      <c r="AY188" s="15"/>
      <c r="AZ188" s="15"/>
      <c r="BA188" s="15"/>
      <c r="BB188" s="15"/>
      <c r="BC188" s="15"/>
      <c r="BD188" s="15"/>
      <c r="BE188" s="12"/>
      <c r="BF188" s="11"/>
      <c r="BG188" s="11"/>
      <c r="BH188" s="10"/>
      <c r="BI188" s="10"/>
      <c r="BJ188" s="10"/>
      <c r="BK188" s="23"/>
      <c r="BL188" s="23"/>
      <c r="BM188" s="23"/>
      <c r="BN188" s="23"/>
      <c r="BO188" s="23"/>
      <c r="BP188" s="23"/>
      <c r="BQ188" s="23"/>
      <c r="BR188" s="10"/>
      <c r="BS188" s="16"/>
      <c r="BT188" s="16"/>
      <c r="BU188" s="16"/>
      <c r="BV188" s="16"/>
      <c r="BW188" s="11"/>
      <c r="BX188" s="16"/>
      <c r="BY188" s="16"/>
      <c r="BZ188" s="17"/>
      <c r="CA188" s="18"/>
      <c r="CB188" s="18"/>
      <c r="CC188" s="18"/>
      <c r="CD188" s="18"/>
      <c r="CE188" s="18"/>
      <c r="CF188" s="18"/>
      <c r="CG188" s="19"/>
      <c r="CH188" s="15"/>
      <c r="CI188" s="17"/>
      <c r="CJ188" s="10"/>
      <c r="CK188" s="10"/>
      <c r="CL188" s="10"/>
      <c r="CM188" s="17"/>
      <c r="CN188" s="17"/>
      <c r="CO188" s="10"/>
      <c r="CP188" s="10"/>
      <c r="CQ188" s="10"/>
      <c r="CR188" s="10"/>
      <c r="CS188" s="10"/>
      <c r="CT188" s="10"/>
      <c r="CU188" s="10"/>
      <c r="CV188" s="10"/>
      <c r="CW188" s="10"/>
      <c r="CX188" s="10"/>
      <c r="CY188" s="10"/>
      <c r="CZ188" s="10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  <c r="DY188" s="34"/>
      <c r="DZ188" s="34"/>
      <c r="EA188" s="34"/>
      <c r="EB188" s="34"/>
      <c r="EC188" s="34"/>
      <c r="ED188" s="34"/>
      <c r="EE188" s="34"/>
    </row>
    <row r="189" spans="1:135" customFormat="1">
      <c r="A189" s="71">
        <f>'Old Data'!$I185-'Old Data'!$S185</f>
        <v>-95</v>
      </c>
      <c r="B189" s="72">
        <f>VLOOKUP('Old Data'!$F185,$R$6:$T$135,2,FALSE)+VLOOKUP('Old Data'!$P185,$R$6:$T$135,3,FALSE)+$B$2</f>
        <v>203.60275701747469</v>
      </c>
      <c r="C189" s="72">
        <f>VLOOKUP('Old Data'!$P185,$R$6:$T$135,2,FALSE)+VLOOKUP('Old Data'!$F185,$R$6:$T$135,3,FALSE)+$B$2</f>
        <v>124.81105452998681</v>
      </c>
      <c r="D189" s="74">
        <f>('Old Data'!$I185-$B189)^2+('Old Data'!$S185-$C189)^2</f>
        <v>16095.742027112392</v>
      </c>
      <c r="E189" s="75">
        <f>'Old Data'!$K185-'Old Data'!$U185</f>
        <v>-68</v>
      </c>
      <c r="F189" s="72">
        <f>VLOOKUP('Old Data'!$F185,$V$6:$X$135,2,FALSE)+VLOOKUP('Old Data'!$P185,$V$6:$X$135,3,FALSE)+$C$2</f>
        <v>151.7690161504012</v>
      </c>
      <c r="G189" s="72">
        <f>VLOOKUP('Old Data'!$P185,$V$6:$X$135,2,FALSE)+VLOOKUP('Old Data'!$F185,$V$6:$X$135,3,FALSE)+$C$2</f>
        <v>202.38193222990679</v>
      </c>
      <c r="H189" s="74">
        <f>('Old Data'!$K185-$F189)^2+('Old Data'!$U185-$G189)^2</f>
        <v>1216.110361830084</v>
      </c>
      <c r="I189" s="75">
        <f>('Old Data'!$L185+'Old Data'!$M185)-('Old Data'!$V185+'Old Data'!$W185)</f>
        <v>102</v>
      </c>
      <c r="J189" s="72">
        <f>VLOOKUP('Old Data'!$F185,$Z$6:$AB$135,2,FALSE)+VLOOKUP('Old Data'!$P185,$Z$6:$AB$135,3,FALSE)+$D$2</f>
        <v>81.424374076357395</v>
      </c>
      <c r="K189" s="72">
        <f>VLOOKUP('Old Data'!$P185,$Z$6:$AB$135,2,FALSE)+VLOOKUP('Old Data'!$F185,$Z$6:$AB$135,3,FALSE)+$D$2</f>
        <v>75.501361344968799</v>
      </c>
      <c r="L189" s="74">
        <f>('Old Data'!$L185+'Old Data'!$M185-$J189)^2+('Old Data'!$V185+'Old Data'!$W185-$K189)^2</f>
        <v>4726.7825302401743</v>
      </c>
      <c r="M189" s="75">
        <f>'Old Data'!$N185-'Old Data'!$X185</f>
        <v>-2</v>
      </c>
      <c r="N189" s="72">
        <f>VLOOKUP('Old Data'!$F185,$AD$6:$AF$135,2,FALSE)+VLOOKUP('Old Data'!$P185,$AD$6:$AF$135,3,FALSE)+$E$2</f>
        <v>2.0553832668379783</v>
      </c>
      <c r="O189" s="72">
        <f>VLOOKUP('Old Data'!$P185,$AD$6:$AF$135,2,FALSE)+VLOOKUP('Old Data'!$F185,$AD$6:$AF$135,3,FALSE)+$E$2</f>
        <v>2.188229962161556</v>
      </c>
      <c r="P189" s="73">
        <f>('Old Data'!$N185-$N189)^2+('Old Data'!$X185-$O189)^2</f>
        <v>4.2600308922529004</v>
      </c>
      <c r="Q189" s="62"/>
      <c r="R189" s="3"/>
      <c r="S189" s="3"/>
      <c r="T189" s="3"/>
      <c r="V189" s="3"/>
      <c r="W189" s="3"/>
      <c r="X189" s="3"/>
      <c r="Z189" s="3"/>
      <c r="AA189" s="3"/>
      <c r="AB189" s="3"/>
      <c r="AC189" s="3"/>
      <c r="AD189" s="3"/>
      <c r="AE189" s="3"/>
      <c r="AF189" s="3"/>
      <c r="AG189" s="3"/>
      <c r="AH189" s="37"/>
      <c r="AI189" s="1"/>
      <c r="AK189" s="10"/>
      <c r="AL189" s="10"/>
      <c r="AM189" s="10"/>
      <c r="AN189" s="11"/>
      <c r="AO189" s="11"/>
      <c r="AP189" s="11"/>
      <c r="AQ189" s="36"/>
      <c r="AR189" s="11"/>
      <c r="AS189" s="11"/>
      <c r="AT189" s="11"/>
      <c r="AU189" s="12"/>
      <c r="AV189" s="11"/>
      <c r="AW189" s="11"/>
      <c r="AX189" s="15"/>
      <c r="AY189" s="15"/>
      <c r="AZ189" s="15"/>
      <c r="BA189" s="15"/>
      <c r="BB189" s="15"/>
      <c r="BC189" s="15"/>
      <c r="BD189" s="15"/>
      <c r="BE189" s="12"/>
      <c r="BF189" s="11"/>
      <c r="BG189" s="11"/>
      <c r="BH189" s="10"/>
      <c r="BI189" s="10"/>
      <c r="BJ189" s="10"/>
      <c r="BK189" s="23"/>
      <c r="BL189" s="23"/>
      <c r="BM189" s="23"/>
      <c r="BN189" s="23"/>
      <c r="BO189" s="23"/>
      <c r="BP189" s="23"/>
      <c r="BQ189" s="23"/>
      <c r="BR189" s="10"/>
      <c r="BS189" s="16"/>
      <c r="BT189" s="16"/>
      <c r="BU189" s="16"/>
      <c r="BV189" s="16"/>
      <c r="BW189" s="11"/>
      <c r="BX189" s="16"/>
      <c r="BY189" s="16"/>
      <c r="BZ189" s="17"/>
      <c r="CA189" s="18"/>
      <c r="CB189" s="18"/>
      <c r="CC189" s="18"/>
      <c r="CD189" s="18"/>
      <c r="CE189" s="18"/>
      <c r="CF189" s="18"/>
      <c r="CG189" s="19"/>
      <c r="CH189" s="15"/>
      <c r="CI189" s="17"/>
      <c r="CJ189" s="10"/>
      <c r="CK189" s="10"/>
      <c r="CL189" s="10"/>
      <c r="CM189" s="17"/>
      <c r="CN189" s="17"/>
      <c r="CO189" s="10"/>
      <c r="CP189" s="10"/>
      <c r="CQ189" s="10"/>
      <c r="CR189" s="10"/>
      <c r="CS189" s="10"/>
      <c r="CT189" s="10"/>
      <c r="CU189" s="10"/>
      <c r="CV189" s="10"/>
      <c r="CW189" s="10"/>
      <c r="CX189" s="10"/>
      <c r="CY189" s="10"/>
      <c r="CZ189" s="10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  <c r="DY189" s="34"/>
      <c r="DZ189" s="34"/>
      <c r="EA189" s="34"/>
      <c r="EB189" s="34"/>
      <c r="EC189" s="34"/>
      <c r="ED189" s="34"/>
      <c r="EE189" s="34"/>
    </row>
    <row r="190" spans="1:135" customFormat="1">
      <c r="A190" s="71">
        <f>'Old Data'!$I186-'Old Data'!$S186</f>
        <v>-123</v>
      </c>
      <c r="B190" s="72">
        <f>VLOOKUP('Old Data'!$F186,$R$6:$T$135,2,FALSE)+VLOOKUP('Old Data'!$P186,$R$6:$T$135,3,FALSE)+$B$2</f>
        <v>146.65683126099592</v>
      </c>
      <c r="C190" s="72">
        <f>VLOOKUP('Old Data'!$P186,$R$6:$T$135,2,FALSE)+VLOOKUP('Old Data'!$F186,$R$6:$T$135,3,FALSE)+$B$2</f>
        <v>232.0747501478088</v>
      </c>
      <c r="D190" s="74">
        <f>('Old Data'!$I186-$B190)^2+('Old Data'!$S186-$C190)^2</f>
        <v>2403.8107129584641</v>
      </c>
      <c r="E190" s="75">
        <f>'Old Data'!$K186-'Old Data'!$U186</f>
        <v>221</v>
      </c>
      <c r="F190" s="72">
        <f>VLOOKUP('Old Data'!$F186,$V$6:$X$135,2,FALSE)+VLOOKUP('Old Data'!$P186,$V$6:$X$135,3,FALSE)+$C$2</f>
        <v>374.44594720025111</v>
      </c>
      <c r="G190" s="72">
        <f>VLOOKUP('Old Data'!$P186,$V$6:$X$135,2,FALSE)+VLOOKUP('Old Data'!$F186,$V$6:$X$135,3,FALSE)+$C$2</f>
        <v>180.8798756729399</v>
      </c>
      <c r="H190" s="74">
        <f>('Old Data'!$K186-$F190)^2+('Old Data'!$U186-$G190)^2</f>
        <v>2156.8139236031884</v>
      </c>
      <c r="I190" s="75">
        <f>('Old Data'!$L186+'Old Data'!$M186)-('Old Data'!$V186+'Old Data'!$W186)</f>
        <v>114</v>
      </c>
      <c r="J190" s="72">
        <f>VLOOKUP('Old Data'!$F186,$Z$6:$AB$135,2,FALSE)+VLOOKUP('Old Data'!$P186,$Z$6:$AB$135,3,FALSE)+$D$2</f>
        <v>87.725530203708715</v>
      </c>
      <c r="K190" s="72">
        <f>VLOOKUP('Old Data'!$P186,$Z$6:$AB$135,2,FALSE)+VLOOKUP('Old Data'!$F186,$Z$6:$AB$135,3,FALSE)+$D$2</f>
        <v>26.680501435659096</v>
      </c>
      <c r="L190" s="74">
        <f>('Old Data'!$L186+'Old Data'!$M186-$J190)^2+('Old Data'!$V186+'Old Data'!$W186-$K190)^2</f>
        <v>1840.0159707533958</v>
      </c>
      <c r="M190" s="75">
        <f>'Old Data'!$N186-'Old Data'!$X186</f>
        <v>0</v>
      </c>
      <c r="N190" s="72">
        <f>VLOOKUP('Old Data'!$F186,$AD$6:$AF$135,2,FALSE)+VLOOKUP('Old Data'!$P186,$AD$6:$AF$135,3,FALSE)+$E$2</f>
        <v>1.3847387747313251</v>
      </c>
      <c r="O190" s="72">
        <f>VLOOKUP('Old Data'!$P186,$AD$6:$AF$135,2,FALSE)+VLOOKUP('Old Data'!$F186,$AD$6:$AF$135,3,FALSE)+$E$2</f>
        <v>0.64659207247753814</v>
      </c>
      <c r="P190" s="73">
        <f>('Old Data'!$N186-$N190)^2+('Old Data'!$X186-$O190)^2</f>
        <v>0.27292108801748299</v>
      </c>
      <c r="Q190" s="62"/>
      <c r="R190" s="3"/>
      <c r="S190" s="3"/>
      <c r="T190" s="3"/>
      <c r="V190" s="3"/>
      <c r="W190" s="3"/>
      <c r="X190" s="3"/>
      <c r="Z190" s="3"/>
      <c r="AA190" s="3"/>
      <c r="AB190" s="3"/>
      <c r="AC190" s="3"/>
      <c r="AD190" s="3"/>
      <c r="AE190" s="3"/>
      <c r="AF190" s="3"/>
      <c r="AG190" s="3"/>
      <c r="AH190" s="37"/>
      <c r="AI190" s="1"/>
      <c r="AK190" s="10"/>
      <c r="AL190" s="10"/>
      <c r="AM190" s="10"/>
      <c r="AN190" s="11"/>
      <c r="AO190" s="11"/>
      <c r="AP190" s="11"/>
      <c r="AQ190" s="36"/>
      <c r="AR190" s="11"/>
      <c r="AS190" s="11"/>
      <c r="AT190" s="11"/>
      <c r="AU190" s="12"/>
      <c r="AV190" s="11"/>
      <c r="AW190" s="11"/>
      <c r="AX190" s="15"/>
      <c r="AY190" s="15"/>
      <c r="AZ190" s="15"/>
      <c r="BA190" s="15"/>
      <c r="BB190" s="15"/>
      <c r="BC190" s="15"/>
      <c r="BD190" s="15"/>
      <c r="BE190" s="12"/>
      <c r="BF190" s="11"/>
      <c r="BG190" s="11"/>
      <c r="BH190" s="10"/>
      <c r="BI190" s="10"/>
      <c r="BJ190" s="10"/>
      <c r="BK190" s="23"/>
      <c r="BL190" s="23"/>
      <c r="BM190" s="23"/>
      <c r="BN190" s="23"/>
      <c r="BO190" s="23"/>
      <c r="BP190" s="23"/>
      <c r="BQ190" s="23"/>
      <c r="BR190" s="10"/>
      <c r="BS190" s="16"/>
      <c r="BT190" s="16"/>
      <c r="BU190" s="16"/>
      <c r="BV190" s="16"/>
      <c r="BW190" s="11"/>
      <c r="BX190" s="16"/>
      <c r="BY190" s="16"/>
      <c r="BZ190" s="17"/>
      <c r="CA190" s="18"/>
      <c r="CB190" s="18"/>
      <c r="CC190" s="18"/>
      <c r="CD190" s="18"/>
      <c r="CE190" s="18"/>
      <c r="CF190" s="18"/>
      <c r="CG190" s="19"/>
      <c r="CH190" s="15"/>
      <c r="CI190" s="17"/>
      <c r="CJ190" s="10"/>
      <c r="CK190" s="10"/>
      <c r="CL190" s="10"/>
      <c r="CM190" s="17"/>
      <c r="CN190" s="17"/>
      <c r="CO190" s="10"/>
      <c r="CP190" s="10"/>
      <c r="CQ190" s="10"/>
      <c r="CR190" s="10"/>
      <c r="CS190" s="10"/>
      <c r="CT190" s="10"/>
      <c r="CU190" s="10"/>
      <c r="CV190" s="10"/>
      <c r="CW190" s="10"/>
      <c r="CX190" s="10"/>
      <c r="CY190" s="10"/>
      <c r="CZ190" s="10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  <c r="DY190" s="34"/>
      <c r="DZ190" s="34"/>
      <c r="EA190" s="34"/>
      <c r="EB190" s="34"/>
      <c r="EC190" s="34"/>
      <c r="ED190" s="34"/>
      <c r="EE190" s="34"/>
    </row>
    <row r="191" spans="1:135" customFormat="1">
      <c r="A191" s="71">
        <f>'Old Data'!$I187-'Old Data'!$S187</f>
        <v>31</v>
      </c>
      <c r="B191" s="72">
        <f>VLOOKUP('Old Data'!$F187,$R$6:$T$135,2,FALSE)+VLOOKUP('Old Data'!$P187,$R$6:$T$135,3,FALSE)+$B$2</f>
        <v>204.51479336511551</v>
      </c>
      <c r="C191" s="72">
        <f>VLOOKUP('Old Data'!$P187,$R$6:$T$135,2,FALSE)+VLOOKUP('Old Data'!$F187,$R$6:$T$135,3,FALSE)+$B$2</f>
        <v>110.39561546799651</v>
      </c>
      <c r="D191" s="74">
        <f>('Old Data'!$I187-$B191)^2+('Old Data'!$S187-$C191)^2</f>
        <v>2235.9903281642059</v>
      </c>
      <c r="E191" s="75">
        <f>'Old Data'!$K187-'Old Data'!$U187</f>
        <v>6</v>
      </c>
      <c r="F191" s="72">
        <f>VLOOKUP('Old Data'!$F187,$V$6:$X$135,2,FALSE)+VLOOKUP('Old Data'!$P187,$V$6:$X$135,3,FALSE)+$C$2</f>
        <v>227.34099079679311</v>
      </c>
      <c r="G191" s="72">
        <f>VLOOKUP('Old Data'!$P187,$V$6:$X$135,2,FALSE)+VLOOKUP('Old Data'!$F187,$V$6:$X$135,3,FALSE)+$C$2</f>
        <v>165.2403658425682</v>
      </c>
      <c r="H191" s="74">
        <f>('Old Data'!$K187-$F191)^2+('Old Data'!$U187-$G191)^2</f>
        <v>5937.1615237984033</v>
      </c>
      <c r="I191" s="75">
        <f>('Old Data'!$L187+'Old Data'!$M187)-('Old Data'!$V187+'Old Data'!$W187)</f>
        <v>182</v>
      </c>
      <c r="J191" s="72">
        <f>VLOOKUP('Old Data'!$F187,$Z$6:$AB$135,2,FALSE)+VLOOKUP('Old Data'!$P187,$Z$6:$AB$135,3,FALSE)+$D$2</f>
        <v>86.734963532432147</v>
      </c>
      <c r="K191" s="72">
        <f>VLOOKUP('Old Data'!$P187,$Z$6:$AB$135,2,FALSE)+VLOOKUP('Old Data'!$F187,$Z$6:$AB$135,3,FALSE)+$D$2</f>
        <v>52.4784711473296</v>
      </c>
      <c r="L191" s="74">
        <f>('Old Data'!$L187+'Old Data'!$M187-$J191)^2+('Old Data'!$V187+'Old Data'!$W187-$K191)^2</f>
        <v>12203.709629690044</v>
      </c>
      <c r="M191" s="75">
        <f>'Old Data'!$N187-'Old Data'!$X187</f>
        <v>0</v>
      </c>
      <c r="N191" s="72">
        <f>VLOOKUP('Old Data'!$F187,$AD$6:$AF$135,2,FALSE)+VLOOKUP('Old Data'!$P187,$AD$6:$AF$135,3,FALSE)+$E$2</f>
        <v>1.6580623175531501</v>
      </c>
      <c r="O191" s="72">
        <f>VLOOKUP('Old Data'!$P187,$AD$6:$AF$135,2,FALSE)+VLOOKUP('Old Data'!$F187,$AD$6:$AF$135,3,FALSE)+$E$2</f>
        <v>0.80919828048663911</v>
      </c>
      <c r="P191" s="73">
        <f>('Old Data'!$N187-$N191)^2+('Old Data'!$X187-$O191)^2</f>
        <v>0.46945130995267825</v>
      </c>
      <c r="Q191" s="62"/>
      <c r="R191" s="3"/>
      <c r="S191" s="3"/>
      <c r="T191" s="3"/>
      <c r="V191" s="3"/>
      <c r="W191" s="3"/>
      <c r="X191" s="3"/>
      <c r="Z191" s="3"/>
      <c r="AA191" s="3"/>
      <c r="AB191" s="3"/>
      <c r="AC191" s="3"/>
      <c r="AD191" s="3"/>
      <c r="AE191" s="3"/>
      <c r="AF191" s="3"/>
      <c r="AG191" s="3"/>
      <c r="AH191" s="37"/>
      <c r="AI191" s="1"/>
      <c r="AK191" s="10"/>
      <c r="AL191" s="10"/>
      <c r="AM191" s="10"/>
      <c r="AN191" s="11"/>
      <c r="AO191" s="11"/>
      <c r="AP191" s="11"/>
      <c r="AQ191" s="36"/>
      <c r="AR191" s="11"/>
      <c r="AS191" s="11"/>
      <c r="AT191" s="11"/>
      <c r="AU191" s="12"/>
      <c r="AV191" s="11"/>
      <c r="AW191" s="11"/>
      <c r="AX191" s="15"/>
      <c r="AY191" s="15"/>
      <c r="AZ191" s="15"/>
      <c r="BA191" s="15"/>
      <c r="BB191" s="15"/>
      <c r="BC191" s="15"/>
      <c r="BD191" s="15"/>
      <c r="BE191" s="12"/>
      <c r="BF191" s="11"/>
      <c r="BG191" s="11"/>
      <c r="BH191" s="10"/>
      <c r="BI191" s="10"/>
      <c r="BJ191" s="10"/>
      <c r="BK191" s="23"/>
      <c r="BL191" s="23"/>
      <c r="BM191" s="23"/>
      <c r="BN191" s="23"/>
      <c r="BO191" s="23"/>
      <c r="BP191" s="23"/>
      <c r="BQ191" s="23"/>
      <c r="BR191" s="10"/>
      <c r="BS191" s="16"/>
      <c r="BT191" s="16"/>
      <c r="BU191" s="16"/>
      <c r="BV191" s="16"/>
      <c r="BW191" s="11"/>
      <c r="BX191" s="16"/>
      <c r="BY191" s="16"/>
      <c r="BZ191" s="17"/>
      <c r="CA191" s="18"/>
      <c r="CB191" s="18"/>
      <c r="CC191" s="18"/>
      <c r="CD191" s="18"/>
      <c r="CE191" s="18"/>
      <c r="CF191" s="18"/>
      <c r="CG191" s="19"/>
      <c r="CH191" s="15"/>
      <c r="CI191" s="17"/>
      <c r="CJ191" s="10"/>
      <c r="CK191" s="10"/>
      <c r="CL191" s="10"/>
      <c r="CM191" s="17"/>
      <c r="CN191" s="17"/>
      <c r="CO191" s="10"/>
      <c r="CP191" s="10"/>
      <c r="CQ191" s="10"/>
      <c r="CR191" s="10"/>
      <c r="CS191" s="10"/>
      <c r="CT191" s="10"/>
      <c r="CU191" s="10"/>
      <c r="CV191" s="10"/>
      <c r="CW191" s="10"/>
      <c r="CX191" s="10"/>
      <c r="CY191" s="10"/>
      <c r="CZ191" s="10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  <c r="DY191" s="34"/>
      <c r="DZ191" s="34"/>
      <c r="EA191" s="34"/>
      <c r="EB191" s="34"/>
      <c r="EC191" s="34"/>
      <c r="ED191" s="34"/>
      <c r="EE191" s="34"/>
    </row>
    <row r="192" spans="1:135" customFormat="1">
      <c r="A192" s="71">
        <f>'Old Data'!$I188-'Old Data'!$S188</f>
        <v>-104</v>
      </c>
      <c r="B192" s="72">
        <f>VLOOKUP('Old Data'!$F188,$R$6:$T$135,2,FALSE)+VLOOKUP('Old Data'!$P188,$R$6:$T$135,3,FALSE)+$B$2</f>
        <v>140.91270821032401</v>
      </c>
      <c r="C192" s="72">
        <f>VLOOKUP('Old Data'!$P188,$R$6:$T$135,2,FALSE)+VLOOKUP('Old Data'!$F188,$R$6:$T$135,3,FALSE)+$B$2</f>
        <v>216.60822102292462</v>
      </c>
      <c r="D192" s="74">
        <f>('Old Data'!$I188-$B192)^2+('Old Data'!$S188-$C192)^2</f>
        <v>779.27277040156775</v>
      </c>
      <c r="E192" s="75">
        <f>'Old Data'!$K188-'Old Data'!$U188</f>
        <v>124</v>
      </c>
      <c r="F192" s="72">
        <f>VLOOKUP('Old Data'!$F188,$V$6:$X$135,2,FALSE)+VLOOKUP('Old Data'!$P188,$V$6:$X$135,3,FALSE)+$C$2</f>
        <v>323.84184749257122</v>
      </c>
      <c r="G192" s="72">
        <f>VLOOKUP('Old Data'!$P188,$V$6:$X$135,2,FALSE)+VLOOKUP('Old Data'!$F188,$V$6:$X$135,3,FALSE)+$C$2</f>
        <v>272.43213711206818</v>
      </c>
      <c r="H192" s="74">
        <f>('Old Data'!$K188-$F192)^2+('Old Data'!$U188-$G192)^2</f>
        <v>2767.0963609772439</v>
      </c>
      <c r="I192" s="75">
        <f>('Old Data'!$L188+'Old Data'!$M188)-('Old Data'!$V188+'Old Data'!$W188)</f>
        <v>-7</v>
      </c>
      <c r="J192" s="72">
        <f>VLOOKUP('Old Data'!$F188,$Z$6:$AB$135,2,FALSE)+VLOOKUP('Old Data'!$P188,$Z$6:$AB$135,3,FALSE)+$D$2</f>
        <v>32.382123478912568</v>
      </c>
      <c r="K192" s="72">
        <f>VLOOKUP('Old Data'!$P188,$Z$6:$AB$135,2,FALSE)+VLOOKUP('Old Data'!$F188,$Z$6:$AB$135,3,FALSE)+$D$2</f>
        <v>20.2127023240688</v>
      </c>
      <c r="L192" s="74">
        <f>('Old Data'!$L188+'Old Data'!$M188-$J192)^2+('Old Data'!$V188+'Old Data'!$W188-$K192)^2</f>
        <v>1223.1774237079937</v>
      </c>
      <c r="M192" s="75">
        <f>'Old Data'!$N188-'Old Data'!$X188</f>
        <v>1</v>
      </c>
      <c r="N192" s="72">
        <f>VLOOKUP('Old Data'!$F188,$AD$6:$AF$135,2,FALSE)+VLOOKUP('Old Data'!$P188,$AD$6:$AF$135,3,FALSE)+$E$2</f>
        <v>1.659653535250845</v>
      </c>
      <c r="O192" s="72">
        <f>VLOOKUP('Old Data'!$P188,$AD$6:$AF$135,2,FALSE)+VLOOKUP('Old Data'!$F188,$AD$6:$AF$135,3,FALSE)+$E$2</f>
        <v>1.2728209950281519</v>
      </c>
      <c r="P192" s="73">
        <f>('Old Data'!$N188-$N192)^2+('Old Data'!$X188-$O192)^2</f>
        <v>2.0552160719533927</v>
      </c>
      <c r="Q192" s="62"/>
      <c r="R192" s="3"/>
      <c r="S192" s="3"/>
      <c r="T192" s="3"/>
      <c r="V192" s="3"/>
      <c r="W192" s="3"/>
      <c r="X192" s="3"/>
      <c r="Z192" s="3"/>
      <c r="AA192" s="3"/>
      <c r="AB192" s="3"/>
      <c r="AC192" s="3"/>
      <c r="AD192" s="3"/>
      <c r="AE192" s="3"/>
      <c r="AF192" s="3"/>
      <c r="AG192" s="3"/>
      <c r="AH192" s="37"/>
      <c r="AI192" s="1"/>
      <c r="AK192" s="10"/>
      <c r="AL192" s="10"/>
      <c r="AM192" s="10"/>
      <c r="AN192" s="11"/>
      <c r="AO192" s="11"/>
      <c r="AP192" s="11"/>
      <c r="AQ192" s="36"/>
      <c r="AR192" s="11"/>
      <c r="AS192" s="11"/>
      <c r="AT192" s="11"/>
      <c r="AU192" s="12"/>
      <c r="AV192" s="11"/>
      <c r="AW192" s="11"/>
      <c r="AX192" s="15"/>
      <c r="AY192" s="15"/>
      <c r="AZ192" s="15"/>
      <c r="BA192" s="15"/>
      <c r="BB192" s="15"/>
      <c r="BC192" s="15"/>
      <c r="BD192" s="15"/>
      <c r="BE192" s="12"/>
      <c r="BF192" s="11"/>
      <c r="BG192" s="11"/>
      <c r="BH192" s="10"/>
      <c r="BI192" s="10"/>
      <c r="BJ192" s="10"/>
      <c r="BK192" s="23"/>
      <c r="BL192" s="23"/>
      <c r="BM192" s="23"/>
      <c r="BN192" s="23"/>
      <c r="BO192" s="23"/>
      <c r="BP192" s="23"/>
      <c r="BQ192" s="23"/>
      <c r="BR192" s="10"/>
      <c r="BS192" s="16"/>
      <c r="BT192" s="16"/>
      <c r="BU192" s="16"/>
      <c r="BV192" s="16"/>
      <c r="BW192" s="11"/>
      <c r="BX192" s="16"/>
      <c r="BY192" s="16"/>
      <c r="BZ192" s="17"/>
      <c r="CA192" s="18"/>
      <c r="CB192" s="18"/>
      <c r="CC192" s="18"/>
      <c r="CD192" s="18"/>
      <c r="CE192" s="18"/>
      <c r="CF192" s="18"/>
      <c r="CG192" s="19"/>
      <c r="CH192" s="15"/>
      <c r="CI192" s="17"/>
      <c r="CJ192" s="10"/>
      <c r="CK192" s="10"/>
      <c r="CL192" s="10"/>
      <c r="CM192" s="17"/>
      <c r="CN192" s="17"/>
      <c r="CO192" s="10"/>
      <c r="CP192" s="10"/>
      <c r="CQ192" s="10"/>
      <c r="CR192" s="10"/>
      <c r="CS192" s="10"/>
      <c r="CT192" s="10"/>
      <c r="CU192" s="10"/>
      <c r="CV192" s="10"/>
      <c r="CW192" s="10"/>
      <c r="CX192" s="10"/>
      <c r="CY192" s="10"/>
      <c r="CZ192" s="10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  <c r="DY192" s="34"/>
      <c r="DZ192" s="34"/>
      <c r="EA192" s="34"/>
      <c r="EB192" s="34"/>
      <c r="EC192" s="34"/>
      <c r="ED192" s="34"/>
      <c r="EE192" s="34"/>
    </row>
    <row r="193" spans="1:135" customFormat="1">
      <c r="A193" s="71">
        <f>'Old Data'!$I189-'Old Data'!$S189</f>
        <v>101</v>
      </c>
      <c r="B193" s="72">
        <f>VLOOKUP('Old Data'!$F189,$R$6:$T$135,2,FALSE)+VLOOKUP('Old Data'!$P189,$R$6:$T$135,3,FALSE)+$B$2</f>
        <v>174.5362840964892</v>
      </c>
      <c r="C193" s="72">
        <f>VLOOKUP('Old Data'!$P189,$R$6:$T$135,2,FALSE)+VLOOKUP('Old Data'!$F189,$R$6:$T$135,3,FALSE)+$B$2</f>
        <v>168.36489617106321</v>
      </c>
      <c r="D193" s="74">
        <f>('Old Data'!$I189-$B193)^2+('Old Data'!$S189-$C193)^2</f>
        <v>4513.6447982700975</v>
      </c>
      <c r="E193" s="75">
        <f>'Old Data'!$K189-'Old Data'!$U189</f>
        <v>145</v>
      </c>
      <c r="F193" s="72">
        <f>VLOOKUP('Old Data'!$F189,$V$6:$X$135,2,FALSE)+VLOOKUP('Old Data'!$P189,$V$6:$X$135,3,FALSE)+$C$2</f>
        <v>225.55116810816537</v>
      </c>
      <c r="G193" s="72">
        <f>VLOOKUP('Old Data'!$P189,$V$6:$X$135,2,FALSE)+VLOOKUP('Old Data'!$F189,$V$6:$X$135,3,FALSE)+$C$2</f>
        <v>157.78086459741789</v>
      </c>
      <c r="H193" s="74">
        <f>('Old Data'!$K189-$F193)^2+('Old Data'!$U189-$G193)^2</f>
        <v>21735.853787886666</v>
      </c>
      <c r="I193" s="75">
        <f>('Old Data'!$L189+'Old Data'!$M189)-('Old Data'!$V189+'Old Data'!$W189)</f>
        <v>39</v>
      </c>
      <c r="J193" s="72">
        <f>VLOOKUP('Old Data'!$F189,$Z$6:$AB$135,2,FALSE)+VLOOKUP('Old Data'!$P189,$Z$6:$AB$135,3,FALSE)+$D$2</f>
        <v>74.288227902392492</v>
      </c>
      <c r="K193" s="72">
        <f>VLOOKUP('Old Data'!$P189,$Z$6:$AB$135,2,FALSE)+VLOOKUP('Old Data'!$F189,$Z$6:$AB$135,3,FALSE)+$D$2</f>
        <v>38.046507680844947</v>
      </c>
      <c r="L193" s="74">
        <f>('Old Data'!$L189+'Old Data'!$M189-$J193)^2+('Old Data'!$V189+'Old Data'!$W189-$K193)^2</f>
        <v>858.08423653618752</v>
      </c>
      <c r="M193" s="75">
        <f>'Old Data'!$N189-'Old Data'!$X189</f>
        <v>-1</v>
      </c>
      <c r="N193" s="72">
        <f>VLOOKUP('Old Data'!$F189,$AD$6:$AF$135,2,FALSE)+VLOOKUP('Old Data'!$P189,$AD$6:$AF$135,3,FALSE)+$E$2</f>
        <v>2.4200962409722839</v>
      </c>
      <c r="O193" s="72">
        <f>VLOOKUP('Old Data'!$P189,$AD$6:$AF$135,2,FALSE)+VLOOKUP('Old Data'!$F189,$AD$6:$AF$135,3,FALSE)+$E$2</f>
        <v>1.865730890991383</v>
      </c>
      <c r="P193" s="73">
        <f>('Old Data'!$N189-$N193)^2+('Old Data'!$X189-$O193)^2</f>
        <v>1.4630472633302452</v>
      </c>
      <c r="Q193" s="62"/>
      <c r="R193" s="3"/>
      <c r="S193" s="3"/>
      <c r="T193" s="3"/>
      <c r="V193" s="3"/>
      <c r="W193" s="3"/>
      <c r="X193" s="3"/>
      <c r="Z193" s="3"/>
      <c r="AA193" s="3"/>
      <c r="AB193" s="3"/>
      <c r="AC193" s="3"/>
      <c r="AD193" s="3"/>
      <c r="AE193" s="3"/>
      <c r="AF193" s="3"/>
      <c r="AG193" s="3"/>
      <c r="AH193" s="37"/>
      <c r="AI193" s="1"/>
      <c r="AK193" s="10"/>
      <c r="AL193" s="10"/>
      <c r="AM193" s="10"/>
      <c r="AN193" s="11"/>
      <c r="AO193" s="11"/>
      <c r="AP193" s="11"/>
      <c r="AQ193" s="36"/>
      <c r="AR193" s="11"/>
      <c r="AS193" s="11"/>
      <c r="AT193" s="11"/>
      <c r="AU193" s="12"/>
      <c r="AV193" s="11"/>
      <c r="AW193" s="11"/>
      <c r="AX193" s="15"/>
      <c r="AY193" s="15"/>
      <c r="AZ193" s="15"/>
      <c r="BA193" s="15"/>
      <c r="BB193" s="15"/>
      <c r="BC193" s="15"/>
      <c r="BD193" s="15"/>
      <c r="BE193" s="12"/>
      <c r="BF193" s="11"/>
      <c r="BG193" s="11"/>
      <c r="BH193" s="10"/>
      <c r="BI193" s="10"/>
      <c r="BJ193" s="10"/>
      <c r="BK193" s="23"/>
      <c r="BL193" s="23"/>
      <c r="BM193" s="23"/>
      <c r="BN193" s="23"/>
      <c r="BO193" s="23"/>
      <c r="BP193" s="23"/>
      <c r="BQ193" s="23"/>
      <c r="BR193" s="10"/>
      <c r="BS193" s="16"/>
      <c r="BT193" s="16"/>
      <c r="BU193" s="16"/>
      <c r="BV193" s="16"/>
      <c r="BW193" s="11"/>
      <c r="BX193" s="16"/>
      <c r="BY193" s="16"/>
      <c r="BZ193" s="17"/>
      <c r="CA193" s="18"/>
      <c r="CB193" s="18"/>
      <c r="CC193" s="18"/>
      <c r="CD193" s="18"/>
      <c r="CE193" s="18"/>
      <c r="CF193" s="18"/>
      <c r="CG193" s="19"/>
      <c r="CH193" s="15"/>
      <c r="CI193" s="17"/>
      <c r="CJ193" s="10"/>
      <c r="CK193" s="10"/>
      <c r="CL193" s="10"/>
      <c r="CM193" s="17"/>
      <c r="CN193" s="17"/>
      <c r="CO193" s="10"/>
      <c r="CP193" s="10"/>
      <c r="CQ193" s="10"/>
      <c r="CR193" s="10"/>
      <c r="CS193" s="10"/>
      <c r="CT193" s="10"/>
      <c r="CU193" s="10"/>
      <c r="CV193" s="10"/>
      <c r="CW193" s="10"/>
      <c r="CX193" s="10"/>
      <c r="CY193" s="10"/>
      <c r="CZ193" s="10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  <c r="DY193" s="34"/>
      <c r="DZ193" s="34"/>
      <c r="EA193" s="34"/>
      <c r="EB193" s="34"/>
      <c r="EC193" s="34"/>
      <c r="ED193" s="34"/>
      <c r="EE193" s="34"/>
    </row>
    <row r="194" spans="1:135" customFormat="1">
      <c r="A194" s="71">
        <f>'Old Data'!$I190-'Old Data'!$S190</f>
        <v>41</v>
      </c>
      <c r="B194" s="72">
        <f>VLOOKUP('Old Data'!$F190,$R$6:$T$135,2,FALSE)+VLOOKUP('Old Data'!$P190,$R$6:$T$135,3,FALSE)+$B$2</f>
        <v>130.24344053694441</v>
      </c>
      <c r="C194" s="72">
        <f>VLOOKUP('Old Data'!$P190,$R$6:$T$135,2,FALSE)+VLOOKUP('Old Data'!$F190,$R$6:$T$135,3,FALSE)+$B$2</f>
        <v>117.35513854583323</v>
      </c>
      <c r="D194" s="74">
        <f>('Old Data'!$I190-$B194)^2+('Old Data'!$S190-$C194)^2</f>
        <v>3643.199257552862</v>
      </c>
      <c r="E194" s="75">
        <f>'Old Data'!$K190-'Old Data'!$U190</f>
        <v>-35</v>
      </c>
      <c r="F194" s="72">
        <f>VLOOKUP('Old Data'!$F190,$V$6:$X$135,2,FALSE)+VLOOKUP('Old Data'!$P190,$V$6:$X$135,3,FALSE)+$C$2</f>
        <v>238.30477820412318</v>
      </c>
      <c r="G194" s="72">
        <f>VLOOKUP('Old Data'!$P190,$V$6:$X$135,2,FALSE)+VLOOKUP('Old Data'!$F190,$V$6:$X$135,3,FALSE)+$C$2</f>
        <v>300.44663351684909</v>
      </c>
      <c r="H194" s="74">
        <f>('Old Data'!$K190-$F194)^2+('Old Data'!$U190-$G194)^2</f>
        <v>6445.7157636677593</v>
      </c>
      <c r="I194" s="75">
        <f>('Old Data'!$L190+'Old Data'!$M190)-('Old Data'!$V190+'Old Data'!$W190)</f>
        <v>-4</v>
      </c>
      <c r="J194" s="72">
        <f>VLOOKUP('Old Data'!$F190,$Z$6:$AB$135,2,FALSE)+VLOOKUP('Old Data'!$P190,$Z$6:$AB$135,3,FALSE)+$D$2</f>
        <v>87.229153252381167</v>
      </c>
      <c r="K194" s="72">
        <f>VLOOKUP('Old Data'!$P190,$Z$6:$AB$135,2,FALSE)+VLOOKUP('Old Data'!$F190,$Z$6:$AB$135,3,FALSE)+$D$2</f>
        <v>47.793385319010149</v>
      </c>
      <c r="L194" s="74">
        <f>('Old Data'!$L190+'Old Data'!$M190-$J194)^2+('Old Data'!$V190+'Old Data'!$W190-$K194)^2</f>
        <v>3757.52361482878</v>
      </c>
      <c r="M194" s="75">
        <f>'Old Data'!$N190-'Old Data'!$X190</f>
        <v>2</v>
      </c>
      <c r="N194" s="72">
        <f>VLOOKUP('Old Data'!$F190,$AD$6:$AF$135,2,FALSE)+VLOOKUP('Old Data'!$P190,$AD$6:$AF$135,3,FALSE)+$E$2</f>
        <v>1.8924151029558371</v>
      </c>
      <c r="O194" s="72">
        <f>VLOOKUP('Old Data'!$P190,$AD$6:$AF$135,2,FALSE)+VLOOKUP('Old Data'!$F190,$AD$6:$AF$135,3,FALSE)+$E$2</f>
        <v>1.512011314921035</v>
      </c>
      <c r="P194" s="73">
        <f>('Old Data'!$N190-$N194)^2+('Old Data'!$X190-$O194)^2</f>
        <v>2.2977527265212405</v>
      </c>
      <c r="Q194" s="62"/>
      <c r="R194" s="3"/>
      <c r="S194" s="3"/>
      <c r="T194" s="3"/>
      <c r="V194" s="3"/>
      <c r="W194" s="3"/>
      <c r="X194" s="3"/>
      <c r="Z194" s="3"/>
      <c r="AA194" s="3"/>
      <c r="AB194" s="3"/>
      <c r="AC194" s="3"/>
      <c r="AD194" s="3"/>
      <c r="AE194" s="3"/>
      <c r="AF194" s="3"/>
      <c r="AG194" s="3"/>
      <c r="AH194" s="37"/>
      <c r="AI194" s="1"/>
      <c r="AK194" s="10"/>
      <c r="AL194" s="10"/>
      <c r="AM194" s="10"/>
      <c r="AN194" s="11"/>
      <c r="AO194" s="11"/>
      <c r="AP194" s="11"/>
      <c r="AQ194" s="36"/>
      <c r="AR194" s="11"/>
      <c r="AS194" s="11"/>
      <c r="AT194" s="11"/>
      <c r="AU194" s="12"/>
      <c r="AV194" s="11"/>
      <c r="AW194" s="11"/>
      <c r="AX194" s="15"/>
      <c r="AY194" s="15"/>
      <c r="AZ194" s="15"/>
      <c r="BA194" s="15"/>
      <c r="BB194" s="15"/>
      <c r="BC194" s="15"/>
      <c r="BD194" s="15"/>
      <c r="BE194" s="12"/>
      <c r="BF194" s="11"/>
      <c r="BG194" s="11"/>
      <c r="BH194" s="10"/>
      <c r="BI194" s="10"/>
      <c r="BJ194" s="10"/>
      <c r="BK194" s="23"/>
      <c r="BL194" s="23"/>
      <c r="BM194" s="23"/>
      <c r="BN194" s="23"/>
      <c r="BO194" s="23"/>
      <c r="BP194" s="23"/>
      <c r="BQ194" s="23"/>
      <c r="BR194" s="10"/>
      <c r="BS194" s="16"/>
      <c r="BT194" s="16"/>
      <c r="BU194" s="16"/>
      <c r="BV194" s="16"/>
      <c r="BW194" s="11"/>
      <c r="BX194" s="16"/>
      <c r="BY194" s="16"/>
      <c r="BZ194" s="17"/>
      <c r="CA194" s="18"/>
      <c r="CB194" s="18"/>
      <c r="CC194" s="18"/>
      <c r="CD194" s="18"/>
      <c r="CE194" s="18"/>
      <c r="CF194" s="18"/>
      <c r="CG194" s="19"/>
      <c r="CH194" s="15"/>
      <c r="CI194" s="17"/>
      <c r="CJ194" s="10"/>
      <c r="CK194" s="10"/>
      <c r="CL194" s="10"/>
      <c r="CM194" s="17"/>
      <c r="CN194" s="17"/>
      <c r="CO194" s="10"/>
      <c r="CP194" s="10"/>
      <c r="CQ194" s="10"/>
      <c r="CR194" s="10"/>
      <c r="CS194" s="10"/>
      <c r="CT194" s="10"/>
      <c r="CU194" s="10"/>
      <c r="CV194" s="10"/>
      <c r="CW194" s="10"/>
      <c r="CX194" s="10"/>
      <c r="CY194" s="10"/>
      <c r="CZ194" s="10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  <c r="DY194" s="34"/>
      <c r="DZ194" s="34"/>
      <c r="EA194" s="34"/>
      <c r="EB194" s="34"/>
      <c r="EC194" s="34"/>
      <c r="ED194" s="34"/>
      <c r="EE194" s="34"/>
    </row>
    <row r="195" spans="1:135" customFormat="1">
      <c r="A195" s="71">
        <f>'Old Data'!$I191-'Old Data'!$S191</f>
        <v>55</v>
      </c>
      <c r="B195" s="72">
        <f>VLOOKUP('Old Data'!$F191,$R$6:$T$135,2,FALSE)+VLOOKUP('Old Data'!$P191,$R$6:$T$135,3,FALSE)+$B$2</f>
        <v>251.11386145978122</v>
      </c>
      <c r="C195" s="72">
        <f>VLOOKUP('Old Data'!$P191,$R$6:$T$135,2,FALSE)+VLOOKUP('Old Data'!$F191,$R$6:$T$135,3,FALSE)+$B$2</f>
        <v>195.4114842512457</v>
      </c>
      <c r="D195" s="74">
        <f>('Old Data'!$I191-$B195)^2+('Old Data'!$S191-$C195)^2</f>
        <v>3.3086237965015188</v>
      </c>
      <c r="E195" s="75">
        <f>'Old Data'!$K191-'Old Data'!$U191</f>
        <v>38</v>
      </c>
      <c r="F195" s="72">
        <f>VLOOKUP('Old Data'!$F191,$V$6:$X$135,2,FALSE)+VLOOKUP('Old Data'!$P191,$V$6:$X$135,3,FALSE)+$C$2</f>
        <v>206.9596455192837</v>
      </c>
      <c r="G195" s="72">
        <f>VLOOKUP('Old Data'!$P191,$V$6:$X$135,2,FALSE)+VLOOKUP('Old Data'!$F191,$V$6:$X$135,3,FALSE)+$C$2</f>
        <v>340.06220929768659</v>
      </c>
      <c r="H195" s="74">
        <f>('Old Data'!$K191-$F195)^2+('Old Data'!$U191-$G195)^2</f>
        <v>14903.046565378045</v>
      </c>
      <c r="I195" s="75">
        <f>('Old Data'!$L191+'Old Data'!$M191)-('Old Data'!$V191+'Old Data'!$W191)</f>
        <v>90</v>
      </c>
      <c r="J195" s="72">
        <f>VLOOKUP('Old Data'!$F191,$Z$6:$AB$135,2,FALSE)+VLOOKUP('Old Data'!$P191,$Z$6:$AB$135,3,FALSE)+$D$2</f>
        <v>137.1324824160329</v>
      </c>
      <c r="K195" s="72">
        <f>VLOOKUP('Old Data'!$P191,$Z$6:$AB$135,2,FALSE)+VLOOKUP('Old Data'!$F191,$Z$6:$AB$135,3,FALSE)+$D$2</f>
        <v>36.6088851199194</v>
      </c>
      <c r="L195" s="74">
        <f>('Old Data'!$L191+'Old Data'!$M191-$J195)^2+('Old Data'!$V191+'Old Data'!$W191-$K195)^2</f>
        <v>1292.4748721987285</v>
      </c>
      <c r="M195" s="75">
        <f>'Old Data'!$N191-'Old Data'!$X191</f>
        <v>-1</v>
      </c>
      <c r="N195" s="72">
        <f>VLOOKUP('Old Data'!$F191,$AD$6:$AF$135,2,FALSE)+VLOOKUP('Old Data'!$P191,$AD$6:$AF$135,3,FALSE)+$E$2</f>
        <v>1.0397358943981982</v>
      </c>
      <c r="O195" s="72">
        <f>VLOOKUP('Old Data'!$P191,$AD$6:$AF$135,2,FALSE)+VLOOKUP('Old Data'!$F191,$AD$6:$AF$135,3,FALSE)+$E$2</f>
        <v>1.5694315868955542</v>
      </c>
      <c r="P195" s="73">
        <f>('Old Data'!$N191-$N195)^2+('Old Data'!$X191-$O195)^2</f>
        <v>0.18696809966690547</v>
      </c>
      <c r="Q195" s="62"/>
      <c r="R195" s="3"/>
      <c r="S195" s="3"/>
      <c r="T195" s="3"/>
      <c r="V195" s="3"/>
      <c r="W195" s="3"/>
      <c r="X195" s="3"/>
      <c r="Z195" s="3"/>
      <c r="AA195" s="3"/>
      <c r="AB195" s="3"/>
      <c r="AC195" s="3"/>
      <c r="AD195" s="3"/>
      <c r="AE195" s="3"/>
      <c r="AF195" s="3"/>
      <c r="AG195" s="3"/>
      <c r="AH195" s="37"/>
      <c r="AI195" s="1"/>
      <c r="AK195" s="10"/>
      <c r="AL195" s="10"/>
      <c r="AM195" s="10"/>
      <c r="AN195" s="11"/>
      <c r="AO195" s="11"/>
      <c r="AP195" s="11"/>
      <c r="AQ195" s="36"/>
      <c r="AR195" s="11"/>
      <c r="AS195" s="11"/>
      <c r="AT195" s="11"/>
      <c r="AU195" s="12"/>
      <c r="AV195" s="11"/>
      <c r="AW195" s="11"/>
      <c r="AX195" s="15"/>
      <c r="AY195" s="15"/>
      <c r="AZ195" s="15"/>
      <c r="BA195" s="15"/>
      <c r="BB195" s="15"/>
      <c r="BC195" s="15"/>
      <c r="BD195" s="15"/>
      <c r="BE195" s="12"/>
      <c r="BF195" s="11"/>
      <c r="BG195" s="11"/>
      <c r="BH195" s="10"/>
      <c r="BI195" s="10"/>
      <c r="BJ195" s="10"/>
      <c r="BK195" s="23"/>
      <c r="BL195" s="23"/>
      <c r="BM195" s="23"/>
      <c r="BN195" s="23"/>
      <c r="BO195" s="23"/>
      <c r="BP195" s="23"/>
      <c r="BQ195" s="23"/>
      <c r="BR195" s="10"/>
      <c r="BS195" s="16"/>
      <c r="BT195" s="16"/>
      <c r="BU195" s="16"/>
      <c r="BV195" s="16"/>
      <c r="BW195" s="11"/>
      <c r="BX195" s="16"/>
      <c r="BY195" s="16"/>
      <c r="BZ195" s="17"/>
      <c r="CA195" s="18"/>
      <c r="CB195" s="18"/>
      <c r="CC195" s="18"/>
      <c r="CD195" s="18"/>
      <c r="CE195" s="18"/>
      <c r="CF195" s="18"/>
      <c r="CG195" s="19"/>
      <c r="CH195" s="15"/>
      <c r="CI195" s="17"/>
      <c r="CJ195" s="10"/>
      <c r="CK195" s="10"/>
      <c r="CL195" s="10"/>
      <c r="CM195" s="17"/>
      <c r="CN195" s="17"/>
      <c r="CO195" s="10"/>
      <c r="CP195" s="10"/>
      <c r="CQ195" s="10"/>
      <c r="CR195" s="10"/>
      <c r="CS195" s="10"/>
      <c r="CT195" s="10"/>
      <c r="CU195" s="10"/>
      <c r="CV195" s="10"/>
      <c r="CW195" s="10"/>
      <c r="CX195" s="10"/>
      <c r="CY195" s="10"/>
      <c r="CZ195" s="10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  <c r="DY195" s="34"/>
      <c r="DZ195" s="34"/>
      <c r="EA195" s="34"/>
      <c r="EB195" s="34"/>
      <c r="EC195" s="34"/>
      <c r="ED195" s="34"/>
      <c r="EE195" s="34"/>
    </row>
    <row r="196" spans="1:135" customFormat="1">
      <c r="A196" s="71">
        <f>'Old Data'!$I192-'Old Data'!$S192</f>
        <v>85</v>
      </c>
      <c r="B196" s="72">
        <f>VLOOKUP('Old Data'!$F192,$R$6:$T$135,2,FALSE)+VLOOKUP('Old Data'!$P192,$R$6:$T$135,3,FALSE)+$B$2</f>
        <v>260.08309524311153</v>
      </c>
      <c r="C196" s="72">
        <f>VLOOKUP('Old Data'!$P192,$R$6:$T$135,2,FALSE)+VLOOKUP('Old Data'!$F192,$R$6:$T$135,3,FALSE)+$B$2</f>
        <v>117.4380719923153</v>
      </c>
      <c r="D196" s="74">
        <f>('Old Data'!$I192-$B196)^2+('Old Data'!$S192-$C196)^2</f>
        <v>1664.6524949069137</v>
      </c>
      <c r="E196" s="75">
        <f>'Old Data'!$K192-'Old Data'!$U192</f>
        <v>96</v>
      </c>
      <c r="F196" s="72">
        <f>VLOOKUP('Old Data'!$F192,$V$6:$X$135,2,FALSE)+VLOOKUP('Old Data'!$P192,$V$6:$X$135,3,FALSE)+$C$2</f>
        <v>346.67156382828171</v>
      </c>
      <c r="G196" s="72">
        <f>VLOOKUP('Old Data'!$P192,$V$6:$X$135,2,FALSE)+VLOOKUP('Old Data'!$F192,$V$6:$X$135,3,FALSE)+$C$2</f>
        <v>200.23610519369748</v>
      </c>
      <c r="H196" s="74">
        <f>('Old Data'!$K192-$F196)^2+('Old Data'!$U192-$G196)^2</f>
        <v>7442.6207449054891</v>
      </c>
      <c r="I196" s="75">
        <f>('Old Data'!$L192+'Old Data'!$M192)-('Old Data'!$V192+'Old Data'!$W192)</f>
        <v>-62</v>
      </c>
      <c r="J196" s="72">
        <f>VLOOKUP('Old Data'!$F192,$Z$6:$AB$135,2,FALSE)+VLOOKUP('Old Data'!$P192,$Z$6:$AB$135,3,FALSE)+$D$2</f>
        <v>38.392338757751673</v>
      </c>
      <c r="K196" s="72">
        <f>VLOOKUP('Old Data'!$P192,$Z$6:$AB$135,2,FALSE)+VLOOKUP('Old Data'!$F192,$Z$6:$AB$135,3,FALSE)+$D$2</f>
        <v>88.213974335877467</v>
      </c>
      <c r="L196" s="74">
        <f>('Old Data'!$L192+'Old Data'!$M192-$J196)^2+('Old Data'!$V192+'Old Data'!$W192-$K196)^2</f>
        <v>286.46634965232158</v>
      </c>
      <c r="M196" s="75">
        <f>'Old Data'!$N192-'Old Data'!$X192</f>
        <v>3</v>
      </c>
      <c r="N196" s="72">
        <f>VLOOKUP('Old Data'!$F192,$AD$6:$AF$135,2,FALSE)+VLOOKUP('Old Data'!$P192,$AD$6:$AF$135,3,FALSE)+$E$2</f>
        <v>1.7096378688205043</v>
      </c>
      <c r="O196" s="72">
        <f>VLOOKUP('Old Data'!$P192,$AD$6:$AF$135,2,FALSE)+VLOOKUP('Old Data'!$F192,$AD$6:$AF$135,3,FALSE)+$E$2</f>
        <v>1.3290496335479161</v>
      </c>
      <c r="P196" s="73">
        <f>('Old Data'!$N192-$N196)^2+('Old Data'!$X192-$O196)^2</f>
        <v>5.3540323532790994</v>
      </c>
      <c r="Q196" s="62"/>
      <c r="R196" s="3"/>
      <c r="S196" s="3"/>
      <c r="T196" s="3"/>
      <c r="V196" s="3"/>
      <c r="W196" s="3"/>
      <c r="X196" s="3"/>
      <c r="Z196" s="3"/>
      <c r="AA196" s="3"/>
      <c r="AB196" s="3"/>
      <c r="AC196" s="3"/>
      <c r="AD196" s="3"/>
      <c r="AE196" s="3"/>
      <c r="AF196" s="3"/>
      <c r="AG196" s="3"/>
      <c r="AH196" s="37"/>
      <c r="AI196" s="1"/>
      <c r="AK196" s="10"/>
      <c r="AL196" s="10"/>
      <c r="AM196" s="10"/>
      <c r="AN196" s="11"/>
      <c r="AO196" s="11"/>
      <c r="AP196" s="11"/>
      <c r="AQ196" s="36"/>
      <c r="AR196" s="11"/>
      <c r="AS196" s="11"/>
      <c r="AT196" s="11"/>
      <c r="AU196" s="12"/>
      <c r="AV196" s="11"/>
      <c r="AW196" s="11"/>
      <c r="AX196" s="15"/>
      <c r="AY196" s="15"/>
      <c r="AZ196" s="15"/>
      <c r="BA196" s="15"/>
      <c r="BB196" s="15"/>
      <c r="BC196" s="15"/>
      <c r="BD196" s="15"/>
      <c r="BE196" s="12"/>
      <c r="BF196" s="11"/>
      <c r="BG196" s="11"/>
      <c r="BH196" s="10"/>
      <c r="BI196" s="10"/>
      <c r="BJ196" s="10"/>
      <c r="BK196" s="23"/>
      <c r="BL196" s="23"/>
      <c r="BM196" s="23"/>
      <c r="BN196" s="23"/>
      <c r="BO196" s="23"/>
      <c r="BP196" s="23"/>
      <c r="BQ196" s="23"/>
      <c r="BR196" s="10"/>
      <c r="BS196" s="16"/>
      <c r="BT196" s="16"/>
      <c r="BU196" s="16"/>
      <c r="BV196" s="16"/>
      <c r="BW196" s="11"/>
      <c r="BX196" s="16"/>
      <c r="BY196" s="16"/>
      <c r="BZ196" s="17"/>
      <c r="CA196" s="18"/>
      <c r="CB196" s="18"/>
      <c r="CC196" s="18"/>
      <c r="CD196" s="18"/>
      <c r="CE196" s="18"/>
      <c r="CF196" s="18"/>
      <c r="CG196" s="19"/>
      <c r="CH196" s="15"/>
      <c r="CI196" s="17"/>
      <c r="CJ196" s="10"/>
      <c r="CK196" s="10"/>
      <c r="CL196" s="10"/>
      <c r="CM196" s="17"/>
      <c r="CN196" s="17"/>
      <c r="CO196" s="10"/>
      <c r="CP196" s="10"/>
      <c r="CQ196" s="10"/>
      <c r="CR196" s="10"/>
      <c r="CS196" s="10"/>
      <c r="CT196" s="10"/>
      <c r="CU196" s="10"/>
      <c r="CV196" s="10"/>
      <c r="CW196" s="10"/>
      <c r="CX196" s="10"/>
      <c r="CY196" s="10"/>
      <c r="CZ196" s="10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  <c r="DY196" s="34"/>
      <c r="DZ196" s="34"/>
      <c r="EA196" s="34"/>
      <c r="EB196" s="34"/>
      <c r="EC196" s="34"/>
      <c r="ED196" s="34"/>
      <c r="EE196" s="34"/>
    </row>
    <row r="197" spans="1:135" customFormat="1">
      <c r="A197" s="71">
        <f>'Old Data'!$I193-'Old Data'!$S193</f>
        <v>-176</v>
      </c>
      <c r="B197" s="72">
        <f>VLOOKUP('Old Data'!$F193,$R$6:$T$135,2,FALSE)+VLOOKUP('Old Data'!$P193,$R$6:$T$135,3,FALSE)+$B$2</f>
        <v>157.36291181252179</v>
      </c>
      <c r="C197" s="72">
        <f>VLOOKUP('Old Data'!$P193,$R$6:$T$135,2,FALSE)+VLOOKUP('Old Data'!$F193,$R$6:$T$135,3,FALSE)+$B$2</f>
        <v>212.86192083376437</v>
      </c>
      <c r="D197" s="74">
        <f>('Old Data'!$I193-$B197)^2+('Old Data'!$S193-$C197)^2</f>
        <v>9726.0079735307372</v>
      </c>
      <c r="E197" s="75">
        <f>'Old Data'!$K193-'Old Data'!$U193</f>
        <v>-37</v>
      </c>
      <c r="F197" s="72">
        <f>VLOOKUP('Old Data'!$F193,$V$6:$X$135,2,FALSE)+VLOOKUP('Old Data'!$P193,$V$6:$X$135,3,FALSE)+$C$2</f>
        <v>227.3156594309682</v>
      </c>
      <c r="G197" s="72">
        <f>VLOOKUP('Old Data'!$P193,$V$6:$X$135,2,FALSE)+VLOOKUP('Old Data'!$F193,$V$6:$X$135,3,FALSE)+$C$2</f>
        <v>261.58519408311992</v>
      </c>
      <c r="H197" s="74">
        <f>('Old Data'!$K193-$F197)^2+('Old Data'!$U193-$G197)^2</f>
        <v>6743.2336278865132</v>
      </c>
      <c r="I197" s="75">
        <f>('Old Data'!$L193+'Old Data'!$M193)-('Old Data'!$V193+'Old Data'!$W193)</f>
        <v>73</v>
      </c>
      <c r="J197" s="72">
        <f>VLOOKUP('Old Data'!$F193,$Z$6:$AB$135,2,FALSE)+VLOOKUP('Old Data'!$P193,$Z$6:$AB$135,3,FALSE)+$D$2</f>
        <v>48.750555110350895</v>
      </c>
      <c r="K197" s="72">
        <f>VLOOKUP('Old Data'!$P193,$Z$6:$AB$135,2,FALSE)+VLOOKUP('Old Data'!$F193,$Z$6:$AB$135,3,FALSE)+$D$2</f>
        <v>25.776738027109175</v>
      </c>
      <c r="L197" s="74">
        <f>('Old Data'!$L193+'Old Data'!$M193-$J197)^2+('Old Data'!$V193+'Old Data'!$W193-$K197)^2</f>
        <v>1261.3120419495849</v>
      </c>
      <c r="M197" s="75">
        <f>'Old Data'!$N193-'Old Data'!$X193</f>
        <v>-2</v>
      </c>
      <c r="N197" s="72">
        <f>VLOOKUP('Old Data'!$F193,$AD$6:$AF$135,2,FALSE)+VLOOKUP('Old Data'!$P193,$AD$6:$AF$135,3,FALSE)+$E$2</f>
        <v>0.81142839991988946</v>
      </c>
      <c r="O197" s="72">
        <f>VLOOKUP('Old Data'!$P193,$AD$6:$AF$135,2,FALSE)+VLOOKUP('Old Data'!$F193,$AD$6:$AF$135,3,FALSE)+$E$2</f>
        <v>2.2042859059941824</v>
      </c>
      <c r="P197" s="73">
        <f>('Old Data'!$N193-$N197)^2+('Old Data'!$X193-$O197)^2</f>
        <v>0.6687201677562723</v>
      </c>
      <c r="Q197" s="62"/>
      <c r="R197" s="3"/>
      <c r="S197" s="3"/>
      <c r="T197" s="3"/>
      <c r="V197" s="3"/>
      <c r="W197" s="3"/>
      <c r="X197" s="3"/>
      <c r="Z197" s="3"/>
      <c r="AA197" s="3"/>
      <c r="AB197" s="3"/>
      <c r="AC197" s="3"/>
      <c r="AD197" s="3"/>
      <c r="AE197" s="3"/>
      <c r="AF197" s="3"/>
      <c r="AG197" s="3"/>
      <c r="AH197" s="37"/>
      <c r="AI197" s="1"/>
      <c r="AK197" s="10"/>
      <c r="AL197" s="10"/>
      <c r="AM197" s="10"/>
      <c r="AN197" s="11"/>
      <c r="AO197" s="11"/>
      <c r="AP197" s="11"/>
      <c r="AQ197" s="36"/>
      <c r="AR197" s="11"/>
      <c r="AS197" s="11"/>
      <c r="AT197" s="11"/>
      <c r="AU197" s="12"/>
      <c r="AV197" s="11"/>
      <c r="AW197" s="11"/>
      <c r="AX197" s="15"/>
      <c r="AY197" s="15"/>
      <c r="AZ197" s="15"/>
      <c r="BA197" s="15"/>
      <c r="BB197" s="15"/>
      <c r="BC197" s="15"/>
      <c r="BD197" s="15"/>
      <c r="BE197" s="12"/>
      <c r="BF197" s="11"/>
      <c r="BG197" s="11"/>
      <c r="BH197" s="10"/>
      <c r="BI197" s="10"/>
      <c r="BJ197" s="10"/>
      <c r="BK197" s="23"/>
      <c r="BL197" s="23"/>
      <c r="BM197" s="23"/>
      <c r="BN197" s="23"/>
      <c r="BO197" s="23"/>
      <c r="BP197" s="23"/>
      <c r="BQ197" s="23"/>
      <c r="BR197" s="10"/>
      <c r="BS197" s="16"/>
      <c r="BT197" s="16"/>
      <c r="BU197" s="16"/>
      <c r="BV197" s="16"/>
      <c r="BW197" s="11"/>
      <c r="BX197" s="16"/>
      <c r="BY197" s="16"/>
      <c r="BZ197" s="17"/>
      <c r="CA197" s="18"/>
      <c r="CB197" s="18"/>
      <c r="CC197" s="18"/>
      <c r="CD197" s="18"/>
      <c r="CE197" s="18"/>
      <c r="CF197" s="18"/>
      <c r="CG197" s="19"/>
      <c r="CH197" s="15"/>
      <c r="CI197" s="17"/>
      <c r="CJ197" s="10"/>
      <c r="CK197" s="10"/>
      <c r="CL197" s="10"/>
      <c r="CM197" s="17"/>
      <c r="CN197" s="17"/>
      <c r="CO197" s="10"/>
      <c r="CP197" s="10"/>
      <c r="CQ197" s="10"/>
      <c r="CR197" s="10"/>
      <c r="CS197" s="10"/>
      <c r="CT197" s="10"/>
      <c r="CU197" s="10"/>
      <c r="CV197" s="10"/>
      <c r="CW197" s="10"/>
      <c r="CX197" s="10"/>
      <c r="CY197" s="10"/>
      <c r="CZ197" s="10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  <c r="DY197" s="34"/>
      <c r="DZ197" s="34"/>
      <c r="EA197" s="34"/>
      <c r="EB197" s="34"/>
      <c r="EC197" s="34"/>
      <c r="ED197" s="34"/>
      <c r="EE197" s="34"/>
    </row>
    <row r="198" spans="1:135" customFormat="1">
      <c r="A198" s="71">
        <f>'Old Data'!$I194-'Old Data'!$S194</f>
        <v>-35</v>
      </c>
      <c r="B198" s="72">
        <f>VLOOKUP('Old Data'!$F194,$R$6:$T$135,2,FALSE)+VLOOKUP('Old Data'!$P194,$R$6:$T$135,3,FALSE)+$B$2</f>
        <v>114.92570259359151</v>
      </c>
      <c r="C198" s="72">
        <f>VLOOKUP('Old Data'!$P194,$R$6:$T$135,2,FALSE)+VLOOKUP('Old Data'!$F194,$R$6:$T$135,3,FALSE)+$B$2</f>
        <v>114.3121877453851</v>
      </c>
      <c r="D198" s="74">
        <f>('Old Data'!$I194-$B198)^2+('Old Data'!$S194-$C198)^2</f>
        <v>4527.12386565834</v>
      </c>
      <c r="E198" s="75">
        <f>'Old Data'!$K194-'Old Data'!$U194</f>
        <v>34</v>
      </c>
      <c r="F198" s="72">
        <f>VLOOKUP('Old Data'!$F194,$V$6:$X$135,2,FALSE)+VLOOKUP('Old Data'!$P194,$V$6:$X$135,3,FALSE)+$C$2</f>
        <v>285.82140234491919</v>
      </c>
      <c r="G198" s="72">
        <f>VLOOKUP('Old Data'!$P194,$V$6:$X$135,2,FALSE)+VLOOKUP('Old Data'!$F194,$V$6:$X$135,3,FALSE)+$C$2</f>
        <v>233.0939523306231</v>
      </c>
      <c r="H198" s="74">
        <f>('Old Data'!$K194-$F198)^2+('Old Data'!$U194-$G198)^2</f>
        <v>3302.5492550666149</v>
      </c>
      <c r="I198" s="75">
        <f>('Old Data'!$L194+'Old Data'!$M194)-('Old Data'!$V194+'Old Data'!$W194)</f>
        <v>72</v>
      </c>
      <c r="J198" s="72">
        <f>VLOOKUP('Old Data'!$F194,$Z$6:$AB$135,2,FALSE)+VLOOKUP('Old Data'!$P194,$Z$6:$AB$135,3,FALSE)+$D$2</f>
        <v>43.127894681305527</v>
      </c>
      <c r="K198" s="72">
        <f>VLOOKUP('Old Data'!$P194,$Z$6:$AB$135,2,FALSE)+VLOOKUP('Old Data'!$F194,$Z$6:$AB$135,3,FALSE)+$D$2</f>
        <v>19.525324164595382</v>
      </c>
      <c r="L198" s="74">
        <f>('Old Data'!$L194+'Old Data'!$M194-$J198)^2+('Old Data'!$V194+'Old Data'!$W194-$K198)^2</f>
        <v>1601.7723723482998</v>
      </c>
      <c r="M198" s="75">
        <f>'Old Data'!$N194-'Old Data'!$X194</f>
        <v>2</v>
      </c>
      <c r="N198" s="72">
        <f>VLOOKUP('Old Data'!$F194,$AD$6:$AF$135,2,FALSE)+VLOOKUP('Old Data'!$P194,$AD$6:$AF$135,3,FALSE)+$E$2</f>
        <v>2.1112081435589412</v>
      </c>
      <c r="O198" s="72">
        <f>VLOOKUP('Old Data'!$P194,$AD$6:$AF$135,2,FALSE)+VLOOKUP('Old Data'!$F194,$AD$6:$AF$135,3,FALSE)+$E$2</f>
        <v>0.40978390880796822</v>
      </c>
      <c r="P198" s="73">
        <f>('Old Data'!$N194-$N198)^2+('Old Data'!$X194-$O198)^2</f>
        <v>0.18029010311176327</v>
      </c>
      <c r="Q198" s="62"/>
      <c r="R198" s="3"/>
      <c r="S198" s="3"/>
      <c r="T198" s="3"/>
      <c r="V198" s="3"/>
      <c r="W198" s="3"/>
      <c r="X198" s="3"/>
      <c r="Z198" s="3"/>
      <c r="AA198" s="3"/>
      <c r="AB198" s="3"/>
      <c r="AC198" s="3"/>
      <c r="AD198" s="3"/>
      <c r="AE198" s="3"/>
      <c r="AF198" s="3"/>
      <c r="AG198" s="3"/>
      <c r="AH198" s="37"/>
      <c r="AI198" s="1"/>
      <c r="AK198" s="10"/>
      <c r="AL198" s="10"/>
      <c r="AM198" s="10"/>
      <c r="AN198" s="11"/>
      <c r="AO198" s="11"/>
      <c r="AP198" s="11"/>
      <c r="AQ198" s="36"/>
      <c r="AR198" s="11"/>
      <c r="AS198" s="11"/>
      <c r="AT198" s="11"/>
      <c r="AU198" s="12"/>
      <c r="AV198" s="11"/>
      <c r="AW198" s="11"/>
      <c r="AX198" s="15"/>
      <c r="AY198" s="15"/>
      <c r="AZ198" s="15"/>
      <c r="BA198" s="15"/>
      <c r="BB198" s="15"/>
      <c r="BC198" s="15"/>
      <c r="BD198" s="15"/>
      <c r="BE198" s="12"/>
      <c r="BF198" s="11"/>
      <c r="BG198" s="11"/>
      <c r="BH198" s="10"/>
      <c r="BI198" s="10"/>
      <c r="BJ198" s="10"/>
      <c r="BK198" s="23"/>
      <c r="BL198" s="23"/>
      <c r="BM198" s="23"/>
      <c r="BN198" s="23"/>
      <c r="BO198" s="23"/>
      <c r="BP198" s="23"/>
      <c r="BQ198" s="23"/>
      <c r="BR198" s="10"/>
      <c r="BS198" s="16"/>
      <c r="BT198" s="16"/>
      <c r="BU198" s="16"/>
      <c r="BV198" s="16"/>
      <c r="BW198" s="11"/>
      <c r="BX198" s="16"/>
      <c r="BY198" s="16"/>
      <c r="BZ198" s="17"/>
      <c r="CA198" s="18"/>
      <c r="CB198" s="18"/>
      <c r="CC198" s="18"/>
      <c r="CD198" s="18"/>
      <c r="CE198" s="18"/>
      <c r="CF198" s="18"/>
      <c r="CG198" s="19"/>
      <c r="CH198" s="15"/>
      <c r="CI198" s="17"/>
      <c r="CJ198" s="10"/>
      <c r="CK198" s="10"/>
      <c r="CL198" s="10"/>
      <c r="CM198" s="17"/>
      <c r="CN198" s="17"/>
      <c r="CO198" s="10"/>
      <c r="CP198" s="10"/>
      <c r="CQ198" s="10"/>
      <c r="CR198" s="10"/>
      <c r="CS198" s="10"/>
      <c r="CT198" s="10"/>
      <c r="CU198" s="10"/>
      <c r="CV198" s="10"/>
      <c r="CW198" s="10"/>
      <c r="CX198" s="10"/>
      <c r="CY198" s="10"/>
      <c r="CZ198" s="10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  <c r="DY198" s="34"/>
      <c r="DZ198" s="34"/>
      <c r="EA198" s="34"/>
      <c r="EB198" s="34"/>
      <c r="EC198" s="34"/>
      <c r="ED198" s="34"/>
      <c r="EE198" s="34"/>
    </row>
    <row r="199" spans="1:135" customFormat="1">
      <c r="A199" s="71">
        <f>'Old Data'!$I195-'Old Data'!$S195</f>
        <v>-60</v>
      </c>
      <c r="B199" s="72">
        <f>VLOOKUP('Old Data'!$F195,$R$6:$T$135,2,FALSE)+VLOOKUP('Old Data'!$P195,$R$6:$T$135,3,FALSE)+$B$2</f>
        <v>246.84684903084042</v>
      </c>
      <c r="C199" s="72">
        <f>VLOOKUP('Old Data'!$P195,$R$6:$T$135,2,FALSE)+VLOOKUP('Old Data'!$F195,$R$6:$T$135,3,FALSE)+$B$2</f>
        <v>205.0299012495077</v>
      </c>
      <c r="D199" s="74">
        <f>('Old Data'!$I195-$B199)^2+('Old Data'!$S195-$C199)^2</f>
        <v>5910.0365123467845</v>
      </c>
      <c r="E199" s="75">
        <f>'Old Data'!$K195-'Old Data'!$U195</f>
        <v>-128</v>
      </c>
      <c r="F199" s="72">
        <f>VLOOKUP('Old Data'!$F195,$V$6:$X$135,2,FALSE)+VLOOKUP('Old Data'!$P195,$V$6:$X$135,3,FALSE)+$C$2</f>
        <v>48.259831477444294</v>
      </c>
      <c r="G199" s="72">
        <f>VLOOKUP('Old Data'!$P195,$V$6:$X$135,2,FALSE)+VLOOKUP('Old Data'!$F195,$V$6:$X$135,3,FALSE)+$C$2</f>
        <v>210.4281402292051</v>
      </c>
      <c r="H199" s="74">
        <f>('Old Data'!$K195-$F199)^2+('Old Data'!$U195-$G199)^2</f>
        <v>2190.4997295847679</v>
      </c>
      <c r="I199" s="75">
        <f>('Old Data'!$L195+'Old Data'!$M195)-('Old Data'!$V195+'Old Data'!$W195)</f>
        <v>-11</v>
      </c>
      <c r="J199" s="72">
        <f>VLOOKUP('Old Data'!$F195,$Z$6:$AB$135,2,FALSE)+VLOOKUP('Old Data'!$P195,$Z$6:$AB$135,3,FALSE)+$D$2</f>
        <v>21.405020320679917</v>
      </c>
      <c r="K199" s="72">
        <f>VLOOKUP('Old Data'!$P195,$Z$6:$AB$135,2,FALSE)+VLOOKUP('Old Data'!$F195,$Z$6:$AB$135,3,FALSE)+$D$2</f>
        <v>42.008352318698101</v>
      </c>
      <c r="L199" s="74">
        <f>('Old Data'!$L195+'Old Data'!$M195-$J199)^2+('Old Data'!$V195+'Old Data'!$W195-$K199)^2</f>
        <v>1419.6928084492301</v>
      </c>
      <c r="M199" s="75">
        <f>'Old Data'!$N195-'Old Data'!$X195</f>
        <v>2</v>
      </c>
      <c r="N199" s="72">
        <f>VLOOKUP('Old Data'!$F195,$AD$6:$AF$135,2,FALSE)+VLOOKUP('Old Data'!$P195,$AD$6:$AF$135,3,FALSE)+$E$2</f>
        <v>1.2111390732319769</v>
      </c>
      <c r="O199" s="72">
        <f>VLOOKUP('Old Data'!$P195,$AD$6:$AF$135,2,FALSE)+VLOOKUP('Old Data'!$F195,$AD$6:$AF$135,3,FALSE)+$E$2</f>
        <v>0.84312950195637293</v>
      </c>
      <c r="P199" s="73">
        <f>('Old Data'!$N195-$N199)^2+('Old Data'!$X195-$O199)^2</f>
        <v>1.3331689188505058</v>
      </c>
      <c r="Q199" s="62"/>
      <c r="R199" s="3"/>
      <c r="S199" s="3"/>
      <c r="T199" s="3"/>
      <c r="V199" s="3"/>
      <c r="W199" s="3"/>
      <c r="X199" s="3"/>
      <c r="Z199" s="3"/>
      <c r="AA199" s="3"/>
      <c r="AB199" s="3"/>
      <c r="AC199" s="3"/>
      <c r="AD199" s="3"/>
      <c r="AE199" s="3"/>
      <c r="AF199" s="3"/>
      <c r="AG199" s="3"/>
      <c r="AH199" s="37"/>
      <c r="AI199" s="1"/>
      <c r="AK199" s="10"/>
      <c r="AL199" s="10"/>
      <c r="AM199" s="10"/>
      <c r="AN199" s="11"/>
      <c r="AO199" s="11"/>
      <c r="AP199" s="11"/>
      <c r="AQ199" s="36"/>
      <c r="AR199" s="11"/>
      <c r="AS199" s="11"/>
      <c r="AT199" s="11"/>
      <c r="AU199" s="12"/>
      <c r="AV199" s="11"/>
      <c r="AW199" s="11"/>
      <c r="AX199" s="15"/>
      <c r="AY199" s="15"/>
      <c r="AZ199" s="15"/>
      <c r="BA199" s="15"/>
      <c r="BB199" s="15"/>
      <c r="BC199" s="15"/>
      <c r="BD199" s="15"/>
      <c r="BE199" s="12"/>
      <c r="BF199" s="11"/>
      <c r="BG199" s="11"/>
      <c r="BH199" s="10"/>
      <c r="BI199" s="10"/>
      <c r="BJ199" s="10"/>
      <c r="BK199" s="23"/>
      <c r="BL199" s="23"/>
      <c r="BM199" s="23"/>
      <c r="BN199" s="23"/>
      <c r="BO199" s="23"/>
      <c r="BP199" s="23"/>
      <c r="BQ199" s="23"/>
      <c r="BR199" s="10"/>
      <c r="BS199" s="16"/>
      <c r="BT199" s="16"/>
      <c r="BU199" s="16"/>
      <c r="BV199" s="16"/>
      <c r="BW199" s="11"/>
      <c r="BX199" s="16"/>
      <c r="BY199" s="16"/>
      <c r="BZ199" s="17"/>
      <c r="CA199" s="18"/>
      <c r="CB199" s="18"/>
      <c r="CC199" s="18"/>
      <c r="CD199" s="18"/>
      <c r="CE199" s="18"/>
      <c r="CF199" s="18"/>
      <c r="CG199" s="19"/>
      <c r="CH199" s="15"/>
      <c r="CI199" s="17"/>
      <c r="CJ199" s="10"/>
      <c r="CK199" s="10"/>
      <c r="CL199" s="10"/>
      <c r="CM199" s="17"/>
      <c r="CN199" s="17"/>
      <c r="CO199" s="10"/>
      <c r="CP199" s="10"/>
      <c r="CQ199" s="10"/>
      <c r="CR199" s="10"/>
      <c r="CS199" s="10"/>
      <c r="CT199" s="10"/>
      <c r="CU199" s="10"/>
      <c r="CV199" s="10"/>
      <c r="CW199" s="10"/>
      <c r="CX199" s="10"/>
      <c r="CY199" s="10"/>
      <c r="CZ199" s="10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  <c r="DY199" s="34"/>
      <c r="DZ199" s="34"/>
      <c r="EA199" s="34"/>
      <c r="EB199" s="34"/>
      <c r="EC199" s="34"/>
      <c r="ED199" s="34"/>
      <c r="EE199" s="34"/>
    </row>
    <row r="200" spans="1:135" customFormat="1">
      <c r="A200" s="71">
        <f>'Old Data'!$I196-'Old Data'!$S196</f>
        <v>271</v>
      </c>
      <c r="B200" s="72">
        <f>VLOOKUP('Old Data'!$F196,$R$6:$T$135,2,FALSE)+VLOOKUP('Old Data'!$P196,$R$6:$T$135,3,FALSE)+$B$2</f>
        <v>208.15936170248244</v>
      </c>
      <c r="C200" s="72">
        <f>VLOOKUP('Old Data'!$P196,$R$6:$T$135,2,FALSE)+VLOOKUP('Old Data'!$F196,$R$6:$T$135,3,FALSE)+$B$2</f>
        <v>112.82460159388782</v>
      </c>
      <c r="D200" s="74">
        <f>('Old Data'!$I196-$B200)^2+('Old Data'!$S196-$C200)^2</f>
        <v>21480.902419039703</v>
      </c>
      <c r="E200" s="75">
        <f>'Old Data'!$K196-'Old Data'!$U196</f>
        <v>157</v>
      </c>
      <c r="F200" s="72">
        <f>VLOOKUP('Old Data'!$F196,$V$6:$X$135,2,FALSE)+VLOOKUP('Old Data'!$P196,$V$6:$X$135,3,FALSE)+$C$2</f>
        <v>283.64057839556494</v>
      </c>
      <c r="G200" s="72">
        <f>VLOOKUP('Old Data'!$P196,$V$6:$X$135,2,FALSE)+VLOOKUP('Old Data'!$F196,$V$6:$X$135,3,FALSE)+$C$2</f>
        <v>203.94976592148231</v>
      </c>
      <c r="H200" s="74">
        <f>('Old Data'!$K196-$F200)^2+('Old Data'!$U196-$G200)^2</f>
        <v>4704.7694615538039</v>
      </c>
      <c r="I200" s="75">
        <f>('Old Data'!$L196+'Old Data'!$M196)-('Old Data'!$V196+'Old Data'!$W196)</f>
        <v>20</v>
      </c>
      <c r="J200" s="72">
        <f>VLOOKUP('Old Data'!$F196,$Z$6:$AB$135,2,FALSE)+VLOOKUP('Old Data'!$P196,$Z$6:$AB$135,3,FALSE)+$D$2</f>
        <v>65.915195891794227</v>
      </c>
      <c r="K200" s="72">
        <f>VLOOKUP('Old Data'!$P196,$Z$6:$AB$135,2,FALSE)+VLOOKUP('Old Data'!$F196,$Z$6:$AB$135,3,FALSE)+$D$2</f>
        <v>-5.6778549622765979</v>
      </c>
      <c r="L200" s="74">
        <f>('Old Data'!$L196+'Old Data'!$M196-$J200)^2+('Old Data'!$V196+'Old Data'!$W196-$K200)^2</f>
        <v>2140.4432507544861</v>
      </c>
      <c r="M200" s="75">
        <f>'Old Data'!$N196-'Old Data'!$X196</f>
        <v>0</v>
      </c>
      <c r="N200" s="72">
        <f>VLOOKUP('Old Data'!$F196,$AD$6:$AF$135,2,FALSE)+VLOOKUP('Old Data'!$P196,$AD$6:$AF$135,3,FALSE)+$E$2</f>
        <v>1.2103139152491562</v>
      </c>
      <c r="O200" s="72">
        <f>VLOOKUP('Old Data'!$P196,$AD$6:$AF$135,2,FALSE)+VLOOKUP('Old Data'!$F196,$AD$6:$AF$135,3,FALSE)+$E$2</f>
        <v>0.90006988612203553</v>
      </c>
      <c r="P200" s="73">
        <f>('Old Data'!$N196-$N200)^2+('Old Data'!$X196-$O200)^2</f>
        <v>2.2749855733494755</v>
      </c>
      <c r="Q200" s="62"/>
      <c r="R200" s="3"/>
      <c r="S200" s="3"/>
      <c r="T200" s="3"/>
      <c r="V200" s="3"/>
      <c r="W200" s="3"/>
      <c r="X200" s="3"/>
      <c r="Z200" s="3"/>
      <c r="AA200" s="3"/>
      <c r="AB200" s="3"/>
      <c r="AC200" s="3"/>
      <c r="AD200" s="3"/>
      <c r="AE200" s="3"/>
      <c r="AF200" s="3"/>
      <c r="AG200" s="3"/>
      <c r="AH200" s="37"/>
      <c r="AI200" s="1"/>
      <c r="AK200" s="10"/>
      <c r="AL200" s="10"/>
      <c r="AM200" s="10"/>
      <c r="AN200" s="11"/>
      <c r="AO200" s="11"/>
      <c r="AP200" s="11"/>
      <c r="AQ200" s="36"/>
      <c r="AR200" s="11"/>
      <c r="AS200" s="11"/>
      <c r="AT200" s="11"/>
      <c r="AU200" s="12"/>
      <c r="AV200" s="11"/>
      <c r="AW200" s="11"/>
      <c r="AX200" s="15"/>
      <c r="AY200" s="15"/>
      <c r="AZ200" s="15"/>
      <c r="BA200" s="15"/>
      <c r="BB200" s="15"/>
      <c r="BC200" s="15"/>
      <c r="BD200" s="15"/>
      <c r="BE200" s="12"/>
      <c r="BF200" s="11"/>
      <c r="BG200" s="11"/>
      <c r="BH200" s="10"/>
      <c r="BI200" s="10"/>
      <c r="BJ200" s="10"/>
      <c r="BK200" s="23"/>
      <c r="BL200" s="23"/>
      <c r="BM200" s="23"/>
      <c r="BN200" s="23"/>
      <c r="BO200" s="23"/>
      <c r="BP200" s="23"/>
      <c r="BQ200" s="23"/>
      <c r="BR200" s="10"/>
      <c r="BS200" s="16"/>
      <c r="BT200" s="16"/>
      <c r="BU200" s="16"/>
      <c r="BV200" s="16"/>
      <c r="BW200" s="11"/>
      <c r="BX200" s="16"/>
      <c r="BY200" s="16"/>
      <c r="BZ200" s="17"/>
      <c r="CA200" s="18"/>
      <c r="CB200" s="18"/>
      <c r="CC200" s="18"/>
      <c r="CD200" s="18"/>
      <c r="CE200" s="18"/>
      <c r="CF200" s="18"/>
      <c r="CG200" s="19"/>
      <c r="CH200" s="15"/>
      <c r="CI200" s="17"/>
      <c r="CJ200" s="10"/>
      <c r="CK200" s="10"/>
      <c r="CL200" s="10"/>
      <c r="CM200" s="17"/>
      <c r="CN200" s="17"/>
      <c r="CO200" s="10"/>
      <c r="CP200" s="10"/>
      <c r="CQ200" s="10"/>
      <c r="CR200" s="10"/>
      <c r="CS200" s="10"/>
      <c r="CT200" s="10"/>
      <c r="CU200" s="10"/>
      <c r="CV200" s="10"/>
      <c r="CW200" s="10"/>
      <c r="CX200" s="10"/>
      <c r="CY200" s="10"/>
      <c r="CZ200" s="10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  <c r="DY200" s="34"/>
      <c r="DZ200" s="34"/>
      <c r="EA200" s="34"/>
      <c r="EB200" s="34"/>
      <c r="EC200" s="34"/>
      <c r="ED200" s="34"/>
      <c r="EE200" s="34"/>
    </row>
    <row r="201" spans="1:135" customFormat="1">
      <c r="A201" s="71">
        <f>'Old Data'!$I197-'Old Data'!$S197</f>
        <v>-119</v>
      </c>
      <c r="B201" s="72">
        <f>VLOOKUP('Old Data'!$F197,$R$6:$T$135,2,FALSE)+VLOOKUP('Old Data'!$P197,$R$6:$T$135,3,FALSE)+$B$2</f>
        <v>215.77417124313561</v>
      </c>
      <c r="C201" s="72">
        <f>VLOOKUP('Old Data'!$P197,$R$6:$T$135,2,FALSE)+VLOOKUP('Old Data'!$F197,$R$6:$T$135,3,FALSE)+$B$2</f>
        <v>217.3509421973184</v>
      </c>
      <c r="D201" s="74">
        <f>('Old Data'!$I197-$B201)^2+('Old Data'!$S197-$C201)^2</f>
        <v>7235.3681359115208</v>
      </c>
      <c r="E201" s="75">
        <f>'Old Data'!$K197-'Old Data'!$U197</f>
        <v>172</v>
      </c>
      <c r="F201" s="72">
        <f>VLOOKUP('Old Data'!$F197,$V$6:$X$135,2,FALSE)+VLOOKUP('Old Data'!$P197,$V$6:$X$135,3,FALSE)+$C$2</f>
        <v>254.84254078939756</v>
      </c>
      <c r="G201" s="72">
        <f>VLOOKUP('Old Data'!$P197,$V$6:$X$135,2,FALSE)+VLOOKUP('Old Data'!$F197,$V$6:$X$135,3,FALSE)+$C$2</f>
        <v>172.08616261133619</v>
      </c>
      <c r="H201" s="74">
        <f>('Old Data'!$K197-$F201)^2+('Old Data'!$U197-$G201)^2</f>
        <v>4344.7895513709454</v>
      </c>
      <c r="I201" s="75">
        <f>('Old Data'!$L197+'Old Data'!$M197)-('Old Data'!$V197+'Old Data'!$W197)</f>
        <v>0</v>
      </c>
      <c r="J201" s="72">
        <f>VLOOKUP('Old Data'!$F197,$Z$6:$AB$135,2,FALSE)+VLOOKUP('Old Data'!$P197,$Z$6:$AB$135,3,FALSE)+$D$2</f>
        <v>69.968915210817698</v>
      </c>
      <c r="K201" s="72">
        <f>VLOOKUP('Old Data'!$P197,$Z$6:$AB$135,2,FALSE)+VLOOKUP('Old Data'!$F197,$Z$6:$AB$135,3,FALSE)+$D$2</f>
        <v>59.629656519081159</v>
      </c>
      <c r="L201" s="74">
        <f>('Old Data'!$L197+'Old Data'!$M197-$J201)^2+('Old Data'!$V197+'Old Data'!$W197-$K201)^2</f>
        <v>2616.6278720280607</v>
      </c>
      <c r="M201" s="75">
        <f>'Old Data'!$N197-'Old Data'!$X197</f>
        <v>1</v>
      </c>
      <c r="N201" s="72">
        <f>VLOOKUP('Old Data'!$F197,$AD$6:$AF$135,2,FALSE)+VLOOKUP('Old Data'!$P197,$AD$6:$AF$135,3,FALSE)+$E$2</f>
        <v>1.8181421473044341</v>
      </c>
      <c r="O201" s="72">
        <f>VLOOKUP('Old Data'!$P197,$AD$6:$AF$135,2,FALSE)+VLOOKUP('Old Data'!$F197,$AD$6:$AF$135,3,FALSE)+$E$2</f>
        <v>1.323160432195003</v>
      </c>
      <c r="P201" s="73">
        <f>('Old Data'!$N197-$N201)^2+('Old Data'!$X197-$O201)^2</f>
        <v>2.4201101025223775</v>
      </c>
      <c r="Q201" s="62"/>
      <c r="R201" s="3"/>
      <c r="S201" s="3"/>
      <c r="T201" s="3"/>
      <c r="V201" s="3"/>
      <c r="W201" s="3"/>
      <c r="X201" s="3"/>
      <c r="Z201" s="3"/>
      <c r="AA201" s="3"/>
      <c r="AB201" s="3"/>
      <c r="AC201" s="3"/>
      <c r="AD201" s="3"/>
      <c r="AE201" s="3"/>
      <c r="AF201" s="3"/>
      <c r="AG201" s="3"/>
      <c r="AH201" s="37"/>
      <c r="AI201" s="1"/>
      <c r="AK201" s="10"/>
      <c r="AL201" s="10"/>
      <c r="AM201" s="10"/>
      <c r="AN201" s="11"/>
      <c r="AO201" s="11"/>
      <c r="AP201" s="11"/>
      <c r="AQ201" s="36"/>
      <c r="AR201" s="11"/>
      <c r="AS201" s="11"/>
      <c r="AT201" s="11"/>
      <c r="AU201" s="12"/>
      <c r="AV201" s="11"/>
      <c r="AW201" s="11"/>
      <c r="AX201" s="15"/>
      <c r="AY201" s="15"/>
      <c r="AZ201" s="15"/>
      <c r="BA201" s="15"/>
      <c r="BB201" s="15"/>
      <c r="BC201" s="15"/>
      <c r="BD201" s="15"/>
      <c r="BE201" s="12"/>
      <c r="BF201" s="11"/>
      <c r="BG201" s="11"/>
      <c r="BH201" s="10"/>
      <c r="BI201" s="10"/>
      <c r="BJ201" s="10"/>
      <c r="BK201" s="23"/>
      <c r="BL201" s="23"/>
      <c r="BM201" s="23"/>
      <c r="BN201" s="23"/>
      <c r="BO201" s="23"/>
      <c r="BP201" s="23"/>
      <c r="BQ201" s="23"/>
      <c r="BR201" s="10"/>
      <c r="BS201" s="16"/>
      <c r="BT201" s="16"/>
      <c r="BU201" s="16"/>
      <c r="BV201" s="16"/>
      <c r="BW201" s="11"/>
      <c r="BX201" s="16"/>
      <c r="BY201" s="16"/>
      <c r="BZ201" s="17"/>
      <c r="CA201" s="18"/>
      <c r="CB201" s="18"/>
      <c r="CC201" s="18"/>
      <c r="CD201" s="18"/>
      <c r="CE201" s="18"/>
      <c r="CF201" s="18"/>
      <c r="CG201" s="19"/>
      <c r="CH201" s="15"/>
      <c r="CI201" s="17"/>
      <c r="CJ201" s="10"/>
      <c r="CK201" s="10"/>
      <c r="CL201" s="10"/>
      <c r="CM201" s="17"/>
      <c r="CN201" s="17"/>
      <c r="CO201" s="10"/>
      <c r="CP201" s="10"/>
      <c r="CQ201" s="10"/>
      <c r="CR201" s="10"/>
      <c r="CS201" s="10"/>
      <c r="CT201" s="10"/>
      <c r="CU201" s="10"/>
      <c r="CV201" s="10"/>
      <c r="CW201" s="10"/>
      <c r="CX201" s="10"/>
      <c r="CY201" s="10"/>
      <c r="CZ201" s="10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  <c r="DY201" s="34"/>
      <c r="DZ201" s="34"/>
      <c r="EA201" s="34"/>
      <c r="EB201" s="34"/>
      <c r="EC201" s="34"/>
      <c r="ED201" s="34"/>
      <c r="EE201" s="34"/>
    </row>
    <row r="202" spans="1:135" customFormat="1">
      <c r="A202" s="71">
        <f>'Old Data'!$I198-'Old Data'!$S198</f>
        <v>73</v>
      </c>
      <c r="B202" s="72">
        <f>VLOOKUP('Old Data'!$F198,$R$6:$T$135,2,FALSE)+VLOOKUP('Old Data'!$P198,$R$6:$T$135,3,FALSE)+$B$2</f>
        <v>118.8473859467895</v>
      </c>
      <c r="C202" s="72">
        <f>VLOOKUP('Old Data'!$P198,$R$6:$T$135,2,FALSE)+VLOOKUP('Old Data'!$F198,$R$6:$T$135,3,FALSE)+$B$2</f>
        <v>88.767956440331602</v>
      </c>
      <c r="D202" s="74">
        <f>('Old Data'!$I198-$B202)^2+('Old Data'!$S198-$C202)^2</f>
        <v>965.12358500104131</v>
      </c>
      <c r="E202" s="75">
        <f>'Old Data'!$K198-'Old Data'!$U198</f>
        <v>14</v>
      </c>
      <c r="F202" s="72">
        <f>VLOOKUP('Old Data'!$F198,$V$6:$X$135,2,FALSE)+VLOOKUP('Old Data'!$P198,$V$6:$X$135,3,FALSE)+$C$2</f>
        <v>258.17346344270265</v>
      </c>
      <c r="G202" s="72">
        <f>VLOOKUP('Old Data'!$P198,$V$6:$X$135,2,FALSE)+VLOOKUP('Old Data'!$F198,$V$6:$X$135,3,FALSE)+$C$2</f>
        <v>279.33464294991461</v>
      </c>
      <c r="H202" s="74">
        <f>('Old Data'!$K198-$F202)^2+('Old Data'!$U198-$G202)^2</f>
        <v>1793.8861449840542</v>
      </c>
      <c r="I202" s="75">
        <f>('Old Data'!$L198+'Old Data'!$M198)-('Old Data'!$V198+'Old Data'!$W198)</f>
        <v>-61</v>
      </c>
      <c r="J202" s="72">
        <f>VLOOKUP('Old Data'!$F198,$Z$6:$AB$135,2,FALSE)+VLOOKUP('Old Data'!$P198,$Z$6:$AB$135,3,FALSE)+$D$2</f>
        <v>33.274628469850498</v>
      </c>
      <c r="K202" s="72">
        <f>VLOOKUP('Old Data'!$P198,$Z$6:$AB$135,2,FALSE)+VLOOKUP('Old Data'!$F198,$Z$6:$AB$135,3,FALSE)+$D$2</f>
        <v>82.653065457836874</v>
      </c>
      <c r="L202" s="74">
        <f>('Old Data'!$L198+'Old Data'!$M198-$J202)^2+('Old Data'!$V198+'Old Data'!$W198-$K202)^2</f>
        <v>2737.3113207839701</v>
      </c>
      <c r="M202" s="75">
        <f>'Old Data'!$N198-'Old Data'!$X198</f>
        <v>1</v>
      </c>
      <c r="N202" s="72">
        <f>VLOOKUP('Old Data'!$F198,$AD$6:$AF$135,2,FALSE)+VLOOKUP('Old Data'!$P198,$AD$6:$AF$135,3,FALSE)+$E$2</f>
        <v>1.4096411407827121</v>
      </c>
      <c r="O202" s="72">
        <f>VLOOKUP('Old Data'!$P198,$AD$6:$AF$135,2,FALSE)+VLOOKUP('Old Data'!$F198,$AD$6:$AF$135,3,FALSE)+$E$2</f>
        <v>1.4808349032675521</v>
      </c>
      <c r="P202" s="73">
        <f>('Old Data'!$N198-$N202)^2+('Old Data'!$X198-$O202)^2</f>
        <v>2.3606778749571822</v>
      </c>
      <c r="Q202" s="62"/>
      <c r="R202" s="3"/>
      <c r="S202" s="3"/>
      <c r="T202" s="3"/>
      <c r="V202" s="3"/>
      <c r="W202" s="3"/>
      <c r="X202" s="3"/>
      <c r="Z202" s="3"/>
      <c r="AA202" s="3"/>
      <c r="AB202" s="3"/>
      <c r="AC202" s="3"/>
      <c r="AD202" s="3"/>
      <c r="AE202" s="3"/>
      <c r="AF202" s="3"/>
      <c r="AG202" s="3"/>
      <c r="AH202" s="37"/>
      <c r="AI202" s="1"/>
      <c r="AK202" s="10"/>
      <c r="AL202" s="10"/>
      <c r="AM202" s="10"/>
      <c r="AN202" s="11"/>
      <c r="AO202" s="11"/>
      <c r="AP202" s="11"/>
      <c r="AQ202" s="36"/>
      <c r="AR202" s="11"/>
      <c r="AS202" s="11"/>
      <c r="AT202" s="11"/>
      <c r="AU202" s="12"/>
      <c r="AV202" s="11"/>
      <c r="AW202" s="11"/>
      <c r="AX202" s="15"/>
      <c r="AY202" s="15"/>
      <c r="AZ202" s="15"/>
      <c r="BA202" s="15"/>
      <c r="BB202" s="15"/>
      <c r="BC202" s="15"/>
      <c r="BD202" s="15"/>
      <c r="BE202" s="12"/>
      <c r="BF202" s="11"/>
      <c r="BG202" s="11"/>
      <c r="BH202" s="10"/>
      <c r="BI202" s="10"/>
      <c r="BJ202" s="10"/>
      <c r="BK202" s="23"/>
      <c r="BL202" s="23"/>
      <c r="BM202" s="23"/>
      <c r="BN202" s="23"/>
      <c r="BO202" s="23"/>
      <c r="BP202" s="23"/>
      <c r="BQ202" s="23"/>
      <c r="BR202" s="10"/>
      <c r="BS202" s="16"/>
      <c r="BT202" s="16"/>
      <c r="BU202" s="16"/>
      <c r="BV202" s="16"/>
      <c r="BW202" s="11"/>
      <c r="BX202" s="16"/>
      <c r="BY202" s="16"/>
      <c r="BZ202" s="17"/>
      <c r="CA202" s="18"/>
      <c r="CB202" s="18"/>
      <c r="CC202" s="18"/>
      <c r="CD202" s="18"/>
      <c r="CE202" s="18"/>
      <c r="CF202" s="18"/>
      <c r="CG202" s="19"/>
      <c r="CH202" s="15"/>
      <c r="CI202" s="17"/>
      <c r="CJ202" s="10"/>
      <c r="CK202" s="10"/>
      <c r="CL202" s="10"/>
      <c r="CM202" s="17"/>
      <c r="CN202" s="17"/>
      <c r="CO202" s="10"/>
      <c r="CP202" s="10"/>
      <c r="CQ202" s="10"/>
      <c r="CR202" s="10"/>
      <c r="CS202" s="10"/>
      <c r="CT202" s="10"/>
      <c r="CU202" s="10"/>
      <c r="CV202" s="10"/>
      <c r="CW202" s="10"/>
      <c r="CX202" s="10"/>
      <c r="CY202" s="10"/>
      <c r="CZ202" s="10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  <c r="DY202" s="34"/>
      <c r="DZ202" s="34"/>
      <c r="EA202" s="34"/>
      <c r="EB202" s="34"/>
      <c r="EC202" s="34"/>
      <c r="ED202" s="34"/>
      <c r="EE202" s="34"/>
    </row>
    <row r="203" spans="1:135" customFormat="1">
      <c r="A203" s="71">
        <f>'Old Data'!$I199-'Old Data'!$S199</f>
        <v>-164</v>
      </c>
      <c r="B203" s="72">
        <f>VLOOKUP('Old Data'!$F199,$R$6:$T$135,2,FALSE)+VLOOKUP('Old Data'!$P199,$R$6:$T$135,3,FALSE)+$B$2</f>
        <v>64.601204536088105</v>
      </c>
      <c r="C203" s="72">
        <f>VLOOKUP('Old Data'!$P199,$R$6:$T$135,2,FALSE)+VLOOKUP('Old Data'!$F199,$R$6:$T$135,3,FALSE)+$B$2</f>
        <v>219.30728777358806</v>
      </c>
      <c r="D203" s="74">
        <f>('Old Data'!$I199-$B203)^2+('Old Data'!$S199-$C203)^2</f>
        <v>14508.748938577886</v>
      </c>
      <c r="E203" s="75">
        <f>'Old Data'!$K199-'Old Data'!$U199</f>
        <v>31</v>
      </c>
      <c r="F203" s="72">
        <f>VLOOKUP('Old Data'!$F199,$V$6:$X$135,2,FALSE)+VLOOKUP('Old Data'!$P199,$V$6:$X$135,3,FALSE)+$C$2</f>
        <v>165.8937315153527</v>
      </c>
      <c r="G203" s="72">
        <f>VLOOKUP('Old Data'!$P199,$V$6:$X$135,2,FALSE)+VLOOKUP('Old Data'!$F199,$V$6:$X$135,3,FALSE)+$C$2</f>
        <v>129.81024474902222</v>
      </c>
      <c r="H203" s="74">
        <f>('Old Data'!$K199-$F203)^2+('Old Data'!$U199-$G203)^2</f>
        <v>3771.7106688783729</v>
      </c>
      <c r="I203" s="75">
        <f>('Old Data'!$L199+'Old Data'!$M199)-('Old Data'!$V199+'Old Data'!$W199)</f>
        <v>123</v>
      </c>
      <c r="J203" s="72">
        <f>VLOOKUP('Old Data'!$F199,$Z$6:$AB$135,2,FALSE)+VLOOKUP('Old Data'!$P199,$Z$6:$AB$135,3,FALSE)+$D$2</f>
        <v>91.271331233195383</v>
      </c>
      <c r="K203" s="72">
        <f>VLOOKUP('Old Data'!$P199,$Z$6:$AB$135,2,FALSE)+VLOOKUP('Old Data'!$F199,$Z$6:$AB$135,3,FALSE)+$D$2</f>
        <v>16.300425375034294</v>
      </c>
      <c r="L203" s="74">
        <f>('Old Data'!$L199+'Old Data'!$M199-$J203)^2+('Old Data'!$V199+'Old Data'!$W199-$K203)^2</f>
        <v>2689.5420247914776</v>
      </c>
      <c r="M203" s="75">
        <f>'Old Data'!$N199-'Old Data'!$X199</f>
        <v>4</v>
      </c>
      <c r="N203" s="72">
        <f>VLOOKUP('Old Data'!$F199,$AD$6:$AF$135,2,FALSE)+VLOOKUP('Old Data'!$P199,$AD$6:$AF$135,3,FALSE)+$E$2</f>
        <v>1.137794701993446</v>
      </c>
      <c r="O203" s="72">
        <f>VLOOKUP('Old Data'!$P199,$AD$6:$AF$135,2,FALSE)+VLOOKUP('Old Data'!$F199,$AD$6:$AF$135,3,FALSE)+$E$2</f>
        <v>1.4649754975412841</v>
      </c>
      <c r="P203" s="73">
        <f>('Old Data'!$N199-$N203)^2+('Old Data'!$X199-$O203)^2</f>
        <v>10.338372376333119</v>
      </c>
      <c r="Q203" s="62"/>
      <c r="R203" s="3"/>
      <c r="S203" s="3"/>
      <c r="T203" s="3"/>
      <c r="V203" s="3"/>
      <c r="W203" s="3"/>
      <c r="X203" s="3"/>
      <c r="Z203" s="3"/>
      <c r="AA203" s="3"/>
      <c r="AB203" s="3"/>
      <c r="AC203" s="3"/>
      <c r="AD203" s="3"/>
      <c r="AE203" s="3"/>
      <c r="AF203" s="3"/>
      <c r="AG203" s="3"/>
      <c r="AH203" s="37"/>
      <c r="AI203" s="1"/>
      <c r="AK203" s="10"/>
      <c r="AL203" s="10"/>
      <c r="AM203" s="10"/>
      <c r="AN203" s="11"/>
      <c r="AO203" s="11"/>
      <c r="AP203" s="11"/>
      <c r="AQ203" s="36"/>
      <c r="AR203" s="11"/>
      <c r="AS203" s="11"/>
      <c r="AT203" s="11"/>
      <c r="AU203" s="12"/>
      <c r="AV203" s="11"/>
      <c r="AW203" s="11"/>
      <c r="AX203" s="15"/>
      <c r="AY203" s="15"/>
      <c r="AZ203" s="15"/>
      <c r="BA203" s="15"/>
      <c r="BB203" s="15"/>
      <c r="BC203" s="15"/>
      <c r="BD203" s="15"/>
      <c r="BE203" s="12"/>
      <c r="BF203" s="11"/>
      <c r="BG203" s="11"/>
      <c r="BH203" s="10"/>
      <c r="BI203" s="10"/>
      <c r="BJ203" s="10"/>
      <c r="BK203" s="23"/>
      <c r="BL203" s="23"/>
      <c r="BM203" s="23"/>
      <c r="BN203" s="23"/>
      <c r="BO203" s="23"/>
      <c r="BP203" s="23"/>
      <c r="BQ203" s="23"/>
      <c r="BR203" s="10"/>
      <c r="BS203" s="16"/>
      <c r="BT203" s="16"/>
      <c r="BU203" s="16"/>
      <c r="BV203" s="16"/>
      <c r="BW203" s="11"/>
      <c r="BX203" s="16"/>
      <c r="BY203" s="16"/>
      <c r="BZ203" s="17"/>
      <c r="CA203" s="18"/>
      <c r="CB203" s="18"/>
      <c r="CC203" s="18"/>
      <c r="CD203" s="18"/>
      <c r="CE203" s="18"/>
      <c r="CF203" s="18"/>
      <c r="CG203" s="19"/>
      <c r="CH203" s="15"/>
      <c r="CI203" s="17"/>
      <c r="CJ203" s="10"/>
      <c r="CK203" s="10"/>
      <c r="CL203" s="10"/>
      <c r="CM203" s="17"/>
      <c r="CN203" s="17"/>
      <c r="CO203" s="10"/>
      <c r="CP203" s="10"/>
      <c r="CQ203" s="10"/>
      <c r="CR203" s="10"/>
      <c r="CS203" s="10"/>
      <c r="CT203" s="10"/>
      <c r="CU203" s="10"/>
      <c r="CV203" s="10"/>
      <c r="CW203" s="10"/>
      <c r="CX203" s="10"/>
      <c r="CY203" s="10"/>
      <c r="CZ203" s="10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  <c r="DY203" s="34"/>
      <c r="DZ203" s="34"/>
      <c r="EA203" s="34"/>
      <c r="EB203" s="34"/>
      <c r="EC203" s="34"/>
      <c r="ED203" s="34"/>
      <c r="EE203" s="34"/>
    </row>
    <row r="204" spans="1:135" customFormat="1">
      <c r="A204" s="71">
        <f>'Old Data'!$I200-'Old Data'!$S200</f>
        <v>93</v>
      </c>
      <c r="B204" s="72">
        <f>VLOOKUP('Old Data'!$F200,$R$6:$T$135,2,FALSE)+VLOOKUP('Old Data'!$P200,$R$6:$T$135,3,FALSE)+$B$2</f>
        <v>197.66186105553408</v>
      </c>
      <c r="C204" s="72">
        <f>VLOOKUP('Old Data'!$P200,$R$6:$T$135,2,FALSE)+VLOOKUP('Old Data'!$F200,$R$6:$T$135,3,FALSE)+$B$2</f>
        <v>77.718731896702707</v>
      </c>
      <c r="D204" s="74">
        <f>('Old Data'!$I200-$B204)^2+('Old Data'!$S200-$C204)^2</f>
        <v>4093.7695238247438</v>
      </c>
      <c r="E204" s="75">
        <f>'Old Data'!$K200-'Old Data'!$U200</f>
        <v>229</v>
      </c>
      <c r="F204" s="72">
        <f>VLOOKUP('Old Data'!$F200,$V$6:$X$135,2,FALSE)+VLOOKUP('Old Data'!$P200,$V$6:$X$135,3,FALSE)+$C$2</f>
        <v>262.63712808025656</v>
      </c>
      <c r="G204" s="72">
        <f>VLOOKUP('Old Data'!$P200,$V$6:$X$135,2,FALSE)+VLOOKUP('Old Data'!$F200,$V$6:$X$135,3,FALSE)+$C$2</f>
        <v>96.69657807593839</v>
      </c>
      <c r="H204" s="74">
        <f>('Old Data'!$K200-$F204)^2+('Old Data'!$U200-$G204)^2</f>
        <v>5322.9388919703033</v>
      </c>
      <c r="I204" s="75">
        <f>('Old Data'!$L200+'Old Data'!$M200)-('Old Data'!$V200+'Old Data'!$W200)</f>
        <v>-32</v>
      </c>
      <c r="J204" s="72">
        <f>VLOOKUP('Old Data'!$F200,$Z$6:$AB$135,2,FALSE)+VLOOKUP('Old Data'!$P200,$Z$6:$AB$135,3,FALSE)+$D$2</f>
        <v>67.461923078180803</v>
      </c>
      <c r="K204" s="72">
        <f>VLOOKUP('Old Data'!$P200,$Z$6:$AB$135,2,FALSE)+VLOOKUP('Old Data'!$F200,$Z$6:$AB$135,3,FALSE)+$D$2</f>
        <v>52.354841901033005</v>
      </c>
      <c r="L204" s="74">
        <f>('Old Data'!$L200+'Old Data'!$M200-$J204)^2+('Old Data'!$V200+'Old Data'!$W200-$K204)^2</f>
        <v>1116.8223959684728</v>
      </c>
      <c r="M204" s="75">
        <f>'Old Data'!$N200-'Old Data'!$X200</f>
        <v>0</v>
      </c>
      <c r="N204" s="72">
        <f>VLOOKUP('Old Data'!$F200,$AD$6:$AF$135,2,FALSE)+VLOOKUP('Old Data'!$P200,$AD$6:$AF$135,3,FALSE)+$E$2</f>
        <v>1.8718344899430353</v>
      </c>
      <c r="O204" s="72">
        <f>VLOOKUP('Old Data'!$P200,$AD$6:$AF$135,2,FALSE)+VLOOKUP('Old Data'!$F200,$AD$6:$AF$135,3,FALSE)+$E$2</f>
        <v>0.97420339439188464</v>
      </c>
      <c r="P204" s="73">
        <f>('Old Data'!$N200-$N204)^2+('Old Data'!$X200-$O204)^2</f>
        <v>0.76076084271513311</v>
      </c>
      <c r="Q204" s="62"/>
      <c r="R204" s="3"/>
      <c r="S204" s="3"/>
      <c r="T204" s="3"/>
      <c r="V204" s="3"/>
      <c r="W204" s="3"/>
      <c r="X204" s="3"/>
      <c r="Z204" s="3"/>
      <c r="AA204" s="3"/>
      <c r="AB204" s="3"/>
      <c r="AC204" s="3"/>
      <c r="AD204" s="3"/>
      <c r="AE204" s="3"/>
      <c r="AF204" s="3"/>
      <c r="AG204" s="3"/>
      <c r="AH204" s="37"/>
      <c r="AI204" s="1"/>
      <c r="AK204" s="10"/>
      <c r="AL204" s="10"/>
      <c r="AM204" s="10"/>
      <c r="AN204" s="11"/>
      <c r="AO204" s="11"/>
      <c r="AP204" s="11"/>
      <c r="AQ204" s="36"/>
      <c r="AR204" s="11"/>
      <c r="AS204" s="11"/>
      <c r="AT204" s="11"/>
      <c r="AU204" s="12"/>
      <c r="AV204" s="11"/>
      <c r="AW204" s="11"/>
      <c r="AX204" s="15"/>
      <c r="AY204" s="15"/>
      <c r="AZ204" s="15"/>
      <c r="BA204" s="15"/>
      <c r="BB204" s="15"/>
      <c r="BC204" s="15"/>
      <c r="BD204" s="15"/>
      <c r="BE204" s="12"/>
      <c r="BF204" s="11"/>
      <c r="BG204" s="11"/>
      <c r="BH204" s="10"/>
      <c r="BI204" s="10"/>
      <c r="BJ204" s="10"/>
      <c r="BK204" s="23"/>
      <c r="BL204" s="23"/>
      <c r="BM204" s="23"/>
      <c r="BN204" s="23"/>
      <c r="BO204" s="23"/>
      <c r="BP204" s="23"/>
      <c r="BQ204" s="23"/>
      <c r="BR204" s="10"/>
      <c r="BS204" s="16"/>
      <c r="BT204" s="16"/>
      <c r="BU204" s="16"/>
      <c r="BV204" s="16"/>
      <c r="BW204" s="11"/>
      <c r="BX204" s="16"/>
      <c r="BY204" s="16"/>
      <c r="BZ204" s="17"/>
      <c r="CA204" s="18"/>
      <c r="CB204" s="18"/>
      <c r="CC204" s="18"/>
      <c r="CD204" s="18"/>
      <c r="CE204" s="18"/>
      <c r="CF204" s="18"/>
      <c r="CG204" s="19"/>
      <c r="CH204" s="15"/>
      <c r="CI204" s="17"/>
      <c r="CJ204" s="10"/>
      <c r="CK204" s="10"/>
      <c r="CL204" s="10"/>
      <c r="CM204" s="17"/>
      <c r="CN204" s="17"/>
      <c r="CO204" s="10"/>
      <c r="CP204" s="10"/>
      <c r="CQ204" s="10"/>
      <c r="CR204" s="10"/>
      <c r="CS204" s="10"/>
      <c r="CT204" s="10"/>
      <c r="CU204" s="10"/>
      <c r="CV204" s="10"/>
      <c r="CW204" s="10"/>
      <c r="CX204" s="10"/>
      <c r="CY204" s="10"/>
      <c r="CZ204" s="10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  <c r="DY204" s="34"/>
      <c r="DZ204" s="34"/>
      <c r="EA204" s="34"/>
      <c r="EB204" s="34"/>
      <c r="EC204" s="34"/>
      <c r="ED204" s="34"/>
      <c r="EE204" s="34"/>
    </row>
    <row r="205" spans="1:135" customFormat="1">
      <c r="A205" s="71">
        <f>'Old Data'!$I201-'Old Data'!$S201</f>
        <v>-105</v>
      </c>
      <c r="B205" s="72">
        <f>VLOOKUP('Old Data'!$F201,$R$6:$T$135,2,FALSE)+VLOOKUP('Old Data'!$P201,$R$6:$T$135,3,FALSE)+$B$2</f>
        <v>156.06078408556661</v>
      </c>
      <c r="C205" s="72">
        <f>VLOOKUP('Old Data'!$P201,$R$6:$T$135,2,FALSE)+VLOOKUP('Old Data'!$F201,$R$6:$T$135,3,FALSE)+$B$2</f>
        <v>197.95098284808739</v>
      </c>
      <c r="D205" s="74">
        <f>('Old Data'!$I201-$B205)^2+('Old Data'!$S201-$C205)^2</f>
        <v>1991.9118084137765</v>
      </c>
      <c r="E205" s="75">
        <f>'Old Data'!$K201-'Old Data'!$U201</f>
        <v>-164</v>
      </c>
      <c r="F205" s="72">
        <f>VLOOKUP('Old Data'!$F201,$V$6:$X$135,2,FALSE)+VLOOKUP('Old Data'!$P201,$V$6:$X$135,3,FALSE)+$C$2</f>
        <v>179.91230153303871</v>
      </c>
      <c r="G205" s="72">
        <f>VLOOKUP('Old Data'!$P201,$V$6:$X$135,2,FALSE)+VLOOKUP('Old Data'!$F201,$V$6:$X$135,3,FALSE)+$C$2</f>
        <v>176.29859968509095</v>
      </c>
      <c r="H205" s="74">
        <f>('Old Data'!$K201-$F205)^2+('Old Data'!$U201-$G205)^2</f>
        <v>16482.435677979192</v>
      </c>
      <c r="I205" s="75">
        <f>('Old Data'!$L201+'Old Data'!$M201)-('Old Data'!$V201+'Old Data'!$W201)</f>
        <v>63</v>
      </c>
      <c r="J205" s="72">
        <f>VLOOKUP('Old Data'!$F201,$Z$6:$AB$135,2,FALSE)+VLOOKUP('Old Data'!$P201,$Z$6:$AB$135,3,FALSE)+$D$2</f>
        <v>63.022417124521994</v>
      </c>
      <c r="K205" s="72">
        <f>VLOOKUP('Old Data'!$P201,$Z$6:$AB$135,2,FALSE)+VLOOKUP('Old Data'!$F201,$Z$6:$AB$135,3,FALSE)+$D$2</f>
        <v>82.096964485621584</v>
      </c>
      <c r="L205" s="74">
        <f>('Old Data'!$L201+'Old Data'!$M201-$J205)^2+('Old Data'!$V201+'Old Data'!$W201-$K205)^2</f>
        <v>3416.9289721476744</v>
      </c>
      <c r="M205" s="75">
        <f>'Old Data'!$N201-'Old Data'!$X201</f>
        <v>1</v>
      </c>
      <c r="N205" s="72">
        <f>VLOOKUP('Old Data'!$F201,$AD$6:$AF$135,2,FALSE)+VLOOKUP('Old Data'!$P201,$AD$6:$AF$135,3,FALSE)+$E$2</f>
        <v>1.6809855302530126</v>
      </c>
      <c r="O205" s="72">
        <f>VLOOKUP('Old Data'!$P201,$AD$6:$AF$135,2,FALSE)+VLOOKUP('Old Data'!$F201,$AD$6:$AF$135,3,FALSE)+$E$2</f>
        <v>1.3930374186630652</v>
      </c>
      <c r="P205" s="73">
        <f>('Old Data'!$N201-$N205)^2+('Old Data'!$X201-$O205)^2</f>
        <v>2.4042945422094326</v>
      </c>
      <c r="Q205" s="62"/>
      <c r="R205" s="3"/>
      <c r="S205" s="3"/>
      <c r="T205" s="3"/>
      <c r="V205" s="3"/>
      <c r="W205" s="3"/>
      <c r="X205" s="3"/>
      <c r="Z205" s="3"/>
      <c r="AA205" s="3"/>
      <c r="AB205" s="3"/>
      <c r="AC205" s="3"/>
      <c r="AD205" s="3"/>
      <c r="AE205" s="3"/>
      <c r="AF205" s="3"/>
      <c r="AG205" s="3"/>
      <c r="AH205" s="37"/>
      <c r="AI205" s="1"/>
      <c r="AK205" s="10"/>
      <c r="AL205" s="10"/>
      <c r="AM205" s="10"/>
      <c r="AN205" s="11"/>
      <c r="AO205" s="11"/>
      <c r="AP205" s="11"/>
      <c r="AQ205" s="36"/>
      <c r="AR205" s="11"/>
      <c r="AS205" s="11"/>
      <c r="AT205" s="11"/>
      <c r="AU205" s="12"/>
      <c r="AV205" s="11"/>
      <c r="AW205" s="11"/>
      <c r="AX205" s="15"/>
      <c r="AY205" s="15"/>
      <c r="AZ205" s="15"/>
      <c r="BA205" s="15"/>
      <c r="BB205" s="15"/>
      <c r="BC205" s="15"/>
      <c r="BD205" s="15"/>
      <c r="BE205" s="12"/>
      <c r="BF205" s="11"/>
      <c r="BG205" s="11"/>
      <c r="BH205" s="10"/>
      <c r="BI205" s="10"/>
      <c r="BJ205" s="10"/>
      <c r="BK205" s="23"/>
      <c r="BL205" s="23"/>
      <c r="BM205" s="23"/>
      <c r="BN205" s="23"/>
      <c r="BO205" s="23"/>
      <c r="BP205" s="23"/>
      <c r="BQ205" s="23"/>
      <c r="BR205" s="10"/>
      <c r="BS205" s="16"/>
      <c r="BT205" s="16"/>
      <c r="BU205" s="16"/>
      <c r="BV205" s="16"/>
      <c r="BW205" s="11"/>
      <c r="BX205" s="16"/>
      <c r="BY205" s="16"/>
      <c r="BZ205" s="17"/>
      <c r="CA205" s="18"/>
      <c r="CB205" s="18"/>
      <c r="CC205" s="18"/>
      <c r="CD205" s="18"/>
      <c r="CE205" s="18"/>
      <c r="CF205" s="18"/>
      <c r="CG205" s="19"/>
      <c r="CH205" s="15"/>
      <c r="CI205" s="17"/>
      <c r="CJ205" s="10"/>
      <c r="CK205" s="10"/>
      <c r="CL205" s="10"/>
      <c r="CM205" s="17"/>
      <c r="CN205" s="17"/>
      <c r="CO205" s="10"/>
      <c r="CP205" s="10"/>
      <c r="CQ205" s="10"/>
      <c r="CR205" s="10"/>
      <c r="CS205" s="10"/>
      <c r="CT205" s="10"/>
      <c r="CU205" s="10"/>
      <c r="CV205" s="10"/>
      <c r="CW205" s="10"/>
      <c r="CX205" s="10"/>
      <c r="CY205" s="10"/>
      <c r="CZ205" s="10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  <c r="DY205" s="34"/>
      <c r="DZ205" s="34"/>
      <c r="EA205" s="34"/>
      <c r="EB205" s="34"/>
      <c r="EC205" s="34"/>
      <c r="ED205" s="34"/>
      <c r="EE205" s="34"/>
    </row>
    <row r="206" spans="1:135" customFormat="1">
      <c r="A206" s="71">
        <f>'Old Data'!$I202-'Old Data'!$S202</f>
        <v>21</v>
      </c>
      <c r="B206" s="72">
        <f>VLOOKUP('Old Data'!$F202,$R$6:$T$135,2,FALSE)+VLOOKUP('Old Data'!$P202,$R$6:$T$135,3,FALSE)+$B$2</f>
        <v>122.55354733634681</v>
      </c>
      <c r="C206" s="72">
        <f>VLOOKUP('Old Data'!$P202,$R$6:$T$135,2,FALSE)+VLOOKUP('Old Data'!$F202,$R$6:$T$135,3,FALSE)+$B$2</f>
        <v>228.00515034930987</v>
      </c>
      <c r="D206" s="74">
        <f>('Old Data'!$I202-$B206)^2+('Old Data'!$S202-$C206)^2</f>
        <v>11159.797140992861</v>
      </c>
      <c r="E206" s="75">
        <f>'Old Data'!$K202-'Old Data'!$U202</f>
        <v>-62</v>
      </c>
      <c r="F206" s="72">
        <f>VLOOKUP('Old Data'!$F202,$V$6:$X$135,2,FALSE)+VLOOKUP('Old Data'!$P202,$V$6:$X$135,3,FALSE)+$C$2</f>
        <v>236.11382408025048</v>
      </c>
      <c r="G206" s="72">
        <f>VLOOKUP('Old Data'!$P202,$V$6:$X$135,2,FALSE)+VLOOKUP('Old Data'!$F202,$V$6:$X$135,3,FALSE)+$C$2</f>
        <v>283.83898505385326</v>
      </c>
      <c r="H206" s="74">
        <f>('Old Data'!$K202-$F206)^2+('Old Data'!$U202-$G206)^2</f>
        <v>14543.864180901324</v>
      </c>
      <c r="I206" s="75">
        <f>('Old Data'!$L202+'Old Data'!$M202)-('Old Data'!$V202+'Old Data'!$W202)</f>
        <v>-42</v>
      </c>
      <c r="J206" s="72">
        <f>VLOOKUP('Old Data'!$F202,$Z$6:$AB$135,2,FALSE)+VLOOKUP('Old Data'!$P202,$Z$6:$AB$135,3,FALSE)+$D$2</f>
        <v>22.391651521193829</v>
      </c>
      <c r="K206" s="72">
        <f>VLOOKUP('Old Data'!$P202,$Z$6:$AB$135,2,FALSE)+VLOOKUP('Old Data'!$F202,$Z$6:$AB$135,3,FALSE)+$D$2</f>
        <v>47.259655636072964</v>
      </c>
      <c r="L206" s="74">
        <f>('Old Data'!$L202+'Old Data'!$M202-$J206)^2+('Old Data'!$V202+'Old Data'!$W202-$K206)^2</f>
        <v>396.48467739331636</v>
      </c>
      <c r="M206" s="75">
        <f>'Old Data'!$N202-'Old Data'!$X202</f>
        <v>1</v>
      </c>
      <c r="N206" s="72">
        <f>VLOOKUP('Old Data'!$F202,$AD$6:$AF$135,2,FALSE)+VLOOKUP('Old Data'!$P202,$AD$6:$AF$135,3,FALSE)+$E$2</f>
        <v>1.044222273598123</v>
      </c>
      <c r="O206" s="72">
        <f>VLOOKUP('Old Data'!$P202,$AD$6:$AF$135,2,FALSE)+VLOOKUP('Old Data'!$F202,$AD$6:$AF$135,3,FALSE)+$E$2</f>
        <v>1.74603046941519</v>
      </c>
      <c r="P206" s="73">
        <f>('Old Data'!$N202-$N206)^2+('Old Data'!$X202-$O206)^2</f>
        <v>3.0505780096084161</v>
      </c>
      <c r="Q206" s="62"/>
      <c r="R206" s="3"/>
      <c r="S206" s="3"/>
      <c r="T206" s="3"/>
      <c r="V206" s="3"/>
      <c r="W206" s="3"/>
      <c r="X206" s="3"/>
      <c r="Z206" s="3"/>
      <c r="AA206" s="3"/>
      <c r="AB206" s="3"/>
      <c r="AC206" s="3"/>
      <c r="AD206" s="3"/>
      <c r="AE206" s="3"/>
      <c r="AF206" s="3"/>
      <c r="AG206" s="3"/>
      <c r="AH206" s="37"/>
      <c r="AI206" s="1"/>
      <c r="AK206" s="10"/>
      <c r="AL206" s="10"/>
      <c r="AM206" s="10"/>
      <c r="AN206" s="11"/>
      <c r="AO206" s="11"/>
      <c r="AP206" s="11"/>
      <c r="AQ206" s="36"/>
      <c r="AR206" s="11"/>
      <c r="AS206" s="11"/>
      <c r="AT206" s="11"/>
      <c r="AU206" s="12"/>
      <c r="AV206" s="11"/>
      <c r="AW206" s="11"/>
      <c r="AX206" s="15"/>
      <c r="AY206" s="15"/>
      <c r="AZ206" s="15"/>
      <c r="BA206" s="15"/>
      <c r="BB206" s="15"/>
      <c r="BC206" s="15"/>
      <c r="BD206" s="15"/>
      <c r="BE206" s="12"/>
      <c r="BF206" s="11"/>
      <c r="BG206" s="11"/>
      <c r="BH206" s="10"/>
      <c r="BI206" s="10"/>
      <c r="BJ206" s="10"/>
      <c r="BK206" s="23"/>
      <c r="BL206" s="23"/>
      <c r="BM206" s="23"/>
      <c r="BN206" s="23"/>
      <c r="BO206" s="23"/>
      <c r="BP206" s="23"/>
      <c r="BQ206" s="23"/>
      <c r="BR206" s="10"/>
      <c r="BS206" s="16"/>
      <c r="BT206" s="16"/>
      <c r="BU206" s="16"/>
      <c r="BV206" s="16"/>
      <c r="BW206" s="11"/>
      <c r="BX206" s="16"/>
      <c r="BY206" s="16"/>
      <c r="BZ206" s="17"/>
      <c r="CA206" s="18"/>
      <c r="CB206" s="18"/>
      <c r="CC206" s="18"/>
      <c r="CD206" s="18"/>
      <c r="CE206" s="18"/>
      <c r="CF206" s="18"/>
      <c r="CG206" s="19"/>
      <c r="CH206" s="15"/>
      <c r="CI206" s="17"/>
      <c r="CJ206" s="10"/>
      <c r="CK206" s="10"/>
      <c r="CL206" s="10"/>
      <c r="CM206" s="17"/>
      <c r="CN206" s="17"/>
      <c r="CO206" s="10"/>
      <c r="CP206" s="10"/>
      <c r="CQ206" s="10"/>
      <c r="CR206" s="10"/>
      <c r="CS206" s="10"/>
      <c r="CT206" s="10"/>
      <c r="CU206" s="10"/>
      <c r="CV206" s="10"/>
      <c r="CW206" s="10"/>
      <c r="CX206" s="10"/>
      <c r="CY206" s="10"/>
      <c r="CZ206" s="10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  <c r="DY206" s="34"/>
      <c r="DZ206" s="34"/>
      <c r="EA206" s="34"/>
      <c r="EB206" s="34"/>
      <c r="EC206" s="34"/>
      <c r="ED206" s="34"/>
      <c r="EE206" s="34"/>
    </row>
    <row r="207" spans="1:135" customFormat="1">
      <c r="A207" s="71">
        <f>'Old Data'!$I203-'Old Data'!$S203</f>
        <v>-184</v>
      </c>
      <c r="B207" s="72">
        <f>VLOOKUP('Old Data'!$F203,$R$6:$T$135,2,FALSE)+VLOOKUP('Old Data'!$P203,$R$6:$T$135,3,FALSE)+$B$2</f>
        <v>137.21761101630011</v>
      </c>
      <c r="C207" s="72">
        <f>VLOOKUP('Old Data'!$P203,$R$6:$T$135,2,FALSE)+VLOOKUP('Old Data'!$F203,$R$6:$T$135,3,FALSE)+$B$2</f>
        <v>317.70758213159968</v>
      </c>
      <c r="D207" s="74">
        <f>('Old Data'!$I203-$B207)^2+('Old Data'!$S203-$C207)^2</f>
        <v>4717.919214071997</v>
      </c>
      <c r="E207" s="75">
        <f>'Old Data'!$K203-'Old Data'!$U203</f>
        <v>-165</v>
      </c>
      <c r="F207" s="72">
        <f>VLOOKUP('Old Data'!$F203,$V$6:$X$135,2,FALSE)+VLOOKUP('Old Data'!$P203,$V$6:$X$135,3,FALSE)+$C$2</f>
        <v>166.18570270734989</v>
      </c>
      <c r="G207" s="72">
        <f>VLOOKUP('Old Data'!$P203,$V$6:$X$135,2,FALSE)+VLOOKUP('Old Data'!$F203,$V$6:$X$135,3,FALSE)+$C$2</f>
        <v>250.54145349190819</v>
      </c>
      <c r="H207" s="74">
        <f>('Old Data'!$K203-$F207)^2+('Old Data'!$U203-$G207)^2</f>
        <v>15690.675367113712</v>
      </c>
      <c r="I207" s="75">
        <f>('Old Data'!$L203+'Old Data'!$M203)-('Old Data'!$V203+'Old Data'!$W203)</f>
        <v>2</v>
      </c>
      <c r="J207" s="72">
        <f>VLOOKUP('Old Data'!$F203,$Z$6:$AB$135,2,FALSE)+VLOOKUP('Old Data'!$P203,$Z$6:$AB$135,3,FALSE)+$D$2</f>
        <v>46.121724759000443</v>
      </c>
      <c r="K207" s="72">
        <f>VLOOKUP('Old Data'!$P203,$Z$6:$AB$135,2,FALSE)+VLOOKUP('Old Data'!$F203,$Z$6:$AB$135,3,FALSE)+$D$2</f>
        <v>70.328789338813692</v>
      </c>
      <c r="L207" s="74">
        <f>('Old Data'!$L203+'Old Data'!$M203-$J207)^2+('Old Data'!$V203+'Old Data'!$W203-$K207)^2</f>
        <v>478.7148239864419</v>
      </c>
      <c r="M207" s="75">
        <f>'Old Data'!$N203-'Old Data'!$X203</f>
        <v>-3</v>
      </c>
      <c r="N207" s="72">
        <f>VLOOKUP('Old Data'!$F203,$AD$6:$AF$135,2,FALSE)+VLOOKUP('Old Data'!$P203,$AD$6:$AF$135,3,FALSE)+$E$2</f>
        <v>1.234217775518841</v>
      </c>
      <c r="O207" s="72">
        <f>VLOOKUP('Old Data'!$P203,$AD$6:$AF$135,2,FALSE)+VLOOKUP('Old Data'!$F203,$AD$6:$AF$135,3,FALSE)+$E$2</f>
        <v>2.1471579115763331</v>
      </c>
      <c r="P207" s="73">
        <f>('Old Data'!$N203-$N207)^2+('Old Data'!$X203-$O207)^2</f>
        <v>2.2506331451935182</v>
      </c>
      <c r="Q207" s="62"/>
      <c r="R207" s="3"/>
      <c r="S207" s="3"/>
      <c r="T207" s="3"/>
      <c r="V207" s="3"/>
      <c r="W207" s="3"/>
      <c r="X207" s="3"/>
      <c r="Z207" s="3"/>
      <c r="AA207" s="3"/>
      <c r="AB207" s="3"/>
      <c r="AC207" s="3"/>
      <c r="AD207" s="3"/>
      <c r="AE207" s="3"/>
      <c r="AF207" s="3"/>
      <c r="AG207" s="3"/>
      <c r="AH207" s="37"/>
      <c r="AI207" s="1"/>
      <c r="AK207" s="10"/>
      <c r="AL207" s="10"/>
      <c r="AM207" s="10"/>
      <c r="AN207" s="11"/>
      <c r="AO207" s="11"/>
      <c r="AP207" s="11"/>
      <c r="AQ207" s="36"/>
      <c r="AR207" s="11"/>
      <c r="AS207" s="11"/>
      <c r="AT207" s="11"/>
      <c r="AU207" s="12"/>
      <c r="AV207" s="11"/>
      <c r="AW207" s="11"/>
      <c r="AX207" s="15"/>
      <c r="AY207" s="15"/>
      <c r="AZ207" s="15"/>
      <c r="BA207" s="15"/>
      <c r="BB207" s="15"/>
      <c r="BC207" s="15"/>
      <c r="BD207" s="15"/>
      <c r="BE207" s="12"/>
      <c r="BF207" s="11"/>
      <c r="BG207" s="11"/>
      <c r="BH207" s="10"/>
      <c r="BI207" s="10"/>
      <c r="BJ207" s="10"/>
      <c r="BK207" s="23"/>
      <c r="BL207" s="23"/>
      <c r="BM207" s="23"/>
      <c r="BN207" s="23"/>
      <c r="BO207" s="23"/>
      <c r="BP207" s="23"/>
      <c r="BQ207" s="23"/>
      <c r="BR207" s="10"/>
      <c r="BS207" s="16"/>
      <c r="BT207" s="16"/>
      <c r="BU207" s="16"/>
      <c r="BV207" s="16"/>
      <c r="BW207" s="11"/>
      <c r="BX207" s="16"/>
      <c r="BY207" s="16"/>
      <c r="BZ207" s="17"/>
      <c r="CA207" s="18"/>
      <c r="CB207" s="18"/>
      <c r="CC207" s="18"/>
      <c r="CD207" s="18"/>
      <c r="CE207" s="18"/>
      <c r="CF207" s="18"/>
      <c r="CG207" s="19"/>
      <c r="CH207" s="15"/>
      <c r="CI207" s="17"/>
      <c r="CJ207" s="10"/>
      <c r="CK207" s="10"/>
      <c r="CL207" s="10"/>
      <c r="CM207" s="17"/>
      <c r="CN207" s="17"/>
      <c r="CO207" s="10"/>
      <c r="CP207" s="10"/>
      <c r="CQ207" s="10"/>
      <c r="CR207" s="10"/>
      <c r="CS207" s="10"/>
      <c r="CT207" s="10"/>
      <c r="CU207" s="10"/>
      <c r="CV207" s="10"/>
      <c r="CW207" s="10"/>
      <c r="CX207" s="10"/>
      <c r="CY207" s="10"/>
      <c r="CZ207" s="10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</row>
    <row r="208" spans="1:135" customFormat="1">
      <c r="A208" s="71">
        <f>'Old Data'!$I204-'Old Data'!$S204</f>
        <v>-41</v>
      </c>
      <c r="B208" s="72">
        <f>VLOOKUP('Old Data'!$F204,$R$6:$T$135,2,FALSE)+VLOOKUP('Old Data'!$P204,$R$6:$T$135,3,FALSE)+$B$2</f>
        <v>128.74235601420341</v>
      </c>
      <c r="C208" s="72">
        <f>VLOOKUP('Old Data'!$P204,$R$6:$T$135,2,FALSE)+VLOOKUP('Old Data'!$F204,$R$6:$T$135,3,FALSE)+$B$2</f>
        <v>153.96978256045099</v>
      </c>
      <c r="D208" s="74">
        <f>('Old Data'!$I204-$B208)^2+('Old Data'!$S204-$C208)^2</f>
        <v>1169.1868432112112</v>
      </c>
      <c r="E208" s="75">
        <f>'Old Data'!$K204-'Old Data'!$U204</f>
        <v>-267</v>
      </c>
      <c r="F208" s="72">
        <f>VLOOKUP('Old Data'!$F204,$V$6:$X$135,2,FALSE)+VLOOKUP('Old Data'!$P204,$V$6:$X$135,3,FALSE)+$C$2</f>
        <v>255.56026996297845</v>
      </c>
      <c r="G208" s="72">
        <f>VLOOKUP('Old Data'!$P204,$V$6:$X$135,2,FALSE)+VLOOKUP('Old Data'!$F204,$V$6:$X$135,3,FALSE)+$C$2</f>
        <v>356.01857179430442</v>
      </c>
      <c r="H208" s="74">
        <f>('Old Data'!$K204-$F208)^2+('Old Data'!$U204-$G208)^2</f>
        <v>22656.643255304189</v>
      </c>
      <c r="I208" s="75">
        <f>('Old Data'!$L204+'Old Data'!$M204)-('Old Data'!$V204+'Old Data'!$W204)</f>
        <v>16</v>
      </c>
      <c r="J208" s="72">
        <f>VLOOKUP('Old Data'!$F204,$Z$6:$AB$135,2,FALSE)+VLOOKUP('Old Data'!$P204,$Z$6:$AB$135,3,FALSE)+$D$2</f>
        <v>69.184795783347212</v>
      </c>
      <c r="K208" s="72">
        <f>VLOOKUP('Old Data'!$P204,$Z$6:$AB$135,2,FALSE)+VLOOKUP('Old Data'!$F204,$Z$6:$AB$135,3,FALSE)+$D$2</f>
        <v>72.979816893543614</v>
      </c>
      <c r="L208" s="74">
        <f>('Old Data'!$L204+'Old Data'!$M204-$J208)^2+('Old Data'!$V204+'Old Data'!$W204-$K208)^2</f>
        <v>321.30117621300394</v>
      </c>
      <c r="M208" s="75">
        <f>'Old Data'!$N204-'Old Data'!$X204</f>
        <v>-4</v>
      </c>
      <c r="N208" s="72">
        <f>VLOOKUP('Old Data'!$F204,$AD$6:$AF$135,2,FALSE)+VLOOKUP('Old Data'!$P204,$AD$6:$AF$135,3,FALSE)+$E$2</f>
        <v>1.9002065059859889</v>
      </c>
      <c r="O208" s="72">
        <f>VLOOKUP('Old Data'!$P204,$AD$6:$AF$135,2,FALSE)+VLOOKUP('Old Data'!$F204,$AD$6:$AF$135,3,FALSE)+$E$2</f>
        <v>1.7947232862530511</v>
      </c>
      <c r="P208" s="73">
        <f>('Old Data'!$N204-$N208)^2+('Old Data'!$X204-$O208)^2</f>
        <v>8.4740301495860244</v>
      </c>
      <c r="Q208" s="62"/>
      <c r="R208" s="3"/>
      <c r="S208" s="3"/>
      <c r="T208" s="3"/>
      <c r="V208" s="3"/>
      <c r="W208" s="3"/>
      <c r="X208" s="3"/>
      <c r="Z208" s="3"/>
      <c r="AA208" s="3"/>
      <c r="AB208" s="3"/>
      <c r="AC208" s="3"/>
      <c r="AD208" s="3"/>
      <c r="AE208" s="3"/>
      <c r="AF208" s="3"/>
      <c r="AG208" s="3"/>
      <c r="AH208" s="37"/>
      <c r="AI208" s="1"/>
      <c r="AK208" s="10"/>
      <c r="AL208" s="10"/>
      <c r="AM208" s="10"/>
      <c r="AN208" s="11"/>
      <c r="AO208" s="11"/>
      <c r="AP208" s="11"/>
      <c r="AQ208" s="36"/>
      <c r="AR208" s="11"/>
      <c r="AS208" s="11"/>
      <c r="AT208" s="11"/>
      <c r="AU208" s="12"/>
      <c r="AV208" s="11"/>
      <c r="AW208" s="11"/>
      <c r="AX208" s="15"/>
      <c r="AY208" s="15"/>
      <c r="AZ208" s="15"/>
      <c r="BA208" s="15"/>
      <c r="BB208" s="15"/>
      <c r="BC208" s="15"/>
      <c r="BD208" s="15"/>
      <c r="BE208" s="12"/>
      <c r="BF208" s="11"/>
      <c r="BG208" s="11"/>
      <c r="BH208" s="10"/>
      <c r="BI208" s="10"/>
      <c r="BJ208" s="10"/>
      <c r="BK208" s="23"/>
      <c r="BL208" s="23"/>
      <c r="BM208" s="23"/>
      <c r="BN208" s="23"/>
      <c r="BO208" s="23"/>
      <c r="BP208" s="23"/>
      <c r="BQ208" s="23"/>
      <c r="BR208" s="10"/>
      <c r="BS208" s="16"/>
      <c r="BT208" s="16"/>
      <c r="BU208" s="16"/>
      <c r="BV208" s="16"/>
      <c r="BW208" s="11"/>
      <c r="BX208" s="16"/>
      <c r="BY208" s="16"/>
      <c r="BZ208" s="17"/>
      <c r="CA208" s="18"/>
      <c r="CB208" s="18"/>
      <c r="CC208" s="18"/>
      <c r="CD208" s="18"/>
      <c r="CE208" s="18"/>
      <c r="CF208" s="18"/>
      <c r="CG208" s="19"/>
      <c r="CH208" s="15"/>
      <c r="CI208" s="17"/>
      <c r="CJ208" s="10"/>
      <c r="CK208" s="10"/>
      <c r="CL208" s="10"/>
      <c r="CM208" s="17"/>
      <c r="CN208" s="17"/>
      <c r="CO208" s="10"/>
      <c r="CP208" s="10"/>
      <c r="CQ208" s="10"/>
      <c r="CR208" s="10"/>
      <c r="CS208" s="10"/>
      <c r="CT208" s="10"/>
      <c r="CU208" s="10"/>
      <c r="CV208" s="10"/>
      <c r="CW208" s="10"/>
      <c r="CX208" s="10"/>
      <c r="CY208" s="10"/>
      <c r="CZ208" s="10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  <c r="DY208" s="34"/>
      <c r="DZ208" s="34"/>
      <c r="EA208" s="34"/>
      <c r="EB208" s="34"/>
      <c r="EC208" s="34"/>
      <c r="ED208" s="34"/>
      <c r="EE208" s="34"/>
    </row>
    <row r="209" spans="1:135" customFormat="1">
      <c r="A209" s="71">
        <f>'Old Data'!$I205-'Old Data'!$S205</f>
        <v>-134</v>
      </c>
      <c r="B209" s="72">
        <f>VLOOKUP('Old Data'!$F205,$R$6:$T$135,2,FALSE)+VLOOKUP('Old Data'!$P205,$R$6:$T$135,3,FALSE)+$B$2</f>
        <v>165.9342793167242</v>
      </c>
      <c r="C209" s="72">
        <f>VLOOKUP('Old Data'!$P205,$R$6:$T$135,2,FALSE)+VLOOKUP('Old Data'!$F205,$R$6:$T$135,3,FALSE)+$B$2</f>
        <v>259.94492619933402</v>
      </c>
      <c r="D209" s="74">
        <f>('Old Data'!$I205-$B209)^2+('Old Data'!$S205-$C209)^2</f>
        <v>4151.6763293441109</v>
      </c>
      <c r="E209" s="75">
        <f>'Old Data'!$K205-'Old Data'!$U205</f>
        <v>63</v>
      </c>
      <c r="F209" s="72">
        <f>VLOOKUP('Old Data'!$F205,$V$6:$X$135,2,FALSE)+VLOOKUP('Old Data'!$P205,$V$6:$X$135,3,FALSE)+$C$2</f>
        <v>187.34558920650892</v>
      </c>
      <c r="G209" s="72">
        <f>VLOOKUP('Old Data'!$P205,$V$6:$X$135,2,FALSE)+VLOOKUP('Old Data'!$F205,$V$6:$X$135,3,FALSE)+$C$2</f>
        <v>203.78510259576569</v>
      </c>
      <c r="H209" s="74">
        <f>('Old Data'!$K205-$F209)^2+('Old Data'!$U205-$G209)^2</f>
        <v>3737.7702052118807</v>
      </c>
      <c r="I209" s="75">
        <f>('Old Data'!$L205+'Old Data'!$M205)-('Old Data'!$V205+'Old Data'!$W205)</f>
        <v>13</v>
      </c>
      <c r="J209" s="72">
        <f>VLOOKUP('Old Data'!$F205,$Z$6:$AB$135,2,FALSE)+VLOOKUP('Old Data'!$P205,$Z$6:$AB$135,3,FALSE)+$D$2</f>
        <v>76.895560802421699</v>
      </c>
      <c r="K209" s="72">
        <f>VLOOKUP('Old Data'!$P205,$Z$6:$AB$135,2,FALSE)+VLOOKUP('Old Data'!$F205,$Z$6:$AB$135,3,FALSE)+$D$2</f>
        <v>41.940810749789328</v>
      </c>
      <c r="L209" s="74">
        <f>('Old Data'!$L205+'Old Data'!$M205-$J209)^2+('Old Data'!$V205+'Old Data'!$W205-$K209)^2</f>
        <v>5841.6742966056127</v>
      </c>
      <c r="M209" s="75">
        <f>'Old Data'!$N205-'Old Data'!$X205</f>
        <v>1</v>
      </c>
      <c r="N209" s="72">
        <f>VLOOKUP('Old Data'!$F205,$AD$6:$AF$135,2,FALSE)+VLOOKUP('Old Data'!$P205,$AD$6:$AF$135,3,FALSE)+$E$2</f>
        <v>0.76460098249692809</v>
      </c>
      <c r="O209" s="72">
        <f>VLOOKUP('Old Data'!$P205,$AD$6:$AF$135,2,FALSE)+VLOOKUP('Old Data'!$F205,$AD$6:$AF$135,3,FALSE)+$E$2</f>
        <v>1.9678963728145311</v>
      </c>
      <c r="P209" s="73">
        <f>('Old Data'!$N205-$N209)^2+('Old Data'!$X205-$O209)^2</f>
        <v>3.9280288315779996</v>
      </c>
      <c r="Q209" s="62"/>
      <c r="R209" s="3"/>
      <c r="S209" s="3"/>
      <c r="T209" s="3"/>
      <c r="V209" s="3"/>
      <c r="W209" s="3"/>
      <c r="X209" s="3"/>
      <c r="Z209" s="3"/>
      <c r="AA209" s="3"/>
      <c r="AB209" s="3"/>
      <c r="AC209" s="3"/>
      <c r="AD209" s="3"/>
      <c r="AE209" s="3"/>
      <c r="AF209" s="3"/>
      <c r="AG209" s="3"/>
      <c r="AH209" s="37"/>
      <c r="AI209" s="1"/>
      <c r="AK209" s="10"/>
      <c r="AL209" s="10"/>
      <c r="AM209" s="10"/>
      <c r="AN209" s="11"/>
      <c r="AO209" s="11"/>
      <c r="AP209" s="11"/>
      <c r="AQ209" s="36"/>
      <c r="AR209" s="11"/>
      <c r="AS209" s="11"/>
      <c r="AT209" s="11"/>
      <c r="AU209" s="12"/>
      <c r="AV209" s="11"/>
      <c r="AW209" s="11"/>
      <c r="AX209" s="15"/>
      <c r="AY209" s="15"/>
      <c r="AZ209" s="15"/>
      <c r="BA209" s="15"/>
      <c r="BB209" s="15"/>
      <c r="BC209" s="15"/>
      <c r="BD209" s="15"/>
      <c r="BE209" s="12"/>
      <c r="BF209" s="11"/>
      <c r="BG209" s="11"/>
      <c r="BH209" s="10"/>
      <c r="BI209" s="10"/>
      <c r="BJ209" s="10"/>
      <c r="BK209" s="23"/>
      <c r="BL209" s="23"/>
      <c r="BM209" s="23"/>
      <c r="BN209" s="23"/>
      <c r="BO209" s="23"/>
      <c r="BP209" s="23"/>
      <c r="BQ209" s="23"/>
      <c r="BR209" s="10"/>
      <c r="BS209" s="16"/>
      <c r="BT209" s="16"/>
      <c r="BU209" s="16"/>
      <c r="BV209" s="16"/>
      <c r="BW209" s="11"/>
      <c r="BX209" s="16"/>
      <c r="BY209" s="16"/>
      <c r="BZ209" s="17"/>
      <c r="CA209" s="18"/>
      <c r="CB209" s="18"/>
      <c r="CC209" s="18"/>
      <c r="CD209" s="18"/>
      <c r="CE209" s="18"/>
      <c r="CF209" s="18"/>
      <c r="CG209" s="19"/>
      <c r="CH209" s="15"/>
      <c r="CI209" s="17"/>
      <c r="CJ209" s="10"/>
      <c r="CK209" s="10"/>
      <c r="CL209" s="10"/>
      <c r="CM209" s="17"/>
      <c r="CN209" s="17"/>
      <c r="CO209" s="10"/>
      <c r="CP209" s="10"/>
      <c r="CQ209" s="10"/>
      <c r="CR209" s="10"/>
      <c r="CS209" s="10"/>
      <c r="CT209" s="10"/>
      <c r="CU209" s="10"/>
      <c r="CV209" s="10"/>
      <c r="CW209" s="10"/>
      <c r="CX209" s="10"/>
      <c r="CY209" s="10"/>
      <c r="CZ209" s="10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  <c r="DY209" s="34"/>
      <c r="DZ209" s="34"/>
      <c r="EA209" s="34"/>
      <c r="EB209" s="34"/>
      <c r="EC209" s="34"/>
      <c r="ED209" s="34"/>
      <c r="EE209" s="34"/>
    </row>
    <row r="210" spans="1:135" customFormat="1">
      <c r="A210" s="71">
        <f>'Old Data'!$I206-'Old Data'!$S206</f>
        <v>174</v>
      </c>
      <c r="B210" s="72">
        <f>VLOOKUP('Old Data'!$F206,$R$6:$T$135,2,FALSE)+VLOOKUP('Old Data'!$P206,$R$6:$T$135,3,FALSE)+$B$2</f>
        <v>153.32056254325821</v>
      </c>
      <c r="C210" s="72">
        <f>VLOOKUP('Old Data'!$P206,$R$6:$T$135,2,FALSE)+VLOOKUP('Old Data'!$F206,$R$6:$T$135,3,FALSE)+$B$2</f>
        <v>112.54708310961681</v>
      </c>
      <c r="D210" s="74">
        <f>('Old Data'!$I206-$B210)^2+('Old Data'!$S206-$C210)^2</f>
        <v>12391.543884787288</v>
      </c>
      <c r="E210" s="75">
        <f>'Old Data'!$K206-'Old Data'!$U206</f>
        <v>-169</v>
      </c>
      <c r="F210" s="72">
        <f>VLOOKUP('Old Data'!$F206,$V$6:$X$135,2,FALSE)+VLOOKUP('Old Data'!$P206,$V$6:$X$135,3,FALSE)+$C$2</f>
        <v>247.59263898385066</v>
      </c>
      <c r="G210" s="72">
        <f>VLOOKUP('Old Data'!$P206,$V$6:$X$135,2,FALSE)+VLOOKUP('Old Data'!$F206,$V$6:$X$135,3,FALSE)+$C$2</f>
        <v>234.23610696638539</v>
      </c>
      <c r="H210" s="74">
        <f>('Old Data'!$K206-$F210)^2+('Old Data'!$U206-$G210)^2</f>
        <v>16774.378367539186</v>
      </c>
      <c r="I210" s="75">
        <f>('Old Data'!$L206+'Old Data'!$M206)-('Old Data'!$V206+'Old Data'!$W206)</f>
        <v>-39</v>
      </c>
      <c r="J210" s="72">
        <f>VLOOKUP('Old Data'!$F206,$Z$6:$AB$135,2,FALSE)+VLOOKUP('Old Data'!$P206,$Z$6:$AB$135,3,FALSE)+$D$2</f>
        <v>31.51662822146227</v>
      </c>
      <c r="K210" s="72">
        <f>VLOOKUP('Old Data'!$P206,$Z$6:$AB$135,2,FALSE)+VLOOKUP('Old Data'!$F206,$Z$6:$AB$135,3,FALSE)+$D$2</f>
        <v>80.101751644868699</v>
      </c>
      <c r="L210" s="74">
        <f>('Old Data'!$L206+'Old Data'!$M206-$J210)^2+('Old Data'!$V206+'Old Data'!$W206-$K210)^2</f>
        <v>791.62692727108583</v>
      </c>
      <c r="M210" s="75">
        <f>'Old Data'!$N206-'Old Data'!$X206</f>
        <v>4</v>
      </c>
      <c r="N210" s="72">
        <f>VLOOKUP('Old Data'!$F206,$AD$6:$AF$135,2,FALSE)+VLOOKUP('Old Data'!$P206,$AD$6:$AF$135,3,FALSE)+$E$2</f>
        <v>1.51450789597025</v>
      </c>
      <c r="O210" s="72">
        <f>VLOOKUP('Old Data'!$P206,$AD$6:$AF$135,2,FALSE)+VLOOKUP('Old Data'!$F206,$AD$6:$AF$135,3,FALSE)+$E$2</f>
        <v>1.0719157425601549</v>
      </c>
      <c r="P210" s="73">
        <f>('Old Data'!$N206-$N210)^2+('Old Data'!$X206-$O210)^2</f>
        <v>12.153827081281712</v>
      </c>
      <c r="Q210" s="62"/>
      <c r="R210" s="3"/>
      <c r="S210" s="3"/>
      <c r="T210" s="3"/>
      <c r="V210" s="3"/>
      <c r="W210" s="3"/>
      <c r="X210" s="3"/>
      <c r="Z210" s="3"/>
      <c r="AA210" s="3"/>
      <c r="AB210" s="3"/>
      <c r="AC210" s="3"/>
      <c r="AD210" s="3"/>
      <c r="AE210" s="3"/>
      <c r="AF210" s="3"/>
      <c r="AG210" s="3"/>
      <c r="AH210" s="37"/>
      <c r="AI210" s="1"/>
      <c r="AK210" s="10"/>
      <c r="AL210" s="10"/>
      <c r="AM210" s="10"/>
      <c r="AN210" s="11"/>
      <c r="AO210" s="11"/>
      <c r="AP210" s="11"/>
      <c r="AQ210" s="36"/>
      <c r="AR210" s="11"/>
      <c r="AS210" s="11"/>
      <c r="AT210" s="11"/>
      <c r="AU210" s="12"/>
      <c r="AV210" s="11"/>
      <c r="AW210" s="11"/>
      <c r="AX210" s="15"/>
      <c r="AY210" s="15"/>
      <c r="AZ210" s="15"/>
      <c r="BA210" s="15"/>
      <c r="BB210" s="15"/>
      <c r="BC210" s="15"/>
      <c r="BD210" s="15"/>
      <c r="BE210" s="12"/>
      <c r="BF210" s="11"/>
      <c r="BG210" s="11"/>
      <c r="BH210" s="10"/>
      <c r="BI210" s="10"/>
      <c r="BJ210" s="10"/>
      <c r="BK210" s="23"/>
      <c r="BL210" s="23"/>
      <c r="BM210" s="23"/>
      <c r="BN210" s="23"/>
      <c r="BO210" s="23"/>
      <c r="BP210" s="23"/>
      <c r="BQ210" s="23"/>
      <c r="BR210" s="10"/>
      <c r="BS210" s="16"/>
      <c r="BT210" s="16"/>
      <c r="BU210" s="16"/>
      <c r="BV210" s="16"/>
      <c r="BW210" s="11"/>
      <c r="BX210" s="16"/>
      <c r="BY210" s="16"/>
      <c r="BZ210" s="17"/>
      <c r="CA210" s="18"/>
      <c r="CB210" s="18"/>
      <c r="CC210" s="18"/>
      <c r="CD210" s="18"/>
      <c r="CE210" s="18"/>
      <c r="CF210" s="18"/>
      <c r="CG210" s="19"/>
      <c r="CH210" s="15"/>
      <c r="CI210" s="17"/>
      <c r="CJ210" s="10"/>
      <c r="CK210" s="10"/>
      <c r="CL210" s="10"/>
      <c r="CM210" s="17"/>
      <c r="CN210" s="17"/>
      <c r="CO210" s="10"/>
      <c r="CP210" s="10"/>
      <c r="CQ210" s="10"/>
      <c r="CR210" s="10"/>
      <c r="CS210" s="10"/>
      <c r="CT210" s="10"/>
      <c r="CU210" s="10"/>
      <c r="CV210" s="10"/>
      <c r="CW210" s="10"/>
      <c r="CX210" s="10"/>
      <c r="CY210" s="10"/>
      <c r="CZ210" s="10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  <c r="DY210" s="34"/>
      <c r="DZ210" s="34"/>
      <c r="EA210" s="34"/>
      <c r="EB210" s="34"/>
      <c r="EC210" s="34"/>
      <c r="ED210" s="34"/>
      <c r="EE210" s="34"/>
    </row>
    <row r="211" spans="1:135" customFormat="1">
      <c r="A211" s="71">
        <f>'Old Data'!$I207-'Old Data'!$S207</f>
        <v>-150</v>
      </c>
      <c r="B211" s="72">
        <f>VLOOKUP('Old Data'!$F207,$R$6:$T$135,2,FALSE)+VLOOKUP('Old Data'!$P207,$R$6:$T$135,3,FALSE)+$B$2</f>
        <v>123.93805651092322</v>
      </c>
      <c r="C211" s="72">
        <f>VLOOKUP('Old Data'!$P207,$R$6:$T$135,2,FALSE)+VLOOKUP('Old Data'!$F207,$R$6:$T$135,3,FALSE)+$B$2</f>
        <v>226.56274894550319</v>
      </c>
      <c r="D211" s="74">
        <f>('Old Data'!$I207-$B211)^2+('Old Data'!$S207-$C211)^2</f>
        <v>1158.3417301630766</v>
      </c>
      <c r="E211" s="75">
        <f>'Old Data'!$K207-'Old Data'!$U207</f>
        <v>236</v>
      </c>
      <c r="F211" s="72">
        <f>VLOOKUP('Old Data'!$F207,$V$6:$X$135,2,FALSE)+VLOOKUP('Old Data'!$P207,$V$6:$X$135,3,FALSE)+$C$2</f>
        <v>292.48799896254138</v>
      </c>
      <c r="G211" s="72">
        <f>VLOOKUP('Old Data'!$P207,$V$6:$X$135,2,FALSE)+VLOOKUP('Old Data'!$F207,$V$6:$X$135,3,FALSE)+$C$2</f>
        <v>213.26095821103394</v>
      </c>
      <c r="H211" s="74">
        <f>('Old Data'!$K207-$F211)^2+('Old Data'!$U207-$G211)^2</f>
        <v>12525.388944833761</v>
      </c>
      <c r="I211" s="75">
        <f>('Old Data'!$L207+'Old Data'!$M207)-('Old Data'!$V207+'Old Data'!$W207)</f>
        <v>-102</v>
      </c>
      <c r="J211" s="72">
        <f>VLOOKUP('Old Data'!$F207,$Z$6:$AB$135,2,FALSE)+VLOOKUP('Old Data'!$P207,$Z$6:$AB$135,3,FALSE)+$D$2</f>
        <v>82.894053858655397</v>
      </c>
      <c r="K211" s="72">
        <f>VLOOKUP('Old Data'!$P207,$Z$6:$AB$135,2,FALSE)+VLOOKUP('Old Data'!$F207,$Z$6:$AB$135,3,FALSE)+$D$2</f>
        <v>79.338763235674364</v>
      </c>
      <c r="L211" s="74">
        <f>('Old Data'!$L207+'Old Data'!$M207-$J211)^2+('Old Data'!$V207+'Old Data'!$W207-$K211)^2</f>
        <v>11816.911276585768</v>
      </c>
      <c r="M211" s="75">
        <f>'Old Data'!$N207-'Old Data'!$X207</f>
        <v>0</v>
      </c>
      <c r="N211" s="72">
        <f>VLOOKUP('Old Data'!$F207,$AD$6:$AF$135,2,FALSE)+VLOOKUP('Old Data'!$P207,$AD$6:$AF$135,3,FALSE)+$E$2</f>
        <v>1.4423370603129682</v>
      </c>
      <c r="O211" s="72">
        <f>VLOOKUP('Old Data'!$P207,$AD$6:$AF$135,2,FALSE)+VLOOKUP('Old Data'!$F207,$AD$6:$AF$135,3,FALSE)+$E$2</f>
        <v>1.431290166241046</v>
      </c>
      <c r="P211" s="73">
        <f>('Old Data'!$N207-$N211)^2+('Old Data'!$X207-$O211)^2</f>
        <v>4.128927735530576</v>
      </c>
      <c r="Q211" s="62"/>
      <c r="R211" s="3"/>
      <c r="S211" s="3"/>
      <c r="T211" s="3"/>
      <c r="V211" s="3"/>
      <c r="W211" s="3"/>
      <c r="X211" s="3"/>
      <c r="Z211" s="3"/>
      <c r="AA211" s="3"/>
      <c r="AB211" s="3"/>
      <c r="AC211" s="3"/>
      <c r="AD211" s="3"/>
      <c r="AE211" s="3"/>
      <c r="AF211" s="3"/>
      <c r="AG211" s="3"/>
      <c r="AH211" s="37"/>
      <c r="AI211" s="1"/>
      <c r="AK211" s="10"/>
      <c r="AL211" s="10"/>
      <c r="AM211" s="10"/>
      <c r="AN211" s="11"/>
      <c r="AO211" s="11"/>
      <c r="AP211" s="11"/>
      <c r="AQ211" s="36"/>
      <c r="AR211" s="11"/>
      <c r="AS211" s="11"/>
      <c r="AT211" s="11"/>
      <c r="AU211" s="12"/>
      <c r="AV211" s="11"/>
      <c r="AW211" s="11"/>
      <c r="AX211" s="15"/>
      <c r="AY211" s="15"/>
      <c r="AZ211" s="15"/>
      <c r="BA211" s="15"/>
      <c r="BB211" s="15"/>
      <c r="BC211" s="15"/>
      <c r="BD211" s="15"/>
      <c r="BE211" s="12"/>
      <c r="BF211" s="11"/>
      <c r="BG211" s="11"/>
      <c r="BH211" s="10"/>
      <c r="BI211" s="10"/>
      <c r="BJ211" s="10"/>
      <c r="BK211" s="23"/>
      <c r="BL211" s="23"/>
      <c r="BM211" s="23"/>
      <c r="BN211" s="23"/>
      <c r="BO211" s="23"/>
      <c r="BP211" s="23"/>
      <c r="BQ211" s="23"/>
      <c r="BR211" s="10"/>
      <c r="BS211" s="16"/>
      <c r="BT211" s="16"/>
      <c r="BU211" s="16"/>
      <c r="BV211" s="16"/>
      <c r="BW211" s="11"/>
      <c r="BX211" s="16"/>
      <c r="BY211" s="16"/>
      <c r="BZ211" s="17"/>
      <c r="CA211" s="18"/>
      <c r="CB211" s="18"/>
      <c r="CC211" s="18"/>
      <c r="CD211" s="18"/>
      <c r="CE211" s="18"/>
      <c r="CF211" s="18"/>
      <c r="CG211" s="19"/>
      <c r="CH211" s="15"/>
      <c r="CI211" s="17"/>
      <c r="CJ211" s="10"/>
      <c r="CK211" s="10"/>
      <c r="CL211" s="10"/>
      <c r="CM211" s="17"/>
      <c r="CN211" s="17"/>
      <c r="CO211" s="10"/>
      <c r="CP211" s="10"/>
      <c r="CQ211" s="10"/>
      <c r="CR211" s="10"/>
      <c r="CS211" s="10"/>
      <c r="CT211" s="10"/>
      <c r="CU211" s="10"/>
      <c r="CV211" s="10"/>
      <c r="CW211" s="10"/>
      <c r="CX211" s="10"/>
      <c r="CY211" s="10"/>
      <c r="CZ211" s="10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  <c r="DY211" s="34"/>
      <c r="DZ211" s="34"/>
      <c r="EA211" s="34"/>
      <c r="EB211" s="34"/>
      <c r="EC211" s="34"/>
      <c r="ED211" s="34"/>
      <c r="EE211" s="34"/>
    </row>
    <row r="212" spans="1:135" customFormat="1">
      <c r="A212" s="71">
        <f>'Old Data'!$I208-'Old Data'!$S208</f>
        <v>11</v>
      </c>
      <c r="B212" s="72">
        <f>VLOOKUP('Old Data'!$F208,$R$6:$T$135,2,FALSE)+VLOOKUP('Old Data'!$P208,$R$6:$T$135,3,FALSE)+$B$2</f>
        <v>232.34207599491401</v>
      </c>
      <c r="C212" s="72">
        <f>VLOOKUP('Old Data'!$P208,$R$6:$T$135,2,FALSE)+VLOOKUP('Old Data'!$F208,$R$6:$T$135,3,FALSE)+$B$2</f>
        <v>124.0991231535243</v>
      </c>
      <c r="D212" s="74">
        <f>('Old Data'!$I208-$B212)^2+('Old Data'!$S208-$C212)^2</f>
        <v>5471.4865002115685</v>
      </c>
      <c r="E212" s="75">
        <f>'Old Data'!$K208-'Old Data'!$U208</f>
        <v>321</v>
      </c>
      <c r="F212" s="72">
        <f>VLOOKUP('Old Data'!$F208,$V$6:$X$135,2,FALSE)+VLOOKUP('Old Data'!$P208,$V$6:$X$135,3,FALSE)+$C$2</f>
        <v>386.24622788212071</v>
      </c>
      <c r="G212" s="72">
        <f>VLOOKUP('Old Data'!$P208,$V$6:$X$135,2,FALSE)+VLOOKUP('Old Data'!$F208,$V$6:$X$135,3,FALSE)+$C$2</f>
        <v>285.38968026481848</v>
      </c>
      <c r="H212" s="74">
        <f>('Old Data'!$K208-$F212)^2+('Old Data'!$U208-$G212)^2</f>
        <v>29917.178266647788</v>
      </c>
      <c r="I212" s="75">
        <f>('Old Data'!$L208+'Old Data'!$M208)-('Old Data'!$V208+'Old Data'!$W208)</f>
        <v>-35</v>
      </c>
      <c r="J212" s="72">
        <f>VLOOKUP('Old Data'!$F208,$Z$6:$AB$135,2,FALSE)+VLOOKUP('Old Data'!$P208,$Z$6:$AB$135,3,FALSE)+$D$2</f>
        <v>72.251561173509316</v>
      </c>
      <c r="K212" s="72">
        <f>VLOOKUP('Old Data'!$P208,$Z$6:$AB$135,2,FALSE)+VLOOKUP('Old Data'!$F208,$Z$6:$AB$135,3,FALSE)+$D$2</f>
        <v>81.469593197946452</v>
      </c>
      <c r="L212" s="74">
        <f>('Old Data'!$L208+'Old Data'!$M208-$J212)^2+('Old Data'!$V208+'Old Data'!$W208-$K212)^2</f>
        <v>1244.9034517613516</v>
      </c>
      <c r="M212" s="75">
        <f>'Old Data'!$N208-'Old Data'!$X208</f>
        <v>0</v>
      </c>
      <c r="N212" s="72">
        <f>VLOOKUP('Old Data'!$F208,$AD$6:$AF$135,2,FALSE)+VLOOKUP('Old Data'!$P208,$AD$6:$AF$135,3,FALSE)+$E$2</f>
        <v>0.5892972035509052</v>
      </c>
      <c r="O212" s="72">
        <f>VLOOKUP('Old Data'!$P208,$AD$6:$AF$135,2,FALSE)+VLOOKUP('Old Data'!$F208,$AD$6:$AF$135,3,FALSE)+$E$2</f>
        <v>1.5464252944492078</v>
      </c>
      <c r="P212" s="73">
        <f>('Old Data'!$N208-$N212)^2+('Old Data'!$X208-$O212)^2</f>
        <v>0.46725738942501005</v>
      </c>
      <c r="Q212" s="62"/>
      <c r="R212" s="3"/>
      <c r="S212" s="3"/>
      <c r="T212" s="3"/>
      <c r="V212" s="3"/>
      <c r="W212" s="3"/>
      <c r="X212" s="3"/>
      <c r="Z212" s="3"/>
      <c r="AA212" s="3"/>
      <c r="AB212" s="3"/>
      <c r="AC212" s="3"/>
      <c r="AD212" s="3"/>
      <c r="AE212" s="3"/>
      <c r="AF212" s="3"/>
      <c r="AG212" s="3"/>
      <c r="AH212" s="37"/>
      <c r="AI212" s="1"/>
      <c r="AK212" s="10"/>
      <c r="AL212" s="10"/>
      <c r="AM212" s="10"/>
      <c r="AN212" s="11"/>
      <c r="AO212" s="11"/>
      <c r="AP212" s="11"/>
      <c r="AQ212" s="36"/>
      <c r="AR212" s="11"/>
      <c r="AS212" s="11"/>
      <c r="AT212" s="11"/>
      <c r="AU212" s="12"/>
      <c r="AV212" s="11"/>
      <c r="AW212" s="11"/>
      <c r="AX212" s="15"/>
      <c r="AY212" s="15"/>
      <c r="AZ212" s="15"/>
      <c r="BA212" s="15"/>
      <c r="BB212" s="15"/>
      <c r="BC212" s="15"/>
      <c r="BD212" s="15"/>
      <c r="BE212" s="12"/>
      <c r="BF212" s="11"/>
      <c r="BG212" s="11"/>
      <c r="BH212" s="10"/>
      <c r="BI212" s="10"/>
      <c r="BJ212" s="10"/>
      <c r="BK212" s="23"/>
      <c r="BL212" s="23"/>
      <c r="BM212" s="23"/>
      <c r="BN212" s="23"/>
      <c r="BO212" s="23"/>
      <c r="BP212" s="23"/>
      <c r="BQ212" s="23"/>
      <c r="BR212" s="10"/>
      <c r="BS212" s="16"/>
      <c r="BT212" s="16"/>
      <c r="BU212" s="16"/>
      <c r="BV212" s="16"/>
      <c r="BW212" s="11"/>
      <c r="BX212" s="16"/>
      <c r="BY212" s="16"/>
      <c r="BZ212" s="17"/>
      <c r="CA212" s="18"/>
      <c r="CB212" s="18"/>
      <c r="CC212" s="18"/>
      <c r="CD212" s="18"/>
      <c r="CE212" s="18"/>
      <c r="CF212" s="18"/>
      <c r="CG212" s="19"/>
      <c r="CH212" s="15"/>
      <c r="CI212" s="17"/>
      <c r="CJ212" s="10"/>
      <c r="CK212" s="10"/>
      <c r="CL212" s="10"/>
      <c r="CM212" s="17"/>
      <c r="CN212" s="17"/>
      <c r="CO212" s="10"/>
      <c r="CP212" s="10"/>
      <c r="CQ212" s="10"/>
      <c r="CR212" s="10"/>
      <c r="CS212" s="10"/>
      <c r="CT212" s="10"/>
      <c r="CU212" s="10"/>
      <c r="CV212" s="10"/>
      <c r="CW212" s="10"/>
      <c r="CX212" s="10"/>
      <c r="CY212" s="10"/>
      <c r="CZ212" s="10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  <c r="DY212" s="34"/>
      <c r="DZ212" s="34"/>
      <c r="EA212" s="34"/>
      <c r="EB212" s="34"/>
      <c r="EC212" s="34"/>
      <c r="ED212" s="34"/>
      <c r="EE212" s="34"/>
    </row>
    <row r="213" spans="1:135" customFormat="1">
      <c r="A213" s="71">
        <f>'Old Data'!$I209-'Old Data'!$S209</f>
        <v>247</v>
      </c>
      <c r="B213" s="72">
        <f>VLOOKUP('Old Data'!$F209,$R$6:$T$135,2,FALSE)+VLOOKUP('Old Data'!$P209,$R$6:$T$135,3,FALSE)+$B$2</f>
        <v>209.7850523637841</v>
      </c>
      <c r="C213" s="72">
        <f>VLOOKUP('Old Data'!$P209,$R$6:$T$135,2,FALSE)+VLOOKUP('Old Data'!$F209,$R$6:$T$135,3,FALSE)+$B$2</f>
        <v>183.4792666429654</v>
      </c>
      <c r="D213" s="74">
        <f>('Old Data'!$I209-$B213)^2+('Old Data'!$S209-$C213)^2</f>
        <v>29942.985225705812</v>
      </c>
      <c r="E213" s="75">
        <f>'Old Data'!$K209-'Old Data'!$U209</f>
        <v>35</v>
      </c>
      <c r="F213" s="72">
        <f>VLOOKUP('Old Data'!$F209,$V$6:$X$135,2,FALSE)+VLOOKUP('Old Data'!$P209,$V$6:$X$135,3,FALSE)+$C$2</f>
        <v>190.9776650812139</v>
      </c>
      <c r="G213" s="72">
        <f>VLOOKUP('Old Data'!$P209,$V$6:$X$135,2,FALSE)+VLOOKUP('Old Data'!$F209,$V$6:$X$135,3,FALSE)+$C$2</f>
        <v>178.55729745774141</v>
      </c>
      <c r="H213" s="74">
        <f>('Old Data'!$K209-$F213)^2+('Old Data'!$U209-$G213)^2</f>
        <v>5109.4893204062282</v>
      </c>
      <c r="I213" s="75">
        <f>('Old Data'!$L209+'Old Data'!$M209)-('Old Data'!$V209+'Old Data'!$W209)</f>
        <v>-71</v>
      </c>
      <c r="J213" s="72">
        <f>VLOOKUP('Old Data'!$F209,$Z$6:$AB$135,2,FALSE)+VLOOKUP('Old Data'!$P209,$Z$6:$AB$135,3,FALSE)+$D$2</f>
        <v>48.70388810982746</v>
      </c>
      <c r="K213" s="72">
        <f>VLOOKUP('Old Data'!$P209,$Z$6:$AB$135,2,FALSE)+VLOOKUP('Old Data'!$F209,$Z$6:$AB$135,3,FALSE)+$D$2</f>
        <v>82.348865807134928</v>
      </c>
      <c r="L213" s="74">
        <f>('Old Data'!$L209+'Old Data'!$M209-$J213)^2+('Old Data'!$V209+'Old Data'!$W209-$K213)^2</f>
        <v>1950.337932953325</v>
      </c>
      <c r="M213" s="75">
        <f>'Old Data'!$N209-'Old Data'!$X209</f>
        <v>-1</v>
      </c>
      <c r="N213" s="72">
        <f>VLOOKUP('Old Data'!$F209,$AD$6:$AF$135,2,FALSE)+VLOOKUP('Old Data'!$P209,$AD$6:$AF$135,3,FALSE)+$E$2</f>
        <v>1.1661355739709958</v>
      </c>
      <c r="O213" s="72">
        <f>VLOOKUP('Old Data'!$P209,$AD$6:$AF$135,2,FALSE)+VLOOKUP('Old Data'!$F209,$AD$6:$AF$135,3,FALSE)+$E$2</f>
        <v>1.2113912443219161</v>
      </c>
      <c r="P213" s="73">
        <f>('Old Data'!$N209-$N213)^2+('Old Data'!$X209-$O213)^2</f>
        <v>0.649504798470808</v>
      </c>
      <c r="Q213" s="62"/>
      <c r="R213" s="3"/>
      <c r="S213" s="3"/>
      <c r="T213" s="3"/>
      <c r="V213" s="3"/>
      <c r="W213" s="3"/>
      <c r="X213" s="3"/>
      <c r="Z213" s="3"/>
      <c r="AA213" s="3"/>
      <c r="AB213" s="3"/>
      <c r="AC213" s="3"/>
      <c r="AD213" s="3"/>
      <c r="AE213" s="3"/>
      <c r="AF213" s="3"/>
      <c r="AG213" s="3"/>
      <c r="AH213" s="37"/>
      <c r="AI213" s="1"/>
      <c r="AK213" s="10"/>
      <c r="AL213" s="10"/>
      <c r="AM213" s="10"/>
      <c r="AN213" s="11"/>
      <c r="AO213" s="11"/>
      <c r="AP213" s="11"/>
      <c r="AQ213" s="36"/>
      <c r="AR213" s="11"/>
      <c r="AS213" s="11"/>
      <c r="AT213" s="11"/>
      <c r="AU213" s="12"/>
      <c r="AV213" s="11"/>
      <c r="AW213" s="11"/>
      <c r="AX213" s="15"/>
      <c r="AY213" s="15"/>
      <c r="AZ213" s="15"/>
      <c r="BA213" s="15"/>
      <c r="BB213" s="15"/>
      <c r="BC213" s="15"/>
      <c r="BD213" s="15"/>
      <c r="BE213" s="12"/>
      <c r="BF213" s="11"/>
      <c r="BG213" s="11"/>
      <c r="BH213" s="10"/>
      <c r="BI213" s="10"/>
      <c r="BJ213" s="10"/>
      <c r="BK213" s="23"/>
      <c r="BL213" s="23"/>
      <c r="BM213" s="23"/>
      <c r="BN213" s="23"/>
      <c r="BO213" s="23"/>
      <c r="BP213" s="23"/>
      <c r="BQ213" s="23"/>
      <c r="BR213" s="10"/>
      <c r="BS213" s="16"/>
      <c r="BT213" s="16"/>
      <c r="BU213" s="16"/>
      <c r="BV213" s="16"/>
      <c r="BW213" s="11"/>
      <c r="BX213" s="16"/>
      <c r="BY213" s="16"/>
      <c r="BZ213" s="17"/>
      <c r="CA213" s="18"/>
      <c r="CB213" s="18"/>
      <c r="CC213" s="18"/>
      <c r="CD213" s="18"/>
      <c r="CE213" s="18"/>
      <c r="CF213" s="18"/>
      <c r="CG213" s="19"/>
      <c r="CH213" s="15"/>
      <c r="CI213" s="17"/>
      <c r="CJ213" s="10"/>
      <c r="CK213" s="10"/>
      <c r="CL213" s="10"/>
      <c r="CM213" s="17"/>
      <c r="CN213" s="17"/>
      <c r="CO213" s="10"/>
      <c r="CP213" s="10"/>
      <c r="CQ213" s="10"/>
      <c r="CR213" s="10"/>
      <c r="CS213" s="10"/>
      <c r="CT213" s="10"/>
      <c r="CU213" s="10"/>
      <c r="CV213" s="10"/>
      <c r="CW213" s="10"/>
      <c r="CX213" s="10"/>
      <c r="CY213" s="10"/>
      <c r="CZ213" s="10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  <c r="DY213" s="34"/>
      <c r="DZ213" s="34"/>
      <c r="EA213" s="34"/>
      <c r="EB213" s="34"/>
      <c r="EC213" s="34"/>
      <c r="ED213" s="34"/>
      <c r="EE213" s="34"/>
    </row>
    <row r="214" spans="1:135" customFormat="1">
      <c r="A214" s="71">
        <f>'Old Data'!$I210-'Old Data'!$S210</f>
        <v>-17</v>
      </c>
      <c r="B214" s="72">
        <f>VLOOKUP('Old Data'!$F210,$R$6:$T$135,2,FALSE)+VLOOKUP('Old Data'!$P210,$R$6:$T$135,3,FALSE)+$B$2</f>
        <v>151.2137341454341</v>
      </c>
      <c r="C214" s="72">
        <f>VLOOKUP('Old Data'!$P210,$R$6:$T$135,2,FALSE)+VLOOKUP('Old Data'!$F210,$R$6:$T$135,3,FALSE)+$B$2</f>
        <v>112.67618572055386</v>
      </c>
      <c r="D214" s="74">
        <f>('Old Data'!$I210-$B214)^2+('Old Data'!$S210-$C214)^2</f>
        <v>3779.3403323621046</v>
      </c>
      <c r="E214" s="75">
        <f>'Old Data'!$K210-'Old Data'!$U210</f>
        <v>1</v>
      </c>
      <c r="F214" s="72">
        <f>VLOOKUP('Old Data'!$F210,$V$6:$X$135,2,FALSE)+VLOOKUP('Old Data'!$P210,$V$6:$X$135,3,FALSE)+$C$2</f>
        <v>244.83112978847311</v>
      </c>
      <c r="G214" s="72">
        <f>VLOOKUP('Old Data'!$P210,$V$6:$X$135,2,FALSE)+VLOOKUP('Old Data'!$F210,$V$6:$X$135,3,FALSE)+$C$2</f>
        <v>298.81813912523921</v>
      </c>
      <c r="H214" s="74">
        <f>('Old Data'!$K210-$F214)^2+('Old Data'!$U210-$G214)^2</f>
        <v>11123.595483054258</v>
      </c>
      <c r="I214" s="75">
        <f>('Old Data'!$L210+'Old Data'!$M210)-('Old Data'!$V210+'Old Data'!$W210)</f>
        <v>2</v>
      </c>
      <c r="J214" s="72">
        <f>VLOOKUP('Old Data'!$F210,$Z$6:$AB$135,2,FALSE)+VLOOKUP('Old Data'!$P210,$Z$6:$AB$135,3,FALSE)+$D$2</f>
        <v>60.671779127410396</v>
      </c>
      <c r="K214" s="72">
        <f>VLOOKUP('Old Data'!$P210,$Z$6:$AB$135,2,FALSE)+VLOOKUP('Old Data'!$F210,$Z$6:$AB$135,3,FALSE)+$D$2</f>
        <v>67.114676155716239</v>
      </c>
      <c r="L214" s="74">
        <f>('Old Data'!$L210+'Old Data'!$M210-$J214)^2+('Old Data'!$V210+'Old Data'!$W210-$K214)^2</f>
        <v>1274.9868199446719</v>
      </c>
      <c r="M214" s="75">
        <f>'Old Data'!$N210-'Old Data'!$X210</f>
        <v>0</v>
      </c>
      <c r="N214" s="72">
        <f>VLOOKUP('Old Data'!$F210,$AD$6:$AF$135,2,FALSE)+VLOOKUP('Old Data'!$P210,$AD$6:$AF$135,3,FALSE)+$E$2</f>
        <v>1.6294287514607964</v>
      </c>
      <c r="O214" s="72">
        <f>VLOOKUP('Old Data'!$P210,$AD$6:$AF$135,2,FALSE)+VLOOKUP('Old Data'!$F210,$AD$6:$AF$135,3,FALSE)+$E$2</f>
        <v>1.4168568945945303</v>
      </c>
      <c r="P214" s="73">
        <f>('Old Data'!$N210-$N214)^2+('Old Data'!$X210-$O214)^2</f>
        <v>4.3848076395151852</v>
      </c>
      <c r="Q214" s="62"/>
      <c r="R214" s="3"/>
      <c r="S214" s="3"/>
      <c r="T214" s="3"/>
      <c r="V214" s="3"/>
      <c r="W214" s="3"/>
      <c r="X214" s="3"/>
      <c r="Z214" s="3"/>
      <c r="AA214" s="3"/>
      <c r="AB214" s="3"/>
      <c r="AC214" s="3"/>
      <c r="AD214" s="3"/>
      <c r="AE214" s="3"/>
      <c r="AF214" s="3"/>
      <c r="AG214" s="3"/>
      <c r="AH214" s="37"/>
      <c r="AI214" s="1"/>
      <c r="AK214" s="10"/>
      <c r="AL214" s="10"/>
      <c r="AM214" s="10"/>
      <c r="AN214" s="11"/>
      <c r="AO214" s="11"/>
      <c r="AP214" s="11"/>
      <c r="AQ214" s="36"/>
      <c r="AR214" s="11"/>
      <c r="AS214" s="11"/>
      <c r="AT214" s="11"/>
      <c r="AU214" s="12"/>
      <c r="AV214" s="11"/>
      <c r="AW214" s="11"/>
      <c r="AX214" s="15"/>
      <c r="AY214" s="15"/>
      <c r="AZ214" s="15"/>
      <c r="BA214" s="15"/>
      <c r="BB214" s="15"/>
      <c r="BC214" s="15"/>
      <c r="BD214" s="15"/>
      <c r="BE214" s="12"/>
      <c r="BF214" s="11"/>
      <c r="BG214" s="11"/>
      <c r="BH214" s="10"/>
      <c r="BI214" s="10"/>
      <c r="BJ214" s="10"/>
      <c r="BK214" s="23"/>
      <c r="BL214" s="23"/>
      <c r="BM214" s="23"/>
      <c r="BN214" s="23"/>
      <c r="BO214" s="23"/>
      <c r="BP214" s="23"/>
      <c r="BQ214" s="23"/>
      <c r="BR214" s="10"/>
      <c r="BS214" s="16"/>
      <c r="BT214" s="16"/>
      <c r="BU214" s="16"/>
      <c r="BV214" s="16"/>
      <c r="BW214" s="11"/>
      <c r="BX214" s="16"/>
      <c r="BY214" s="16"/>
      <c r="BZ214" s="17"/>
      <c r="CA214" s="18"/>
      <c r="CB214" s="18"/>
      <c r="CC214" s="18"/>
      <c r="CD214" s="18"/>
      <c r="CE214" s="18"/>
      <c r="CF214" s="18"/>
      <c r="CG214" s="19"/>
      <c r="CH214" s="15"/>
      <c r="CI214" s="17"/>
      <c r="CJ214" s="10"/>
      <c r="CK214" s="10"/>
      <c r="CL214" s="10"/>
      <c r="CM214" s="17"/>
      <c r="CN214" s="17"/>
      <c r="CO214" s="10"/>
      <c r="CP214" s="10"/>
      <c r="CQ214" s="10"/>
      <c r="CR214" s="10"/>
      <c r="CS214" s="10"/>
      <c r="CT214" s="10"/>
      <c r="CU214" s="10"/>
      <c r="CV214" s="10"/>
      <c r="CW214" s="10"/>
      <c r="CX214" s="10"/>
      <c r="CY214" s="10"/>
      <c r="CZ214" s="10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  <c r="DY214" s="34"/>
      <c r="DZ214" s="34"/>
      <c r="EA214" s="34"/>
      <c r="EB214" s="34"/>
      <c r="EC214" s="34"/>
      <c r="ED214" s="34"/>
      <c r="EE214" s="34"/>
    </row>
    <row r="215" spans="1:135" customFormat="1">
      <c r="A215" s="71">
        <f>'Old Data'!$I211-'Old Data'!$S211</f>
        <v>64</v>
      </c>
      <c r="B215" s="72">
        <f>VLOOKUP('Old Data'!$F211,$R$6:$T$135,2,FALSE)+VLOOKUP('Old Data'!$P211,$R$6:$T$135,3,FALSE)+$B$2</f>
        <v>154.90232485897687</v>
      </c>
      <c r="C215" s="72">
        <f>VLOOKUP('Old Data'!$P211,$R$6:$T$135,2,FALSE)+VLOOKUP('Old Data'!$F211,$R$6:$T$135,3,FALSE)+$B$2</f>
        <v>115.20160512522364</v>
      </c>
      <c r="D215" s="74">
        <f>('Old Data'!$I211-$B215)^2+('Old Data'!$S211-$C215)^2</f>
        <v>313.85649135481577</v>
      </c>
      <c r="E215" s="75">
        <f>'Old Data'!$K211-'Old Data'!$U211</f>
        <v>84</v>
      </c>
      <c r="F215" s="72">
        <f>VLOOKUP('Old Data'!$F211,$V$6:$X$135,2,FALSE)+VLOOKUP('Old Data'!$P211,$V$6:$X$135,3,FALSE)+$C$2</f>
        <v>265.41754844726648</v>
      </c>
      <c r="G215" s="72">
        <f>VLOOKUP('Old Data'!$P211,$V$6:$X$135,2,FALSE)+VLOOKUP('Old Data'!$F211,$V$6:$X$135,3,FALSE)+$C$2</f>
        <v>289.81614791808602</v>
      </c>
      <c r="H215" s="74">
        <f>('Old Data'!$K211-$F215)^2+('Old Data'!$U211-$G215)^2</f>
        <v>6479.4761178258304</v>
      </c>
      <c r="I215" s="75">
        <f>('Old Data'!$L211+'Old Data'!$M211)-('Old Data'!$V211+'Old Data'!$W211)</f>
        <v>-117</v>
      </c>
      <c r="J215" s="72">
        <f>VLOOKUP('Old Data'!$F211,$Z$6:$AB$135,2,FALSE)+VLOOKUP('Old Data'!$P211,$Z$6:$AB$135,3,FALSE)+$D$2</f>
        <v>60.493787236104758</v>
      </c>
      <c r="K215" s="72">
        <f>VLOOKUP('Old Data'!$P211,$Z$6:$AB$135,2,FALSE)+VLOOKUP('Old Data'!$F211,$Z$6:$AB$135,3,FALSE)+$D$2</f>
        <v>107.1717804929266</v>
      </c>
      <c r="L215" s="74">
        <f>('Old Data'!$L211+'Old Data'!$M211-$J215)^2+('Old Data'!$V211+'Old Data'!$W211-$K215)^2</f>
        <v>4478.2174717367543</v>
      </c>
      <c r="M215" s="75">
        <f>'Old Data'!$N211-'Old Data'!$X211</f>
        <v>0</v>
      </c>
      <c r="N215" s="72">
        <f>VLOOKUP('Old Data'!$F211,$AD$6:$AF$135,2,FALSE)+VLOOKUP('Old Data'!$P211,$AD$6:$AF$135,3,FALSE)+$E$2</f>
        <v>0.93074749865418926</v>
      </c>
      <c r="O215" s="72">
        <f>VLOOKUP('Old Data'!$P211,$AD$6:$AF$135,2,FALSE)+VLOOKUP('Old Data'!$F211,$AD$6:$AF$135,3,FALSE)+$E$2</f>
        <v>-6.4260716239823878E-2</v>
      </c>
      <c r="P215" s="73">
        <f>('Old Data'!$N211-$N215)^2+('Old Data'!$X211-$O215)^2</f>
        <v>0.87042034590268513</v>
      </c>
      <c r="Q215" s="62"/>
      <c r="R215" s="3"/>
      <c r="S215" s="3"/>
      <c r="T215" s="3"/>
      <c r="V215" s="3"/>
      <c r="W215" s="3"/>
      <c r="X215" s="3"/>
      <c r="Z215" s="3"/>
      <c r="AA215" s="3"/>
      <c r="AB215" s="3"/>
      <c r="AC215" s="3"/>
      <c r="AD215" s="3"/>
      <c r="AE215" s="3"/>
      <c r="AF215" s="3"/>
      <c r="AG215" s="3"/>
      <c r="AH215" s="37"/>
      <c r="AI215" s="1"/>
      <c r="AK215" s="10"/>
      <c r="AL215" s="10"/>
      <c r="AM215" s="10"/>
      <c r="AN215" s="11"/>
      <c r="AO215" s="11"/>
      <c r="AP215" s="11"/>
      <c r="AQ215" s="36"/>
      <c r="AR215" s="11"/>
      <c r="AS215" s="11"/>
      <c r="AT215" s="11"/>
      <c r="AU215" s="12"/>
      <c r="AV215" s="11"/>
      <c r="AW215" s="11"/>
      <c r="AX215" s="15"/>
      <c r="AY215" s="15"/>
      <c r="AZ215" s="15"/>
      <c r="BA215" s="15"/>
      <c r="BB215" s="15"/>
      <c r="BC215" s="15"/>
      <c r="BD215" s="15"/>
      <c r="BE215" s="12"/>
      <c r="BF215" s="11"/>
      <c r="BG215" s="11"/>
      <c r="BH215" s="10"/>
      <c r="BI215" s="10"/>
      <c r="BJ215" s="10"/>
      <c r="BK215" s="23"/>
      <c r="BL215" s="23"/>
      <c r="BM215" s="23"/>
      <c r="BN215" s="23"/>
      <c r="BO215" s="23"/>
      <c r="BP215" s="23"/>
      <c r="BQ215" s="23"/>
      <c r="BR215" s="10"/>
      <c r="BS215" s="16"/>
      <c r="BT215" s="16"/>
      <c r="BU215" s="16"/>
      <c r="BV215" s="16"/>
      <c r="BW215" s="11"/>
      <c r="BX215" s="16"/>
      <c r="BY215" s="16"/>
      <c r="BZ215" s="17"/>
      <c r="CA215" s="18"/>
      <c r="CB215" s="18"/>
      <c r="CC215" s="18"/>
      <c r="CD215" s="18"/>
      <c r="CE215" s="18"/>
      <c r="CF215" s="18"/>
      <c r="CG215" s="19"/>
      <c r="CH215" s="15"/>
      <c r="CI215" s="17"/>
      <c r="CJ215" s="10"/>
      <c r="CK215" s="10"/>
      <c r="CL215" s="10"/>
      <c r="CM215" s="17"/>
      <c r="CN215" s="17"/>
      <c r="CO215" s="10"/>
      <c r="CP215" s="10"/>
      <c r="CQ215" s="10"/>
      <c r="CR215" s="10"/>
      <c r="CS215" s="10"/>
      <c r="CT215" s="10"/>
      <c r="CU215" s="10"/>
      <c r="CV215" s="10"/>
      <c r="CW215" s="10"/>
      <c r="CX215" s="10"/>
      <c r="CY215" s="10"/>
      <c r="CZ215" s="10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  <c r="DY215" s="34"/>
      <c r="DZ215" s="34"/>
      <c r="EA215" s="34"/>
      <c r="EB215" s="34"/>
      <c r="EC215" s="34"/>
      <c r="ED215" s="34"/>
      <c r="EE215" s="34"/>
    </row>
    <row r="216" spans="1:135" customFormat="1">
      <c r="A216" s="71">
        <f>'Old Data'!$I212-'Old Data'!$S212</f>
        <v>31</v>
      </c>
      <c r="B216" s="72">
        <f>VLOOKUP('Old Data'!$F212,$R$6:$T$135,2,FALSE)+VLOOKUP('Old Data'!$P212,$R$6:$T$135,3,FALSE)+$B$2</f>
        <v>43.314097287763204</v>
      </c>
      <c r="C216" s="72">
        <f>VLOOKUP('Old Data'!$P212,$R$6:$T$135,2,FALSE)+VLOOKUP('Old Data'!$F212,$R$6:$T$135,3,FALSE)+$B$2</f>
        <v>207.29068975459643</v>
      </c>
      <c r="D216" s="74">
        <f>('Old Data'!$I212-$B216)^2+('Old Data'!$S212-$C216)^2</f>
        <v>19641.786235154672</v>
      </c>
      <c r="E216" s="75">
        <f>'Old Data'!$K212-'Old Data'!$U212</f>
        <v>-105</v>
      </c>
      <c r="F216" s="72">
        <f>VLOOKUP('Old Data'!$F212,$V$6:$X$135,2,FALSE)+VLOOKUP('Old Data'!$P212,$V$6:$X$135,3,FALSE)+$C$2</f>
        <v>310.2627873997339</v>
      </c>
      <c r="G216" s="72">
        <f>VLOOKUP('Old Data'!$P212,$V$6:$X$135,2,FALSE)+VLOOKUP('Old Data'!$F212,$V$6:$X$135,3,FALSE)+$C$2</f>
        <v>300.9729765801132</v>
      </c>
      <c r="H216" s="74">
        <f>('Old Data'!$K212-$F216)^2+('Old Data'!$U212-$G216)^2</f>
        <v>9401.1901584510615</v>
      </c>
      <c r="I216" s="75">
        <f>('Old Data'!$L212+'Old Data'!$M212)-('Old Data'!$V212+'Old Data'!$W212)</f>
        <v>50</v>
      </c>
      <c r="J216" s="72">
        <f>VLOOKUP('Old Data'!$F212,$Z$6:$AB$135,2,FALSE)+VLOOKUP('Old Data'!$P212,$Z$6:$AB$135,3,FALSE)+$D$2</f>
        <v>70.566937223409681</v>
      </c>
      <c r="K216" s="72">
        <f>VLOOKUP('Old Data'!$P212,$Z$6:$AB$135,2,FALSE)+VLOOKUP('Old Data'!$F212,$Z$6:$AB$135,3,FALSE)+$D$2</f>
        <v>12.400739225100899</v>
      </c>
      <c r="L216" s="74">
        <f>('Old Data'!$L212+'Old Data'!$M212-$J216)^2+('Old Data'!$V212+'Old Data'!$W212-$K216)^2</f>
        <v>576.7772400806308</v>
      </c>
      <c r="M216" s="75">
        <f>'Old Data'!$N212-'Old Data'!$X212</f>
        <v>-2</v>
      </c>
      <c r="N216" s="72">
        <f>VLOOKUP('Old Data'!$F212,$AD$6:$AF$135,2,FALSE)+VLOOKUP('Old Data'!$P212,$AD$6:$AF$135,3,FALSE)+$E$2</f>
        <v>0.77394055692606012</v>
      </c>
      <c r="O216" s="72">
        <f>VLOOKUP('Old Data'!$P212,$AD$6:$AF$135,2,FALSE)+VLOOKUP('Old Data'!$F212,$AD$6:$AF$135,3,FALSE)+$E$2</f>
        <v>1.6208847124806005</v>
      </c>
      <c r="P216" s="73">
        <f>('Old Data'!$N212-$N216)^2+('Old Data'!$X212-$O216)^2</f>
        <v>0.74271238688593699</v>
      </c>
      <c r="Q216" s="62"/>
      <c r="R216" s="3"/>
      <c r="S216" s="3"/>
      <c r="T216" s="3"/>
      <c r="V216" s="3"/>
      <c r="W216" s="3"/>
      <c r="X216" s="3"/>
      <c r="Z216" s="3"/>
      <c r="AA216" s="3"/>
      <c r="AB216" s="3"/>
      <c r="AC216" s="3"/>
      <c r="AD216" s="3"/>
      <c r="AE216" s="3"/>
      <c r="AF216" s="3"/>
      <c r="AG216" s="3"/>
      <c r="AH216" s="37"/>
      <c r="AI216" s="1"/>
      <c r="AK216" s="10"/>
      <c r="AL216" s="10"/>
      <c r="AM216" s="10"/>
      <c r="AN216" s="11"/>
      <c r="AO216" s="11"/>
      <c r="AP216" s="11"/>
      <c r="AQ216" s="36"/>
      <c r="AR216" s="11"/>
      <c r="AS216" s="11"/>
      <c r="AT216" s="11"/>
      <c r="AU216" s="12"/>
      <c r="AV216" s="11"/>
      <c r="AW216" s="11"/>
      <c r="AX216" s="15"/>
      <c r="AY216" s="15"/>
      <c r="AZ216" s="15"/>
      <c r="BA216" s="15"/>
      <c r="BB216" s="15"/>
      <c r="BC216" s="15"/>
      <c r="BD216" s="15"/>
      <c r="BE216" s="12"/>
      <c r="BF216" s="11"/>
      <c r="BG216" s="11"/>
      <c r="BH216" s="10"/>
      <c r="BI216" s="10"/>
      <c r="BJ216" s="10"/>
      <c r="BK216" s="23"/>
      <c r="BL216" s="23"/>
      <c r="BM216" s="23"/>
      <c r="BN216" s="23"/>
      <c r="BO216" s="23"/>
      <c r="BP216" s="23"/>
      <c r="BQ216" s="23"/>
      <c r="BR216" s="10"/>
      <c r="BS216" s="16"/>
      <c r="BT216" s="16"/>
      <c r="BU216" s="16"/>
      <c r="BV216" s="16"/>
      <c r="BW216" s="11"/>
      <c r="BX216" s="16"/>
      <c r="BY216" s="16"/>
      <c r="BZ216" s="17"/>
      <c r="CA216" s="18"/>
      <c r="CB216" s="18"/>
      <c r="CC216" s="18"/>
      <c r="CD216" s="18"/>
      <c r="CE216" s="18"/>
      <c r="CF216" s="18"/>
      <c r="CG216" s="19"/>
      <c r="CH216" s="15"/>
      <c r="CI216" s="17"/>
      <c r="CJ216" s="10"/>
      <c r="CK216" s="10"/>
      <c r="CL216" s="10"/>
      <c r="CM216" s="17"/>
      <c r="CN216" s="17"/>
      <c r="CO216" s="10"/>
      <c r="CP216" s="10"/>
      <c r="CQ216" s="10"/>
      <c r="CR216" s="10"/>
      <c r="CS216" s="10"/>
      <c r="CT216" s="10"/>
      <c r="CU216" s="10"/>
      <c r="CV216" s="10"/>
      <c r="CW216" s="10"/>
      <c r="CX216" s="10"/>
      <c r="CY216" s="10"/>
      <c r="CZ216" s="10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  <c r="DY216" s="34"/>
      <c r="DZ216" s="34"/>
      <c r="EA216" s="34"/>
      <c r="EB216" s="34"/>
      <c r="EC216" s="34"/>
      <c r="ED216" s="34"/>
      <c r="EE216" s="34"/>
    </row>
    <row r="217" spans="1:135" customFormat="1">
      <c r="A217" s="71">
        <f>'Old Data'!$I213-'Old Data'!$S213</f>
        <v>94</v>
      </c>
      <c r="B217" s="72">
        <f>VLOOKUP('Old Data'!$F213,$R$6:$T$135,2,FALSE)+VLOOKUP('Old Data'!$P213,$R$6:$T$135,3,FALSE)+$B$2</f>
        <v>129.82668127164663</v>
      </c>
      <c r="C217" s="72">
        <f>VLOOKUP('Old Data'!$P213,$R$6:$T$135,2,FALSE)+VLOOKUP('Old Data'!$F213,$R$6:$T$135,3,FALSE)+$B$2</f>
        <v>111.02244249423561</v>
      </c>
      <c r="D217" s="74">
        <f>('Old Data'!$I213-$B217)^2+('Old Data'!$S213-$C217)^2</f>
        <v>5502.7265998319153</v>
      </c>
      <c r="E217" s="75">
        <f>'Old Data'!$K213-'Old Data'!$U213</f>
        <v>-62</v>
      </c>
      <c r="F217" s="72">
        <f>VLOOKUP('Old Data'!$F213,$V$6:$X$135,2,FALSE)+VLOOKUP('Old Data'!$P213,$V$6:$X$135,3,FALSE)+$C$2</f>
        <v>192.2789168486859</v>
      </c>
      <c r="G217" s="72">
        <f>VLOOKUP('Old Data'!$P213,$V$6:$X$135,2,FALSE)+VLOOKUP('Old Data'!$F213,$V$6:$X$135,3,FALSE)+$C$2</f>
        <v>278.55337617452852</v>
      </c>
      <c r="H217" s="74">
        <f>('Old Data'!$K213-$F217)^2+('Old Data'!$U213-$G217)^2</f>
        <v>6660.1878622192553</v>
      </c>
      <c r="I217" s="75">
        <f>('Old Data'!$L213+'Old Data'!$M213)-('Old Data'!$V213+'Old Data'!$W213)</f>
        <v>0</v>
      </c>
      <c r="J217" s="72">
        <f>VLOOKUP('Old Data'!$F213,$Z$6:$AB$135,2,FALSE)+VLOOKUP('Old Data'!$P213,$Z$6:$AB$135,3,FALSE)+$D$2</f>
        <v>88.670271560862602</v>
      </c>
      <c r="K217" s="72">
        <f>VLOOKUP('Old Data'!$P213,$Z$6:$AB$135,2,FALSE)+VLOOKUP('Old Data'!$F213,$Z$6:$AB$135,3,FALSE)+$D$2</f>
        <v>53.162472632999034</v>
      </c>
      <c r="L217" s="74">
        <f>('Old Data'!$L213+'Old Data'!$M213-$J217)^2+('Old Data'!$V213+'Old Data'!$W213-$K217)^2</f>
        <v>661.07783315403117</v>
      </c>
      <c r="M217" s="75">
        <f>'Old Data'!$N213-'Old Data'!$X213</f>
        <v>-1</v>
      </c>
      <c r="N217" s="72">
        <f>VLOOKUP('Old Data'!$F213,$AD$6:$AF$135,2,FALSE)+VLOOKUP('Old Data'!$P213,$AD$6:$AF$135,3,FALSE)+$E$2</f>
        <v>1.1954684337576111</v>
      </c>
      <c r="O217" s="72">
        <f>VLOOKUP('Old Data'!$P213,$AD$6:$AF$135,2,FALSE)+VLOOKUP('Old Data'!$F213,$AD$6:$AF$135,3,FALSE)+$E$2</f>
        <v>1.7720823280771181</v>
      </c>
      <c r="P217" s="73">
        <f>('Old Data'!$N213-$N217)^2+('Old Data'!$X213-$O217)^2</f>
        <v>2.0252558974398585</v>
      </c>
      <c r="Q217" s="62"/>
      <c r="R217" s="3"/>
      <c r="S217" s="3"/>
      <c r="T217" s="3"/>
      <c r="V217" s="3"/>
      <c r="W217" s="3"/>
      <c r="X217" s="3"/>
      <c r="Z217" s="3"/>
      <c r="AA217" s="3"/>
      <c r="AB217" s="3"/>
      <c r="AC217" s="3"/>
      <c r="AD217" s="3"/>
      <c r="AE217" s="3"/>
      <c r="AF217" s="3"/>
      <c r="AG217" s="3"/>
      <c r="AH217" s="37"/>
      <c r="AI217" s="1"/>
      <c r="AK217" s="10"/>
      <c r="AL217" s="10"/>
      <c r="AM217" s="10"/>
      <c r="AN217" s="11"/>
      <c r="AO217" s="11"/>
      <c r="AP217" s="11"/>
      <c r="AQ217" s="36"/>
      <c r="AR217" s="11"/>
      <c r="AS217" s="11"/>
      <c r="AT217" s="11"/>
      <c r="AU217" s="12"/>
      <c r="AV217" s="11"/>
      <c r="AW217" s="11"/>
      <c r="AX217" s="15"/>
      <c r="AY217" s="15"/>
      <c r="AZ217" s="15"/>
      <c r="BA217" s="15"/>
      <c r="BB217" s="15"/>
      <c r="BC217" s="15"/>
      <c r="BD217" s="15"/>
      <c r="BE217" s="12"/>
      <c r="BF217" s="11"/>
      <c r="BG217" s="11"/>
      <c r="BH217" s="10"/>
      <c r="BI217" s="10"/>
      <c r="BJ217" s="10"/>
      <c r="BK217" s="23"/>
      <c r="BL217" s="23"/>
      <c r="BM217" s="23"/>
      <c r="BN217" s="23"/>
      <c r="BO217" s="23"/>
      <c r="BP217" s="23"/>
      <c r="BQ217" s="23"/>
      <c r="BR217" s="10"/>
      <c r="BS217" s="16"/>
      <c r="BT217" s="16"/>
      <c r="BU217" s="16"/>
      <c r="BV217" s="16"/>
      <c r="BW217" s="11"/>
      <c r="BX217" s="16"/>
      <c r="BY217" s="16"/>
      <c r="BZ217" s="17"/>
      <c r="CA217" s="18"/>
      <c r="CB217" s="18"/>
      <c r="CC217" s="18"/>
      <c r="CD217" s="18"/>
      <c r="CE217" s="18"/>
      <c r="CF217" s="18"/>
      <c r="CG217" s="19"/>
      <c r="CH217" s="15"/>
      <c r="CI217" s="17"/>
      <c r="CJ217" s="10"/>
      <c r="CK217" s="10"/>
      <c r="CL217" s="10"/>
      <c r="CM217" s="17"/>
      <c r="CN217" s="17"/>
      <c r="CO217" s="10"/>
      <c r="CP217" s="10"/>
      <c r="CQ217" s="10"/>
      <c r="CR217" s="10"/>
      <c r="CS217" s="10"/>
      <c r="CT217" s="10"/>
      <c r="CU217" s="10"/>
      <c r="CV217" s="10"/>
      <c r="CW217" s="10"/>
      <c r="CX217" s="10"/>
      <c r="CY217" s="10"/>
      <c r="CZ217" s="10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  <c r="DY217" s="34"/>
      <c r="DZ217" s="34"/>
      <c r="EA217" s="34"/>
      <c r="EB217" s="34"/>
      <c r="EC217" s="34"/>
      <c r="ED217" s="34"/>
      <c r="EE217" s="34"/>
    </row>
    <row r="218" spans="1:135" customFormat="1">
      <c r="A218" s="71">
        <f>'Old Data'!$I214-'Old Data'!$S214</f>
        <v>132</v>
      </c>
      <c r="B218" s="72">
        <f>VLOOKUP('Old Data'!$F214,$R$6:$T$135,2,FALSE)+VLOOKUP('Old Data'!$P214,$R$6:$T$135,3,FALSE)+$B$2</f>
        <v>160.69945059364591</v>
      </c>
      <c r="C218" s="72">
        <f>VLOOKUP('Old Data'!$P214,$R$6:$T$135,2,FALSE)+VLOOKUP('Old Data'!$F214,$R$6:$T$135,3,FALSE)+$B$2</f>
        <v>237.92956240744201</v>
      </c>
      <c r="D218" s="74">
        <f>('Old Data'!$I214-$B218)^2+('Old Data'!$S214-$C218)^2</f>
        <v>22559.462141523742</v>
      </c>
      <c r="E218" s="75">
        <f>'Old Data'!$K214-'Old Data'!$U214</f>
        <v>43</v>
      </c>
      <c r="F218" s="72">
        <f>VLOOKUP('Old Data'!$F214,$V$6:$X$135,2,FALSE)+VLOOKUP('Old Data'!$P214,$V$6:$X$135,3,FALSE)+$C$2</f>
        <v>176.83578702080149</v>
      </c>
      <c r="G218" s="72">
        <f>VLOOKUP('Old Data'!$P214,$V$6:$X$135,2,FALSE)+VLOOKUP('Old Data'!$F214,$V$6:$X$135,3,FALSE)+$C$2</f>
        <v>120.5383902956106</v>
      </c>
      <c r="H218" s="74">
        <f>('Old Data'!$K214-$F218)^2+('Old Data'!$U214-$G218)^2</f>
        <v>1910.9310231503428</v>
      </c>
      <c r="I218" s="75">
        <f>('Old Data'!$L214+'Old Data'!$M214)-('Old Data'!$V214+'Old Data'!$W214)</f>
        <v>-91</v>
      </c>
      <c r="J218" s="72">
        <f>VLOOKUP('Old Data'!$F214,$Z$6:$AB$135,2,FALSE)+VLOOKUP('Old Data'!$P214,$Z$6:$AB$135,3,FALSE)+$D$2</f>
        <v>22.441325653979654</v>
      </c>
      <c r="K218" s="72">
        <f>VLOOKUP('Old Data'!$P214,$Z$6:$AB$135,2,FALSE)+VLOOKUP('Old Data'!$F214,$Z$6:$AB$135,3,FALSE)+$D$2</f>
        <v>55.998888041396626</v>
      </c>
      <c r="L218" s="74">
        <f>('Old Data'!$L214+'Old Data'!$M214-$J218)^2+('Old Data'!$V214+'Old Data'!$W214-$K218)^2</f>
        <v>1786.9300806651484</v>
      </c>
      <c r="M218" s="75">
        <f>'Old Data'!$N214-'Old Data'!$X214</f>
        <v>1</v>
      </c>
      <c r="N218" s="72">
        <f>VLOOKUP('Old Data'!$F214,$AD$6:$AF$135,2,FALSE)+VLOOKUP('Old Data'!$P214,$AD$6:$AF$135,3,FALSE)+$E$2</f>
        <v>1.4821894379791005</v>
      </c>
      <c r="O218" s="72">
        <f>VLOOKUP('Old Data'!$P214,$AD$6:$AF$135,2,FALSE)+VLOOKUP('Old Data'!$F214,$AD$6:$AF$135,3,FALSE)+$E$2</f>
        <v>0.91717118759142202</v>
      </c>
      <c r="P218" s="73">
        <f>('Old Data'!$N214-$N218)^2+('Old Data'!$X214-$O218)^2</f>
        <v>0.27498839030541516</v>
      </c>
      <c r="Q218" s="62"/>
      <c r="R218" s="3"/>
      <c r="S218" s="3"/>
      <c r="T218" s="3"/>
      <c r="V218" s="3"/>
      <c r="W218" s="3"/>
      <c r="X218" s="3"/>
      <c r="Z218" s="3"/>
      <c r="AA218" s="3"/>
      <c r="AB218" s="3"/>
      <c r="AC218" s="3"/>
      <c r="AD218" s="3"/>
      <c r="AE218" s="3"/>
      <c r="AF218" s="3"/>
      <c r="AG218" s="3"/>
      <c r="AH218" s="37"/>
      <c r="AI218" s="1"/>
      <c r="AK218" s="10"/>
      <c r="AL218" s="10"/>
      <c r="AM218" s="10"/>
      <c r="AN218" s="11"/>
      <c r="AO218" s="11"/>
      <c r="AP218" s="11"/>
      <c r="AQ218" s="36"/>
      <c r="AR218" s="11"/>
      <c r="AS218" s="11"/>
      <c r="AT218" s="11"/>
      <c r="AU218" s="12"/>
      <c r="AV218" s="11"/>
      <c r="AW218" s="11"/>
      <c r="AX218" s="15"/>
      <c r="AY218" s="15"/>
      <c r="AZ218" s="15"/>
      <c r="BA218" s="15"/>
      <c r="BB218" s="15"/>
      <c r="BC218" s="15"/>
      <c r="BD218" s="15"/>
      <c r="BE218" s="12"/>
      <c r="BF218" s="11"/>
      <c r="BG218" s="11"/>
      <c r="BH218" s="10"/>
      <c r="BI218" s="10"/>
      <c r="BJ218" s="10"/>
      <c r="BK218" s="23"/>
      <c r="BL218" s="23"/>
      <c r="BM218" s="23"/>
      <c r="BN218" s="23"/>
      <c r="BO218" s="23"/>
      <c r="BP218" s="23"/>
      <c r="BQ218" s="23"/>
      <c r="BR218" s="10"/>
      <c r="BS218" s="16"/>
      <c r="BT218" s="16"/>
      <c r="BU218" s="16"/>
      <c r="BV218" s="16"/>
      <c r="BW218" s="11"/>
      <c r="BX218" s="16"/>
      <c r="BY218" s="16"/>
      <c r="BZ218" s="17"/>
      <c r="CA218" s="18"/>
      <c r="CB218" s="18"/>
      <c r="CC218" s="18"/>
      <c r="CD218" s="18"/>
      <c r="CE218" s="18"/>
      <c r="CF218" s="18"/>
      <c r="CG218" s="19"/>
      <c r="CH218" s="15"/>
      <c r="CI218" s="17"/>
      <c r="CJ218" s="10"/>
      <c r="CK218" s="10"/>
      <c r="CL218" s="10"/>
      <c r="CM218" s="17"/>
      <c r="CN218" s="17"/>
      <c r="CO218" s="10"/>
      <c r="CP218" s="10"/>
      <c r="CQ218" s="10"/>
      <c r="CR218" s="10"/>
      <c r="CS218" s="10"/>
      <c r="CT218" s="10"/>
      <c r="CU218" s="10"/>
      <c r="CV218" s="10"/>
      <c r="CW218" s="10"/>
      <c r="CX218" s="10"/>
      <c r="CY218" s="10"/>
      <c r="CZ218" s="10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  <c r="DY218" s="34"/>
      <c r="DZ218" s="34"/>
      <c r="EA218" s="34"/>
      <c r="EB218" s="34"/>
      <c r="EC218" s="34"/>
      <c r="ED218" s="34"/>
      <c r="EE218" s="34"/>
    </row>
    <row r="219" spans="1:135" customFormat="1">
      <c r="A219" s="71">
        <f>'Old Data'!$I215-'Old Data'!$S215</f>
        <v>-165</v>
      </c>
      <c r="B219" s="72">
        <f>VLOOKUP('Old Data'!$F215,$R$6:$T$135,2,FALSE)+VLOOKUP('Old Data'!$P215,$R$6:$T$135,3,FALSE)+$B$2</f>
        <v>146.69738211047766</v>
      </c>
      <c r="C219" s="72">
        <f>VLOOKUP('Old Data'!$P215,$R$6:$T$135,2,FALSE)+VLOOKUP('Old Data'!$F215,$R$6:$T$135,3,FALSE)+$B$2</f>
        <v>213.56676423668483</v>
      </c>
      <c r="D219" s="74">
        <f>('Old Data'!$I215-$B219)^2+('Old Data'!$S215-$C219)^2</f>
        <v>5368.0607982488964</v>
      </c>
      <c r="E219" s="75">
        <f>'Old Data'!$K215-'Old Data'!$U215</f>
        <v>36</v>
      </c>
      <c r="F219" s="72">
        <f>VLOOKUP('Old Data'!$F215,$V$6:$X$135,2,FALSE)+VLOOKUP('Old Data'!$P215,$V$6:$X$135,3,FALSE)+$C$2</f>
        <v>217.2275565040803</v>
      </c>
      <c r="G219" s="72">
        <f>VLOOKUP('Old Data'!$P215,$V$6:$X$135,2,FALSE)+VLOOKUP('Old Data'!$F215,$V$6:$X$135,3,FALSE)+$C$2</f>
        <v>253.1034296113022</v>
      </c>
      <c r="H219" s="74">
        <f>('Old Data'!$K215-$F219)^2+('Old Data'!$U215-$G219)^2</f>
        <v>5009.9563152902456</v>
      </c>
      <c r="I219" s="75">
        <f>('Old Data'!$L215+'Old Data'!$M215)-('Old Data'!$V215+'Old Data'!$W215)</f>
        <v>34</v>
      </c>
      <c r="J219" s="72">
        <f>VLOOKUP('Old Data'!$F215,$Z$6:$AB$135,2,FALSE)+VLOOKUP('Old Data'!$P215,$Z$6:$AB$135,3,FALSE)+$D$2</f>
        <v>88.003577306083031</v>
      </c>
      <c r="K219" s="72">
        <f>VLOOKUP('Old Data'!$P215,$Z$6:$AB$135,2,FALSE)+VLOOKUP('Old Data'!$F215,$Z$6:$AB$135,3,FALSE)+$D$2</f>
        <v>118.456723300367</v>
      </c>
      <c r="L219" s="74">
        <f>('Old Data'!$L215+'Old Data'!$M215-$J219)^2+('Old Data'!$V215+'Old Data'!$W215-$K219)^2</f>
        <v>2286.4159647333918</v>
      </c>
      <c r="M219" s="75">
        <f>'Old Data'!$N215-'Old Data'!$X215</f>
        <v>0</v>
      </c>
      <c r="N219" s="72">
        <f>VLOOKUP('Old Data'!$F215,$AD$6:$AF$135,2,FALSE)+VLOOKUP('Old Data'!$P215,$AD$6:$AF$135,3,FALSE)+$E$2</f>
        <v>1.1706821111723884</v>
      </c>
      <c r="O219" s="72">
        <f>VLOOKUP('Old Data'!$P215,$AD$6:$AF$135,2,FALSE)+VLOOKUP('Old Data'!$F215,$AD$6:$AF$135,3,FALSE)+$E$2</f>
        <v>1.5824345974422489</v>
      </c>
      <c r="P219" s="73">
        <f>('Old Data'!$N215-$N219)^2+('Old Data'!$X215-$O219)^2</f>
        <v>0.86212902614270348</v>
      </c>
      <c r="Q219" s="62"/>
      <c r="R219" s="3"/>
      <c r="S219" s="3"/>
      <c r="T219" s="3"/>
      <c r="V219" s="3"/>
      <c r="W219" s="3"/>
      <c r="X219" s="3"/>
      <c r="Z219" s="3"/>
      <c r="AA219" s="3"/>
      <c r="AB219" s="3"/>
      <c r="AC219" s="3"/>
      <c r="AD219" s="3"/>
      <c r="AE219" s="3"/>
      <c r="AF219" s="3"/>
      <c r="AG219" s="3"/>
      <c r="AH219" s="37"/>
      <c r="AI219" s="1"/>
      <c r="AK219" s="10"/>
      <c r="AL219" s="10"/>
      <c r="AM219" s="10"/>
      <c r="AN219" s="11"/>
      <c r="AO219" s="11"/>
      <c r="AP219" s="11"/>
      <c r="AQ219" s="36"/>
      <c r="AR219" s="11"/>
      <c r="AS219" s="11"/>
      <c r="AT219" s="11"/>
      <c r="AU219" s="12"/>
      <c r="AV219" s="11"/>
      <c r="AW219" s="11"/>
      <c r="AX219" s="15"/>
      <c r="AY219" s="15"/>
      <c r="AZ219" s="15"/>
      <c r="BA219" s="15"/>
      <c r="BB219" s="15"/>
      <c r="BC219" s="15"/>
      <c r="BD219" s="15"/>
      <c r="BE219" s="12"/>
      <c r="BF219" s="11"/>
      <c r="BG219" s="11"/>
      <c r="BH219" s="10"/>
      <c r="BI219" s="10"/>
      <c r="BJ219" s="10"/>
      <c r="BK219" s="23"/>
      <c r="BL219" s="23"/>
      <c r="BM219" s="23"/>
      <c r="BN219" s="23"/>
      <c r="BO219" s="23"/>
      <c r="BP219" s="23"/>
      <c r="BQ219" s="23"/>
      <c r="BR219" s="10"/>
      <c r="BS219" s="16"/>
      <c r="BT219" s="16"/>
      <c r="BU219" s="16"/>
      <c r="BV219" s="16"/>
      <c r="BW219" s="11"/>
      <c r="BX219" s="16"/>
      <c r="BY219" s="16"/>
      <c r="BZ219" s="17"/>
      <c r="CA219" s="18"/>
      <c r="CB219" s="18"/>
      <c r="CC219" s="18"/>
      <c r="CD219" s="18"/>
      <c r="CE219" s="18"/>
      <c r="CF219" s="18"/>
      <c r="CG219" s="19"/>
      <c r="CH219" s="15"/>
      <c r="CI219" s="17"/>
      <c r="CJ219" s="10"/>
      <c r="CK219" s="10"/>
      <c r="CL219" s="10"/>
      <c r="CM219" s="17"/>
      <c r="CN219" s="17"/>
      <c r="CO219" s="10"/>
      <c r="CP219" s="10"/>
      <c r="CQ219" s="10"/>
      <c r="CR219" s="10"/>
      <c r="CS219" s="10"/>
      <c r="CT219" s="10"/>
      <c r="CU219" s="10"/>
      <c r="CV219" s="10"/>
      <c r="CW219" s="10"/>
      <c r="CX219" s="10"/>
      <c r="CY219" s="10"/>
      <c r="CZ219" s="10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  <c r="DY219" s="34"/>
      <c r="DZ219" s="34"/>
      <c r="EA219" s="34"/>
      <c r="EB219" s="34"/>
      <c r="EC219" s="34"/>
      <c r="ED219" s="34"/>
      <c r="EE219" s="34"/>
    </row>
    <row r="220" spans="1:135" customFormat="1">
      <c r="A220" s="71">
        <f>'Old Data'!$I216-'Old Data'!$S216</f>
        <v>43</v>
      </c>
      <c r="B220" s="72">
        <f>VLOOKUP('Old Data'!$F216,$R$6:$T$135,2,FALSE)+VLOOKUP('Old Data'!$P216,$R$6:$T$135,3,FALSE)+$B$2</f>
        <v>192.0953300837354</v>
      </c>
      <c r="C220" s="72">
        <f>VLOOKUP('Old Data'!$P216,$R$6:$T$135,2,FALSE)+VLOOKUP('Old Data'!$F216,$R$6:$T$135,3,FALSE)+$B$2</f>
        <v>78.734042689918994</v>
      </c>
      <c r="D220" s="74">
        <f>('Old Data'!$I216-$B220)^2+('Old Data'!$S216-$C220)^2</f>
        <v>2767.464992115094</v>
      </c>
      <c r="E220" s="75">
        <f>'Old Data'!$K216-'Old Data'!$U216</f>
        <v>183</v>
      </c>
      <c r="F220" s="72">
        <f>VLOOKUP('Old Data'!$F216,$V$6:$X$135,2,FALSE)+VLOOKUP('Old Data'!$P216,$V$6:$X$135,3,FALSE)+$C$2</f>
        <v>274.80568504974906</v>
      </c>
      <c r="G220" s="72">
        <f>VLOOKUP('Old Data'!$P216,$V$6:$X$135,2,FALSE)+VLOOKUP('Old Data'!$F216,$V$6:$X$135,3,FALSE)+$C$2</f>
        <v>185.23043103935458</v>
      </c>
      <c r="H220" s="74">
        <f>('Old Data'!$K216-$F220)^2+('Old Data'!$U216-$G220)^2</f>
        <v>6102.4613845399881</v>
      </c>
      <c r="I220" s="75">
        <f>('Old Data'!$L216+'Old Data'!$M216)-('Old Data'!$V216+'Old Data'!$W216)</f>
        <v>-24</v>
      </c>
      <c r="J220" s="72">
        <f>VLOOKUP('Old Data'!$F216,$Z$6:$AB$135,2,FALSE)+VLOOKUP('Old Data'!$P216,$Z$6:$AB$135,3,FALSE)+$D$2</f>
        <v>43.469079328200927</v>
      </c>
      <c r="K220" s="72">
        <f>VLOOKUP('Old Data'!$P216,$Z$6:$AB$135,2,FALSE)+VLOOKUP('Old Data'!$F216,$Z$6:$AB$135,3,FALSE)+$D$2</f>
        <v>76.912755464336769</v>
      </c>
      <c r="L220" s="74">
        <f>('Old Data'!$L216+'Old Data'!$M216-$J220)^2+('Old Data'!$V216+'Old Data'!$W216-$K220)^2</f>
        <v>1482.0453295894713</v>
      </c>
      <c r="M220" s="75">
        <f>'Old Data'!$N216-'Old Data'!$X216</f>
        <v>-1</v>
      </c>
      <c r="N220" s="72">
        <f>VLOOKUP('Old Data'!$F216,$AD$6:$AF$135,2,FALSE)+VLOOKUP('Old Data'!$P216,$AD$6:$AF$135,3,FALSE)+$E$2</f>
        <v>0.77322001834849807</v>
      </c>
      <c r="O220" s="72">
        <f>VLOOKUP('Old Data'!$P216,$AD$6:$AF$135,2,FALSE)+VLOOKUP('Old Data'!$F216,$AD$6:$AF$135,3,FALSE)+$E$2</f>
        <v>1.0651625593614962</v>
      </c>
      <c r="P220" s="73">
        <f>('Old Data'!$N216-$N220)^2+('Old Data'!$X216-$O220)^2</f>
        <v>0.60211535591739229</v>
      </c>
      <c r="Q220" s="62"/>
      <c r="R220" s="3"/>
      <c r="S220" s="3"/>
      <c r="T220" s="3"/>
      <c r="V220" s="3"/>
      <c r="W220" s="3"/>
      <c r="X220" s="3"/>
      <c r="Z220" s="3"/>
      <c r="AA220" s="3"/>
      <c r="AB220" s="3"/>
      <c r="AC220" s="3"/>
      <c r="AD220" s="3"/>
      <c r="AE220" s="3"/>
      <c r="AF220" s="3"/>
      <c r="AG220" s="3"/>
      <c r="AH220" s="37"/>
      <c r="AI220" s="1"/>
      <c r="AK220" s="10"/>
      <c r="AL220" s="10"/>
      <c r="AM220" s="10"/>
      <c r="AN220" s="11"/>
      <c r="AO220" s="11"/>
      <c r="AP220" s="11"/>
      <c r="AQ220" s="36"/>
      <c r="AR220" s="11"/>
      <c r="AS220" s="11"/>
      <c r="AT220" s="11"/>
      <c r="AU220" s="12"/>
      <c r="AV220" s="11"/>
      <c r="AW220" s="11"/>
      <c r="AX220" s="15"/>
      <c r="AY220" s="15"/>
      <c r="AZ220" s="15"/>
      <c r="BA220" s="15"/>
      <c r="BB220" s="15"/>
      <c r="BC220" s="15"/>
      <c r="BD220" s="15"/>
      <c r="BE220" s="12"/>
      <c r="BF220" s="11"/>
      <c r="BG220" s="11"/>
      <c r="BH220" s="10"/>
      <c r="BI220" s="10"/>
      <c r="BJ220" s="10"/>
      <c r="BK220" s="23"/>
      <c r="BL220" s="23"/>
      <c r="BM220" s="23"/>
      <c r="BN220" s="23"/>
      <c r="BO220" s="23"/>
      <c r="BP220" s="23"/>
      <c r="BQ220" s="23"/>
      <c r="BR220" s="10"/>
      <c r="BS220" s="16"/>
      <c r="BT220" s="16"/>
      <c r="BU220" s="16"/>
      <c r="BV220" s="16"/>
      <c r="BW220" s="11"/>
      <c r="BX220" s="16"/>
      <c r="BY220" s="16"/>
      <c r="BZ220" s="17"/>
      <c r="CA220" s="18"/>
      <c r="CB220" s="18"/>
      <c r="CC220" s="18"/>
      <c r="CD220" s="18"/>
      <c r="CE220" s="18"/>
      <c r="CF220" s="18"/>
      <c r="CG220" s="19"/>
      <c r="CH220" s="15"/>
      <c r="CI220" s="17"/>
      <c r="CJ220" s="10"/>
      <c r="CK220" s="10"/>
      <c r="CL220" s="10"/>
      <c r="CM220" s="17"/>
      <c r="CN220" s="17"/>
      <c r="CO220" s="10"/>
      <c r="CP220" s="10"/>
      <c r="CQ220" s="10"/>
      <c r="CR220" s="10"/>
      <c r="CS220" s="10"/>
      <c r="CT220" s="10"/>
      <c r="CU220" s="10"/>
      <c r="CV220" s="10"/>
      <c r="CW220" s="10"/>
      <c r="CX220" s="10"/>
      <c r="CY220" s="10"/>
      <c r="CZ220" s="10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  <c r="DY220" s="34"/>
      <c r="DZ220" s="34"/>
      <c r="EA220" s="34"/>
      <c r="EB220" s="34"/>
      <c r="EC220" s="34"/>
      <c r="ED220" s="34"/>
      <c r="EE220" s="34"/>
    </row>
    <row r="221" spans="1:135" customFormat="1">
      <c r="A221" s="71">
        <f>'Old Data'!$I217-'Old Data'!$S217</f>
        <v>244</v>
      </c>
      <c r="B221" s="72">
        <f>VLOOKUP('Old Data'!$F217,$R$6:$T$135,2,FALSE)+VLOOKUP('Old Data'!$P217,$R$6:$T$135,3,FALSE)+$B$2</f>
        <v>268.99104137051518</v>
      </c>
      <c r="C221" s="72">
        <f>VLOOKUP('Old Data'!$P217,$R$6:$T$135,2,FALSE)+VLOOKUP('Old Data'!$F217,$R$6:$T$135,3,FALSE)+$B$2</f>
        <v>137.04317216608672</v>
      </c>
      <c r="D221" s="74">
        <f>('Old Data'!$I217-$B221)^2+('Old Data'!$S217-$C221)^2</f>
        <v>6350.2511556362024</v>
      </c>
      <c r="E221" s="75">
        <f>'Old Data'!$K217-'Old Data'!$U217</f>
        <v>222</v>
      </c>
      <c r="F221" s="72">
        <f>VLOOKUP('Old Data'!$F217,$V$6:$X$135,2,FALSE)+VLOOKUP('Old Data'!$P217,$V$6:$X$135,3,FALSE)+$C$2</f>
        <v>192.4600090868029</v>
      </c>
      <c r="G221" s="72">
        <f>VLOOKUP('Old Data'!$P217,$V$6:$X$135,2,FALSE)+VLOOKUP('Old Data'!$F217,$V$6:$X$135,3,FALSE)+$C$2</f>
        <v>160.39797169597449</v>
      </c>
      <c r="H221" s="74">
        <f>('Old Data'!$K217-$F221)^2+('Old Data'!$U217-$G221)^2</f>
        <v>18727.9796158278</v>
      </c>
      <c r="I221" s="75">
        <f>('Old Data'!$L217+'Old Data'!$M217)-('Old Data'!$V217+'Old Data'!$W217)</f>
        <v>38</v>
      </c>
      <c r="J221" s="72">
        <f>VLOOKUP('Old Data'!$F217,$Z$6:$AB$135,2,FALSE)+VLOOKUP('Old Data'!$P217,$Z$6:$AB$135,3,FALSE)+$D$2</f>
        <v>78.272267457356151</v>
      </c>
      <c r="K221" s="72">
        <f>VLOOKUP('Old Data'!$P217,$Z$6:$AB$135,2,FALSE)+VLOOKUP('Old Data'!$F217,$Z$6:$AB$135,3,FALSE)+$D$2</f>
        <v>76.642639557153245</v>
      </c>
      <c r="L221" s="74">
        <f>('Old Data'!$L217+'Old Data'!$M217-$J221)^2+('Old Data'!$V217+'Old Data'!$W217-$K221)^2</f>
        <v>4281.1385075136404</v>
      </c>
      <c r="M221" s="75">
        <f>'Old Data'!$N217-'Old Data'!$X217</f>
        <v>0</v>
      </c>
      <c r="N221" s="72">
        <f>VLOOKUP('Old Data'!$F217,$AD$6:$AF$135,2,FALSE)+VLOOKUP('Old Data'!$P217,$AD$6:$AF$135,3,FALSE)+$E$2</f>
        <v>1.801032998714261</v>
      </c>
      <c r="O221" s="72">
        <f>VLOOKUP('Old Data'!$P217,$AD$6:$AF$135,2,FALSE)+VLOOKUP('Old Data'!$F217,$AD$6:$AF$135,3,FALSE)+$E$2</f>
        <v>0.92297697946268409</v>
      </c>
      <c r="P221" s="73">
        <f>('Old Data'!$N217-$N221)^2+('Old Data'!$X217-$O221)^2</f>
        <v>4.0956063670757432</v>
      </c>
      <c r="Q221" s="62"/>
      <c r="R221" s="3"/>
      <c r="S221" s="3"/>
      <c r="T221" s="3"/>
      <c r="V221" s="3"/>
      <c r="W221" s="3"/>
      <c r="X221" s="3"/>
      <c r="Z221" s="3"/>
      <c r="AA221" s="3"/>
      <c r="AB221" s="3"/>
      <c r="AC221" s="3"/>
      <c r="AD221" s="3"/>
      <c r="AE221" s="3"/>
      <c r="AF221" s="3"/>
      <c r="AG221" s="3"/>
      <c r="AH221" s="37"/>
      <c r="AI221" s="1"/>
      <c r="AK221" s="10"/>
      <c r="AL221" s="10"/>
      <c r="AM221" s="10"/>
      <c r="AN221" s="11"/>
      <c r="AO221" s="11"/>
      <c r="AP221" s="11"/>
      <c r="AQ221" s="36"/>
      <c r="AR221" s="11"/>
      <c r="AS221" s="11"/>
      <c r="AT221" s="11"/>
      <c r="AU221" s="12"/>
      <c r="AV221" s="11"/>
      <c r="AW221" s="11"/>
      <c r="AX221" s="15"/>
      <c r="AY221" s="15"/>
      <c r="AZ221" s="15"/>
      <c r="BA221" s="15"/>
      <c r="BB221" s="15"/>
      <c r="BC221" s="15"/>
      <c r="BD221" s="15"/>
      <c r="BE221" s="12"/>
      <c r="BF221" s="11"/>
      <c r="BG221" s="11"/>
      <c r="BH221" s="10"/>
      <c r="BI221" s="10"/>
      <c r="BJ221" s="10"/>
      <c r="BK221" s="23"/>
      <c r="BL221" s="23"/>
      <c r="BM221" s="23"/>
      <c r="BN221" s="23"/>
      <c r="BO221" s="23"/>
      <c r="BP221" s="23"/>
      <c r="BQ221" s="23"/>
      <c r="BR221" s="10"/>
      <c r="BS221" s="16"/>
      <c r="BT221" s="16"/>
      <c r="BU221" s="16"/>
      <c r="BV221" s="16"/>
      <c r="BW221" s="11"/>
      <c r="BX221" s="16"/>
      <c r="BY221" s="16"/>
      <c r="BZ221" s="17"/>
      <c r="CA221" s="18"/>
      <c r="CB221" s="18"/>
      <c r="CC221" s="18"/>
      <c r="CD221" s="18"/>
      <c r="CE221" s="18"/>
      <c r="CF221" s="18"/>
      <c r="CG221" s="19"/>
      <c r="CH221" s="15"/>
      <c r="CI221" s="17"/>
      <c r="CJ221" s="10"/>
      <c r="CK221" s="10"/>
      <c r="CL221" s="10"/>
      <c r="CM221" s="17"/>
      <c r="CN221" s="17"/>
      <c r="CO221" s="10"/>
      <c r="CP221" s="10"/>
      <c r="CQ221" s="10"/>
      <c r="CR221" s="10"/>
      <c r="CS221" s="10"/>
      <c r="CT221" s="10"/>
      <c r="CU221" s="10"/>
      <c r="CV221" s="10"/>
      <c r="CW221" s="10"/>
      <c r="CX221" s="10"/>
      <c r="CY221" s="10"/>
      <c r="CZ221" s="10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  <c r="DY221" s="34"/>
      <c r="DZ221" s="34"/>
      <c r="EA221" s="34"/>
      <c r="EB221" s="34"/>
      <c r="EC221" s="34"/>
      <c r="ED221" s="34"/>
      <c r="EE221" s="34"/>
    </row>
    <row r="222" spans="1:135" customFormat="1">
      <c r="A222" s="71">
        <f>'Old Data'!$I218-'Old Data'!$S218</f>
        <v>65</v>
      </c>
      <c r="B222" s="72">
        <f>VLOOKUP('Old Data'!$F218,$R$6:$T$135,2,FALSE)+VLOOKUP('Old Data'!$P218,$R$6:$T$135,3,FALSE)+$B$2</f>
        <v>173.26412611159611</v>
      </c>
      <c r="C222" s="72">
        <f>VLOOKUP('Old Data'!$P218,$R$6:$T$135,2,FALSE)+VLOOKUP('Old Data'!$F218,$R$6:$T$135,3,FALSE)+$B$2</f>
        <v>168.05150313854813</v>
      </c>
      <c r="D222" s="74">
        <f>('Old Data'!$I218-$B222)^2+('Old Data'!$S218-$C222)^2</f>
        <v>1840.4713292946706</v>
      </c>
      <c r="E222" s="75">
        <f>'Old Data'!$K218-'Old Data'!$U218</f>
        <v>-47</v>
      </c>
      <c r="F222" s="72">
        <f>VLOOKUP('Old Data'!$F218,$V$6:$X$135,2,FALSE)+VLOOKUP('Old Data'!$P218,$V$6:$X$135,3,FALSE)+$C$2</f>
        <v>208.14247833367551</v>
      </c>
      <c r="G222" s="72">
        <f>VLOOKUP('Old Data'!$P218,$V$6:$X$135,2,FALSE)+VLOOKUP('Old Data'!$F218,$V$6:$X$135,3,FALSE)+$C$2</f>
        <v>158.63624496260869</v>
      </c>
      <c r="H222" s="74">
        <f>('Old Data'!$K218-$F222)^2+('Old Data'!$U218-$G222)^2</f>
        <v>6820.1467589799668</v>
      </c>
      <c r="I222" s="75">
        <f>('Old Data'!$L218+'Old Data'!$M218)-('Old Data'!$V218+'Old Data'!$W218)</f>
        <v>-34</v>
      </c>
      <c r="J222" s="72">
        <f>VLOOKUP('Old Data'!$F218,$Z$6:$AB$135,2,FALSE)+VLOOKUP('Old Data'!$P218,$Z$6:$AB$135,3,FALSE)+$D$2</f>
        <v>67.451924246634064</v>
      </c>
      <c r="K222" s="72">
        <f>VLOOKUP('Old Data'!$P218,$Z$6:$AB$135,2,FALSE)+VLOOKUP('Old Data'!$F218,$Z$6:$AB$135,3,FALSE)+$D$2</f>
        <v>41.021895813783601</v>
      </c>
      <c r="L222" s="74">
        <f>('Old Data'!$L218+'Old Data'!$M218-$J222)^2+('Old Data'!$V218+'Old Data'!$W218-$K222)^2</f>
        <v>2727.9068634599271</v>
      </c>
      <c r="M222" s="75">
        <f>'Old Data'!$N218-'Old Data'!$X218</f>
        <v>2</v>
      </c>
      <c r="N222" s="72">
        <f>VLOOKUP('Old Data'!$F218,$AD$6:$AF$135,2,FALSE)+VLOOKUP('Old Data'!$P218,$AD$6:$AF$135,3,FALSE)+$E$2</f>
        <v>1.8991656395208492</v>
      </c>
      <c r="O222" s="72">
        <f>VLOOKUP('Old Data'!$P218,$AD$6:$AF$135,2,FALSE)+VLOOKUP('Old Data'!$F218,$AD$6:$AF$135,3,FALSE)+$E$2</f>
        <v>1.5947396297894931</v>
      </c>
      <c r="P222" s="73">
        <f>('Old Data'!$N218-$N222)^2+('Old Data'!$X218-$O222)^2</f>
        <v>1.5655515164536844</v>
      </c>
      <c r="Q222" s="62"/>
      <c r="R222" s="3"/>
      <c r="S222" s="3"/>
      <c r="T222" s="3"/>
      <c r="V222" s="3"/>
      <c r="W222" s="3"/>
      <c r="X222" s="3"/>
      <c r="Z222" s="3"/>
      <c r="AA222" s="3"/>
      <c r="AB222" s="3"/>
      <c r="AC222" s="3"/>
      <c r="AD222" s="3"/>
      <c r="AE222" s="3"/>
      <c r="AF222" s="3"/>
      <c r="AG222" s="3"/>
      <c r="AH222" s="37"/>
      <c r="AI222" s="1"/>
      <c r="AK222" s="10"/>
      <c r="AL222" s="10"/>
      <c r="AM222" s="10"/>
      <c r="AN222" s="11"/>
      <c r="AO222" s="11"/>
      <c r="AP222" s="11"/>
      <c r="AQ222" s="36"/>
      <c r="AR222" s="11"/>
      <c r="AS222" s="11"/>
      <c r="AT222" s="11"/>
      <c r="AU222" s="12"/>
      <c r="AV222" s="11"/>
      <c r="AW222" s="11"/>
      <c r="AX222" s="15"/>
      <c r="AY222" s="15"/>
      <c r="AZ222" s="15"/>
      <c r="BA222" s="15"/>
      <c r="BB222" s="15"/>
      <c r="BC222" s="15"/>
      <c r="BD222" s="15"/>
      <c r="BE222" s="12"/>
      <c r="BF222" s="11"/>
      <c r="BG222" s="11"/>
      <c r="BH222" s="10"/>
      <c r="BI222" s="10"/>
      <c r="BJ222" s="10"/>
      <c r="BK222" s="23"/>
      <c r="BL222" s="23"/>
      <c r="BM222" s="23"/>
      <c r="BN222" s="23"/>
      <c r="BO222" s="23"/>
      <c r="BP222" s="23"/>
      <c r="BQ222" s="23"/>
      <c r="BR222" s="10"/>
      <c r="BS222" s="16"/>
      <c r="BT222" s="16"/>
      <c r="BU222" s="16"/>
      <c r="BV222" s="16"/>
      <c r="BW222" s="11"/>
      <c r="BX222" s="16"/>
      <c r="BY222" s="16"/>
      <c r="BZ222" s="17"/>
      <c r="CA222" s="18"/>
      <c r="CB222" s="18"/>
      <c r="CC222" s="18"/>
      <c r="CD222" s="18"/>
      <c r="CE222" s="18"/>
      <c r="CF222" s="18"/>
      <c r="CG222" s="19"/>
      <c r="CH222" s="15"/>
      <c r="CI222" s="17"/>
      <c r="CJ222" s="10"/>
      <c r="CK222" s="10"/>
      <c r="CL222" s="10"/>
      <c r="CM222" s="17"/>
      <c r="CN222" s="17"/>
      <c r="CO222" s="10"/>
      <c r="CP222" s="10"/>
      <c r="CQ222" s="10"/>
      <c r="CR222" s="10"/>
      <c r="CS222" s="10"/>
      <c r="CT222" s="10"/>
      <c r="CU222" s="10"/>
      <c r="CV222" s="10"/>
      <c r="CW222" s="10"/>
      <c r="CX222" s="10"/>
      <c r="CY222" s="10"/>
      <c r="CZ222" s="10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  <c r="DY222" s="34"/>
      <c r="DZ222" s="34"/>
      <c r="EA222" s="34"/>
      <c r="EB222" s="34"/>
      <c r="EC222" s="34"/>
      <c r="ED222" s="34"/>
      <c r="EE222" s="34"/>
    </row>
    <row r="223" spans="1:135" customFormat="1">
      <c r="A223" s="71">
        <f>'Old Data'!$I219-'Old Data'!$S219</f>
        <v>141</v>
      </c>
      <c r="B223" s="72">
        <f>VLOOKUP('Old Data'!$F219,$R$6:$T$135,2,FALSE)+VLOOKUP('Old Data'!$P219,$R$6:$T$135,3,FALSE)+$B$2</f>
        <v>216.31870056524104</v>
      </c>
      <c r="C223" s="72">
        <f>VLOOKUP('Old Data'!$P219,$R$6:$T$135,2,FALSE)+VLOOKUP('Old Data'!$F219,$R$6:$T$135,3,FALSE)+$B$2</f>
        <v>181.3413692645305</v>
      </c>
      <c r="D223" s="74">
        <f>('Old Data'!$I219-$B223)^2+('Old Data'!$S219-$C223)^2</f>
        <v>7114.264755957397</v>
      </c>
      <c r="E223" s="75">
        <f>'Old Data'!$K219-'Old Data'!$U219</f>
        <v>-148</v>
      </c>
      <c r="F223" s="72">
        <f>VLOOKUP('Old Data'!$F219,$V$6:$X$135,2,FALSE)+VLOOKUP('Old Data'!$P219,$V$6:$X$135,3,FALSE)+$C$2</f>
        <v>178.1722196243451</v>
      </c>
      <c r="G223" s="72">
        <f>VLOOKUP('Old Data'!$P219,$V$6:$X$135,2,FALSE)+VLOOKUP('Old Data'!$F219,$V$6:$X$135,3,FALSE)+$C$2</f>
        <v>356.09313539450989</v>
      </c>
      <c r="H223" s="74">
        <f>('Old Data'!$K219-$F223)^2+('Old Data'!$U219-$G223)^2</f>
        <v>778.76657641543386</v>
      </c>
      <c r="I223" s="75">
        <f>('Old Data'!$L219+'Old Data'!$M219)-('Old Data'!$V219+'Old Data'!$W219)</f>
        <v>-56</v>
      </c>
      <c r="J223" s="72">
        <f>VLOOKUP('Old Data'!$F219,$Z$6:$AB$135,2,FALSE)+VLOOKUP('Old Data'!$P219,$Z$6:$AB$135,3,FALSE)+$D$2</f>
        <v>118.38842980384149</v>
      </c>
      <c r="K223" s="72">
        <f>VLOOKUP('Old Data'!$P219,$Z$6:$AB$135,2,FALSE)+VLOOKUP('Old Data'!$F219,$Z$6:$AB$135,3,FALSE)+$D$2</f>
        <v>47.851373611124245</v>
      </c>
      <c r="L223" s="74">
        <f>('Old Data'!$L219+'Old Data'!$M219-$J223)^2+('Old Data'!$V219+'Old Data'!$W219-$K223)^2</f>
        <v>8005.8420477983555</v>
      </c>
      <c r="M223" s="75">
        <f>'Old Data'!$N219-'Old Data'!$X219</f>
        <v>-2</v>
      </c>
      <c r="N223" s="72">
        <f>VLOOKUP('Old Data'!$F219,$AD$6:$AF$135,2,FALSE)+VLOOKUP('Old Data'!$P219,$AD$6:$AF$135,3,FALSE)+$E$2</f>
        <v>0.51322797102812012</v>
      </c>
      <c r="O223" s="72">
        <f>VLOOKUP('Old Data'!$P219,$AD$6:$AF$135,2,FALSE)+VLOOKUP('Old Data'!$F219,$AD$6:$AF$135,3,FALSE)+$E$2</f>
        <v>2.2216786461347362</v>
      </c>
      <c r="P223" s="73">
        <f>('Old Data'!$N219-$N223)^2+('Old Data'!$X219-$O223)^2</f>
        <v>0.84273113807205791</v>
      </c>
      <c r="Q223" s="62"/>
      <c r="R223" s="3"/>
      <c r="S223" s="3"/>
      <c r="T223" s="3"/>
      <c r="V223" s="3"/>
      <c r="W223" s="3"/>
      <c r="X223" s="3"/>
      <c r="Z223" s="3"/>
      <c r="AA223" s="3"/>
      <c r="AB223" s="3"/>
      <c r="AC223" s="3"/>
      <c r="AD223" s="3"/>
      <c r="AE223" s="3"/>
      <c r="AF223" s="3"/>
      <c r="AG223" s="3"/>
      <c r="AH223" s="37"/>
      <c r="AI223" s="1"/>
      <c r="AK223" s="10"/>
      <c r="AL223" s="10"/>
      <c r="AM223" s="10"/>
      <c r="AN223" s="11"/>
      <c r="AO223" s="11"/>
      <c r="AP223" s="11"/>
      <c r="AQ223" s="36"/>
      <c r="AR223" s="11"/>
      <c r="AS223" s="11"/>
      <c r="AT223" s="11"/>
      <c r="AU223" s="12"/>
      <c r="AV223" s="11"/>
      <c r="AW223" s="11"/>
      <c r="AX223" s="15"/>
      <c r="AY223" s="15"/>
      <c r="AZ223" s="15"/>
      <c r="BA223" s="15"/>
      <c r="BB223" s="15"/>
      <c r="BC223" s="15"/>
      <c r="BD223" s="15"/>
      <c r="BE223" s="12"/>
      <c r="BF223" s="11"/>
      <c r="BG223" s="11"/>
      <c r="BH223" s="10"/>
      <c r="BI223" s="10"/>
      <c r="BJ223" s="10"/>
      <c r="BK223" s="23"/>
      <c r="BL223" s="23"/>
      <c r="BM223" s="23"/>
      <c r="BN223" s="23"/>
      <c r="BO223" s="23"/>
      <c r="BP223" s="23"/>
      <c r="BQ223" s="23"/>
      <c r="BR223" s="10"/>
      <c r="BS223" s="16"/>
      <c r="BT223" s="16"/>
      <c r="BU223" s="16"/>
      <c r="BV223" s="16"/>
      <c r="BW223" s="11"/>
      <c r="BX223" s="16"/>
      <c r="BY223" s="16"/>
      <c r="BZ223" s="17"/>
      <c r="CA223" s="18"/>
      <c r="CB223" s="18"/>
      <c r="CC223" s="18"/>
      <c r="CD223" s="18"/>
      <c r="CE223" s="18"/>
      <c r="CF223" s="18"/>
      <c r="CG223" s="19"/>
      <c r="CH223" s="15"/>
      <c r="CI223" s="17"/>
      <c r="CJ223" s="10"/>
      <c r="CK223" s="10"/>
      <c r="CL223" s="10"/>
      <c r="CM223" s="17"/>
      <c r="CN223" s="17"/>
      <c r="CO223" s="10"/>
      <c r="CP223" s="10"/>
      <c r="CQ223" s="10"/>
      <c r="CR223" s="10"/>
      <c r="CS223" s="10"/>
      <c r="CT223" s="10"/>
      <c r="CU223" s="10"/>
      <c r="CV223" s="10"/>
      <c r="CW223" s="10"/>
      <c r="CX223" s="10"/>
      <c r="CY223" s="10"/>
      <c r="CZ223" s="10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</row>
    <row r="224" spans="1:135" customFormat="1">
      <c r="A224" s="71">
        <f>'Old Data'!$I220-'Old Data'!$S220</f>
        <v>42</v>
      </c>
      <c r="B224" s="72">
        <f>VLOOKUP('Old Data'!$F220,$R$6:$T$135,2,FALSE)+VLOOKUP('Old Data'!$P220,$R$6:$T$135,3,FALSE)+$B$2</f>
        <v>173.59132341602461</v>
      </c>
      <c r="C224" s="72">
        <f>VLOOKUP('Old Data'!$P220,$R$6:$T$135,2,FALSE)+VLOOKUP('Old Data'!$F220,$R$6:$T$135,3,FALSE)+$B$2</f>
        <v>129.83200560150811</v>
      </c>
      <c r="D224" s="74">
        <f>('Old Data'!$I220-$B224)^2+('Old Data'!$S220-$C224)^2</f>
        <v>1537.4202992790799</v>
      </c>
      <c r="E224" s="75">
        <f>'Old Data'!$K220-'Old Data'!$U220</f>
        <v>-88</v>
      </c>
      <c r="F224" s="72">
        <f>VLOOKUP('Old Data'!$F220,$V$6:$X$135,2,FALSE)+VLOOKUP('Old Data'!$P220,$V$6:$X$135,3,FALSE)+$C$2</f>
        <v>361.19423784421372</v>
      </c>
      <c r="G224" s="72">
        <f>VLOOKUP('Old Data'!$P220,$V$6:$X$135,2,FALSE)+VLOOKUP('Old Data'!$F220,$V$6:$X$135,3,FALSE)+$C$2</f>
        <v>393.7469155291264</v>
      </c>
      <c r="H224" s="74">
        <f>('Old Data'!$K220-$F224)^2+('Old Data'!$U220-$G224)^2</f>
        <v>3785.6472314055372</v>
      </c>
      <c r="I224" s="75">
        <f>('Old Data'!$L220+'Old Data'!$M220)-('Old Data'!$V220+'Old Data'!$W220)</f>
        <v>66</v>
      </c>
      <c r="J224" s="72">
        <f>VLOOKUP('Old Data'!$F220,$Z$6:$AB$135,2,FALSE)+VLOOKUP('Old Data'!$P220,$Z$6:$AB$135,3,FALSE)+$D$2</f>
        <v>95.56424624560259</v>
      </c>
      <c r="K224" s="72">
        <f>VLOOKUP('Old Data'!$P220,$Z$6:$AB$135,2,FALSE)+VLOOKUP('Old Data'!$F220,$Z$6:$AB$135,3,FALSE)+$D$2</f>
        <v>91.137626174937481</v>
      </c>
      <c r="L224" s="74">
        <f>('Old Data'!$L220+'Old Data'!$M220-$J224)^2+('Old Data'!$V220+'Old Data'!$W220-$K224)^2</f>
        <v>1922.2718910441472</v>
      </c>
      <c r="M224" s="75">
        <f>'Old Data'!$N220-'Old Data'!$X220</f>
        <v>2</v>
      </c>
      <c r="N224" s="72">
        <f>VLOOKUP('Old Data'!$F220,$AD$6:$AF$135,2,FALSE)+VLOOKUP('Old Data'!$P220,$AD$6:$AF$135,3,FALSE)+$E$2</f>
        <v>1.8702032996657751</v>
      </c>
      <c r="O224" s="72">
        <f>VLOOKUP('Old Data'!$P220,$AD$6:$AF$135,2,FALSE)+VLOOKUP('Old Data'!$F220,$AD$6:$AF$135,3,FALSE)+$E$2</f>
        <v>1.6994805192529205</v>
      </c>
      <c r="P224" s="73">
        <f>('Old Data'!$N220-$N224)^2+('Old Data'!$X220-$O224)^2</f>
        <v>4.6263459430630478</v>
      </c>
      <c r="Q224" s="62"/>
      <c r="R224" s="3"/>
      <c r="S224" s="3"/>
      <c r="T224" s="3"/>
      <c r="V224" s="3"/>
      <c r="W224" s="3"/>
      <c r="X224" s="3"/>
      <c r="Z224" s="3"/>
      <c r="AA224" s="3"/>
      <c r="AB224" s="3"/>
      <c r="AC224" s="3"/>
      <c r="AD224" s="3"/>
      <c r="AE224" s="3"/>
      <c r="AF224" s="3"/>
      <c r="AG224" s="3"/>
      <c r="AH224" s="37"/>
      <c r="AI224" s="1"/>
      <c r="AK224" s="10"/>
      <c r="AL224" s="10"/>
      <c r="AM224" s="10"/>
      <c r="AN224" s="11"/>
      <c r="AO224" s="11"/>
      <c r="AP224" s="11"/>
      <c r="AQ224" s="36"/>
      <c r="AR224" s="11"/>
      <c r="AS224" s="11"/>
      <c r="AT224" s="11"/>
      <c r="AU224" s="12"/>
      <c r="AV224" s="11"/>
      <c r="AW224" s="11"/>
      <c r="AX224" s="15"/>
      <c r="AY224" s="15"/>
      <c r="AZ224" s="15"/>
      <c r="BA224" s="15"/>
      <c r="BB224" s="15"/>
      <c r="BC224" s="15"/>
      <c r="BD224" s="15"/>
      <c r="BE224" s="12"/>
      <c r="BF224" s="11"/>
      <c r="BG224" s="11"/>
      <c r="BH224" s="10"/>
      <c r="BI224" s="10"/>
      <c r="BJ224" s="10"/>
      <c r="BK224" s="23"/>
      <c r="BL224" s="23"/>
      <c r="BM224" s="23"/>
      <c r="BN224" s="23"/>
      <c r="BO224" s="23"/>
      <c r="BP224" s="23"/>
      <c r="BQ224" s="23"/>
      <c r="BR224" s="10"/>
      <c r="BS224" s="16"/>
      <c r="BT224" s="16"/>
      <c r="BU224" s="16"/>
      <c r="BV224" s="16"/>
      <c r="BW224" s="11"/>
      <c r="BX224" s="16"/>
      <c r="BY224" s="16"/>
      <c r="BZ224" s="17"/>
      <c r="CA224" s="18"/>
      <c r="CB224" s="18"/>
      <c r="CC224" s="18"/>
      <c r="CD224" s="18"/>
      <c r="CE224" s="18"/>
      <c r="CF224" s="18"/>
      <c r="CG224" s="19"/>
      <c r="CH224" s="15"/>
      <c r="CI224" s="17"/>
      <c r="CJ224" s="10"/>
      <c r="CK224" s="10"/>
      <c r="CL224" s="10"/>
      <c r="CM224" s="17"/>
      <c r="CN224" s="17"/>
      <c r="CO224" s="10"/>
      <c r="CP224" s="10"/>
      <c r="CQ224" s="10"/>
      <c r="CR224" s="10"/>
      <c r="CS224" s="10"/>
      <c r="CT224" s="10"/>
      <c r="CU224" s="10"/>
      <c r="CV224" s="10"/>
      <c r="CW224" s="10"/>
      <c r="CX224" s="10"/>
      <c r="CY224" s="10"/>
      <c r="CZ224" s="10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  <c r="DY224" s="34"/>
      <c r="DZ224" s="34"/>
      <c r="EA224" s="34"/>
      <c r="EB224" s="34"/>
      <c r="EC224" s="34"/>
      <c r="ED224" s="34"/>
      <c r="EE224" s="34"/>
    </row>
    <row r="225" spans="1:135" customFormat="1">
      <c r="A225" s="71">
        <f>'Old Data'!$I221-'Old Data'!$S221</f>
        <v>133</v>
      </c>
      <c r="B225" s="72">
        <f>VLOOKUP('Old Data'!$F221,$R$6:$T$135,2,FALSE)+VLOOKUP('Old Data'!$P221,$R$6:$T$135,3,FALSE)+$B$2</f>
        <v>203.48067676372031</v>
      </c>
      <c r="C225" s="72">
        <f>VLOOKUP('Old Data'!$P221,$R$6:$T$135,2,FALSE)+VLOOKUP('Old Data'!$F221,$R$6:$T$135,3,FALSE)+$B$2</f>
        <v>29.473687045375016</v>
      </c>
      <c r="D225" s="74">
        <f>('Old Data'!$I221-$B225)^2+('Old Data'!$S221-$C225)^2</f>
        <v>1003.6090956474827</v>
      </c>
      <c r="E225" s="75">
        <f>'Old Data'!$K221-'Old Data'!$U221</f>
        <v>105</v>
      </c>
      <c r="F225" s="72">
        <f>VLOOKUP('Old Data'!$F221,$V$6:$X$135,2,FALSE)+VLOOKUP('Old Data'!$P221,$V$6:$X$135,3,FALSE)+$C$2</f>
        <v>310.62519592074614</v>
      </c>
      <c r="G225" s="72">
        <f>VLOOKUP('Old Data'!$P221,$V$6:$X$135,2,FALSE)+VLOOKUP('Old Data'!$F221,$V$6:$X$135,3,FALSE)+$C$2</f>
        <v>325.81144809300838</v>
      </c>
      <c r="H225" s="74">
        <f>('Old Data'!$K221-$F225)^2+('Old Data'!$U221-$G225)^2</f>
        <v>9918.8379476087594</v>
      </c>
      <c r="I225" s="75">
        <f>('Old Data'!$L221+'Old Data'!$M221)-('Old Data'!$V221+'Old Data'!$W221)</f>
        <v>-52</v>
      </c>
      <c r="J225" s="72">
        <f>VLOOKUP('Old Data'!$F221,$Z$6:$AB$135,2,FALSE)+VLOOKUP('Old Data'!$P221,$Z$6:$AB$135,3,FALSE)+$D$2</f>
        <v>32.141488202654543</v>
      </c>
      <c r="K225" s="72">
        <f>VLOOKUP('Old Data'!$P221,$Z$6:$AB$135,2,FALSE)+VLOOKUP('Old Data'!$F221,$Z$6:$AB$135,3,FALSE)+$D$2</f>
        <v>76.740269118140446</v>
      </c>
      <c r="L225" s="74">
        <f>('Old Data'!$L221+'Old Data'!$M221-$J225)^2+('Old Data'!$V221+'Old Data'!$W221-$K225)^2</f>
        <v>1645.1561799193951</v>
      </c>
      <c r="M225" s="75">
        <f>'Old Data'!$N221-'Old Data'!$X221</f>
        <v>1</v>
      </c>
      <c r="N225" s="72">
        <f>VLOOKUP('Old Data'!$F221,$AD$6:$AF$135,2,FALSE)+VLOOKUP('Old Data'!$P221,$AD$6:$AF$135,3,FALSE)+$E$2</f>
        <v>2.306987648887421</v>
      </c>
      <c r="O225" s="72">
        <f>VLOOKUP('Old Data'!$P221,$AD$6:$AF$135,2,FALSE)+VLOOKUP('Old Data'!$F221,$AD$6:$AF$135,3,FALSE)+$E$2</f>
        <v>0.9145371506913591</v>
      </c>
      <c r="P225" s="73">
        <f>('Old Data'!$N221-$N225)^2+('Old Data'!$X221-$O225)^2</f>
        <v>2.5445949143389384</v>
      </c>
      <c r="Q225" s="62"/>
      <c r="R225" s="3"/>
      <c r="S225" s="3"/>
      <c r="T225" s="3"/>
      <c r="V225" s="3"/>
      <c r="W225" s="3"/>
      <c r="X225" s="3"/>
      <c r="Z225" s="3"/>
      <c r="AA225" s="3"/>
      <c r="AB225" s="3"/>
      <c r="AC225" s="3"/>
      <c r="AD225" s="3"/>
      <c r="AE225" s="3"/>
      <c r="AF225" s="3"/>
      <c r="AG225" s="3"/>
      <c r="AH225" s="37"/>
      <c r="AI225" s="1"/>
      <c r="AK225" s="10"/>
      <c r="AL225" s="10"/>
      <c r="AM225" s="10"/>
      <c r="AN225" s="11"/>
      <c r="AO225" s="11"/>
      <c r="AP225" s="11"/>
      <c r="AQ225" s="36"/>
      <c r="AR225" s="11"/>
      <c r="AS225" s="11"/>
      <c r="AT225" s="11"/>
      <c r="AU225" s="12"/>
      <c r="AV225" s="11"/>
      <c r="AW225" s="11"/>
      <c r="AX225" s="15"/>
      <c r="AY225" s="15"/>
      <c r="AZ225" s="15"/>
      <c r="BA225" s="15"/>
      <c r="BB225" s="15"/>
      <c r="BC225" s="15"/>
      <c r="BD225" s="15"/>
      <c r="BE225" s="12"/>
      <c r="BF225" s="11"/>
      <c r="BG225" s="11"/>
      <c r="BH225" s="10"/>
      <c r="BI225" s="10"/>
      <c r="BJ225" s="10"/>
      <c r="BK225" s="23"/>
      <c r="BL225" s="23"/>
      <c r="BM225" s="23"/>
      <c r="BN225" s="23"/>
      <c r="BO225" s="23"/>
      <c r="BP225" s="23"/>
      <c r="BQ225" s="23"/>
      <c r="BR225" s="10"/>
      <c r="BS225" s="16"/>
      <c r="BT225" s="16"/>
      <c r="BU225" s="16"/>
      <c r="BV225" s="16"/>
      <c r="BW225" s="11"/>
      <c r="BX225" s="16"/>
      <c r="BY225" s="16"/>
      <c r="BZ225" s="17"/>
      <c r="CA225" s="18"/>
      <c r="CB225" s="18"/>
      <c r="CC225" s="18"/>
      <c r="CD225" s="18"/>
      <c r="CE225" s="18"/>
      <c r="CF225" s="18"/>
      <c r="CG225" s="19"/>
      <c r="CH225" s="15"/>
      <c r="CI225" s="17"/>
      <c r="CJ225" s="10"/>
      <c r="CK225" s="10"/>
      <c r="CL225" s="10"/>
      <c r="CM225" s="17"/>
      <c r="CN225" s="17"/>
      <c r="CO225" s="10"/>
      <c r="CP225" s="10"/>
      <c r="CQ225" s="10"/>
      <c r="CR225" s="10"/>
      <c r="CS225" s="10"/>
      <c r="CT225" s="10"/>
      <c r="CU225" s="10"/>
      <c r="CV225" s="10"/>
      <c r="CW225" s="10"/>
      <c r="CX225" s="10"/>
      <c r="CY225" s="10"/>
      <c r="CZ225" s="10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  <c r="DY225" s="34"/>
      <c r="DZ225" s="34"/>
      <c r="EA225" s="34"/>
      <c r="EB225" s="34"/>
      <c r="EC225" s="34"/>
      <c r="ED225" s="34"/>
      <c r="EE225" s="34"/>
    </row>
    <row r="226" spans="1:135" customFormat="1">
      <c r="A226" s="71">
        <f>'Old Data'!$I222-'Old Data'!$S222</f>
        <v>163</v>
      </c>
      <c r="B226" s="72">
        <f>VLOOKUP('Old Data'!$F222,$R$6:$T$135,2,FALSE)+VLOOKUP('Old Data'!$P222,$R$6:$T$135,3,FALSE)+$B$2</f>
        <v>168.10649108654562</v>
      </c>
      <c r="C226" s="72">
        <f>VLOOKUP('Old Data'!$P222,$R$6:$T$135,2,FALSE)+VLOOKUP('Old Data'!$F222,$R$6:$T$135,3,FALSE)+$B$2</f>
        <v>149.231848653724</v>
      </c>
      <c r="D226" s="74">
        <f>('Old Data'!$I222-$B226)^2+('Old Data'!$S222-$C226)^2</f>
        <v>10392.763224862356</v>
      </c>
      <c r="E226" s="75">
        <f>'Old Data'!$K222-'Old Data'!$U222</f>
        <v>-13</v>
      </c>
      <c r="F226" s="72">
        <f>VLOOKUP('Old Data'!$F222,$V$6:$X$135,2,FALSE)+VLOOKUP('Old Data'!$P222,$V$6:$X$135,3,FALSE)+$C$2</f>
        <v>250.95492512578099</v>
      </c>
      <c r="G226" s="72">
        <f>VLOOKUP('Old Data'!$P222,$V$6:$X$135,2,FALSE)+VLOOKUP('Old Data'!$F222,$V$6:$X$135,3,FALSE)+$C$2</f>
        <v>288.66556544300511</v>
      </c>
      <c r="H226" s="74">
        <f>('Old Data'!$K222-$F226)^2+('Old Data'!$U222-$G226)^2</f>
        <v>7340.718263833347</v>
      </c>
      <c r="I226" s="75">
        <f>('Old Data'!$L222+'Old Data'!$M222)-('Old Data'!$V222+'Old Data'!$W222)</f>
        <v>64</v>
      </c>
      <c r="J226" s="72">
        <f>VLOOKUP('Old Data'!$F222,$Z$6:$AB$135,2,FALSE)+VLOOKUP('Old Data'!$P222,$Z$6:$AB$135,3,FALSE)+$D$2</f>
        <v>62.986196001451326</v>
      </c>
      <c r="K226" s="72">
        <f>VLOOKUP('Old Data'!$P222,$Z$6:$AB$135,2,FALSE)+VLOOKUP('Old Data'!$F222,$Z$6:$AB$135,3,FALSE)+$D$2</f>
        <v>82.482566558666434</v>
      </c>
      <c r="L226" s="74">
        <f>('Old Data'!$L222+'Old Data'!$M222-$J226)^2+('Old Data'!$V222+'Old Data'!$W222-$K226)^2</f>
        <v>3500.7756300833616</v>
      </c>
      <c r="M226" s="75">
        <f>'Old Data'!$N222-'Old Data'!$X222</f>
        <v>-1</v>
      </c>
      <c r="N226" s="72">
        <f>VLOOKUP('Old Data'!$F222,$AD$6:$AF$135,2,FALSE)+VLOOKUP('Old Data'!$P222,$AD$6:$AF$135,3,FALSE)+$E$2</f>
        <v>2.8330564322279073</v>
      </c>
      <c r="O226" s="72">
        <f>VLOOKUP('Old Data'!$P222,$AD$6:$AF$135,2,FALSE)+VLOOKUP('Old Data'!$F222,$AD$6:$AF$135,3,FALSE)+$E$2</f>
        <v>1.9581439421655964</v>
      </c>
      <c r="P226" s="73">
        <f>('Old Data'!$N222-$N226)^2+('Old Data'!$X222-$O226)^2</f>
        <v>4.1970463157355269</v>
      </c>
      <c r="Q226" s="62"/>
      <c r="R226" s="3"/>
      <c r="S226" s="3"/>
      <c r="T226" s="3"/>
      <c r="V226" s="3"/>
      <c r="W226" s="3"/>
      <c r="X226" s="3"/>
      <c r="Z226" s="3"/>
      <c r="AA226" s="3"/>
      <c r="AB226" s="3"/>
      <c r="AC226" s="3"/>
      <c r="AD226" s="3"/>
      <c r="AE226" s="3"/>
      <c r="AF226" s="3"/>
      <c r="AG226" s="3"/>
      <c r="AH226" s="37"/>
      <c r="AI226" s="1"/>
      <c r="AK226" s="10"/>
      <c r="AL226" s="10"/>
      <c r="AM226" s="10"/>
      <c r="AN226" s="11"/>
      <c r="AO226" s="11"/>
      <c r="AP226" s="11"/>
      <c r="AQ226" s="36"/>
      <c r="AR226" s="11"/>
      <c r="AS226" s="11"/>
      <c r="AT226" s="11"/>
      <c r="AU226" s="12"/>
      <c r="AV226" s="11"/>
      <c r="AW226" s="11"/>
      <c r="AX226" s="15"/>
      <c r="AY226" s="15"/>
      <c r="AZ226" s="15"/>
      <c r="BA226" s="15"/>
      <c r="BB226" s="15"/>
      <c r="BC226" s="15"/>
      <c r="BD226" s="15"/>
      <c r="BE226" s="12"/>
      <c r="BF226" s="11"/>
      <c r="BG226" s="11"/>
      <c r="BH226" s="10"/>
      <c r="BI226" s="10"/>
      <c r="BJ226" s="10"/>
      <c r="BK226" s="23"/>
      <c r="BL226" s="23"/>
      <c r="BM226" s="23"/>
      <c r="BN226" s="23"/>
      <c r="BO226" s="23"/>
      <c r="BP226" s="23"/>
      <c r="BQ226" s="23"/>
      <c r="BR226" s="10"/>
      <c r="BS226" s="16"/>
      <c r="BT226" s="16"/>
      <c r="BU226" s="16"/>
      <c r="BV226" s="16"/>
      <c r="BW226" s="11"/>
      <c r="BX226" s="16"/>
      <c r="BY226" s="16"/>
      <c r="BZ226" s="17"/>
      <c r="CA226" s="18"/>
      <c r="CB226" s="18"/>
      <c r="CC226" s="18"/>
      <c r="CD226" s="18"/>
      <c r="CE226" s="18"/>
      <c r="CF226" s="18"/>
      <c r="CG226" s="19"/>
      <c r="CH226" s="15"/>
      <c r="CI226" s="17"/>
      <c r="CJ226" s="10"/>
      <c r="CK226" s="10"/>
      <c r="CL226" s="10"/>
      <c r="CM226" s="17"/>
      <c r="CN226" s="17"/>
      <c r="CO226" s="10"/>
      <c r="CP226" s="10"/>
      <c r="CQ226" s="10"/>
      <c r="CR226" s="10"/>
      <c r="CS226" s="10"/>
      <c r="CT226" s="10"/>
      <c r="CU226" s="10"/>
      <c r="CV226" s="10"/>
      <c r="CW226" s="10"/>
      <c r="CX226" s="10"/>
      <c r="CY226" s="10"/>
      <c r="CZ226" s="10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  <c r="DY226" s="34"/>
      <c r="DZ226" s="34"/>
      <c r="EA226" s="34"/>
      <c r="EB226" s="34"/>
      <c r="EC226" s="34"/>
      <c r="ED226" s="34"/>
      <c r="EE226" s="34"/>
    </row>
    <row r="227" spans="1:135" customFormat="1">
      <c r="A227" s="71">
        <f>'Old Data'!$I223-'Old Data'!$S223</f>
        <v>81</v>
      </c>
      <c r="B227" s="72">
        <f>VLOOKUP('Old Data'!$F223,$R$6:$T$135,2,FALSE)+VLOOKUP('Old Data'!$P223,$R$6:$T$135,3,FALSE)+$B$2</f>
        <v>168.56862989704291</v>
      </c>
      <c r="C227" s="72">
        <f>VLOOKUP('Old Data'!$P223,$R$6:$T$135,2,FALSE)+VLOOKUP('Old Data'!$F223,$R$6:$T$135,3,FALSE)+$B$2</f>
        <v>180.495329504616</v>
      </c>
      <c r="D227" s="74">
        <f>('Old Data'!$I223-$B227)^2+('Old Data'!$S223-$C227)^2</f>
        <v>5673.0136842668553</v>
      </c>
      <c r="E227" s="75">
        <f>'Old Data'!$K223-'Old Data'!$U223</f>
        <v>-91</v>
      </c>
      <c r="F227" s="72">
        <f>VLOOKUP('Old Data'!$F223,$V$6:$X$135,2,FALSE)+VLOOKUP('Old Data'!$P223,$V$6:$X$135,3,FALSE)+$C$2</f>
        <v>183.94029571032542</v>
      </c>
      <c r="G227" s="72">
        <f>VLOOKUP('Old Data'!$P223,$V$6:$X$135,2,FALSE)+VLOOKUP('Old Data'!$F223,$V$6:$X$135,3,FALSE)+$C$2</f>
        <v>193.35693243009732</v>
      </c>
      <c r="H227" s="74">
        <f>('Old Data'!$K223-$F227)^2+('Old Data'!$U223-$G227)^2</f>
        <v>7532.6217654216744</v>
      </c>
      <c r="I227" s="75">
        <f>('Old Data'!$L223+'Old Data'!$M223)-('Old Data'!$V223+'Old Data'!$W223)</f>
        <v>16</v>
      </c>
      <c r="J227" s="72">
        <f>VLOOKUP('Old Data'!$F223,$Z$6:$AB$135,2,FALSE)+VLOOKUP('Old Data'!$P223,$Z$6:$AB$135,3,FALSE)+$D$2</f>
        <v>65.770512704230029</v>
      </c>
      <c r="K227" s="72">
        <f>VLOOKUP('Old Data'!$P223,$Z$6:$AB$135,2,FALSE)+VLOOKUP('Old Data'!$F223,$Z$6:$AB$135,3,FALSE)+$D$2</f>
        <v>10.369200850044749</v>
      </c>
      <c r="L227" s="74">
        <f>('Old Data'!$L223+'Old Data'!$M223-$J227)^2+('Old Data'!$V223+'Old Data'!$W223-$K227)^2</f>
        <v>784.80030207110394</v>
      </c>
      <c r="M227" s="75">
        <f>'Old Data'!$N223-'Old Data'!$X223</f>
        <v>0</v>
      </c>
      <c r="N227" s="72">
        <f>VLOOKUP('Old Data'!$F223,$AD$6:$AF$135,2,FALSE)+VLOOKUP('Old Data'!$P223,$AD$6:$AF$135,3,FALSE)+$E$2</f>
        <v>1.419805595195057</v>
      </c>
      <c r="O227" s="72">
        <f>VLOOKUP('Old Data'!$P223,$AD$6:$AF$135,2,FALSE)+VLOOKUP('Old Data'!$F223,$AD$6:$AF$135,3,FALSE)+$E$2</f>
        <v>0.63513170598001212</v>
      </c>
      <c r="P227" s="73">
        <f>('Old Data'!$N223-$N227)^2+('Old Data'!$X223-$O227)^2</f>
        <v>2.4192402120882708</v>
      </c>
      <c r="Q227" s="62"/>
      <c r="R227" s="3"/>
      <c r="S227" s="3"/>
      <c r="T227" s="3"/>
      <c r="V227" s="3"/>
      <c r="W227" s="3"/>
      <c r="X227" s="3"/>
      <c r="Z227" s="3"/>
      <c r="AA227" s="3"/>
      <c r="AB227" s="3"/>
      <c r="AC227" s="3"/>
      <c r="AD227" s="3"/>
      <c r="AE227" s="3"/>
      <c r="AF227" s="3"/>
      <c r="AG227" s="3"/>
      <c r="AH227" s="37"/>
      <c r="AI227" s="1"/>
      <c r="AK227" s="10"/>
      <c r="AL227" s="10"/>
      <c r="AM227" s="10"/>
      <c r="AN227" s="11"/>
      <c r="AO227" s="11"/>
      <c r="AP227" s="11"/>
      <c r="AQ227" s="36"/>
      <c r="AR227" s="11"/>
      <c r="AS227" s="11"/>
      <c r="AT227" s="11"/>
      <c r="AU227" s="12"/>
      <c r="AV227" s="11"/>
      <c r="AW227" s="11"/>
      <c r="AX227" s="15"/>
      <c r="AY227" s="15"/>
      <c r="AZ227" s="15"/>
      <c r="BA227" s="15"/>
      <c r="BB227" s="15"/>
      <c r="BC227" s="15"/>
      <c r="BD227" s="15"/>
      <c r="BE227" s="12"/>
      <c r="BF227" s="11"/>
      <c r="BG227" s="11"/>
      <c r="BH227" s="10"/>
      <c r="BI227" s="10"/>
      <c r="BJ227" s="10"/>
      <c r="BK227" s="23"/>
      <c r="BL227" s="23"/>
      <c r="BM227" s="23"/>
      <c r="BN227" s="23"/>
      <c r="BO227" s="23"/>
      <c r="BP227" s="23"/>
      <c r="BQ227" s="23"/>
      <c r="BR227" s="10"/>
      <c r="BS227" s="16"/>
      <c r="BT227" s="16"/>
      <c r="BU227" s="16"/>
      <c r="BV227" s="16"/>
      <c r="BW227" s="11"/>
      <c r="BX227" s="16"/>
      <c r="BY227" s="16"/>
      <c r="BZ227" s="17"/>
      <c r="CA227" s="18"/>
      <c r="CB227" s="18"/>
      <c r="CC227" s="18"/>
      <c r="CD227" s="18"/>
      <c r="CE227" s="18"/>
      <c r="CF227" s="18"/>
      <c r="CG227" s="19"/>
      <c r="CH227" s="15"/>
      <c r="CI227" s="17"/>
      <c r="CJ227" s="10"/>
      <c r="CK227" s="10"/>
      <c r="CL227" s="10"/>
      <c r="CM227" s="17"/>
      <c r="CN227" s="17"/>
      <c r="CO227" s="10"/>
      <c r="CP227" s="10"/>
      <c r="CQ227" s="10"/>
      <c r="CR227" s="10"/>
      <c r="CS227" s="10"/>
      <c r="CT227" s="10"/>
      <c r="CU227" s="10"/>
      <c r="CV227" s="10"/>
      <c r="CW227" s="10"/>
      <c r="CX227" s="10"/>
      <c r="CY227" s="10"/>
      <c r="CZ227" s="10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  <c r="DY227" s="34"/>
      <c r="DZ227" s="34"/>
      <c r="EA227" s="34"/>
      <c r="EB227" s="34"/>
      <c r="EC227" s="34"/>
      <c r="ED227" s="34"/>
      <c r="EE227" s="34"/>
    </row>
    <row r="228" spans="1:135" customFormat="1">
      <c r="A228" s="71">
        <f>'Old Data'!$I224-'Old Data'!$S224</f>
        <v>-18</v>
      </c>
      <c r="B228" s="72">
        <f>VLOOKUP('Old Data'!$F224,$R$6:$T$135,2,FALSE)+VLOOKUP('Old Data'!$P224,$R$6:$T$135,3,FALSE)+$B$2</f>
        <v>156.56014009685518</v>
      </c>
      <c r="C228" s="72">
        <f>VLOOKUP('Old Data'!$P224,$R$6:$T$135,2,FALSE)+VLOOKUP('Old Data'!$F224,$R$6:$T$135,3,FALSE)+$B$2</f>
        <v>121.71858555129531</v>
      </c>
      <c r="D228" s="74">
        <f>('Old Data'!$I224-$B228)^2+('Old Data'!$S224-$C228)^2</f>
        <v>9552.4769044258956</v>
      </c>
      <c r="E228" s="75">
        <f>'Old Data'!$K224-'Old Data'!$U224</f>
        <v>17</v>
      </c>
      <c r="F228" s="72">
        <f>VLOOKUP('Old Data'!$F224,$V$6:$X$135,2,FALSE)+VLOOKUP('Old Data'!$P224,$V$6:$X$135,3,FALSE)+$C$2</f>
        <v>224.89263109578945</v>
      </c>
      <c r="G228" s="72">
        <f>VLOOKUP('Old Data'!$P224,$V$6:$X$135,2,FALSE)+VLOOKUP('Old Data'!$F224,$V$6:$X$135,3,FALSE)+$C$2</f>
        <v>294.7875967075617</v>
      </c>
      <c r="H228" s="74">
        <f>('Old Data'!$K224-$F228)^2+('Old Data'!$U224-$G228)^2</f>
        <v>19383.318972657569</v>
      </c>
      <c r="I228" s="75">
        <f>('Old Data'!$L224+'Old Data'!$M224)-('Old Data'!$V224+'Old Data'!$W224)</f>
        <v>-9</v>
      </c>
      <c r="J228" s="72">
        <f>VLOOKUP('Old Data'!$F224,$Z$6:$AB$135,2,FALSE)+VLOOKUP('Old Data'!$P224,$Z$6:$AB$135,3,FALSE)+$D$2</f>
        <v>81.5526392131043</v>
      </c>
      <c r="K228" s="72">
        <f>VLOOKUP('Old Data'!$P224,$Z$6:$AB$135,2,FALSE)+VLOOKUP('Old Data'!$F224,$Z$6:$AB$135,3,FALSE)+$D$2</f>
        <v>67.659265717526878</v>
      </c>
      <c r="L228" s="74">
        <f>('Old Data'!$L224+'Old Data'!$M224-$J228)^2+('Old Data'!$V224+'Old Data'!$W224-$K228)^2</f>
        <v>309.95667754750451</v>
      </c>
      <c r="M228" s="75">
        <f>'Old Data'!$N224-'Old Data'!$X224</f>
        <v>2</v>
      </c>
      <c r="N228" s="72">
        <f>VLOOKUP('Old Data'!$F224,$AD$6:$AF$135,2,FALSE)+VLOOKUP('Old Data'!$P224,$AD$6:$AF$135,3,FALSE)+$E$2</f>
        <v>1.9958696719111122</v>
      </c>
      <c r="O228" s="72">
        <f>VLOOKUP('Old Data'!$P224,$AD$6:$AF$135,2,FALSE)+VLOOKUP('Old Data'!$F224,$AD$6:$AF$135,3,FALSE)+$E$2</f>
        <v>1.2206704743453516</v>
      </c>
      <c r="P228" s="73">
        <f>('Old Data'!$N224-$N228)^2+('Old Data'!$X224-$O228)^2</f>
        <v>1.0569731740357</v>
      </c>
      <c r="Q228" s="62"/>
      <c r="R228" s="3"/>
      <c r="S228" s="3"/>
      <c r="T228" s="3"/>
      <c r="V228" s="3"/>
      <c r="W228" s="3"/>
      <c r="X228" s="3"/>
      <c r="Z228" s="3"/>
      <c r="AA228" s="3"/>
      <c r="AB228" s="3"/>
      <c r="AC228" s="3"/>
      <c r="AD228" s="3"/>
      <c r="AE228" s="3"/>
      <c r="AF228" s="3"/>
      <c r="AG228" s="3"/>
      <c r="AH228" s="37"/>
      <c r="AI228" s="1"/>
      <c r="AK228" s="10"/>
      <c r="AL228" s="10"/>
      <c r="AM228" s="10"/>
      <c r="AN228" s="11"/>
      <c r="AO228" s="11"/>
      <c r="AP228" s="11"/>
      <c r="AQ228" s="36"/>
      <c r="AR228" s="11"/>
      <c r="AS228" s="11"/>
      <c r="AT228" s="11"/>
      <c r="AU228" s="12"/>
      <c r="AV228" s="11"/>
      <c r="AW228" s="11"/>
      <c r="AX228" s="15"/>
      <c r="AY228" s="15"/>
      <c r="AZ228" s="15"/>
      <c r="BA228" s="15"/>
      <c r="BB228" s="15"/>
      <c r="BC228" s="15"/>
      <c r="BD228" s="15"/>
      <c r="BE228" s="12"/>
      <c r="BF228" s="11"/>
      <c r="BG228" s="11"/>
      <c r="BH228" s="10"/>
      <c r="BI228" s="10"/>
      <c r="BJ228" s="10"/>
      <c r="BK228" s="23"/>
      <c r="BL228" s="23"/>
      <c r="BM228" s="23"/>
      <c r="BN228" s="23"/>
      <c r="BO228" s="23"/>
      <c r="BP228" s="23"/>
      <c r="BQ228" s="23"/>
      <c r="BR228" s="10"/>
      <c r="BS228" s="16"/>
      <c r="BT228" s="16"/>
      <c r="BU228" s="16"/>
      <c r="BV228" s="16"/>
      <c r="BW228" s="11"/>
      <c r="BX228" s="16"/>
      <c r="BY228" s="16"/>
      <c r="BZ228" s="17"/>
      <c r="CA228" s="18"/>
      <c r="CB228" s="18"/>
      <c r="CC228" s="18"/>
      <c r="CD228" s="18"/>
      <c r="CE228" s="18"/>
      <c r="CF228" s="18"/>
      <c r="CG228" s="19"/>
      <c r="CH228" s="15"/>
      <c r="CI228" s="17"/>
      <c r="CJ228" s="10"/>
      <c r="CK228" s="10"/>
      <c r="CL228" s="10"/>
      <c r="CM228" s="17"/>
      <c r="CN228" s="17"/>
      <c r="CO228" s="10"/>
      <c r="CP228" s="10"/>
      <c r="CQ228" s="10"/>
      <c r="CR228" s="10"/>
      <c r="CS228" s="10"/>
      <c r="CT228" s="10"/>
      <c r="CU228" s="10"/>
      <c r="CV228" s="10"/>
      <c r="CW228" s="10"/>
      <c r="CX228" s="10"/>
      <c r="CY228" s="10"/>
      <c r="CZ228" s="10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  <c r="DY228" s="34"/>
      <c r="DZ228" s="34"/>
      <c r="EA228" s="34"/>
      <c r="EB228" s="34"/>
      <c r="EC228" s="34"/>
      <c r="ED228" s="34"/>
      <c r="EE228" s="34"/>
    </row>
    <row r="229" spans="1:135" customFormat="1">
      <c r="A229" s="71">
        <f>'Old Data'!$I225-'Old Data'!$S225</f>
        <v>36</v>
      </c>
      <c r="B229" s="72">
        <f>VLOOKUP('Old Data'!$F225,$R$6:$T$135,2,FALSE)+VLOOKUP('Old Data'!$P225,$R$6:$T$135,3,FALSE)+$B$2</f>
        <v>220.969359176864</v>
      </c>
      <c r="C229" s="72">
        <f>VLOOKUP('Old Data'!$P225,$R$6:$T$135,2,FALSE)+VLOOKUP('Old Data'!$F225,$R$6:$T$135,3,FALSE)+$B$2</f>
        <v>101.92612558140421</v>
      </c>
      <c r="D229" s="74">
        <f>('Old Data'!$I225-$B229)^2+('Old Data'!$S225-$C229)^2</f>
        <v>7762.8748672318716</v>
      </c>
      <c r="E229" s="75">
        <f>'Old Data'!$K225-'Old Data'!$U225</f>
        <v>-45</v>
      </c>
      <c r="F229" s="72">
        <f>VLOOKUP('Old Data'!$F225,$V$6:$X$135,2,FALSE)+VLOOKUP('Old Data'!$P225,$V$6:$X$135,3,FALSE)+$C$2</f>
        <v>182.8071374559068</v>
      </c>
      <c r="G229" s="72">
        <f>VLOOKUP('Old Data'!$P225,$V$6:$X$135,2,FALSE)+VLOOKUP('Old Data'!$F225,$V$6:$X$135,3,FALSE)+$C$2</f>
        <v>67.489911559962508</v>
      </c>
      <c r="H229" s="74">
        <f>('Old Data'!$K225-$F229)^2+('Old Data'!$U225-$G229)^2</f>
        <v>13065.112549211273</v>
      </c>
      <c r="I229" s="75">
        <f>('Old Data'!$L225+'Old Data'!$M225)-('Old Data'!$V225+'Old Data'!$W225)</f>
        <v>19</v>
      </c>
      <c r="J229" s="72">
        <f>VLOOKUP('Old Data'!$F225,$Z$6:$AB$135,2,FALSE)+VLOOKUP('Old Data'!$P225,$Z$6:$AB$135,3,FALSE)+$D$2</f>
        <v>62.721799993978998</v>
      </c>
      <c r="K229" s="72">
        <f>VLOOKUP('Old Data'!$P225,$Z$6:$AB$135,2,FALSE)+VLOOKUP('Old Data'!$F225,$Z$6:$AB$135,3,FALSE)+$D$2</f>
        <v>13.0186773166105</v>
      </c>
      <c r="L229" s="74">
        <f>('Old Data'!$L225+'Old Data'!$M225-$J229)^2+('Old Data'!$V225+'Old Data'!$W225-$K229)^2</f>
        <v>1684.591158865044</v>
      </c>
      <c r="M229" s="75">
        <f>'Old Data'!$N225-'Old Data'!$X225</f>
        <v>1</v>
      </c>
      <c r="N229" s="72">
        <f>VLOOKUP('Old Data'!$F225,$AD$6:$AF$135,2,FALSE)+VLOOKUP('Old Data'!$P225,$AD$6:$AF$135,3,FALSE)+$E$2</f>
        <v>2.0256998643100692</v>
      </c>
      <c r="O229" s="72">
        <f>VLOOKUP('Old Data'!$P225,$AD$6:$AF$135,2,FALSE)+VLOOKUP('Old Data'!$F225,$AD$6:$AF$135,3,FALSE)+$E$2</f>
        <v>1.3422937112828652</v>
      </c>
      <c r="P229" s="73">
        <f>('Old Data'!$N225-$N229)^2+('Old Data'!$X225-$O229)^2</f>
        <v>1.3818383166234847</v>
      </c>
      <c r="Q229" s="62"/>
      <c r="R229" s="3"/>
      <c r="S229" s="3"/>
      <c r="T229" s="3"/>
      <c r="V229" s="3"/>
      <c r="W229" s="3"/>
      <c r="X229" s="3"/>
      <c r="Z229" s="3"/>
      <c r="AA229" s="3"/>
      <c r="AB229" s="3"/>
      <c r="AC229" s="3"/>
      <c r="AD229" s="3"/>
      <c r="AE229" s="3"/>
      <c r="AF229" s="3"/>
      <c r="AG229" s="3"/>
      <c r="AH229" s="37"/>
      <c r="AI229" s="1"/>
      <c r="AK229" s="10"/>
      <c r="AL229" s="10"/>
      <c r="AM229" s="10"/>
      <c r="AN229" s="11"/>
      <c r="AO229" s="11"/>
      <c r="AP229" s="11"/>
      <c r="AQ229" s="36"/>
      <c r="AR229" s="11"/>
      <c r="AS229" s="11"/>
      <c r="AT229" s="11"/>
      <c r="AU229" s="12"/>
      <c r="AV229" s="11"/>
      <c r="AW229" s="11"/>
      <c r="AX229" s="15"/>
      <c r="AY229" s="15"/>
      <c r="AZ229" s="15"/>
      <c r="BA229" s="15"/>
      <c r="BB229" s="15"/>
      <c r="BC229" s="15"/>
      <c r="BD229" s="15"/>
      <c r="BE229" s="12"/>
      <c r="BF229" s="11"/>
      <c r="BG229" s="11"/>
      <c r="BH229" s="10"/>
      <c r="BI229" s="10"/>
      <c r="BJ229" s="10"/>
      <c r="BK229" s="23"/>
      <c r="BL229" s="23"/>
      <c r="BM229" s="23"/>
      <c r="BN229" s="23"/>
      <c r="BO229" s="23"/>
      <c r="BP229" s="23"/>
      <c r="BQ229" s="23"/>
      <c r="BR229" s="10"/>
      <c r="BS229" s="16"/>
      <c r="BT229" s="16"/>
      <c r="BU229" s="16"/>
      <c r="BV229" s="16"/>
      <c r="BW229" s="11"/>
      <c r="BX229" s="16"/>
      <c r="BY229" s="16"/>
      <c r="BZ229" s="17"/>
      <c r="CA229" s="18"/>
      <c r="CB229" s="18"/>
      <c r="CC229" s="18"/>
      <c r="CD229" s="18"/>
      <c r="CE229" s="18"/>
      <c r="CF229" s="18"/>
      <c r="CG229" s="19"/>
      <c r="CH229" s="15"/>
      <c r="CI229" s="17"/>
      <c r="CJ229" s="10"/>
      <c r="CK229" s="10"/>
      <c r="CL229" s="10"/>
      <c r="CM229" s="17"/>
      <c r="CN229" s="17"/>
      <c r="CO229" s="10"/>
      <c r="CP229" s="10"/>
      <c r="CQ229" s="10"/>
      <c r="CR229" s="10"/>
      <c r="CS229" s="10"/>
      <c r="CT229" s="10"/>
      <c r="CU229" s="10"/>
      <c r="CV229" s="10"/>
      <c r="CW229" s="10"/>
      <c r="CX229" s="10"/>
      <c r="CY229" s="10"/>
      <c r="CZ229" s="10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  <c r="DY229" s="34"/>
      <c r="DZ229" s="34"/>
      <c r="EA229" s="34"/>
      <c r="EB229" s="34"/>
      <c r="EC229" s="34"/>
      <c r="ED229" s="34"/>
      <c r="EE229" s="34"/>
    </row>
    <row r="230" spans="1:135" customFormat="1">
      <c r="A230" s="71">
        <f>'Old Data'!$I226-'Old Data'!$S226</f>
        <v>-84</v>
      </c>
      <c r="B230" s="72">
        <f>VLOOKUP('Old Data'!$F226,$R$6:$T$135,2,FALSE)+VLOOKUP('Old Data'!$P226,$R$6:$T$135,3,FALSE)+$B$2</f>
        <v>84.411424974541802</v>
      </c>
      <c r="C230" s="72">
        <f>VLOOKUP('Old Data'!$P226,$R$6:$T$135,2,FALSE)+VLOOKUP('Old Data'!$F226,$R$6:$T$135,3,FALSE)+$B$2</f>
        <v>124.23501111165072</v>
      </c>
      <c r="D230" s="74">
        <f>('Old Data'!$I226-$B230)^2+('Old Data'!$S226-$C230)^2</f>
        <v>2695.4800036986499</v>
      </c>
      <c r="E230" s="75">
        <f>'Old Data'!$K226-'Old Data'!$U226</f>
        <v>8</v>
      </c>
      <c r="F230" s="72">
        <f>VLOOKUP('Old Data'!$F226,$V$6:$X$135,2,FALSE)+VLOOKUP('Old Data'!$P226,$V$6:$X$135,3,FALSE)+$C$2</f>
        <v>213.12698486910912</v>
      </c>
      <c r="G230" s="72">
        <f>VLOOKUP('Old Data'!$P226,$V$6:$X$135,2,FALSE)+VLOOKUP('Old Data'!$F226,$V$6:$X$135,3,FALSE)+$C$2</f>
        <v>175.45009024764408</v>
      </c>
      <c r="H230" s="74">
        <f>('Old Data'!$K226-$F230)^2+('Old Data'!$U226-$G230)^2</f>
        <v>612.9128971335158</v>
      </c>
      <c r="I230" s="75">
        <f>('Old Data'!$L226+'Old Data'!$M226)-('Old Data'!$V226+'Old Data'!$W226)</f>
        <v>-26</v>
      </c>
      <c r="J230" s="72">
        <f>VLOOKUP('Old Data'!$F226,$Z$6:$AB$135,2,FALSE)+VLOOKUP('Old Data'!$P226,$Z$6:$AB$135,3,FALSE)+$D$2</f>
        <v>23.88517179560489</v>
      </c>
      <c r="K230" s="72">
        <f>VLOOKUP('Old Data'!$P226,$Z$6:$AB$135,2,FALSE)+VLOOKUP('Old Data'!$F226,$Z$6:$AB$135,3,FALSE)+$D$2</f>
        <v>29.999034001494358</v>
      </c>
      <c r="L230" s="74">
        <f>('Old Data'!$L226+'Old Data'!$M226-$J230)^2+('Old Data'!$V226+'Old Data'!$W226-$K230)^2</f>
        <v>1084.59929885372</v>
      </c>
      <c r="M230" s="75">
        <f>'Old Data'!$N226-'Old Data'!$X226</f>
        <v>3</v>
      </c>
      <c r="N230" s="72">
        <f>VLOOKUP('Old Data'!$F226,$AD$6:$AF$135,2,FALSE)+VLOOKUP('Old Data'!$P226,$AD$6:$AF$135,3,FALSE)+$E$2</f>
        <v>1.6646565912665952</v>
      </c>
      <c r="O230" s="72">
        <f>VLOOKUP('Old Data'!$P226,$AD$6:$AF$135,2,FALSE)+VLOOKUP('Old Data'!$F226,$AD$6:$AF$135,3,FALSE)+$E$2</f>
        <v>1.4432272793360601</v>
      </c>
      <c r="P230" s="73">
        <f>('Old Data'!$N226-$N230)^2+('Old Data'!$X226-$O230)^2</f>
        <v>5.6502792578622048</v>
      </c>
      <c r="Q230" s="62"/>
      <c r="R230" s="3"/>
      <c r="S230" s="3"/>
      <c r="T230" s="3"/>
      <c r="V230" s="3"/>
      <c r="W230" s="3"/>
      <c r="X230" s="3"/>
      <c r="Z230" s="3"/>
      <c r="AA230" s="3"/>
      <c r="AB230" s="3"/>
      <c r="AC230" s="3"/>
      <c r="AD230" s="3"/>
      <c r="AE230" s="3"/>
      <c r="AF230" s="3"/>
      <c r="AG230" s="3"/>
      <c r="AH230" s="37"/>
      <c r="AI230" s="1"/>
      <c r="AK230" s="10"/>
      <c r="AL230" s="10"/>
      <c r="AM230" s="10"/>
      <c r="AN230" s="11"/>
      <c r="AO230" s="11"/>
      <c r="AP230" s="11"/>
      <c r="AQ230" s="36"/>
      <c r="AR230" s="11"/>
      <c r="AS230" s="11"/>
      <c r="AT230" s="11"/>
      <c r="AU230" s="12"/>
      <c r="AV230" s="11"/>
      <c r="AW230" s="11"/>
      <c r="AX230" s="15"/>
      <c r="AY230" s="15"/>
      <c r="AZ230" s="15"/>
      <c r="BA230" s="15"/>
      <c r="BB230" s="15"/>
      <c r="BC230" s="15"/>
      <c r="BD230" s="15"/>
      <c r="BE230" s="12"/>
      <c r="BF230" s="11"/>
      <c r="BG230" s="11"/>
      <c r="BH230" s="10"/>
      <c r="BI230" s="10"/>
      <c r="BJ230" s="10"/>
      <c r="BK230" s="23"/>
      <c r="BL230" s="23"/>
      <c r="BM230" s="23"/>
      <c r="BN230" s="23"/>
      <c r="BO230" s="23"/>
      <c r="BP230" s="23"/>
      <c r="BQ230" s="23"/>
      <c r="BR230" s="10"/>
      <c r="BS230" s="16"/>
      <c r="BT230" s="16"/>
      <c r="BU230" s="16"/>
      <c r="BV230" s="16"/>
      <c r="BW230" s="11"/>
      <c r="BX230" s="16"/>
      <c r="BY230" s="16"/>
      <c r="BZ230" s="17"/>
      <c r="CA230" s="18"/>
      <c r="CB230" s="18"/>
      <c r="CC230" s="18"/>
      <c r="CD230" s="18"/>
      <c r="CE230" s="18"/>
      <c r="CF230" s="18"/>
      <c r="CG230" s="19"/>
      <c r="CH230" s="15"/>
      <c r="CI230" s="17"/>
      <c r="CJ230" s="10"/>
      <c r="CK230" s="10"/>
      <c r="CL230" s="10"/>
      <c r="CM230" s="17"/>
      <c r="CN230" s="17"/>
      <c r="CO230" s="10"/>
      <c r="CP230" s="10"/>
      <c r="CQ230" s="10"/>
      <c r="CR230" s="10"/>
      <c r="CS230" s="10"/>
      <c r="CT230" s="10"/>
      <c r="CU230" s="10"/>
      <c r="CV230" s="10"/>
      <c r="CW230" s="10"/>
      <c r="CX230" s="10"/>
      <c r="CY230" s="10"/>
      <c r="CZ230" s="10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  <c r="DY230" s="34"/>
      <c r="DZ230" s="34"/>
      <c r="EA230" s="34"/>
      <c r="EB230" s="34"/>
      <c r="EC230" s="34"/>
      <c r="ED230" s="34"/>
      <c r="EE230" s="34"/>
    </row>
    <row r="231" spans="1:135" customFormat="1">
      <c r="A231" s="71">
        <f>'Old Data'!$I227-'Old Data'!$S227</f>
        <v>81</v>
      </c>
      <c r="B231" s="72">
        <f>VLOOKUP('Old Data'!$F227,$R$6:$T$135,2,FALSE)+VLOOKUP('Old Data'!$P227,$R$6:$T$135,3,FALSE)+$B$2</f>
        <v>161.98835123233908</v>
      </c>
      <c r="C231" s="72">
        <f>VLOOKUP('Old Data'!$P227,$R$6:$T$135,2,FALSE)+VLOOKUP('Old Data'!$F227,$R$6:$T$135,3,FALSE)+$B$2</f>
        <v>187.18865871159258</v>
      </c>
      <c r="D231" s="74">
        <f>('Old Data'!$I227-$B231)^2+('Old Data'!$S227-$C231)^2</f>
        <v>7106.8268575764287</v>
      </c>
      <c r="E231" s="75">
        <f>'Old Data'!$K227-'Old Data'!$U227</f>
        <v>-86</v>
      </c>
      <c r="F231" s="72">
        <f>VLOOKUP('Old Data'!$F227,$V$6:$X$135,2,FALSE)+VLOOKUP('Old Data'!$P227,$V$6:$X$135,3,FALSE)+$C$2</f>
        <v>275.262360914255</v>
      </c>
      <c r="G231" s="72">
        <f>VLOOKUP('Old Data'!$P227,$V$6:$X$135,2,FALSE)+VLOOKUP('Old Data'!$F227,$V$6:$X$135,3,FALSE)+$C$2</f>
        <v>273.07919660488301</v>
      </c>
      <c r="H231" s="74">
        <f>('Old Data'!$K227-$F231)^2+('Old Data'!$U227-$G231)^2</f>
        <v>4217.3130690787002</v>
      </c>
      <c r="I231" s="75">
        <f>('Old Data'!$L227+'Old Data'!$M227)-('Old Data'!$V227+'Old Data'!$W227)</f>
        <v>-57</v>
      </c>
      <c r="J231" s="72">
        <f>VLOOKUP('Old Data'!$F227,$Z$6:$AB$135,2,FALSE)+VLOOKUP('Old Data'!$P227,$Z$6:$AB$135,3,FALSE)+$D$2</f>
        <v>81.980799436999831</v>
      </c>
      <c r="K231" s="72">
        <f>VLOOKUP('Old Data'!$P227,$Z$6:$AB$135,2,FALSE)+VLOOKUP('Old Data'!$F227,$Z$6:$AB$135,3,FALSE)+$D$2</f>
        <v>87.619009146049706</v>
      </c>
      <c r="L231" s="74">
        <f>('Old Data'!$L227+'Old Data'!$M227-$J231)^2+('Old Data'!$V227+'Old Data'!$W227-$K231)^2</f>
        <v>3671.9836197612876</v>
      </c>
      <c r="M231" s="75">
        <f>'Old Data'!$N227-'Old Data'!$X227</f>
        <v>2</v>
      </c>
      <c r="N231" s="72">
        <f>VLOOKUP('Old Data'!$F227,$AD$6:$AF$135,2,FALSE)+VLOOKUP('Old Data'!$P227,$AD$6:$AF$135,3,FALSE)+$E$2</f>
        <v>2.5463470447031984</v>
      </c>
      <c r="O231" s="72">
        <f>VLOOKUP('Old Data'!$P227,$AD$6:$AF$135,2,FALSE)+VLOOKUP('Old Data'!$F227,$AD$6:$AF$135,3,FALSE)+$E$2</f>
        <v>1.3210198445196231</v>
      </c>
      <c r="P231" s="73">
        <f>('Old Data'!$N227-$N231)^2+('Old Data'!$X227-$O231)^2</f>
        <v>0.30885474442492483</v>
      </c>
      <c r="Q231" s="62"/>
      <c r="R231" s="3"/>
      <c r="S231" s="3"/>
      <c r="T231" s="3"/>
      <c r="V231" s="3"/>
      <c r="W231" s="3"/>
      <c r="X231" s="3"/>
      <c r="Z231" s="3"/>
      <c r="AA231" s="3"/>
      <c r="AB231" s="3"/>
      <c r="AC231" s="3"/>
      <c r="AD231" s="3"/>
      <c r="AE231" s="3"/>
      <c r="AF231" s="3"/>
      <c r="AG231" s="3"/>
      <c r="AH231" s="37"/>
      <c r="AI231" s="1"/>
      <c r="AK231" s="10"/>
      <c r="AL231" s="10"/>
      <c r="AM231" s="10"/>
      <c r="AN231" s="11"/>
      <c r="AO231" s="11"/>
      <c r="AP231" s="11"/>
      <c r="AQ231" s="36"/>
      <c r="AR231" s="11"/>
      <c r="AS231" s="11"/>
      <c r="AT231" s="11"/>
      <c r="AU231" s="12"/>
      <c r="AV231" s="11"/>
      <c r="AW231" s="11"/>
      <c r="AX231" s="15"/>
      <c r="AY231" s="15"/>
      <c r="AZ231" s="15"/>
      <c r="BA231" s="15"/>
      <c r="BB231" s="15"/>
      <c r="BC231" s="15"/>
      <c r="BD231" s="15"/>
      <c r="BE231" s="12"/>
      <c r="BF231" s="11"/>
      <c r="BG231" s="11"/>
      <c r="BH231" s="10"/>
      <c r="BI231" s="10"/>
      <c r="BJ231" s="10"/>
      <c r="BK231" s="23"/>
      <c r="BL231" s="23"/>
      <c r="BM231" s="23"/>
      <c r="BN231" s="23"/>
      <c r="BO231" s="23"/>
      <c r="BP231" s="23"/>
      <c r="BQ231" s="23"/>
      <c r="BR231" s="10"/>
      <c r="BS231" s="16"/>
      <c r="BT231" s="16"/>
      <c r="BU231" s="16"/>
      <c r="BV231" s="16"/>
      <c r="BW231" s="11"/>
      <c r="BX231" s="16"/>
      <c r="BY231" s="16"/>
      <c r="BZ231" s="17"/>
      <c r="CA231" s="18"/>
      <c r="CB231" s="18"/>
      <c r="CC231" s="18"/>
      <c r="CD231" s="18"/>
      <c r="CE231" s="18"/>
      <c r="CF231" s="18"/>
      <c r="CG231" s="19"/>
      <c r="CH231" s="15"/>
      <c r="CI231" s="17"/>
      <c r="CJ231" s="10"/>
      <c r="CK231" s="10"/>
      <c r="CL231" s="10"/>
      <c r="CM231" s="17"/>
      <c r="CN231" s="17"/>
      <c r="CO231" s="10"/>
      <c r="CP231" s="10"/>
      <c r="CQ231" s="10"/>
      <c r="CR231" s="10"/>
      <c r="CS231" s="10"/>
      <c r="CT231" s="10"/>
      <c r="CU231" s="10"/>
      <c r="CV231" s="10"/>
      <c r="CW231" s="10"/>
      <c r="CX231" s="10"/>
      <c r="CY231" s="10"/>
      <c r="CZ231" s="10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  <c r="DY231" s="34"/>
      <c r="DZ231" s="34"/>
      <c r="EA231" s="34"/>
      <c r="EB231" s="34"/>
      <c r="EC231" s="34"/>
      <c r="ED231" s="34"/>
      <c r="EE231" s="34"/>
    </row>
    <row r="232" spans="1:135" customFormat="1">
      <c r="A232" s="71">
        <f>'Old Data'!$I228-'Old Data'!$S228</f>
        <v>297</v>
      </c>
      <c r="B232" s="72">
        <f>VLOOKUP('Old Data'!$F228,$R$6:$T$135,2,FALSE)+VLOOKUP('Old Data'!$P228,$R$6:$T$135,3,FALSE)+$B$2</f>
        <v>272.06023559412017</v>
      </c>
      <c r="C232" s="72">
        <f>VLOOKUP('Old Data'!$P228,$R$6:$T$135,2,FALSE)+VLOOKUP('Old Data'!$F228,$R$6:$T$135,3,FALSE)+$B$2</f>
        <v>104.16388866689761</v>
      </c>
      <c r="D232" s="74">
        <f>('Old Data'!$I228-$B232)^2+('Old Data'!$S228-$C232)^2</f>
        <v>11129.592414633893</v>
      </c>
      <c r="E232" s="75">
        <f>'Old Data'!$K228-'Old Data'!$U228</f>
        <v>-139</v>
      </c>
      <c r="F232" s="72">
        <f>VLOOKUP('Old Data'!$F228,$V$6:$X$135,2,FALSE)+VLOOKUP('Old Data'!$P228,$V$6:$X$135,3,FALSE)+$C$2</f>
        <v>160.70652145189268</v>
      </c>
      <c r="G232" s="72">
        <f>VLOOKUP('Old Data'!$P228,$V$6:$X$135,2,FALSE)+VLOOKUP('Old Data'!$F228,$V$6:$X$135,3,FALSE)+$C$2</f>
        <v>230.91604447381599</v>
      </c>
      <c r="H232" s="74">
        <f>('Old Data'!$K228-$F232)^2+('Old Data'!$U228-$G232)^2</f>
        <v>2376.7489193044112</v>
      </c>
      <c r="I232" s="75">
        <f>('Old Data'!$L228+'Old Data'!$M228)-('Old Data'!$V228+'Old Data'!$W228)</f>
        <v>75</v>
      </c>
      <c r="J232" s="72">
        <f>VLOOKUP('Old Data'!$F228,$Z$6:$AB$135,2,FALSE)+VLOOKUP('Old Data'!$P228,$Z$6:$AB$135,3,FALSE)+$D$2</f>
        <v>77.494431900577496</v>
      </c>
      <c r="K232" s="72">
        <f>VLOOKUP('Old Data'!$P228,$Z$6:$AB$135,2,FALSE)+VLOOKUP('Old Data'!$F228,$Z$6:$AB$135,3,FALSE)+$D$2</f>
        <v>33.093402835305788</v>
      </c>
      <c r="L232" s="74">
        <f>('Old Data'!$L228+'Old Data'!$M228-$J232)^2+('Old Data'!$V228+'Old Data'!$W228-$K232)^2</f>
        <v>468.2334512346456</v>
      </c>
      <c r="M232" s="75">
        <f>'Old Data'!$N228-'Old Data'!$X228</f>
        <v>3</v>
      </c>
      <c r="N232" s="72">
        <f>VLOOKUP('Old Data'!$F228,$AD$6:$AF$135,2,FALSE)+VLOOKUP('Old Data'!$P228,$AD$6:$AF$135,3,FALSE)+$E$2</f>
        <v>1.5650619205995868</v>
      </c>
      <c r="O232" s="72">
        <f>VLOOKUP('Old Data'!$P228,$AD$6:$AF$135,2,FALSE)+VLOOKUP('Old Data'!$F228,$AD$6:$AF$135,3,FALSE)+$E$2</f>
        <v>0.90659520992145315</v>
      </c>
      <c r="P232" s="73">
        <f>('Old Data'!$N228-$N232)^2+('Old Data'!$X228-$O232)^2</f>
        <v>2.8809621663658702</v>
      </c>
      <c r="Q232" s="62"/>
      <c r="R232" s="3"/>
      <c r="S232" s="3"/>
      <c r="T232" s="3"/>
      <c r="V232" s="3"/>
      <c r="W232" s="3"/>
      <c r="X232" s="3"/>
      <c r="Z232" s="3"/>
      <c r="AA232" s="3"/>
      <c r="AB232" s="3"/>
      <c r="AC232" s="3"/>
      <c r="AD232" s="3"/>
      <c r="AE232" s="3"/>
      <c r="AF232" s="3"/>
      <c r="AG232" s="3"/>
      <c r="AH232" s="37"/>
      <c r="AI232" s="1"/>
      <c r="AK232" s="10"/>
      <c r="AL232" s="10"/>
      <c r="AM232" s="10"/>
      <c r="AN232" s="11"/>
      <c r="AO232" s="11"/>
      <c r="AP232" s="11"/>
      <c r="AQ232" s="36"/>
      <c r="AR232" s="11"/>
      <c r="AS232" s="11"/>
      <c r="AT232" s="11"/>
      <c r="AU232" s="12"/>
      <c r="AV232" s="11"/>
      <c r="AW232" s="11"/>
      <c r="AX232" s="15"/>
      <c r="AY232" s="15"/>
      <c r="AZ232" s="15"/>
      <c r="BA232" s="15"/>
      <c r="BB232" s="15"/>
      <c r="BC232" s="15"/>
      <c r="BD232" s="15"/>
      <c r="BE232" s="12"/>
      <c r="BF232" s="11"/>
      <c r="BG232" s="11"/>
      <c r="BH232" s="10"/>
      <c r="BI232" s="10"/>
      <c r="BJ232" s="10"/>
      <c r="BK232" s="23"/>
      <c r="BL232" s="23"/>
      <c r="BM232" s="23"/>
      <c r="BN232" s="23"/>
      <c r="BO232" s="23"/>
      <c r="BP232" s="23"/>
      <c r="BQ232" s="23"/>
      <c r="BR232" s="10"/>
      <c r="BS232" s="16"/>
      <c r="BT232" s="16"/>
      <c r="BU232" s="16"/>
      <c r="BV232" s="16"/>
      <c r="BW232" s="11"/>
      <c r="BX232" s="16"/>
      <c r="BY232" s="16"/>
      <c r="BZ232" s="17"/>
      <c r="CA232" s="18"/>
      <c r="CB232" s="18"/>
      <c r="CC232" s="18"/>
      <c r="CD232" s="18"/>
      <c r="CE232" s="18"/>
      <c r="CF232" s="18"/>
      <c r="CG232" s="19"/>
      <c r="CH232" s="15"/>
      <c r="CI232" s="17"/>
      <c r="CJ232" s="10"/>
      <c r="CK232" s="10"/>
      <c r="CL232" s="10"/>
      <c r="CM232" s="17"/>
      <c r="CN232" s="17"/>
      <c r="CO232" s="10"/>
      <c r="CP232" s="10"/>
      <c r="CQ232" s="10"/>
      <c r="CR232" s="10"/>
      <c r="CS232" s="10"/>
      <c r="CT232" s="10"/>
      <c r="CU232" s="10"/>
      <c r="CV232" s="10"/>
      <c r="CW232" s="10"/>
      <c r="CX232" s="10"/>
      <c r="CY232" s="10"/>
      <c r="CZ232" s="10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34"/>
      <c r="DV232" s="34"/>
      <c r="DW232" s="34"/>
      <c r="DX232" s="34"/>
      <c r="DY232" s="34"/>
      <c r="DZ232" s="34"/>
      <c r="EA232" s="34"/>
      <c r="EB232" s="34"/>
      <c r="EC232" s="34"/>
      <c r="ED232" s="34"/>
      <c r="EE232" s="34"/>
    </row>
    <row r="233" spans="1:135" customFormat="1">
      <c r="A233" s="71">
        <f>'Old Data'!$I229-'Old Data'!$S229</f>
        <v>-63</v>
      </c>
      <c r="B233" s="72">
        <f>VLOOKUP('Old Data'!$F229,$R$6:$T$135,2,FALSE)+VLOOKUP('Old Data'!$P229,$R$6:$T$135,3,FALSE)+$B$2</f>
        <v>137.659571501491</v>
      </c>
      <c r="C233" s="72">
        <f>VLOOKUP('Old Data'!$P229,$R$6:$T$135,2,FALSE)+VLOOKUP('Old Data'!$F229,$R$6:$T$135,3,FALSE)+$B$2</f>
        <v>232.02495868762742</v>
      </c>
      <c r="D233" s="74">
        <f>('Old Data'!$I229-$B233)^2+('Old Data'!$S229-$C233)^2</f>
        <v>609.17556443213789</v>
      </c>
      <c r="E233" s="75">
        <f>'Old Data'!$K229-'Old Data'!$U229</f>
        <v>167</v>
      </c>
      <c r="F233" s="72">
        <f>VLOOKUP('Old Data'!$F229,$V$6:$X$135,2,FALSE)+VLOOKUP('Old Data'!$P229,$V$6:$X$135,3,FALSE)+$C$2</f>
        <v>357.22571896924853</v>
      </c>
      <c r="G233" s="72">
        <f>VLOOKUP('Old Data'!$P229,$V$6:$X$135,2,FALSE)+VLOOKUP('Old Data'!$F229,$V$6:$X$135,3,FALSE)+$C$2</f>
        <v>186.48581409079895</v>
      </c>
      <c r="H233" s="74">
        <f>('Old Data'!$K229-$F233)^2+('Old Data'!$U229-$G233)^2</f>
        <v>4878.97682378235</v>
      </c>
      <c r="I233" s="75">
        <f>('Old Data'!$L229+'Old Data'!$M229)-('Old Data'!$V229+'Old Data'!$W229)</f>
        <v>57</v>
      </c>
      <c r="J233" s="72">
        <f>VLOOKUP('Old Data'!$F229,$Z$6:$AB$135,2,FALSE)+VLOOKUP('Old Data'!$P229,$Z$6:$AB$135,3,FALSE)+$D$2</f>
        <v>64.86020796135314</v>
      </c>
      <c r="K233" s="72">
        <f>VLOOKUP('Old Data'!$P229,$Z$6:$AB$135,2,FALSE)+VLOOKUP('Old Data'!$F229,$Z$6:$AB$135,3,FALSE)+$D$2</f>
        <v>52.018977597687616</v>
      </c>
      <c r="L233" s="74">
        <f>('Old Data'!$L229+'Old Data'!$M229-$J233)^2+('Old Data'!$V229+'Old Data'!$W229-$K233)^2</f>
        <v>2536.2401572682825</v>
      </c>
      <c r="M233" s="75">
        <f>'Old Data'!$N229-'Old Data'!$X229</f>
        <v>1</v>
      </c>
      <c r="N233" s="72">
        <f>VLOOKUP('Old Data'!$F229,$AD$6:$AF$135,2,FALSE)+VLOOKUP('Old Data'!$P229,$AD$6:$AF$135,3,FALSE)+$E$2</f>
        <v>1.7694938487783511</v>
      </c>
      <c r="O233" s="72">
        <f>VLOOKUP('Old Data'!$P229,$AD$6:$AF$135,2,FALSE)+VLOOKUP('Old Data'!$F229,$AD$6:$AF$135,3,FALSE)+$E$2</f>
        <v>0.5516821010728471</v>
      </c>
      <c r="P233" s="73">
        <f>('Old Data'!$N229-$N233)^2+('Old Data'!$X229-$O233)^2</f>
        <v>0.25412202424947455</v>
      </c>
      <c r="Q233" s="62"/>
      <c r="R233" s="3"/>
      <c r="S233" s="3"/>
      <c r="T233" s="3"/>
      <c r="V233" s="3"/>
      <c r="W233" s="3"/>
      <c r="X233" s="3"/>
      <c r="Z233" s="3"/>
      <c r="AA233" s="3"/>
      <c r="AB233" s="3"/>
      <c r="AC233" s="3"/>
      <c r="AD233" s="3"/>
      <c r="AE233" s="3"/>
      <c r="AF233" s="3"/>
      <c r="AG233" s="3"/>
      <c r="AH233" s="37"/>
      <c r="AI233" s="1"/>
      <c r="AK233" s="10"/>
      <c r="AL233" s="10"/>
      <c r="AM233" s="10"/>
      <c r="AN233" s="11"/>
      <c r="AO233" s="11"/>
      <c r="AP233" s="11"/>
      <c r="AQ233" s="36"/>
      <c r="AR233" s="11"/>
      <c r="AS233" s="11"/>
      <c r="AT233" s="11"/>
      <c r="AU233" s="12"/>
      <c r="AV233" s="11"/>
      <c r="AW233" s="11"/>
      <c r="AX233" s="15"/>
      <c r="AY233" s="15"/>
      <c r="AZ233" s="15"/>
      <c r="BA233" s="15"/>
      <c r="BB233" s="15"/>
      <c r="BC233" s="15"/>
      <c r="BD233" s="15"/>
      <c r="BE233" s="12"/>
      <c r="BF233" s="11"/>
      <c r="BG233" s="11"/>
      <c r="BH233" s="10"/>
      <c r="BI233" s="10"/>
      <c r="BJ233" s="10"/>
      <c r="BK233" s="23"/>
      <c r="BL233" s="23"/>
      <c r="BM233" s="23"/>
      <c r="BN233" s="23"/>
      <c r="BO233" s="23"/>
      <c r="BP233" s="23"/>
      <c r="BQ233" s="23"/>
      <c r="BR233" s="10"/>
      <c r="BS233" s="16"/>
      <c r="BT233" s="16"/>
      <c r="BU233" s="16"/>
      <c r="BV233" s="16"/>
      <c r="BW233" s="11"/>
      <c r="BX233" s="16"/>
      <c r="BY233" s="16"/>
      <c r="BZ233" s="17"/>
      <c r="CA233" s="18"/>
      <c r="CB233" s="18"/>
      <c r="CC233" s="18"/>
      <c r="CD233" s="18"/>
      <c r="CE233" s="18"/>
      <c r="CF233" s="18"/>
      <c r="CG233" s="19"/>
      <c r="CH233" s="15"/>
      <c r="CI233" s="17"/>
      <c r="CJ233" s="10"/>
      <c r="CK233" s="10"/>
      <c r="CL233" s="10"/>
      <c r="CM233" s="17"/>
      <c r="CN233" s="17"/>
      <c r="CO233" s="10"/>
      <c r="CP233" s="10"/>
      <c r="CQ233" s="10"/>
      <c r="CR233" s="10"/>
      <c r="CS233" s="10"/>
      <c r="CT233" s="10"/>
      <c r="CU233" s="10"/>
      <c r="CV233" s="10"/>
      <c r="CW233" s="10"/>
      <c r="CX233" s="10"/>
      <c r="CY233" s="10"/>
      <c r="CZ233" s="10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34"/>
      <c r="DV233" s="34"/>
      <c r="DW233" s="34"/>
      <c r="DX233" s="34"/>
      <c r="DY233" s="34"/>
      <c r="DZ233" s="34"/>
      <c r="EA233" s="34"/>
      <c r="EB233" s="34"/>
      <c r="EC233" s="34"/>
      <c r="ED233" s="34"/>
      <c r="EE233" s="34"/>
    </row>
    <row r="234" spans="1:135" customFormat="1">
      <c r="A234" s="71">
        <f>'Old Data'!$I230-'Old Data'!$S230</f>
        <v>149</v>
      </c>
      <c r="B234" s="72">
        <f>VLOOKUP('Old Data'!$F230,$R$6:$T$135,2,FALSE)+VLOOKUP('Old Data'!$P230,$R$6:$T$135,3,FALSE)+$B$2</f>
        <v>159.66277714112283</v>
      </c>
      <c r="C234" s="72">
        <f>VLOOKUP('Old Data'!$P230,$R$6:$T$135,2,FALSE)+VLOOKUP('Old Data'!$F230,$R$6:$T$135,3,FALSE)+$B$2</f>
        <v>177.281467006611</v>
      </c>
      <c r="D234" s="74">
        <f>('Old Data'!$I230-$B234)^2+('Old Data'!$S230-$C234)^2</f>
        <v>14936.330691399151</v>
      </c>
      <c r="E234" s="75">
        <f>'Old Data'!$K230-'Old Data'!$U230</f>
        <v>-122</v>
      </c>
      <c r="F234" s="72">
        <f>VLOOKUP('Old Data'!$F230,$V$6:$X$135,2,FALSE)+VLOOKUP('Old Data'!$P230,$V$6:$X$135,3,FALSE)+$C$2</f>
        <v>164.73279408118231</v>
      </c>
      <c r="G234" s="72">
        <f>VLOOKUP('Old Data'!$P230,$V$6:$X$135,2,FALSE)+VLOOKUP('Old Data'!$F230,$V$6:$X$135,3,FALSE)+$C$2</f>
        <v>241.71802465875331</v>
      </c>
      <c r="H234" s="74">
        <f>('Old Data'!$K230-$F234)^2+('Old Data'!$U230-$G234)^2</f>
        <v>11031.250090774505</v>
      </c>
      <c r="I234" s="75">
        <f>('Old Data'!$L230+'Old Data'!$M230)-('Old Data'!$V230+'Old Data'!$W230)</f>
        <v>-27</v>
      </c>
      <c r="J234" s="72">
        <f>VLOOKUP('Old Data'!$F230,$Z$6:$AB$135,2,FALSE)+VLOOKUP('Old Data'!$P230,$Z$6:$AB$135,3,FALSE)+$D$2</f>
        <v>97.245760079952589</v>
      </c>
      <c r="K234" s="72">
        <f>VLOOKUP('Old Data'!$P230,$Z$6:$AB$135,2,FALSE)+VLOOKUP('Old Data'!$F230,$Z$6:$AB$135,3,FALSE)+$D$2</f>
        <v>99.918993431245298</v>
      </c>
      <c r="L234" s="74">
        <f>('Old Data'!$L230+'Old Data'!$M230-$J234)^2+('Old Data'!$V230+'Old Data'!$W230-$K234)^2</f>
        <v>5114.0552037474472</v>
      </c>
      <c r="M234" s="75">
        <f>'Old Data'!$N230-'Old Data'!$X230</f>
        <v>2</v>
      </c>
      <c r="N234" s="72">
        <f>VLOOKUP('Old Data'!$F230,$AD$6:$AF$135,2,FALSE)+VLOOKUP('Old Data'!$P230,$AD$6:$AF$135,3,FALSE)+$E$2</f>
        <v>2.549394965508978</v>
      </c>
      <c r="O234" s="72">
        <f>VLOOKUP('Old Data'!$P230,$AD$6:$AF$135,2,FALSE)+VLOOKUP('Old Data'!$F230,$AD$6:$AF$135,3,FALSE)+$E$2</f>
        <v>1.1070811905324141</v>
      </c>
      <c r="P234" s="73">
        <f>('Old Data'!$N230-$N234)^2+('Old Data'!$X230-$O234)^2</f>
        <v>0.21451127847449425</v>
      </c>
      <c r="Q234" s="62"/>
      <c r="R234" s="3"/>
      <c r="S234" s="3"/>
      <c r="T234" s="3"/>
      <c r="V234" s="3"/>
      <c r="W234" s="3"/>
      <c r="X234" s="3"/>
      <c r="Z234" s="3"/>
      <c r="AA234" s="3"/>
      <c r="AB234" s="3"/>
      <c r="AC234" s="3"/>
      <c r="AD234" s="3"/>
      <c r="AE234" s="3"/>
      <c r="AF234" s="3"/>
      <c r="AG234" s="3"/>
      <c r="AH234" s="37"/>
      <c r="AI234" s="1"/>
      <c r="AK234" s="10"/>
      <c r="AL234" s="10"/>
      <c r="AM234" s="10"/>
      <c r="AN234" s="11"/>
      <c r="AO234" s="11"/>
      <c r="AP234" s="11"/>
      <c r="AQ234" s="36"/>
      <c r="AR234" s="11"/>
      <c r="AS234" s="11"/>
      <c r="AT234" s="11"/>
      <c r="AU234" s="12"/>
      <c r="AV234" s="11"/>
      <c r="AW234" s="11"/>
      <c r="AX234" s="15"/>
      <c r="AY234" s="15"/>
      <c r="AZ234" s="15"/>
      <c r="BA234" s="15"/>
      <c r="BB234" s="15"/>
      <c r="BC234" s="15"/>
      <c r="BD234" s="15"/>
      <c r="BE234" s="12"/>
      <c r="BF234" s="11"/>
      <c r="BG234" s="11"/>
      <c r="BH234" s="10"/>
      <c r="BI234" s="10"/>
      <c r="BJ234" s="10"/>
      <c r="BK234" s="23"/>
      <c r="BL234" s="23"/>
      <c r="BM234" s="23"/>
      <c r="BN234" s="23"/>
      <c r="BO234" s="23"/>
      <c r="BP234" s="23"/>
      <c r="BQ234" s="23"/>
      <c r="BR234" s="10"/>
      <c r="BS234" s="16"/>
      <c r="BT234" s="16"/>
      <c r="BU234" s="16"/>
      <c r="BV234" s="16"/>
      <c r="BW234" s="11"/>
      <c r="BX234" s="16"/>
      <c r="BY234" s="16"/>
      <c r="BZ234" s="17"/>
      <c r="CA234" s="18"/>
      <c r="CB234" s="18"/>
      <c r="CC234" s="18"/>
      <c r="CD234" s="18"/>
      <c r="CE234" s="18"/>
      <c r="CF234" s="18"/>
      <c r="CG234" s="19"/>
      <c r="CH234" s="15"/>
      <c r="CI234" s="17"/>
      <c r="CJ234" s="10"/>
      <c r="CK234" s="10"/>
      <c r="CL234" s="10"/>
      <c r="CM234" s="17"/>
      <c r="CN234" s="17"/>
      <c r="CO234" s="10"/>
      <c r="CP234" s="10"/>
      <c r="CQ234" s="10"/>
      <c r="CR234" s="10"/>
      <c r="CS234" s="10"/>
      <c r="CT234" s="10"/>
      <c r="CU234" s="10"/>
      <c r="CV234" s="10"/>
      <c r="CW234" s="10"/>
      <c r="CX234" s="10"/>
      <c r="CY234" s="10"/>
      <c r="CZ234" s="10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34"/>
      <c r="DV234" s="34"/>
      <c r="DW234" s="34"/>
      <c r="DX234" s="34"/>
      <c r="DY234" s="34"/>
      <c r="DZ234" s="34"/>
      <c r="EA234" s="34"/>
      <c r="EB234" s="34"/>
      <c r="EC234" s="34"/>
      <c r="ED234" s="34"/>
      <c r="EE234" s="34"/>
    </row>
    <row r="235" spans="1:135" customFormat="1">
      <c r="A235" s="71">
        <f>'Old Data'!$I231-'Old Data'!$S231</f>
        <v>-139</v>
      </c>
      <c r="B235" s="72">
        <f>VLOOKUP('Old Data'!$F231,$R$6:$T$135,2,FALSE)+VLOOKUP('Old Data'!$P231,$R$6:$T$135,3,FALSE)+$B$2</f>
        <v>99.63666464958412</v>
      </c>
      <c r="C235" s="72">
        <f>VLOOKUP('Old Data'!$P231,$R$6:$T$135,2,FALSE)+VLOOKUP('Old Data'!$F231,$R$6:$T$135,3,FALSE)+$B$2</f>
        <v>193.29751078555591</v>
      </c>
      <c r="D235" s="74">
        <f>('Old Data'!$I231-$B235)^2+('Old Data'!$S231-$C235)^2</f>
        <v>1912.5862347138</v>
      </c>
      <c r="E235" s="75">
        <f>'Old Data'!$K231-'Old Data'!$U231</f>
        <v>-24</v>
      </c>
      <c r="F235" s="72">
        <f>VLOOKUP('Old Data'!$F231,$V$6:$X$135,2,FALSE)+VLOOKUP('Old Data'!$P231,$V$6:$X$135,3,FALSE)+$C$2</f>
        <v>299.7133409285168</v>
      </c>
      <c r="G235" s="72">
        <f>VLOOKUP('Old Data'!$P231,$V$6:$X$135,2,FALSE)+VLOOKUP('Old Data'!$F231,$V$6:$X$135,3,FALSE)+$C$2</f>
        <v>297.12190443927477</v>
      </c>
      <c r="H235" s="74">
        <f>('Old Data'!$K231-$F235)^2+('Old Data'!$U231-$G235)^2</f>
        <v>6947.119036621144</v>
      </c>
      <c r="I235" s="75">
        <f>('Old Data'!$L231+'Old Data'!$M231)-('Old Data'!$V231+'Old Data'!$W231)</f>
        <v>-37</v>
      </c>
      <c r="J235" s="72">
        <f>VLOOKUP('Old Data'!$F231,$Z$6:$AB$135,2,FALSE)+VLOOKUP('Old Data'!$P231,$Z$6:$AB$135,3,FALSE)+$D$2</f>
        <v>27.054752807706297</v>
      </c>
      <c r="K235" s="72">
        <f>VLOOKUP('Old Data'!$P231,$Z$6:$AB$135,2,FALSE)+VLOOKUP('Old Data'!$F231,$Z$6:$AB$135,3,FALSE)+$D$2</f>
        <v>40.600384283745854</v>
      </c>
      <c r="L235" s="74">
        <f>('Old Data'!$L231+'Old Data'!$M231-$J235)^2+('Old Data'!$V231+'Old Data'!$W231-$K235)^2</f>
        <v>830.99364262379822</v>
      </c>
      <c r="M235" s="75">
        <f>'Old Data'!$N231-'Old Data'!$X231</f>
        <v>1</v>
      </c>
      <c r="N235" s="72">
        <f>VLOOKUP('Old Data'!$F231,$AD$6:$AF$135,2,FALSE)+VLOOKUP('Old Data'!$P231,$AD$6:$AF$135,3,FALSE)+$E$2</f>
        <v>1.5598092336496376</v>
      </c>
      <c r="O235" s="72">
        <f>VLOOKUP('Old Data'!$P231,$AD$6:$AF$135,2,FALSE)+VLOOKUP('Old Data'!$F231,$AD$6:$AF$135,3,FALSE)+$E$2</f>
        <v>1.7978524289795002</v>
      </c>
      <c r="P235" s="73">
        <f>('Old Data'!$N231-$N235)^2+('Old Data'!$X231-$O235)^2</f>
        <v>3.545659734466883</v>
      </c>
      <c r="Q235" s="62"/>
      <c r="R235" s="3"/>
      <c r="S235" s="3"/>
      <c r="T235" s="3"/>
      <c r="V235" s="3"/>
      <c r="W235" s="3"/>
      <c r="X235" s="3"/>
      <c r="Z235" s="3"/>
      <c r="AA235" s="3"/>
      <c r="AB235" s="3"/>
      <c r="AC235" s="3"/>
      <c r="AD235" s="3"/>
      <c r="AE235" s="3"/>
      <c r="AF235" s="3"/>
      <c r="AG235" s="3"/>
      <c r="AH235" s="37"/>
      <c r="AI235" s="1"/>
      <c r="AK235" s="10"/>
      <c r="AL235" s="10"/>
      <c r="AM235" s="10"/>
      <c r="AN235" s="11"/>
      <c r="AO235" s="11"/>
      <c r="AP235" s="11"/>
      <c r="AQ235" s="36"/>
      <c r="AR235" s="11"/>
      <c r="AS235" s="11"/>
      <c r="AT235" s="11"/>
      <c r="AU235" s="12"/>
      <c r="AV235" s="11"/>
      <c r="AW235" s="11"/>
      <c r="AX235" s="15"/>
      <c r="AY235" s="15"/>
      <c r="AZ235" s="15"/>
      <c r="BA235" s="15"/>
      <c r="BB235" s="15"/>
      <c r="BC235" s="15"/>
      <c r="BD235" s="15"/>
      <c r="BE235" s="12"/>
      <c r="BF235" s="11"/>
      <c r="BG235" s="11"/>
      <c r="BH235" s="10"/>
      <c r="BI235" s="10"/>
      <c r="BJ235" s="10"/>
      <c r="BK235" s="23"/>
      <c r="BL235" s="23"/>
      <c r="BM235" s="23"/>
      <c r="BN235" s="23"/>
      <c r="BO235" s="23"/>
      <c r="BP235" s="23"/>
      <c r="BQ235" s="23"/>
      <c r="BR235" s="10"/>
      <c r="BS235" s="16"/>
      <c r="BT235" s="16"/>
      <c r="BU235" s="16"/>
      <c r="BV235" s="16"/>
      <c r="BW235" s="11"/>
      <c r="BX235" s="16"/>
      <c r="BY235" s="16"/>
      <c r="BZ235" s="17"/>
      <c r="CA235" s="18"/>
      <c r="CB235" s="18"/>
      <c r="CC235" s="18"/>
      <c r="CD235" s="18"/>
      <c r="CE235" s="18"/>
      <c r="CF235" s="18"/>
      <c r="CG235" s="19"/>
      <c r="CH235" s="15"/>
      <c r="CI235" s="17"/>
      <c r="CJ235" s="10"/>
      <c r="CK235" s="10"/>
      <c r="CL235" s="10"/>
      <c r="CM235" s="17"/>
      <c r="CN235" s="17"/>
      <c r="CO235" s="10"/>
      <c r="CP235" s="10"/>
      <c r="CQ235" s="10"/>
      <c r="CR235" s="10"/>
      <c r="CS235" s="10"/>
      <c r="CT235" s="10"/>
      <c r="CU235" s="10"/>
      <c r="CV235" s="10"/>
      <c r="CW235" s="10"/>
      <c r="CX235" s="10"/>
      <c r="CY235" s="10"/>
      <c r="CZ235" s="10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34"/>
      <c r="DV235" s="34"/>
      <c r="DW235" s="34"/>
      <c r="DX235" s="34"/>
      <c r="DY235" s="34"/>
      <c r="DZ235" s="34"/>
      <c r="EA235" s="34"/>
      <c r="EB235" s="34"/>
      <c r="EC235" s="34"/>
      <c r="ED235" s="34"/>
      <c r="EE235" s="34"/>
    </row>
    <row r="236" spans="1:135" customFormat="1">
      <c r="A236" s="71">
        <f>'Old Data'!$I232-'Old Data'!$S232</f>
        <v>-257</v>
      </c>
      <c r="B236" s="72">
        <f>VLOOKUP('Old Data'!$F232,$R$6:$T$135,2,FALSE)+VLOOKUP('Old Data'!$P232,$R$6:$T$135,3,FALSE)+$B$2</f>
        <v>107.04870428019251</v>
      </c>
      <c r="C236" s="72">
        <f>VLOOKUP('Old Data'!$P232,$R$6:$T$135,2,FALSE)+VLOOKUP('Old Data'!$F232,$R$6:$T$135,3,FALSE)+$B$2</f>
        <v>241.99376036004691</v>
      </c>
      <c r="D236" s="74">
        <f>('Old Data'!$I232-$B236)^2+('Old Data'!$S232-$C236)^2</f>
        <v>7546.1110643344273</v>
      </c>
      <c r="E236" s="75">
        <f>'Old Data'!$K232-'Old Data'!$U232</f>
        <v>116</v>
      </c>
      <c r="F236" s="72">
        <f>VLOOKUP('Old Data'!$F232,$V$6:$X$135,2,FALSE)+VLOOKUP('Old Data'!$P232,$V$6:$X$135,3,FALSE)+$C$2</f>
        <v>143.91372003096041</v>
      </c>
      <c r="G236" s="72">
        <f>VLOOKUP('Old Data'!$P232,$V$6:$X$135,2,FALSE)+VLOOKUP('Old Data'!$F232,$V$6:$X$135,3,FALSE)+$C$2</f>
        <v>64.166144491473347</v>
      </c>
      <c r="H236" s="74">
        <f>('Old Data'!$K232-$F236)^2+('Old Data'!$U232-$G236)^2</f>
        <v>2700.0109993678102</v>
      </c>
      <c r="I236" s="75">
        <f>('Old Data'!$L232+'Old Data'!$M232)-('Old Data'!$V232+'Old Data'!$W232)</f>
        <v>31</v>
      </c>
      <c r="J236" s="72">
        <f>VLOOKUP('Old Data'!$F232,$Z$6:$AB$135,2,FALSE)+VLOOKUP('Old Data'!$P232,$Z$6:$AB$135,3,FALSE)+$D$2</f>
        <v>34.381755775860789</v>
      </c>
      <c r="K236" s="72">
        <f>VLOOKUP('Old Data'!$P232,$Z$6:$AB$135,2,FALSE)+VLOOKUP('Old Data'!$F232,$Z$6:$AB$135,3,FALSE)+$D$2</f>
        <v>48.814204885427799</v>
      </c>
      <c r="L236" s="74">
        <f>('Old Data'!$L232+'Old Data'!$M232-$J236)^2+('Old Data'!$V232+'Old Data'!$W232-$K236)^2</f>
        <v>1687.1275001434735</v>
      </c>
      <c r="M236" s="75">
        <f>'Old Data'!$N232-'Old Data'!$X232</f>
        <v>-1</v>
      </c>
      <c r="N236" s="72">
        <f>VLOOKUP('Old Data'!$F232,$AD$6:$AF$135,2,FALSE)+VLOOKUP('Old Data'!$P232,$AD$6:$AF$135,3,FALSE)+$E$2</f>
        <v>0.62559923763145919</v>
      </c>
      <c r="O236" s="72">
        <f>VLOOKUP('Old Data'!$P232,$AD$6:$AF$135,2,FALSE)+VLOOKUP('Old Data'!$F232,$AD$6:$AF$135,3,FALSE)+$E$2</f>
        <v>1.6867786129686519</v>
      </c>
      <c r="P236" s="73">
        <f>('Old Data'!$N232-$N236)^2+('Old Data'!$X232-$O236)^2</f>
        <v>0.86303926935620834</v>
      </c>
      <c r="Q236" s="62"/>
      <c r="R236" s="3"/>
      <c r="S236" s="3"/>
      <c r="T236" s="3"/>
      <c r="V236" s="3"/>
      <c r="W236" s="3"/>
      <c r="X236" s="3"/>
      <c r="Z236" s="3"/>
      <c r="AA236" s="3"/>
      <c r="AB236" s="3"/>
      <c r="AC236" s="3"/>
      <c r="AD236" s="3"/>
      <c r="AE236" s="3"/>
      <c r="AF236" s="3"/>
      <c r="AG236" s="3"/>
      <c r="AH236" s="37"/>
      <c r="AI236" s="1"/>
      <c r="AK236" s="10"/>
      <c r="AL236" s="10"/>
      <c r="AM236" s="10"/>
      <c r="AN236" s="11"/>
      <c r="AO236" s="11"/>
      <c r="AP236" s="11"/>
      <c r="AQ236" s="36"/>
      <c r="AR236" s="11"/>
      <c r="AS236" s="11"/>
      <c r="AT236" s="11"/>
      <c r="AU236" s="12"/>
      <c r="AV236" s="11"/>
      <c r="AW236" s="11"/>
      <c r="AX236" s="15"/>
      <c r="AY236" s="15"/>
      <c r="AZ236" s="15"/>
      <c r="BA236" s="15"/>
      <c r="BB236" s="15"/>
      <c r="BC236" s="15"/>
      <c r="BD236" s="15"/>
      <c r="BE236" s="12"/>
      <c r="BF236" s="11"/>
      <c r="BG236" s="11"/>
      <c r="BH236" s="10"/>
      <c r="BI236" s="10"/>
      <c r="BJ236" s="10"/>
      <c r="BK236" s="23"/>
      <c r="BL236" s="23"/>
      <c r="BM236" s="23"/>
      <c r="BN236" s="23"/>
      <c r="BO236" s="23"/>
      <c r="BP236" s="23"/>
      <c r="BQ236" s="23"/>
      <c r="BR236" s="10"/>
      <c r="BS236" s="16"/>
      <c r="BT236" s="16"/>
      <c r="BU236" s="16"/>
      <c r="BV236" s="16"/>
      <c r="BW236" s="11"/>
      <c r="BX236" s="16"/>
      <c r="BY236" s="16"/>
      <c r="BZ236" s="17"/>
      <c r="CA236" s="18"/>
      <c r="CB236" s="18"/>
      <c r="CC236" s="18"/>
      <c r="CD236" s="18"/>
      <c r="CE236" s="18"/>
      <c r="CF236" s="18"/>
      <c r="CG236" s="19"/>
      <c r="CH236" s="15"/>
      <c r="CI236" s="17"/>
      <c r="CJ236" s="10"/>
      <c r="CK236" s="10"/>
      <c r="CL236" s="10"/>
      <c r="CM236" s="17"/>
      <c r="CN236" s="17"/>
      <c r="CO236" s="10"/>
      <c r="CP236" s="10"/>
      <c r="CQ236" s="10"/>
      <c r="CR236" s="10"/>
      <c r="CS236" s="10"/>
      <c r="CT236" s="10"/>
      <c r="CU236" s="10"/>
      <c r="CV236" s="10"/>
      <c r="CW236" s="10"/>
      <c r="CX236" s="10"/>
      <c r="CY236" s="10"/>
      <c r="CZ236" s="10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34"/>
      <c r="DV236" s="34"/>
      <c r="DW236" s="34"/>
      <c r="DX236" s="34"/>
      <c r="DY236" s="34"/>
      <c r="DZ236" s="34"/>
      <c r="EA236" s="34"/>
      <c r="EB236" s="34"/>
      <c r="EC236" s="34"/>
      <c r="ED236" s="34"/>
      <c r="EE236" s="34"/>
    </row>
    <row r="237" spans="1:135" customFormat="1">
      <c r="A237" s="71">
        <f>'Old Data'!$I233-'Old Data'!$S233</f>
        <v>68</v>
      </c>
      <c r="B237" s="72">
        <f>VLOOKUP('Old Data'!$F233,$R$6:$T$135,2,FALSE)+VLOOKUP('Old Data'!$P233,$R$6:$T$135,3,FALSE)+$B$2</f>
        <v>221.74312895796641</v>
      </c>
      <c r="C237" s="72">
        <f>VLOOKUP('Old Data'!$P233,$R$6:$T$135,2,FALSE)+VLOOKUP('Old Data'!$F233,$R$6:$T$135,3,FALSE)+$B$2</f>
        <v>164.41528674699481</v>
      </c>
      <c r="D237" s="74">
        <f>('Old Data'!$I233-$B237)^2+('Old Data'!$S233-$C237)^2</f>
        <v>2245.4154602321892</v>
      </c>
      <c r="E237" s="75">
        <f>'Old Data'!$K233-'Old Data'!$U233</f>
        <v>-148</v>
      </c>
      <c r="F237" s="72">
        <f>VLOOKUP('Old Data'!$F233,$V$6:$X$135,2,FALSE)+VLOOKUP('Old Data'!$P233,$V$6:$X$135,3,FALSE)+$C$2</f>
        <v>159.9869081552585</v>
      </c>
      <c r="G237" s="72">
        <f>VLOOKUP('Old Data'!$P233,$V$6:$X$135,2,FALSE)+VLOOKUP('Old Data'!$F233,$V$6:$X$135,3,FALSE)+$C$2</f>
        <v>286.2858044088826</v>
      </c>
      <c r="H237" s="74">
        <f>('Old Data'!$K233-$F237)^2+('Old Data'!$U233-$G237)^2</f>
        <v>235.50613797680541</v>
      </c>
      <c r="I237" s="75">
        <f>('Old Data'!$L233+'Old Data'!$M233)-('Old Data'!$V233+'Old Data'!$W233)</f>
        <v>-57</v>
      </c>
      <c r="J237" s="72">
        <f>VLOOKUP('Old Data'!$F233,$Z$6:$AB$135,2,FALSE)+VLOOKUP('Old Data'!$P233,$Z$6:$AB$135,3,FALSE)+$D$2</f>
        <v>73.754163430261258</v>
      </c>
      <c r="K237" s="72">
        <f>VLOOKUP('Old Data'!$P233,$Z$6:$AB$135,2,FALSE)+VLOOKUP('Old Data'!$F233,$Z$6:$AB$135,3,FALSE)+$D$2</f>
        <v>51.367932474740797</v>
      </c>
      <c r="L237" s="74">
        <f>('Old Data'!$L233+'Old Data'!$M233-$J237)^2+('Old Data'!$V233+'Old Data'!$W233-$K237)^2</f>
        <v>3442.024588086676</v>
      </c>
      <c r="M237" s="75">
        <f>'Old Data'!$N233-'Old Data'!$X233</f>
        <v>3</v>
      </c>
      <c r="N237" s="72">
        <f>VLOOKUP('Old Data'!$F233,$AD$6:$AF$135,2,FALSE)+VLOOKUP('Old Data'!$P233,$AD$6:$AF$135,3,FALSE)+$E$2</f>
        <v>1.9936825925551931</v>
      </c>
      <c r="O237" s="72">
        <f>VLOOKUP('Old Data'!$P233,$AD$6:$AF$135,2,FALSE)+VLOOKUP('Old Data'!$F233,$AD$6:$AF$135,3,FALSE)+$E$2</f>
        <v>1.4097426145549299</v>
      </c>
      <c r="P237" s="73">
        <f>('Old Data'!$N233-$N237)^2+('Old Data'!$X233-$O237)^2</f>
        <v>4.1931985495983612</v>
      </c>
      <c r="Q237" s="62"/>
      <c r="R237" s="3"/>
      <c r="S237" s="3"/>
      <c r="T237" s="3"/>
      <c r="V237" s="3"/>
      <c r="W237" s="3"/>
      <c r="X237" s="3"/>
      <c r="Z237" s="3"/>
      <c r="AA237" s="3"/>
      <c r="AB237" s="3"/>
      <c r="AC237" s="3"/>
      <c r="AD237" s="3"/>
      <c r="AE237" s="3"/>
      <c r="AF237" s="3"/>
      <c r="AG237" s="3"/>
      <c r="AH237" s="37"/>
      <c r="AI237" s="1"/>
      <c r="AK237" s="10"/>
      <c r="AL237" s="10"/>
      <c r="AM237" s="10"/>
      <c r="AN237" s="11"/>
      <c r="AO237" s="11"/>
      <c r="AP237" s="11"/>
      <c r="AQ237" s="36"/>
      <c r="AR237" s="11"/>
      <c r="AS237" s="11"/>
      <c r="AT237" s="11"/>
      <c r="AU237" s="12"/>
      <c r="AV237" s="11"/>
      <c r="AW237" s="11"/>
      <c r="AX237" s="15"/>
      <c r="AY237" s="15"/>
      <c r="AZ237" s="15"/>
      <c r="BA237" s="15"/>
      <c r="BB237" s="15"/>
      <c r="BC237" s="15"/>
      <c r="BD237" s="15"/>
      <c r="BE237" s="12"/>
      <c r="BF237" s="11"/>
      <c r="BG237" s="11"/>
      <c r="BH237" s="10"/>
      <c r="BI237" s="10"/>
      <c r="BJ237" s="10"/>
      <c r="BK237" s="23"/>
      <c r="BL237" s="23"/>
      <c r="BM237" s="23"/>
      <c r="BN237" s="23"/>
      <c r="BO237" s="23"/>
      <c r="BP237" s="23"/>
      <c r="BQ237" s="23"/>
      <c r="BR237" s="10"/>
      <c r="BS237" s="16"/>
      <c r="BT237" s="16"/>
      <c r="BU237" s="16"/>
      <c r="BV237" s="16"/>
      <c r="BW237" s="11"/>
      <c r="BX237" s="16"/>
      <c r="BY237" s="16"/>
      <c r="BZ237" s="17"/>
      <c r="CA237" s="18"/>
      <c r="CB237" s="18"/>
      <c r="CC237" s="18"/>
      <c r="CD237" s="18"/>
      <c r="CE237" s="18"/>
      <c r="CF237" s="18"/>
      <c r="CG237" s="19"/>
      <c r="CH237" s="15"/>
      <c r="CI237" s="17"/>
      <c r="CJ237" s="10"/>
      <c r="CK237" s="10"/>
      <c r="CL237" s="10"/>
      <c r="CM237" s="17"/>
      <c r="CN237" s="17"/>
      <c r="CO237" s="10"/>
      <c r="CP237" s="10"/>
      <c r="CQ237" s="10"/>
      <c r="CR237" s="10"/>
      <c r="CS237" s="10"/>
      <c r="CT237" s="10"/>
      <c r="CU237" s="10"/>
      <c r="CV237" s="10"/>
      <c r="CW237" s="10"/>
      <c r="CX237" s="10"/>
      <c r="CY237" s="10"/>
      <c r="CZ237" s="10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34"/>
      <c r="DV237" s="34"/>
      <c r="DW237" s="34"/>
      <c r="DX237" s="34"/>
      <c r="DY237" s="34"/>
      <c r="DZ237" s="34"/>
      <c r="EA237" s="34"/>
      <c r="EB237" s="34"/>
      <c r="EC237" s="34"/>
      <c r="ED237" s="34"/>
      <c r="EE237" s="34"/>
    </row>
    <row r="238" spans="1:135" customFormat="1">
      <c r="A238" s="71">
        <f>'Old Data'!$I234-'Old Data'!$S234</f>
        <v>-186</v>
      </c>
      <c r="B238" s="72">
        <f>VLOOKUP('Old Data'!$F234,$R$6:$T$135,2,FALSE)+VLOOKUP('Old Data'!$P234,$R$6:$T$135,3,FALSE)+$B$2</f>
        <v>99.538527536236401</v>
      </c>
      <c r="C238" s="72">
        <f>VLOOKUP('Old Data'!$P234,$R$6:$T$135,2,FALSE)+VLOOKUP('Old Data'!$F234,$R$6:$T$135,3,FALSE)+$B$2</f>
        <v>274.34002963044122</v>
      </c>
      <c r="D238" s="74">
        <f>('Old Data'!$I234-$B238)^2+('Old Data'!$S234-$C238)^2</f>
        <v>3580.5093538548526</v>
      </c>
      <c r="E238" s="75">
        <f>'Old Data'!$K234-'Old Data'!$U234</f>
        <v>251</v>
      </c>
      <c r="F238" s="72">
        <f>VLOOKUP('Old Data'!$F234,$V$6:$X$135,2,FALSE)+VLOOKUP('Old Data'!$P234,$V$6:$X$135,3,FALSE)+$C$2</f>
        <v>415.99466305223893</v>
      </c>
      <c r="G238" s="72">
        <f>VLOOKUP('Old Data'!$P234,$V$6:$X$135,2,FALSE)+VLOOKUP('Old Data'!$F234,$V$6:$X$135,3,FALSE)+$C$2</f>
        <v>189.67260685049067</v>
      </c>
      <c r="H238" s="74">
        <f>('Old Data'!$K234-$F238)^2+('Old Data'!$U234-$G238)^2</f>
        <v>838.07571650372722</v>
      </c>
      <c r="I238" s="75">
        <f>('Old Data'!$L234+'Old Data'!$M234)-('Old Data'!$V234+'Old Data'!$W234)</f>
        <v>-108</v>
      </c>
      <c r="J238" s="72">
        <f>VLOOKUP('Old Data'!$F234,$Z$6:$AB$135,2,FALSE)+VLOOKUP('Old Data'!$P234,$Z$6:$AB$135,3,FALSE)+$D$2</f>
        <v>32.020644044725245</v>
      </c>
      <c r="K238" s="72">
        <f>VLOOKUP('Old Data'!$P234,$Z$6:$AB$135,2,FALSE)+VLOOKUP('Old Data'!$F234,$Z$6:$AB$135,3,FALSE)+$D$2</f>
        <v>75.211257018666117</v>
      </c>
      <c r="L238" s="74">
        <f>('Old Data'!$L234+'Old Data'!$M234-$J238)^2+('Old Data'!$V234+'Old Data'!$W234-$K238)^2</f>
        <v>2513.9300815600122</v>
      </c>
      <c r="M238" s="75">
        <f>'Old Data'!$N234-'Old Data'!$X234</f>
        <v>5</v>
      </c>
      <c r="N238" s="72">
        <f>VLOOKUP('Old Data'!$F234,$AD$6:$AF$135,2,FALSE)+VLOOKUP('Old Data'!$P234,$AD$6:$AF$135,3,FALSE)+$E$2</f>
        <v>2.6119459208882931</v>
      </c>
      <c r="O238" s="72">
        <f>VLOOKUP('Old Data'!$P234,$AD$6:$AF$135,2,FALSE)+VLOOKUP('Old Data'!$F234,$AD$6:$AF$135,3,FALSE)+$E$2</f>
        <v>0.60923356128991712</v>
      </c>
      <c r="P238" s="73">
        <f>('Old Data'!$N234-$N238)^2+('Old Data'!$X234-$O238)^2</f>
        <v>11.631608852607638</v>
      </c>
      <c r="Q238" s="62"/>
      <c r="R238" s="3"/>
      <c r="S238" s="3"/>
      <c r="T238" s="3"/>
      <c r="V238" s="3"/>
      <c r="W238" s="3"/>
      <c r="X238" s="3"/>
      <c r="Z238" s="3"/>
      <c r="AA238" s="3"/>
      <c r="AB238" s="3"/>
      <c r="AC238" s="3"/>
      <c r="AD238" s="3"/>
      <c r="AE238" s="3"/>
      <c r="AF238" s="3"/>
      <c r="AG238" s="3"/>
      <c r="AH238" s="37"/>
      <c r="AI238" s="1"/>
      <c r="AK238" s="10"/>
      <c r="AL238" s="10"/>
      <c r="AM238" s="10"/>
      <c r="AN238" s="11"/>
      <c r="AO238" s="11"/>
      <c r="AP238" s="11"/>
      <c r="AQ238" s="36"/>
      <c r="AR238" s="11"/>
      <c r="AS238" s="11"/>
      <c r="AT238" s="11"/>
      <c r="AU238" s="12"/>
      <c r="AV238" s="11"/>
      <c r="AW238" s="11"/>
      <c r="AX238" s="15"/>
      <c r="AY238" s="15"/>
      <c r="AZ238" s="15"/>
      <c r="BA238" s="15"/>
      <c r="BB238" s="15"/>
      <c r="BC238" s="15"/>
      <c r="BD238" s="15"/>
      <c r="BE238" s="12"/>
      <c r="BF238" s="11"/>
      <c r="BG238" s="11"/>
      <c r="BH238" s="10"/>
      <c r="BI238" s="10"/>
      <c r="BJ238" s="10"/>
      <c r="BK238" s="23"/>
      <c r="BL238" s="23"/>
      <c r="BM238" s="23"/>
      <c r="BN238" s="23"/>
      <c r="BO238" s="23"/>
      <c r="BP238" s="23"/>
      <c r="BQ238" s="23"/>
      <c r="BR238" s="10"/>
      <c r="BS238" s="16"/>
      <c r="BT238" s="16"/>
      <c r="BU238" s="16"/>
      <c r="BV238" s="16"/>
      <c r="BW238" s="11"/>
      <c r="BX238" s="16"/>
      <c r="BY238" s="16"/>
      <c r="BZ238" s="17"/>
      <c r="CA238" s="18"/>
      <c r="CB238" s="18"/>
      <c r="CC238" s="18"/>
      <c r="CD238" s="18"/>
      <c r="CE238" s="18"/>
      <c r="CF238" s="18"/>
      <c r="CG238" s="19"/>
      <c r="CH238" s="15"/>
      <c r="CI238" s="17"/>
      <c r="CJ238" s="10"/>
      <c r="CK238" s="10"/>
      <c r="CL238" s="10"/>
      <c r="CM238" s="17"/>
      <c r="CN238" s="17"/>
      <c r="CO238" s="10"/>
      <c r="CP238" s="10"/>
      <c r="CQ238" s="10"/>
      <c r="CR238" s="10"/>
      <c r="CS238" s="10"/>
      <c r="CT238" s="10"/>
      <c r="CU238" s="10"/>
      <c r="CV238" s="10"/>
      <c r="CW238" s="10"/>
      <c r="CX238" s="10"/>
      <c r="CY238" s="10"/>
      <c r="CZ238" s="10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34"/>
      <c r="DV238" s="34"/>
      <c r="DW238" s="34"/>
      <c r="DX238" s="34"/>
      <c r="DY238" s="34"/>
      <c r="DZ238" s="34"/>
      <c r="EA238" s="34"/>
      <c r="EB238" s="34"/>
      <c r="EC238" s="34"/>
      <c r="ED238" s="34"/>
      <c r="EE238" s="34"/>
    </row>
    <row r="239" spans="1:135" customFormat="1">
      <c r="A239" s="71">
        <f>'Old Data'!$I235-'Old Data'!$S235</f>
        <v>-131</v>
      </c>
      <c r="B239" s="72">
        <f>VLOOKUP('Old Data'!$F235,$R$6:$T$135,2,FALSE)+VLOOKUP('Old Data'!$P235,$R$6:$T$135,3,FALSE)+$B$2</f>
        <v>230.1733324375443</v>
      </c>
      <c r="C239" s="72">
        <f>VLOOKUP('Old Data'!$P235,$R$6:$T$135,2,FALSE)+VLOOKUP('Old Data'!$F235,$R$6:$T$135,3,FALSE)+$B$2</f>
        <v>248.84623498971737</v>
      </c>
      <c r="D239" s="74">
        <f>('Old Data'!$I235-$B239)^2+('Old Data'!$S235-$C239)^2</f>
        <v>7029.9450397329647</v>
      </c>
      <c r="E239" s="75">
        <f>'Old Data'!$K235-'Old Data'!$U235</f>
        <v>-31</v>
      </c>
      <c r="F239" s="72">
        <f>VLOOKUP('Old Data'!$F235,$V$6:$X$135,2,FALSE)+VLOOKUP('Old Data'!$P235,$V$6:$X$135,3,FALSE)+$C$2</f>
        <v>80.285355685689524</v>
      </c>
      <c r="G239" s="72">
        <f>VLOOKUP('Old Data'!$P235,$V$6:$X$135,2,FALSE)+VLOOKUP('Old Data'!$F235,$V$6:$X$135,3,FALSE)+$C$2</f>
        <v>167.602418408646</v>
      </c>
      <c r="H239" s="74">
        <f>('Old Data'!$K235-$F239)^2+('Old Data'!$U235-$G239)^2</f>
        <v>9164.1158605943892</v>
      </c>
      <c r="I239" s="75">
        <f>('Old Data'!$L235+'Old Data'!$M235)-('Old Data'!$V235+'Old Data'!$W235)</f>
        <v>-21</v>
      </c>
      <c r="J239" s="72">
        <f>VLOOKUP('Old Data'!$F235,$Z$6:$AB$135,2,FALSE)+VLOOKUP('Old Data'!$P235,$Z$6:$AB$135,3,FALSE)+$D$2</f>
        <v>17.090948323405485</v>
      </c>
      <c r="K239" s="72">
        <f>VLOOKUP('Old Data'!$P235,$Z$6:$AB$135,2,FALSE)+VLOOKUP('Old Data'!$F235,$Z$6:$AB$135,3,FALSE)+$D$2</f>
        <v>95.190412828151693</v>
      </c>
      <c r="L239" s="74">
        <f>('Old Data'!$L235+'Old Data'!$M235-$J239)^2+('Old Data'!$V235+'Old Data'!$W235-$K239)^2</f>
        <v>1987.1172543211451</v>
      </c>
      <c r="M239" s="75">
        <f>'Old Data'!$N235-'Old Data'!$X235</f>
        <v>1</v>
      </c>
      <c r="N239" s="72">
        <f>VLOOKUP('Old Data'!$F235,$AD$6:$AF$135,2,FALSE)+VLOOKUP('Old Data'!$P235,$AD$6:$AF$135,3,FALSE)+$E$2</f>
        <v>1.039556807614499</v>
      </c>
      <c r="O239" s="72">
        <f>VLOOKUP('Old Data'!$P235,$AD$6:$AF$135,2,FALSE)+VLOOKUP('Old Data'!$F235,$AD$6:$AF$135,3,FALSE)+$E$2</f>
        <v>0.98250999792435545</v>
      </c>
      <c r="P239" s="73">
        <f>('Old Data'!$N235-$N239)^2+('Old Data'!$X235-$O239)^2</f>
        <v>0.9227570259722585</v>
      </c>
      <c r="Q239" s="62"/>
      <c r="R239" s="3"/>
      <c r="S239" s="3"/>
      <c r="T239" s="3"/>
      <c r="V239" s="3"/>
      <c r="W239" s="3"/>
      <c r="X239" s="3"/>
      <c r="Z239" s="3"/>
      <c r="AA239" s="3"/>
      <c r="AB239" s="3"/>
      <c r="AC239" s="3"/>
      <c r="AD239" s="3"/>
      <c r="AE239" s="3"/>
      <c r="AF239" s="3"/>
      <c r="AG239" s="3"/>
      <c r="AH239" s="37"/>
      <c r="AI239" s="1"/>
      <c r="AK239" s="10"/>
      <c r="AL239" s="10"/>
      <c r="AM239" s="10"/>
      <c r="AN239" s="11"/>
      <c r="AO239" s="11"/>
      <c r="AP239" s="11"/>
      <c r="AQ239" s="36"/>
      <c r="AR239" s="11"/>
      <c r="AS239" s="11"/>
      <c r="AT239" s="11"/>
      <c r="AU239" s="12"/>
      <c r="AV239" s="11"/>
      <c r="AW239" s="11"/>
      <c r="AX239" s="15"/>
      <c r="AY239" s="15"/>
      <c r="AZ239" s="15"/>
      <c r="BA239" s="15"/>
      <c r="BB239" s="15"/>
      <c r="BC239" s="15"/>
      <c r="BD239" s="15"/>
      <c r="BE239" s="12"/>
      <c r="BF239" s="11"/>
      <c r="BG239" s="11"/>
      <c r="BH239" s="10"/>
      <c r="BI239" s="10"/>
      <c r="BJ239" s="10"/>
      <c r="BK239" s="23"/>
      <c r="BL239" s="23"/>
      <c r="BM239" s="23"/>
      <c r="BN239" s="23"/>
      <c r="BO239" s="23"/>
      <c r="BP239" s="23"/>
      <c r="BQ239" s="23"/>
      <c r="BR239" s="10"/>
      <c r="BS239" s="16"/>
      <c r="BT239" s="16"/>
      <c r="BU239" s="16"/>
      <c r="BV239" s="16"/>
      <c r="BW239" s="11"/>
      <c r="BX239" s="16"/>
      <c r="BY239" s="16"/>
      <c r="BZ239" s="17"/>
      <c r="CA239" s="18"/>
      <c r="CB239" s="18"/>
      <c r="CC239" s="18"/>
      <c r="CD239" s="18"/>
      <c r="CE239" s="18"/>
      <c r="CF239" s="18"/>
      <c r="CG239" s="19"/>
      <c r="CH239" s="15"/>
      <c r="CI239" s="17"/>
      <c r="CJ239" s="10"/>
      <c r="CK239" s="10"/>
      <c r="CL239" s="10"/>
      <c r="CM239" s="17"/>
      <c r="CN239" s="17"/>
      <c r="CO239" s="10"/>
      <c r="CP239" s="10"/>
      <c r="CQ239" s="10"/>
      <c r="CR239" s="10"/>
      <c r="CS239" s="10"/>
      <c r="CT239" s="10"/>
      <c r="CU239" s="10"/>
      <c r="CV239" s="10"/>
      <c r="CW239" s="10"/>
      <c r="CX239" s="10"/>
      <c r="CY239" s="10"/>
      <c r="CZ239" s="10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34"/>
      <c r="DV239" s="34"/>
      <c r="DW239" s="34"/>
      <c r="DX239" s="34"/>
      <c r="DY239" s="34"/>
      <c r="DZ239" s="34"/>
      <c r="EA239" s="34"/>
      <c r="EB239" s="34"/>
      <c r="EC239" s="34"/>
      <c r="ED239" s="34"/>
      <c r="EE239" s="34"/>
    </row>
    <row r="240" spans="1:135" customFormat="1">
      <c r="A240" s="71">
        <f>'Old Data'!$I236-'Old Data'!$S236</f>
        <v>-5</v>
      </c>
      <c r="B240" s="72">
        <f>VLOOKUP('Old Data'!$F236,$R$6:$T$135,2,FALSE)+VLOOKUP('Old Data'!$P236,$R$6:$T$135,3,FALSE)+$B$2</f>
        <v>240.30512838145771</v>
      </c>
      <c r="C240" s="72">
        <f>VLOOKUP('Old Data'!$P236,$R$6:$T$135,2,FALSE)+VLOOKUP('Old Data'!$F236,$R$6:$T$135,3,FALSE)+$B$2</f>
        <v>142.14655998425539</v>
      </c>
      <c r="D240" s="74">
        <f>('Old Data'!$I236-$B240)^2+('Old Data'!$S236-$C240)^2</f>
        <v>5440.2224535556907</v>
      </c>
      <c r="E240" s="75">
        <f>'Old Data'!$K236-'Old Data'!$U236</f>
        <v>42</v>
      </c>
      <c r="F240" s="72">
        <f>VLOOKUP('Old Data'!$F236,$V$6:$X$135,2,FALSE)+VLOOKUP('Old Data'!$P236,$V$6:$X$135,3,FALSE)+$C$2</f>
        <v>160.5891254781823</v>
      </c>
      <c r="G240" s="72">
        <f>VLOOKUP('Old Data'!$P236,$V$6:$X$135,2,FALSE)+VLOOKUP('Old Data'!$F236,$V$6:$X$135,3,FALSE)+$C$2</f>
        <v>205.60510815612</v>
      </c>
      <c r="H240" s="74">
        <f>('Old Data'!$K236-$F240)^2+('Old Data'!$U236-$G240)^2</f>
        <v>3886.6287549361559</v>
      </c>
      <c r="I240" s="75">
        <f>('Old Data'!$L236+'Old Data'!$M236)-('Old Data'!$V236+'Old Data'!$W236)</f>
        <v>-25</v>
      </c>
      <c r="J240" s="72">
        <f>VLOOKUP('Old Data'!$F236,$Z$6:$AB$135,2,FALSE)+VLOOKUP('Old Data'!$P236,$Z$6:$AB$135,3,FALSE)+$D$2</f>
        <v>20.465204952402495</v>
      </c>
      <c r="K240" s="72">
        <f>VLOOKUP('Old Data'!$P236,$Z$6:$AB$135,2,FALSE)+VLOOKUP('Old Data'!$F236,$Z$6:$AB$135,3,FALSE)+$D$2</f>
        <v>83.808096874805486</v>
      </c>
      <c r="L240" s="74">
        <f>('Old Data'!$L236+'Old Data'!$M236-$J240)^2+('Old Data'!$V236+'Old Data'!$W236-$K240)^2</f>
        <v>3877.2168717803461</v>
      </c>
      <c r="M240" s="75">
        <f>'Old Data'!$N236-'Old Data'!$X236</f>
        <v>1</v>
      </c>
      <c r="N240" s="72">
        <f>VLOOKUP('Old Data'!$F236,$AD$6:$AF$135,2,FALSE)+VLOOKUP('Old Data'!$P236,$AD$6:$AF$135,3,FALSE)+$E$2</f>
        <v>1.6418708433425289</v>
      </c>
      <c r="O240" s="72">
        <f>VLOOKUP('Old Data'!$P236,$AD$6:$AF$135,2,FALSE)+VLOOKUP('Old Data'!$F236,$AD$6:$AF$135,3,FALSE)+$E$2</f>
        <v>0.96846002692970712</v>
      </c>
      <c r="P240" s="73">
        <f>('Old Data'!$N236-$N240)^2+('Old Data'!$X236-$O240)^2</f>
        <v>0.12925126274946633</v>
      </c>
      <c r="Q240" s="62"/>
      <c r="R240" s="3"/>
      <c r="S240" s="3"/>
      <c r="T240" s="3"/>
      <c r="V240" s="3"/>
      <c r="W240" s="3"/>
      <c r="X240" s="3"/>
      <c r="Z240" s="3"/>
      <c r="AA240" s="3"/>
      <c r="AB240" s="3"/>
      <c r="AC240" s="3"/>
      <c r="AD240" s="3"/>
      <c r="AE240" s="3"/>
      <c r="AF240" s="3"/>
      <c r="AG240" s="3"/>
      <c r="AH240" s="37"/>
      <c r="AI240" s="1"/>
      <c r="AK240" s="10"/>
      <c r="AL240" s="10"/>
      <c r="AM240" s="10"/>
      <c r="AN240" s="11"/>
      <c r="AO240" s="11"/>
      <c r="AP240" s="11"/>
      <c r="AQ240" s="36"/>
      <c r="AR240" s="11"/>
      <c r="AS240" s="11"/>
      <c r="AT240" s="11"/>
      <c r="AU240" s="12"/>
      <c r="AV240" s="11"/>
      <c r="AW240" s="11"/>
      <c r="AX240" s="15"/>
      <c r="AY240" s="15"/>
      <c r="AZ240" s="15"/>
      <c r="BA240" s="15"/>
      <c r="BB240" s="15"/>
      <c r="BC240" s="15"/>
      <c r="BD240" s="15"/>
      <c r="BE240" s="12"/>
      <c r="BF240" s="11"/>
      <c r="BG240" s="11"/>
      <c r="BH240" s="10"/>
      <c r="BI240" s="10"/>
      <c r="BJ240" s="10"/>
      <c r="BK240" s="23"/>
      <c r="BL240" s="23"/>
      <c r="BM240" s="23"/>
      <c r="BN240" s="23"/>
      <c r="BO240" s="23"/>
      <c r="BP240" s="23"/>
      <c r="BQ240" s="23"/>
      <c r="BR240" s="10"/>
      <c r="BS240" s="16"/>
      <c r="BT240" s="16"/>
      <c r="BU240" s="16"/>
      <c r="BV240" s="16"/>
      <c r="BW240" s="11"/>
      <c r="BX240" s="16"/>
      <c r="BY240" s="16"/>
      <c r="BZ240" s="17"/>
      <c r="CA240" s="18"/>
      <c r="CB240" s="18"/>
      <c r="CC240" s="18"/>
      <c r="CD240" s="18"/>
      <c r="CE240" s="18"/>
      <c r="CF240" s="18"/>
      <c r="CG240" s="19"/>
      <c r="CH240" s="15"/>
      <c r="CI240" s="17"/>
      <c r="CJ240" s="10"/>
      <c r="CK240" s="10"/>
      <c r="CL240" s="10"/>
      <c r="CM240" s="17"/>
      <c r="CN240" s="17"/>
      <c r="CO240" s="10"/>
      <c r="CP240" s="10"/>
      <c r="CQ240" s="10"/>
      <c r="CR240" s="10"/>
      <c r="CS240" s="10"/>
      <c r="CT240" s="10"/>
      <c r="CU240" s="10"/>
      <c r="CV240" s="10"/>
      <c r="CW240" s="10"/>
      <c r="CX240" s="10"/>
      <c r="CY240" s="10"/>
      <c r="CZ240" s="10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34"/>
      <c r="DV240" s="34"/>
      <c r="DW240" s="34"/>
      <c r="DX240" s="34"/>
      <c r="DY240" s="34"/>
      <c r="DZ240" s="34"/>
      <c r="EA240" s="34"/>
      <c r="EB240" s="34"/>
      <c r="EC240" s="34"/>
      <c r="ED240" s="34"/>
      <c r="EE240" s="34"/>
    </row>
    <row r="241" spans="1:135" customFormat="1">
      <c r="A241" s="71">
        <f>'Old Data'!$I237-'Old Data'!$S237</f>
        <v>231</v>
      </c>
      <c r="B241" s="72">
        <f>VLOOKUP('Old Data'!$F237,$R$6:$T$135,2,FALSE)+VLOOKUP('Old Data'!$P237,$R$6:$T$135,3,FALSE)+$B$2</f>
        <v>202.57276190808977</v>
      </c>
      <c r="C241" s="72">
        <f>VLOOKUP('Old Data'!$P237,$R$6:$T$135,2,FALSE)+VLOOKUP('Old Data'!$F237,$R$6:$T$135,3,FALSE)+$B$2</f>
        <v>93.756129952944804</v>
      </c>
      <c r="D241" s="74">
        <f>('Old Data'!$I237-$B241)^2+('Old Data'!$S237-$C241)^2</f>
        <v>11395.670422688301</v>
      </c>
      <c r="E241" s="75">
        <f>'Old Data'!$K237-'Old Data'!$U237</f>
        <v>71</v>
      </c>
      <c r="F241" s="72">
        <f>VLOOKUP('Old Data'!$F237,$V$6:$X$135,2,FALSE)+VLOOKUP('Old Data'!$P237,$V$6:$X$135,3,FALSE)+$C$2</f>
        <v>290.17117181146909</v>
      </c>
      <c r="G241" s="72">
        <f>VLOOKUP('Old Data'!$P237,$V$6:$X$135,2,FALSE)+VLOOKUP('Old Data'!$F237,$V$6:$X$135,3,FALSE)+$C$2</f>
        <v>321.97539702561841</v>
      </c>
      <c r="H241" s="74">
        <f>('Old Data'!$K237-$F241)^2+('Old Data'!$U237-$G241)^2</f>
        <v>13115.186206788707</v>
      </c>
      <c r="I241" s="75">
        <f>('Old Data'!$L237+'Old Data'!$M237)-('Old Data'!$V237+'Old Data'!$W237)</f>
        <v>0</v>
      </c>
      <c r="J241" s="72">
        <f>VLOOKUP('Old Data'!$F237,$Z$6:$AB$135,2,FALSE)+VLOOKUP('Old Data'!$P237,$Z$6:$AB$135,3,FALSE)+$D$2</f>
        <v>69.966575392409823</v>
      </c>
      <c r="K241" s="72">
        <f>VLOOKUP('Old Data'!$P237,$Z$6:$AB$135,2,FALSE)+VLOOKUP('Old Data'!$F237,$Z$6:$AB$135,3,FALSE)+$D$2</f>
        <v>44.397782381855997</v>
      </c>
      <c r="L241" s="74">
        <f>('Old Data'!$L237+'Old Data'!$M237-$J241)^2+('Old Data'!$V237+'Old Data'!$W237-$K241)^2</f>
        <v>2148.8094327580561</v>
      </c>
      <c r="M241" s="75">
        <f>'Old Data'!$N237-'Old Data'!$X237</f>
        <v>-1</v>
      </c>
      <c r="N241" s="72">
        <f>VLOOKUP('Old Data'!$F237,$AD$6:$AF$135,2,FALSE)+VLOOKUP('Old Data'!$P237,$AD$6:$AF$135,3,FALSE)+$E$2</f>
        <v>1.1339653553380111</v>
      </c>
      <c r="O241" s="72">
        <f>VLOOKUP('Old Data'!$P237,$AD$6:$AF$135,2,FALSE)+VLOOKUP('Old Data'!$F237,$AD$6:$AF$135,3,FALSE)+$E$2</f>
        <v>2.2558235172915282</v>
      </c>
      <c r="P241" s="73">
        <f>('Old Data'!$N237-$N241)^2+('Old Data'!$X237-$O241)^2</f>
        <v>8.3392388430248404E-2</v>
      </c>
      <c r="Q241" s="62"/>
      <c r="R241" s="3"/>
      <c r="S241" s="3"/>
      <c r="T241" s="3"/>
      <c r="V241" s="3"/>
      <c r="W241" s="3"/>
      <c r="X241" s="3"/>
      <c r="Z241" s="3"/>
      <c r="AA241" s="3"/>
      <c r="AB241" s="3"/>
      <c r="AC241" s="3"/>
      <c r="AD241" s="3"/>
      <c r="AE241" s="3"/>
      <c r="AF241" s="3"/>
      <c r="AG241" s="3"/>
      <c r="AH241" s="37"/>
      <c r="AI241" s="1"/>
      <c r="AK241" s="10"/>
      <c r="AL241" s="10"/>
      <c r="AM241" s="10"/>
      <c r="AN241" s="11"/>
      <c r="AO241" s="11"/>
      <c r="AP241" s="11"/>
      <c r="AQ241" s="36"/>
      <c r="AR241" s="11"/>
      <c r="AS241" s="11"/>
      <c r="AT241" s="11"/>
      <c r="AU241" s="12"/>
      <c r="AV241" s="11"/>
      <c r="AW241" s="11"/>
      <c r="AX241" s="15"/>
      <c r="AY241" s="15"/>
      <c r="AZ241" s="15"/>
      <c r="BA241" s="15"/>
      <c r="BB241" s="15"/>
      <c r="BC241" s="15"/>
      <c r="BD241" s="15"/>
      <c r="BE241" s="12"/>
      <c r="BF241" s="11"/>
      <c r="BG241" s="11"/>
      <c r="BH241" s="10"/>
      <c r="BI241" s="10"/>
      <c r="BJ241" s="10"/>
      <c r="BK241" s="23"/>
      <c r="BL241" s="23"/>
      <c r="BM241" s="23"/>
      <c r="BN241" s="23"/>
      <c r="BO241" s="23"/>
      <c r="BP241" s="23"/>
      <c r="BQ241" s="23"/>
      <c r="BR241" s="10"/>
      <c r="BS241" s="16"/>
      <c r="BT241" s="16"/>
      <c r="BU241" s="16"/>
      <c r="BV241" s="16"/>
      <c r="BW241" s="11"/>
      <c r="BX241" s="16"/>
      <c r="BY241" s="16"/>
      <c r="BZ241" s="17"/>
      <c r="CA241" s="18"/>
      <c r="CB241" s="18"/>
      <c r="CC241" s="18"/>
      <c r="CD241" s="18"/>
      <c r="CE241" s="18"/>
      <c r="CF241" s="18"/>
      <c r="CG241" s="19"/>
      <c r="CH241" s="15"/>
      <c r="CI241" s="17"/>
      <c r="CJ241" s="10"/>
      <c r="CK241" s="10"/>
      <c r="CL241" s="10"/>
      <c r="CM241" s="17"/>
      <c r="CN241" s="17"/>
      <c r="CO241" s="10"/>
      <c r="CP241" s="10"/>
      <c r="CQ241" s="10"/>
      <c r="CR241" s="10"/>
      <c r="CS241" s="10"/>
      <c r="CT241" s="10"/>
      <c r="CU241" s="10"/>
      <c r="CV241" s="10"/>
      <c r="CW241" s="10"/>
      <c r="CX241" s="10"/>
      <c r="CY241" s="10"/>
      <c r="CZ241" s="10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34"/>
      <c r="DV241" s="34"/>
      <c r="DW241" s="34"/>
      <c r="DX241" s="34"/>
      <c r="DY241" s="34"/>
      <c r="DZ241" s="34"/>
      <c r="EA241" s="34"/>
      <c r="EB241" s="34"/>
      <c r="EC241" s="34"/>
      <c r="ED241" s="34"/>
      <c r="EE241" s="34"/>
    </row>
    <row r="242" spans="1:135" customFormat="1">
      <c r="A242" s="71">
        <f>'Old Data'!$I238-'Old Data'!$S238</f>
        <v>76</v>
      </c>
      <c r="B242" s="72">
        <f>VLOOKUP('Old Data'!$F238,$R$6:$T$135,2,FALSE)+VLOOKUP('Old Data'!$P238,$R$6:$T$135,3,FALSE)+$B$2</f>
        <v>205.04157809201388</v>
      </c>
      <c r="C242" s="72">
        <f>VLOOKUP('Old Data'!$P238,$R$6:$T$135,2,FALSE)+VLOOKUP('Old Data'!$F238,$R$6:$T$135,3,FALSE)+$B$2</f>
        <v>142.05171160428051</v>
      </c>
      <c r="D242" s="74">
        <f>('Old Data'!$I238-$B242)^2+('Old Data'!$S238-$C242)^2</f>
        <v>5606.9315565981306</v>
      </c>
      <c r="E242" s="75">
        <f>'Old Data'!$K238-'Old Data'!$U238</f>
        <v>-67</v>
      </c>
      <c r="F242" s="72">
        <f>VLOOKUP('Old Data'!$F238,$V$6:$X$135,2,FALSE)+VLOOKUP('Old Data'!$P238,$V$6:$X$135,3,FALSE)+$C$2</f>
        <v>261.71141494166739</v>
      </c>
      <c r="G242" s="72">
        <f>VLOOKUP('Old Data'!$P238,$V$6:$X$135,2,FALSE)+VLOOKUP('Old Data'!$F238,$V$6:$X$135,3,FALSE)+$C$2</f>
        <v>299.21509255166848</v>
      </c>
      <c r="H242" s="74">
        <f>('Old Data'!$K238-$F242)^2+('Old Data'!$U238-$G242)^2</f>
        <v>16648.247869041188</v>
      </c>
      <c r="I242" s="75">
        <f>('Old Data'!$L238+'Old Data'!$M238)-('Old Data'!$V238+'Old Data'!$W238)</f>
        <v>-65</v>
      </c>
      <c r="J242" s="72">
        <f>VLOOKUP('Old Data'!$F238,$Z$6:$AB$135,2,FALSE)+VLOOKUP('Old Data'!$P238,$Z$6:$AB$135,3,FALSE)+$D$2</f>
        <v>13.424485442991994</v>
      </c>
      <c r="K242" s="72">
        <f>VLOOKUP('Old Data'!$P238,$Z$6:$AB$135,2,FALSE)+VLOOKUP('Old Data'!$F238,$Z$6:$AB$135,3,FALSE)+$D$2</f>
        <v>51.069577211032268</v>
      </c>
      <c r="L242" s="74">
        <f>('Old Data'!$L238+'Old Data'!$M238-$J242)^2+('Old Data'!$V238+'Old Data'!$W238-$K242)^2</f>
        <v>839.45160886776762</v>
      </c>
      <c r="M242" s="75">
        <f>'Old Data'!$N238-'Old Data'!$X238</f>
        <v>1</v>
      </c>
      <c r="N242" s="72">
        <f>VLOOKUP('Old Data'!$F238,$AD$6:$AF$135,2,FALSE)+VLOOKUP('Old Data'!$P238,$AD$6:$AF$135,3,FALSE)+$E$2</f>
        <v>1.2052732855491606</v>
      </c>
      <c r="O242" s="72">
        <f>VLOOKUP('Old Data'!$P238,$AD$6:$AF$135,2,FALSE)+VLOOKUP('Old Data'!$F238,$AD$6:$AF$135,3,FALSE)+$E$2</f>
        <v>0.89310234186169313</v>
      </c>
      <c r="P242" s="73">
        <f>('Old Data'!$N238-$N242)^2+('Old Data'!$X238-$O242)^2</f>
        <v>0.83976891479898774</v>
      </c>
      <c r="Q242" s="62"/>
      <c r="R242" s="3"/>
      <c r="S242" s="3"/>
      <c r="T242" s="3"/>
      <c r="V242" s="3"/>
      <c r="W242" s="3"/>
      <c r="X242" s="3"/>
      <c r="Z242" s="3"/>
      <c r="AA242" s="3"/>
      <c r="AB242" s="3"/>
      <c r="AC242" s="3"/>
      <c r="AD242" s="3"/>
      <c r="AE242" s="3"/>
      <c r="AF242" s="3"/>
      <c r="AG242" s="3"/>
      <c r="AH242" s="37"/>
      <c r="AI242" s="1"/>
      <c r="AK242" s="10"/>
      <c r="AL242" s="10"/>
      <c r="AM242" s="10"/>
      <c r="AN242" s="11"/>
      <c r="AO242" s="11"/>
      <c r="AP242" s="11"/>
      <c r="AQ242" s="36"/>
      <c r="AR242" s="11"/>
      <c r="AS242" s="11"/>
      <c r="AT242" s="11"/>
      <c r="AU242" s="12"/>
      <c r="AV242" s="11"/>
      <c r="AW242" s="11"/>
      <c r="AX242" s="15"/>
      <c r="AY242" s="15"/>
      <c r="AZ242" s="15"/>
      <c r="BA242" s="15"/>
      <c r="BB242" s="15"/>
      <c r="BC242" s="15"/>
      <c r="BD242" s="15"/>
      <c r="BE242" s="12"/>
      <c r="BF242" s="11"/>
      <c r="BG242" s="11"/>
      <c r="BH242" s="10"/>
      <c r="BI242" s="10"/>
      <c r="BJ242" s="10"/>
      <c r="BK242" s="23"/>
      <c r="BL242" s="23"/>
      <c r="BM242" s="23"/>
      <c r="BN242" s="23"/>
      <c r="BO242" s="23"/>
      <c r="BP242" s="23"/>
      <c r="BQ242" s="23"/>
      <c r="BR242" s="10"/>
      <c r="BS242" s="16"/>
      <c r="BT242" s="16"/>
      <c r="BU242" s="16"/>
      <c r="BV242" s="16"/>
      <c r="BW242" s="11"/>
      <c r="BX242" s="16"/>
      <c r="BY242" s="16"/>
      <c r="BZ242" s="17"/>
      <c r="CA242" s="18"/>
      <c r="CB242" s="18"/>
      <c r="CC242" s="18"/>
      <c r="CD242" s="18"/>
      <c r="CE242" s="18"/>
      <c r="CF242" s="18"/>
      <c r="CG242" s="19"/>
      <c r="CH242" s="15"/>
      <c r="CI242" s="17"/>
      <c r="CJ242" s="10"/>
      <c r="CK242" s="10"/>
      <c r="CL242" s="10"/>
      <c r="CM242" s="17"/>
      <c r="CN242" s="17"/>
      <c r="CO242" s="10"/>
      <c r="CP242" s="10"/>
      <c r="CQ242" s="10"/>
      <c r="CR242" s="10"/>
      <c r="CS242" s="10"/>
      <c r="CT242" s="10"/>
      <c r="CU242" s="10"/>
      <c r="CV242" s="10"/>
      <c r="CW242" s="10"/>
      <c r="CX242" s="10"/>
      <c r="CY242" s="10"/>
      <c r="CZ242" s="10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34"/>
      <c r="DV242" s="34"/>
      <c r="DW242" s="34"/>
      <c r="DX242" s="34"/>
      <c r="DY242" s="34"/>
      <c r="DZ242" s="34"/>
      <c r="EA242" s="34"/>
      <c r="EB242" s="34"/>
      <c r="EC242" s="34"/>
      <c r="ED242" s="34"/>
      <c r="EE242" s="34"/>
    </row>
    <row r="243" spans="1:135" customFormat="1">
      <c r="A243" s="71">
        <f>'Old Data'!$I239-'Old Data'!$S239</f>
        <v>-229</v>
      </c>
      <c r="B243" s="72">
        <f>VLOOKUP('Old Data'!$F239,$R$6:$T$135,2,FALSE)+VLOOKUP('Old Data'!$P239,$R$6:$T$135,3,FALSE)+$B$2</f>
        <v>143.31968175837901</v>
      </c>
      <c r="C243" s="72">
        <f>VLOOKUP('Old Data'!$P239,$R$6:$T$135,2,FALSE)+VLOOKUP('Old Data'!$F239,$R$6:$T$135,3,FALSE)+$B$2</f>
        <v>212.6688011713874</v>
      </c>
      <c r="D243" s="74">
        <f>('Old Data'!$I239-$B243)^2+('Old Data'!$S239-$C243)^2</f>
        <v>13585.174102301957</v>
      </c>
      <c r="E243" s="75">
        <f>'Old Data'!$K239-'Old Data'!$U239</f>
        <v>19</v>
      </c>
      <c r="F243" s="72">
        <f>VLOOKUP('Old Data'!$F239,$V$6:$X$135,2,FALSE)+VLOOKUP('Old Data'!$P239,$V$6:$X$135,3,FALSE)+$C$2</f>
        <v>156.0982815630864</v>
      </c>
      <c r="G243" s="72">
        <f>VLOOKUP('Old Data'!$P239,$V$6:$X$135,2,FALSE)+VLOOKUP('Old Data'!$F239,$V$6:$X$135,3,FALSE)+$C$2</f>
        <v>204.66709048456599</v>
      </c>
      <c r="H243" s="74">
        <f>('Old Data'!$K239-$F243)^2+('Old Data'!$U239-$G243)^2</f>
        <v>3013.7153568609301</v>
      </c>
      <c r="I243" s="75">
        <f>('Old Data'!$L239+'Old Data'!$M239)-('Old Data'!$V239+'Old Data'!$W239)</f>
        <v>94</v>
      </c>
      <c r="J243" s="72">
        <f>VLOOKUP('Old Data'!$F239,$Z$6:$AB$135,2,FALSE)+VLOOKUP('Old Data'!$P239,$Z$6:$AB$135,3,FALSE)+$D$2</f>
        <v>102.4679207871536</v>
      </c>
      <c r="K243" s="72">
        <f>VLOOKUP('Old Data'!$P239,$Z$6:$AB$135,2,FALSE)+VLOOKUP('Old Data'!$F239,$Z$6:$AB$135,3,FALSE)+$D$2</f>
        <v>60.100809237151097</v>
      </c>
      <c r="L243" s="74">
        <f>('Old Data'!$L239+'Old Data'!$M239-$J243)^2+('Old Data'!$V239+'Old Data'!$W239-$K243)^2</f>
        <v>8464.8917088486523</v>
      </c>
      <c r="M243" s="75">
        <f>'Old Data'!$N239-'Old Data'!$X239</f>
        <v>1</v>
      </c>
      <c r="N243" s="72">
        <f>VLOOKUP('Old Data'!$F239,$AD$6:$AF$135,2,FALSE)+VLOOKUP('Old Data'!$P239,$AD$6:$AF$135,3,FALSE)+$E$2</f>
        <v>1.3618232469624241</v>
      </c>
      <c r="O243" s="72">
        <f>VLOOKUP('Old Data'!$P239,$AD$6:$AF$135,2,FALSE)+VLOOKUP('Old Data'!$F239,$AD$6:$AF$135,3,FALSE)+$E$2</f>
        <v>1.5810855467308782</v>
      </c>
      <c r="P243" s="73">
        <f>('Old Data'!$N239-$N243)^2+('Old Data'!$X239-$O243)^2</f>
        <v>0.74492998073710681</v>
      </c>
      <c r="Q243" s="62"/>
      <c r="R243" s="3"/>
      <c r="S243" s="3"/>
      <c r="T243" s="3"/>
      <c r="V243" s="3"/>
      <c r="W243" s="3"/>
      <c r="X243" s="3"/>
      <c r="Z243" s="3"/>
      <c r="AA243" s="3"/>
      <c r="AB243" s="3"/>
      <c r="AC243" s="3"/>
      <c r="AD243" s="3"/>
      <c r="AE243" s="3"/>
      <c r="AF243" s="3"/>
      <c r="AG243" s="3"/>
      <c r="AH243" s="37"/>
      <c r="AI243" s="1"/>
      <c r="AK243" s="10"/>
      <c r="AL243" s="10"/>
      <c r="AM243" s="10"/>
      <c r="AN243" s="11"/>
      <c r="AO243" s="11"/>
      <c r="AP243" s="11"/>
      <c r="AQ243" s="36"/>
      <c r="AR243" s="11"/>
      <c r="AS243" s="11"/>
      <c r="AT243" s="11"/>
      <c r="AU243" s="12"/>
      <c r="AV243" s="11"/>
      <c r="AW243" s="11"/>
      <c r="AX243" s="15"/>
      <c r="AY243" s="15"/>
      <c r="AZ243" s="15"/>
      <c r="BA243" s="15"/>
      <c r="BB243" s="15"/>
      <c r="BC243" s="15"/>
      <c r="BD243" s="15"/>
      <c r="BE243" s="12"/>
      <c r="BF243" s="11"/>
      <c r="BG243" s="11"/>
      <c r="BH243" s="10"/>
      <c r="BI243" s="10"/>
      <c r="BJ243" s="10"/>
      <c r="BK243" s="23"/>
      <c r="BL243" s="23"/>
      <c r="BM243" s="23"/>
      <c r="BN243" s="23"/>
      <c r="BO243" s="23"/>
      <c r="BP243" s="23"/>
      <c r="BQ243" s="23"/>
      <c r="BR243" s="10"/>
      <c r="BS243" s="16"/>
      <c r="BT243" s="16"/>
      <c r="BU243" s="16"/>
      <c r="BV243" s="16"/>
      <c r="BW243" s="11"/>
      <c r="BX243" s="16"/>
      <c r="BY243" s="16"/>
      <c r="BZ243" s="17"/>
      <c r="CA243" s="18"/>
      <c r="CB243" s="18"/>
      <c r="CC243" s="18"/>
      <c r="CD243" s="18"/>
      <c r="CE243" s="18"/>
      <c r="CF243" s="18"/>
      <c r="CG243" s="19"/>
      <c r="CH243" s="15"/>
      <c r="CI243" s="17"/>
      <c r="CJ243" s="10"/>
      <c r="CK243" s="10"/>
      <c r="CL243" s="10"/>
      <c r="CM243" s="17"/>
      <c r="CN243" s="17"/>
      <c r="CO243" s="10"/>
      <c r="CP243" s="10"/>
      <c r="CQ243" s="10"/>
      <c r="CR243" s="10"/>
      <c r="CS243" s="10"/>
      <c r="CT243" s="10"/>
      <c r="CU243" s="10"/>
      <c r="CV243" s="10"/>
      <c r="CW243" s="10"/>
      <c r="CX243" s="10"/>
      <c r="CY243" s="10"/>
      <c r="CZ243" s="10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34"/>
      <c r="DV243" s="34"/>
      <c r="DW243" s="34"/>
      <c r="DX243" s="34"/>
      <c r="DY243" s="34"/>
      <c r="DZ243" s="34"/>
      <c r="EA243" s="34"/>
      <c r="EB243" s="34"/>
      <c r="EC243" s="34"/>
      <c r="ED243" s="34"/>
      <c r="EE243" s="34"/>
    </row>
    <row r="244" spans="1:135" customFormat="1">
      <c r="A244" s="71">
        <f>'Old Data'!$I240-'Old Data'!$S240</f>
        <v>-73</v>
      </c>
      <c r="B244" s="72">
        <f>VLOOKUP('Old Data'!$F240,$R$6:$T$135,2,FALSE)+VLOOKUP('Old Data'!$P240,$R$6:$T$135,3,FALSE)+$B$2</f>
        <v>48.408926032009703</v>
      </c>
      <c r="C244" s="72">
        <f>VLOOKUP('Old Data'!$P240,$R$6:$T$135,2,FALSE)+VLOOKUP('Old Data'!$F240,$R$6:$T$135,3,FALSE)+$B$2</f>
        <v>124.2398800847115</v>
      </c>
      <c r="D244" s="74">
        <f>('Old Data'!$I240-$B244)^2+('Old Data'!$S240-$C244)^2</f>
        <v>2029.5924104662377</v>
      </c>
      <c r="E244" s="75">
        <f>'Old Data'!$K240-'Old Data'!$U240</f>
        <v>70</v>
      </c>
      <c r="F244" s="72">
        <f>VLOOKUP('Old Data'!$F240,$V$6:$X$135,2,FALSE)+VLOOKUP('Old Data'!$P240,$V$6:$X$135,3,FALSE)+$C$2</f>
        <v>236.4607682935802</v>
      </c>
      <c r="G244" s="72">
        <f>VLOOKUP('Old Data'!$P240,$V$6:$X$135,2,FALSE)+VLOOKUP('Old Data'!$F240,$V$6:$X$135,3,FALSE)+$C$2</f>
        <v>188.89348103268298</v>
      </c>
      <c r="H244" s="74">
        <f>('Old Data'!$K240-$F244)^2+('Old Data'!$U240-$G244)^2</f>
        <v>2133.7852556121852</v>
      </c>
      <c r="I244" s="75">
        <f>('Old Data'!$L240+'Old Data'!$M240)-('Old Data'!$V240+'Old Data'!$W240)</f>
        <v>-43</v>
      </c>
      <c r="J244" s="72">
        <f>VLOOKUP('Old Data'!$F240,$Z$6:$AB$135,2,FALSE)+VLOOKUP('Old Data'!$P240,$Z$6:$AB$135,3,FALSE)+$D$2</f>
        <v>34.595068326499742</v>
      </c>
      <c r="K244" s="72">
        <f>VLOOKUP('Old Data'!$P240,$Z$6:$AB$135,2,FALSE)+VLOOKUP('Old Data'!$F240,$Z$6:$AB$135,3,FALSE)+$D$2</f>
        <v>51.418097133358636</v>
      </c>
      <c r="L244" s="74">
        <f>('Old Data'!$L240+'Old Data'!$M240-$J244)^2+('Old Data'!$V240+'Old Data'!$W240-$K244)^2</f>
        <v>887.55145726326271</v>
      </c>
      <c r="M244" s="75">
        <f>'Old Data'!$N240-'Old Data'!$X240</f>
        <v>-1</v>
      </c>
      <c r="N244" s="72">
        <f>VLOOKUP('Old Data'!$F240,$AD$6:$AF$135,2,FALSE)+VLOOKUP('Old Data'!$P240,$AD$6:$AF$135,3,FALSE)+$E$2</f>
        <v>0.88330253732870245</v>
      </c>
      <c r="O244" s="72">
        <f>VLOOKUP('Old Data'!$P240,$AD$6:$AF$135,2,FALSE)+VLOOKUP('Old Data'!$F240,$AD$6:$AF$135,3,FALSE)+$E$2</f>
        <v>2.3970902348922021</v>
      </c>
      <c r="P244" s="73">
        <f>('Old Data'!$N240-$N244)^2+('Old Data'!$X240-$O244)^2</f>
        <v>7.0497278635570453</v>
      </c>
      <c r="Q244" s="62"/>
      <c r="R244" s="3"/>
      <c r="S244" s="3"/>
      <c r="T244" s="3"/>
      <c r="V244" s="3"/>
      <c r="W244" s="3"/>
      <c r="X244" s="3"/>
      <c r="Z244" s="3"/>
      <c r="AA244" s="3"/>
      <c r="AB244" s="3"/>
      <c r="AC244" s="3"/>
      <c r="AD244" s="3"/>
      <c r="AE244" s="3"/>
      <c r="AF244" s="3"/>
      <c r="AG244" s="3"/>
      <c r="AH244" s="37"/>
      <c r="AI244" s="1"/>
      <c r="AK244" s="10"/>
      <c r="AL244" s="10"/>
      <c r="AM244" s="10"/>
      <c r="AN244" s="11"/>
      <c r="AO244" s="11"/>
      <c r="AP244" s="11"/>
      <c r="AQ244" s="36"/>
      <c r="AR244" s="11"/>
      <c r="AS244" s="11"/>
      <c r="AT244" s="11"/>
      <c r="AU244" s="12"/>
      <c r="AV244" s="11"/>
      <c r="AW244" s="11"/>
      <c r="AX244" s="15"/>
      <c r="AY244" s="15"/>
      <c r="AZ244" s="15"/>
      <c r="BA244" s="15"/>
      <c r="BB244" s="15"/>
      <c r="BC244" s="15"/>
      <c r="BD244" s="15"/>
      <c r="BE244" s="12"/>
      <c r="BF244" s="11"/>
      <c r="BG244" s="11"/>
      <c r="BH244" s="10"/>
      <c r="BI244" s="10"/>
      <c r="BJ244" s="10"/>
      <c r="BK244" s="23"/>
      <c r="BL244" s="23"/>
      <c r="BM244" s="23"/>
      <c r="BN244" s="23"/>
      <c r="BO244" s="23"/>
      <c r="BP244" s="23"/>
      <c r="BQ244" s="23"/>
      <c r="BR244" s="10"/>
      <c r="BS244" s="16"/>
      <c r="BT244" s="16"/>
      <c r="BU244" s="16"/>
      <c r="BV244" s="16"/>
      <c r="BW244" s="11"/>
      <c r="BX244" s="16"/>
      <c r="BY244" s="16"/>
      <c r="BZ244" s="17"/>
      <c r="CA244" s="18"/>
      <c r="CB244" s="18"/>
      <c r="CC244" s="18"/>
      <c r="CD244" s="18"/>
      <c r="CE244" s="18"/>
      <c r="CF244" s="18"/>
      <c r="CG244" s="19"/>
      <c r="CH244" s="15"/>
      <c r="CI244" s="17"/>
      <c r="CJ244" s="10"/>
      <c r="CK244" s="10"/>
      <c r="CL244" s="10"/>
      <c r="CM244" s="17"/>
      <c r="CN244" s="17"/>
      <c r="CO244" s="10"/>
      <c r="CP244" s="10"/>
      <c r="CQ244" s="10"/>
      <c r="CR244" s="10"/>
      <c r="CS244" s="10"/>
      <c r="CT244" s="10"/>
      <c r="CU244" s="10"/>
      <c r="CV244" s="10"/>
      <c r="CW244" s="10"/>
      <c r="CX244" s="10"/>
      <c r="CY244" s="10"/>
      <c r="CZ244" s="10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34"/>
      <c r="DV244" s="34"/>
      <c r="DW244" s="34"/>
      <c r="DX244" s="34"/>
      <c r="DY244" s="34"/>
      <c r="DZ244" s="34"/>
      <c r="EA244" s="34"/>
      <c r="EB244" s="34"/>
      <c r="EC244" s="34"/>
      <c r="ED244" s="34"/>
      <c r="EE244" s="34"/>
    </row>
    <row r="245" spans="1:135" customFormat="1">
      <c r="A245" s="71">
        <f>'Old Data'!$I241-'Old Data'!$S241</f>
        <v>54</v>
      </c>
      <c r="B245" s="72">
        <f>VLOOKUP('Old Data'!$F241,$R$6:$T$135,2,FALSE)+VLOOKUP('Old Data'!$P241,$R$6:$T$135,3,FALSE)+$B$2</f>
        <v>92.101127338311301</v>
      </c>
      <c r="C245" s="72">
        <f>VLOOKUP('Old Data'!$P241,$R$6:$T$135,2,FALSE)+VLOOKUP('Old Data'!$F241,$R$6:$T$135,3,FALSE)+$B$2</f>
        <v>129.3090706354084</v>
      </c>
      <c r="D245" s="74">
        <f>('Old Data'!$I241-$B245)^2+('Old Data'!$S241-$C245)^2</f>
        <v>4591.9243326699334</v>
      </c>
      <c r="E245" s="75">
        <f>'Old Data'!$K241-'Old Data'!$U241</f>
        <v>-103</v>
      </c>
      <c r="F245" s="72">
        <f>VLOOKUP('Old Data'!$F241,$V$6:$X$135,2,FALSE)+VLOOKUP('Old Data'!$P241,$V$6:$X$135,3,FALSE)+$C$2</f>
        <v>163.0749583671155</v>
      </c>
      <c r="G245" s="72">
        <f>VLOOKUP('Old Data'!$P241,$V$6:$X$135,2,FALSE)+VLOOKUP('Old Data'!$F241,$V$6:$X$135,3,FALSE)+$C$2</f>
        <v>179.22187479613041</v>
      </c>
      <c r="H245" s="74">
        <f>('Old Data'!$K241-$F245)^2+('Old Data'!$U241-$G245)^2</f>
        <v>7885.2613000022848</v>
      </c>
      <c r="I245" s="75">
        <f>('Old Data'!$L241+'Old Data'!$M241)-('Old Data'!$V241+'Old Data'!$W241)</f>
        <v>-1</v>
      </c>
      <c r="J245" s="72">
        <f>VLOOKUP('Old Data'!$F241,$Z$6:$AB$135,2,FALSE)+VLOOKUP('Old Data'!$P241,$Z$6:$AB$135,3,FALSE)+$D$2</f>
        <v>89.464686074887126</v>
      </c>
      <c r="K245" s="72">
        <f>VLOOKUP('Old Data'!$P241,$Z$6:$AB$135,2,FALSE)+VLOOKUP('Old Data'!$F241,$Z$6:$AB$135,3,FALSE)+$D$2</f>
        <v>59.484464604081296</v>
      </c>
      <c r="L245" s="74">
        <f>('Old Data'!$L241+'Old Data'!$M241-$J245)^2+('Old Data'!$V241+'Old Data'!$W241-$K245)^2</f>
        <v>1059.6172309318877</v>
      </c>
      <c r="M245" s="75">
        <f>'Old Data'!$N241-'Old Data'!$X241</f>
        <v>-2</v>
      </c>
      <c r="N245" s="72">
        <f>VLOOKUP('Old Data'!$F241,$AD$6:$AF$135,2,FALSE)+VLOOKUP('Old Data'!$P241,$AD$6:$AF$135,3,FALSE)+$E$2</f>
        <v>1.902238186914321</v>
      </c>
      <c r="O245" s="72">
        <f>VLOOKUP('Old Data'!$P241,$AD$6:$AF$135,2,FALSE)+VLOOKUP('Old Data'!$F241,$AD$6:$AF$135,3,FALSE)+$E$2</f>
        <v>1.761796962206793</v>
      </c>
      <c r="P245" s="73">
        <f>('Old Data'!$N241-$N245)^2+('Old Data'!$X241-$O245)^2</f>
        <v>22.362969614000086</v>
      </c>
      <c r="Q245" s="62"/>
      <c r="R245" s="3"/>
      <c r="S245" s="3"/>
      <c r="T245" s="3"/>
      <c r="V245" s="3"/>
      <c r="W245" s="3"/>
      <c r="X245" s="3"/>
      <c r="Z245" s="3"/>
      <c r="AA245" s="3"/>
      <c r="AB245" s="3"/>
      <c r="AC245" s="3"/>
      <c r="AD245" s="3"/>
      <c r="AE245" s="3"/>
      <c r="AF245" s="3"/>
      <c r="AG245" s="3"/>
      <c r="AH245" s="37"/>
      <c r="AI245" s="1"/>
      <c r="AK245" s="10"/>
      <c r="AL245" s="10"/>
      <c r="AM245" s="10"/>
      <c r="AN245" s="11"/>
      <c r="AO245" s="11"/>
      <c r="AP245" s="11"/>
      <c r="AQ245" s="36"/>
      <c r="AR245" s="11"/>
      <c r="AS245" s="11"/>
      <c r="AT245" s="11"/>
      <c r="AU245" s="12"/>
      <c r="AV245" s="11"/>
      <c r="AW245" s="11"/>
      <c r="AX245" s="15"/>
      <c r="AY245" s="15"/>
      <c r="AZ245" s="15"/>
      <c r="BA245" s="15"/>
      <c r="BB245" s="15"/>
      <c r="BC245" s="15"/>
      <c r="BD245" s="15"/>
      <c r="BE245" s="12"/>
      <c r="BF245" s="11"/>
      <c r="BG245" s="11"/>
      <c r="BH245" s="10"/>
      <c r="BI245" s="10"/>
      <c r="BJ245" s="10"/>
      <c r="BK245" s="23"/>
      <c r="BL245" s="23"/>
      <c r="BM245" s="23"/>
      <c r="BN245" s="23"/>
      <c r="BO245" s="23"/>
      <c r="BP245" s="23"/>
      <c r="BQ245" s="23"/>
      <c r="BR245" s="10"/>
      <c r="BS245" s="16"/>
      <c r="BT245" s="16"/>
      <c r="BU245" s="16"/>
      <c r="BV245" s="16"/>
      <c r="BW245" s="11"/>
      <c r="BX245" s="16"/>
      <c r="BY245" s="16"/>
      <c r="BZ245" s="17"/>
      <c r="CA245" s="18"/>
      <c r="CB245" s="18"/>
      <c r="CC245" s="18"/>
      <c r="CD245" s="18"/>
      <c r="CE245" s="18"/>
      <c r="CF245" s="18"/>
      <c r="CG245" s="19"/>
      <c r="CH245" s="15"/>
      <c r="CI245" s="17"/>
      <c r="CJ245" s="10"/>
      <c r="CK245" s="10"/>
      <c r="CL245" s="10"/>
      <c r="CM245" s="17"/>
      <c r="CN245" s="17"/>
      <c r="CO245" s="10"/>
      <c r="CP245" s="10"/>
      <c r="CQ245" s="10"/>
      <c r="CR245" s="10"/>
      <c r="CS245" s="10"/>
      <c r="CT245" s="10"/>
      <c r="CU245" s="10"/>
      <c r="CV245" s="10"/>
      <c r="CW245" s="10"/>
      <c r="CX245" s="10"/>
      <c r="CY245" s="10"/>
      <c r="CZ245" s="10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34"/>
      <c r="DV245" s="34"/>
      <c r="DW245" s="34"/>
      <c r="DX245" s="34"/>
      <c r="DY245" s="34"/>
      <c r="DZ245" s="34"/>
      <c r="EA245" s="34"/>
      <c r="EB245" s="34"/>
      <c r="EC245" s="34"/>
      <c r="ED245" s="34"/>
      <c r="EE245" s="34"/>
    </row>
    <row r="246" spans="1:135" customFormat="1">
      <c r="A246" s="71">
        <f>'Old Data'!$I242-'Old Data'!$S242</f>
        <v>8</v>
      </c>
      <c r="B246" s="72">
        <f>VLOOKUP('Old Data'!$F242,$R$6:$T$135,2,FALSE)+VLOOKUP('Old Data'!$P242,$R$6:$T$135,3,FALSE)+$B$2</f>
        <v>78.732784307850309</v>
      </c>
      <c r="C246" s="72">
        <f>VLOOKUP('Old Data'!$P242,$R$6:$T$135,2,FALSE)+VLOOKUP('Old Data'!$F242,$R$6:$T$135,3,FALSE)+$B$2</f>
        <v>169.25316778106091</v>
      </c>
      <c r="D246" s="74">
        <f>('Old Data'!$I242-$B246)^2+('Old Data'!$S242-$C246)^2</f>
        <v>4885.2454618148477</v>
      </c>
      <c r="E246" s="75">
        <f>'Old Data'!$K242-'Old Data'!$U242</f>
        <v>121</v>
      </c>
      <c r="F246" s="72">
        <f>VLOOKUP('Old Data'!$F242,$V$6:$X$135,2,FALSE)+VLOOKUP('Old Data'!$P242,$V$6:$X$135,3,FALSE)+$C$2</f>
        <v>292.91994997507612</v>
      </c>
      <c r="G246" s="72">
        <f>VLOOKUP('Old Data'!$P242,$V$6:$X$135,2,FALSE)+VLOOKUP('Old Data'!$F242,$V$6:$X$135,3,FALSE)+$C$2</f>
        <v>179.70545610694072</v>
      </c>
      <c r="H246" s="74">
        <f>('Old Data'!$K242-$F246)^2+('Old Data'!$U242-$G246)^2</f>
        <v>1929.1523902513895</v>
      </c>
      <c r="I246" s="75">
        <f>('Old Data'!$L242+'Old Data'!$M242)-('Old Data'!$V242+'Old Data'!$W242)</f>
        <v>-22</v>
      </c>
      <c r="J246" s="72">
        <f>VLOOKUP('Old Data'!$F242,$Z$6:$AB$135,2,FALSE)+VLOOKUP('Old Data'!$P242,$Z$6:$AB$135,3,FALSE)+$D$2</f>
        <v>32.277204524328248</v>
      </c>
      <c r="K246" s="72">
        <f>VLOOKUP('Old Data'!$P242,$Z$6:$AB$135,2,FALSE)+VLOOKUP('Old Data'!$F242,$Z$6:$AB$135,3,FALSE)+$D$2</f>
        <v>45.04564315458056</v>
      </c>
      <c r="L246" s="74">
        <f>('Old Data'!$L242+'Old Data'!$M242-$J246)^2+('Old Data'!$V242+'Old Data'!$W242-$K246)^2</f>
        <v>1572.9196003135817</v>
      </c>
      <c r="M246" s="75">
        <f>'Old Data'!$N242-'Old Data'!$X242</f>
        <v>0</v>
      </c>
      <c r="N246" s="72">
        <f>VLOOKUP('Old Data'!$F242,$AD$6:$AF$135,2,FALSE)+VLOOKUP('Old Data'!$P242,$AD$6:$AF$135,3,FALSE)+$E$2</f>
        <v>2.3163669783765841</v>
      </c>
      <c r="O246" s="72">
        <f>VLOOKUP('Old Data'!$P242,$AD$6:$AF$135,2,FALSE)+VLOOKUP('Old Data'!$F242,$AD$6:$AF$135,3,FALSE)+$E$2</f>
        <v>1.8355627206363421</v>
      </c>
      <c r="P246" s="73">
        <f>('Old Data'!$N242-$N246)^2+('Old Data'!$X242-$O246)^2</f>
        <v>7.5194088877999468</v>
      </c>
      <c r="Q246" s="62"/>
      <c r="R246" s="3"/>
      <c r="S246" s="3"/>
      <c r="T246" s="3"/>
      <c r="V246" s="3"/>
      <c r="W246" s="3"/>
      <c r="X246" s="3"/>
      <c r="Z246" s="3"/>
      <c r="AA246" s="3"/>
      <c r="AB246" s="3"/>
      <c r="AC246" s="3"/>
      <c r="AD246" s="3"/>
      <c r="AE246" s="3"/>
      <c r="AF246" s="3"/>
      <c r="AG246" s="3"/>
      <c r="AH246" s="37"/>
      <c r="AI246" s="1"/>
      <c r="AK246" s="10"/>
      <c r="AL246" s="10"/>
      <c r="AM246" s="10"/>
      <c r="AN246" s="11"/>
      <c r="AO246" s="11"/>
      <c r="AP246" s="11"/>
      <c r="AQ246" s="36"/>
      <c r="AR246" s="11"/>
      <c r="AS246" s="11"/>
      <c r="AT246" s="11"/>
      <c r="AU246" s="12"/>
      <c r="AV246" s="11"/>
      <c r="AW246" s="11"/>
      <c r="AX246" s="15"/>
      <c r="AY246" s="15"/>
      <c r="AZ246" s="15"/>
      <c r="BA246" s="15"/>
      <c r="BB246" s="15"/>
      <c r="BC246" s="15"/>
      <c r="BD246" s="15"/>
      <c r="BE246" s="12"/>
      <c r="BF246" s="11"/>
      <c r="BG246" s="11"/>
      <c r="BH246" s="10"/>
      <c r="BI246" s="10"/>
      <c r="BJ246" s="10"/>
      <c r="BK246" s="23"/>
      <c r="BL246" s="23"/>
      <c r="BM246" s="23"/>
      <c r="BN246" s="23"/>
      <c r="BO246" s="23"/>
      <c r="BP246" s="23"/>
      <c r="BQ246" s="23"/>
      <c r="BR246" s="10"/>
      <c r="BS246" s="16"/>
      <c r="BT246" s="16"/>
      <c r="BU246" s="16"/>
      <c r="BV246" s="16"/>
      <c r="BW246" s="11"/>
      <c r="BX246" s="16"/>
      <c r="BY246" s="16"/>
      <c r="BZ246" s="17"/>
      <c r="CA246" s="18"/>
      <c r="CB246" s="18"/>
      <c r="CC246" s="18"/>
      <c r="CD246" s="18"/>
      <c r="CE246" s="18"/>
      <c r="CF246" s="18"/>
      <c r="CG246" s="19"/>
      <c r="CH246" s="15"/>
      <c r="CI246" s="17"/>
      <c r="CJ246" s="10"/>
      <c r="CK246" s="10"/>
      <c r="CL246" s="10"/>
      <c r="CM246" s="17"/>
      <c r="CN246" s="17"/>
      <c r="CO246" s="10"/>
      <c r="CP246" s="10"/>
      <c r="CQ246" s="10"/>
      <c r="CR246" s="10"/>
      <c r="CS246" s="10"/>
      <c r="CT246" s="10"/>
      <c r="CU246" s="10"/>
      <c r="CV246" s="10"/>
      <c r="CW246" s="10"/>
      <c r="CX246" s="10"/>
      <c r="CY246" s="10"/>
      <c r="CZ246" s="10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34"/>
      <c r="DV246" s="34"/>
      <c r="DW246" s="34"/>
      <c r="DX246" s="34"/>
      <c r="DY246" s="34"/>
      <c r="DZ246" s="34"/>
      <c r="EA246" s="34"/>
      <c r="EB246" s="34"/>
      <c r="EC246" s="34"/>
      <c r="ED246" s="34"/>
      <c r="EE246" s="34"/>
    </row>
    <row r="247" spans="1:135" customFormat="1">
      <c r="A247" s="71">
        <f>'Old Data'!$I243-'Old Data'!$S243</f>
        <v>225</v>
      </c>
      <c r="B247" s="72">
        <f>VLOOKUP('Old Data'!$F243,$R$6:$T$135,2,FALSE)+VLOOKUP('Old Data'!$P243,$R$6:$T$135,3,FALSE)+$B$2</f>
        <v>292.44767047299661</v>
      </c>
      <c r="C247" s="72">
        <f>VLOOKUP('Old Data'!$P243,$R$6:$T$135,2,FALSE)+VLOOKUP('Old Data'!$F243,$R$6:$T$135,3,FALSE)+$B$2</f>
        <v>154.03427708992552</v>
      </c>
      <c r="D247" s="74">
        <f>('Old Data'!$I243-$B247)^2+('Old Data'!$S243-$C247)^2</f>
        <v>3784.8988313778036</v>
      </c>
      <c r="E247" s="75">
        <f>'Old Data'!$K243-'Old Data'!$U243</f>
        <v>76</v>
      </c>
      <c r="F247" s="72">
        <f>VLOOKUP('Old Data'!$F243,$V$6:$X$135,2,FALSE)+VLOOKUP('Old Data'!$P243,$V$6:$X$135,3,FALSE)+$C$2</f>
        <v>217.06441034833401</v>
      </c>
      <c r="G247" s="72">
        <f>VLOOKUP('Old Data'!$P243,$V$6:$X$135,2,FALSE)+VLOOKUP('Old Data'!$F243,$V$6:$X$135,3,FALSE)+$C$2</f>
        <v>344.77188084908107</v>
      </c>
      <c r="H247" s="74">
        <f>('Old Data'!$K243-$F247)^2+('Old Data'!$U243-$G247)^2</f>
        <v>28707.007478318086</v>
      </c>
      <c r="I247" s="75">
        <f>('Old Data'!$L243+'Old Data'!$M243)-('Old Data'!$V243+'Old Data'!$W243)</f>
        <v>-149</v>
      </c>
      <c r="J247" s="72">
        <f>VLOOKUP('Old Data'!$F243,$Z$6:$AB$135,2,FALSE)+VLOOKUP('Old Data'!$P243,$Z$6:$AB$135,3,FALSE)+$D$2</f>
        <v>19.882566699779595</v>
      </c>
      <c r="K247" s="72">
        <f>VLOOKUP('Old Data'!$P243,$Z$6:$AB$135,2,FALSE)+VLOOKUP('Old Data'!$F243,$Z$6:$AB$135,3,FALSE)+$D$2</f>
        <v>100.7599379272844</v>
      </c>
      <c r="L247" s="74">
        <f>('Old Data'!$L243+'Old Data'!$M243-$J247)^2+('Old Data'!$V243+'Old Data'!$W243-$K247)^2</f>
        <v>3489.5699548093589</v>
      </c>
      <c r="M247" s="75">
        <f>'Old Data'!$N243-'Old Data'!$X243</f>
        <v>2</v>
      </c>
      <c r="N247" s="72">
        <f>VLOOKUP('Old Data'!$F243,$AD$6:$AF$135,2,FALSE)+VLOOKUP('Old Data'!$P243,$AD$6:$AF$135,3,FALSE)+$E$2</f>
        <v>1.9628801176426247</v>
      </c>
      <c r="O247" s="72">
        <f>VLOOKUP('Old Data'!$P243,$AD$6:$AF$135,2,FALSE)+VLOOKUP('Old Data'!$F243,$AD$6:$AF$135,3,FALSE)+$E$2</f>
        <v>1.1866487876529674</v>
      </c>
      <c r="P247" s="73">
        <f>('Old Data'!$N243-$N247)^2+('Old Data'!$X243-$O247)^2</f>
        <v>1.4095132309044829</v>
      </c>
      <c r="Q247" s="62"/>
      <c r="R247" s="3"/>
      <c r="S247" s="3"/>
      <c r="T247" s="3"/>
      <c r="V247" s="3"/>
      <c r="W247" s="3"/>
      <c r="X247" s="3"/>
      <c r="Z247" s="3"/>
      <c r="AA247" s="3"/>
      <c r="AB247" s="3"/>
      <c r="AC247" s="3"/>
      <c r="AD247" s="3"/>
      <c r="AE247" s="3"/>
      <c r="AF247" s="3"/>
      <c r="AG247" s="3"/>
      <c r="AH247" s="37"/>
      <c r="AI247" s="1"/>
      <c r="AK247" s="10"/>
      <c r="AL247" s="10"/>
      <c r="AM247" s="10"/>
      <c r="AN247" s="11"/>
      <c r="AO247" s="11"/>
      <c r="AP247" s="11"/>
      <c r="AQ247" s="36"/>
      <c r="AR247" s="11"/>
      <c r="AS247" s="11"/>
      <c r="AT247" s="11"/>
      <c r="AU247" s="12"/>
      <c r="AV247" s="11"/>
      <c r="AW247" s="11"/>
      <c r="AX247" s="15"/>
      <c r="AY247" s="15"/>
      <c r="AZ247" s="15"/>
      <c r="BA247" s="15"/>
      <c r="BB247" s="15"/>
      <c r="BC247" s="15"/>
      <c r="BD247" s="15"/>
      <c r="BE247" s="12"/>
      <c r="BF247" s="11"/>
      <c r="BG247" s="11"/>
      <c r="BH247" s="10"/>
      <c r="BI247" s="10"/>
      <c r="BJ247" s="10"/>
      <c r="BK247" s="23"/>
      <c r="BL247" s="23"/>
      <c r="BM247" s="23"/>
      <c r="BN247" s="23"/>
      <c r="BO247" s="23"/>
      <c r="BP247" s="23"/>
      <c r="BQ247" s="23"/>
      <c r="BR247" s="10"/>
      <c r="BS247" s="16"/>
      <c r="BT247" s="16"/>
      <c r="BU247" s="16"/>
      <c r="BV247" s="16"/>
      <c r="BW247" s="11"/>
      <c r="BX247" s="16"/>
      <c r="BY247" s="16"/>
      <c r="BZ247" s="17"/>
      <c r="CA247" s="18"/>
      <c r="CB247" s="18"/>
      <c r="CC247" s="18"/>
      <c r="CD247" s="18"/>
      <c r="CE247" s="18"/>
      <c r="CF247" s="18"/>
      <c r="CG247" s="19"/>
      <c r="CH247" s="15"/>
      <c r="CI247" s="17"/>
      <c r="CJ247" s="10"/>
      <c r="CK247" s="10"/>
      <c r="CL247" s="10"/>
      <c r="CM247" s="17"/>
      <c r="CN247" s="17"/>
      <c r="CO247" s="10"/>
      <c r="CP247" s="10"/>
      <c r="CQ247" s="10"/>
      <c r="CR247" s="10"/>
      <c r="CS247" s="10"/>
      <c r="CT247" s="10"/>
      <c r="CU247" s="10"/>
      <c r="CV247" s="10"/>
      <c r="CW247" s="10"/>
      <c r="CX247" s="10"/>
      <c r="CY247" s="10"/>
      <c r="CZ247" s="10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34"/>
      <c r="DV247" s="34"/>
      <c r="DW247" s="34"/>
      <c r="DX247" s="34"/>
      <c r="DY247" s="34"/>
      <c r="DZ247" s="34"/>
      <c r="EA247" s="34"/>
      <c r="EB247" s="34"/>
      <c r="EC247" s="34"/>
      <c r="ED247" s="34"/>
      <c r="EE247" s="34"/>
    </row>
    <row r="248" spans="1:135" customFormat="1">
      <c r="A248" s="71">
        <f>'Old Data'!$I244-'Old Data'!$S244</f>
        <v>-61</v>
      </c>
      <c r="B248" s="72">
        <f>VLOOKUP('Old Data'!$F244,$R$6:$T$135,2,FALSE)+VLOOKUP('Old Data'!$P244,$R$6:$T$135,3,FALSE)+$B$2</f>
        <v>172.22640251353488</v>
      </c>
      <c r="C248" s="72">
        <f>VLOOKUP('Old Data'!$P244,$R$6:$T$135,2,FALSE)+VLOOKUP('Old Data'!$F244,$R$6:$T$135,3,FALSE)+$B$2</f>
        <v>241.88125485744791</v>
      </c>
      <c r="D248" s="74">
        <f>('Old Data'!$I244-$B248)^2+('Old Data'!$S244-$C248)^2</f>
        <v>1447.6648702643199</v>
      </c>
      <c r="E248" s="75">
        <f>'Old Data'!$K244-'Old Data'!$U244</f>
        <v>-205</v>
      </c>
      <c r="F248" s="72">
        <f>VLOOKUP('Old Data'!$F244,$V$6:$X$135,2,FALSE)+VLOOKUP('Old Data'!$P244,$V$6:$X$135,3,FALSE)+$C$2</f>
        <v>163.54106744313123</v>
      </c>
      <c r="G248" s="72">
        <f>VLOOKUP('Old Data'!$P244,$V$6:$X$135,2,FALSE)+VLOOKUP('Old Data'!$F244,$V$6:$X$135,3,FALSE)+$C$2</f>
        <v>298.5906288012128</v>
      </c>
      <c r="H248" s="74">
        <f>('Old Data'!$K244-$F248)^2+('Old Data'!$U244-$G248)^2</f>
        <v>6047.8464242795417</v>
      </c>
      <c r="I248" s="75">
        <f>('Old Data'!$L244+'Old Data'!$M244)-('Old Data'!$V244+'Old Data'!$W244)</f>
        <v>91</v>
      </c>
      <c r="J248" s="72">
        <f>VLOOKUP('Old Data'!$F244,$Z$6:$AB$135,2,FALSE)+VLOOKUP('Old Data'!$P244,$Z$6:$AB$135,3,FALSE)+$D$2</f>
        <v>77.412927810905472</v>
      </c>
      <c r="K248" s="72">
        <f>VLOOKUP('Old Data'!$P244,$Z$6:$AB$135,2,FALSE)+VLOOKUP('Old Data'!$F244,$Z$6:$AB$135,3,FALSE)+$D$2</f>
        <v>65.54440390789253</v>
      </c>
      <c r="L248" s="74">
        <f>('Old Data'!$L244+'Old Data'!$M244-$J248)^2+('Old Data'!$V244+'Old Data'!$W244-$K248)^2</f>
        <v>10097.931022116964</v>
      </c>
      <c r="M248" s="75">
        <f>'Old Data'!$N244-'Old Data'!$X244</f>
        <v>-1</v>
      </c>
      <c r="N248" s="72">
        <f>VLOOKUP('Old Data'!$F244,$AD$6:$AF$135,2,FALSE)+VLOOKUP('Old Data'!$P244,$AD$6:$AF$135,3,FALSE)+$E$2</f>
        <v>0.8150212268743241</v>
      </c>
      <c r="O248" s="72">
        <f>VLOOKUP('Old Data'!$P244,$AD$6:$AF$135,2,FALSE)+VLOOKUP('Old Data'!$F244,$AD$6:$AF$135,3,FALSE)+$E$2</f>
        <v>1.8505362065435751</v>
      </c>
      <c r="P248" s="73">
        <f>('Old Data'!$N244-$N248)^2+('Old Data'!$X244-$O248)^2</f>
        <v>5.6556572061465124E-2</v>
      </c>
      <c r="Q248" s="62"/>
      <c r="R248" s="3"/>
      <c r="S248" s="3"/>
      <c r="T248" s="3"/>
      <c r="V248" s="3"/>
      <c r="W248" s="3"/>
      <c r="X248" s="3"/>
      <c r="Z248" s="3"/>
      <c r="AA248" s="3"/>
      <c r="AB248" s="3"/>
      <c r="AC248" s="3"/>
      <c r="AD248" s="3"/>
      <c r="AE248" s="3"/>
      <c r="AF248" s="3"/>
      <c r="AG248" s="3"/>
      <c r="AH248" s="37"/>
      <c r="AI248" s="1"/>
      <c r="AK248" s="10"/>
      <c r="AL248" s="10"/>
      <c r="AM248" s="10"/>
      <c r="AN248" s="11"/>
      <c r="AO248" s="11"/>
      <c r="AP248" s="11"/>
      <c r="AQ248" s="36"/>
      <c r="AR248" s="11"/>
      <c r="AS248" s="11"/>
      <c r="AT248" s="11"/>
      <c r="AU248" s="12"/>
      <c r="AV248" s="11"/>
      <c r="AW248" s="11"/>
      <c r="AX248" s="15"/>
      <c r="AY248" s="15"/>
      <c r="AZ248" s="15"/>
      <c r="BA248" s="15"/>
      <c r="BB248" s="15"/>
      <c r="BC248" s="15"/>
      <c r="BD248" s="15"/>
      <c r="BE248" s="12"/>
      <c r="BF248" s="11"/>
      <c r="BG248" s="11"/>
      <c r="BH248" s="10"/>
      <c r="BI248" s="10"/>
      <c r="BJ248" s="10"/>
      <c r="BK248" s="23"/>
      <c r="BL248" s="23"/>
      <c r="BM248" s="23"/>
      <c r="BN248" s="23"/>
      <c r="BO248" s="23"/>
      <c r="BP248" s="23"/>
      <c r="BQ248" s="23"/>
      <c r="BR248" s="10"/>
      <c r="BS248" s="16"/>
      <c r="BT248" s="16"/>
      <c r="BU248" s="16"/>
      <c r="BV248" s="16"/>
      <c r="BW248" s="11"/>
      <c r="BX248" s="16"/>
      <c r="BY248" s="16"/>
      <c r="BZ248" s="17"/>
      <c r="CA248" s="18"/>
      <c r="CB248" s="18"/>
      <c r="CC248" s="18"/>
      <c r="CD248" s="18"/>
      <c r="CE248" s="18"/>
      <c r="CF248" s="18"/>
      <c r="CG248" s="19"/>
      <c r="CH248" s="15"/>
      <c r="CI248" s="17"/>
      <c r="CJ248" s="10"/>
      <c r="CK248" s="10"/>
      <c r="CL248" s="10"/>
      <c r="CM248" s="17"/>
      <c r="CN248" s="17"/>
      <c r="CO248" s="10"/>
      <c r="CP248" s="10"/>
      <c r="CQ248" s="10"/>
      <c r="CR248" s="10"/>
      <c r="CS248" s="10"/>
      <c r="CT248" s="10"/>
      <c r="CU248" s="10"/>
      <c r="CV248" s="10"/>
      <c r="CW248" s="10"/>
      <c r="CX248" s="10"/>
      <c r="CY248" s="10"/>
      <c r="CZ248" s="10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34"/>
      <c r="DV248" s="34"/>
      <c r="DW248" s="34"/>
      <c r="DX248" s="34"/>
      <c r="DY248" s="34"/>
      <c r="DZ248" s="34"/>
      <c r="EA248" s="34"/>
      <c r="EB248" s="34"/>
      <c r="EC248" s="34"/>
      <c r="ED248" s="34"/>
      <c r="EE248" s="34"/>
    </row>
    <row r="249" spans="1:135" customFormat="1">
      <c r="A249" s="71">
        <f>'Old Data'!$I245-'Old Data'!$S245</f>
        <v>81</v>
      </c>
      <c r="B249" s="72">
        <f>VLOOKUP('Old Data'!$F245,$R$6:$T$135,2,FALSE)+VLOOKUP('Old Data'!$P245,$R$6:$T$135,3,FALSE)+$B$2</f>
        <v>124.31209455875073</v>
      </c>
      <c r="C249" s="72">
        <f>VLOOKUP('Old Data'!$P245,$R$6:$T$135,2,FALSE)+VLOOKUP('Old Data'!$F245,$R$6:$T$135,3,FALSE)+$B$2</f>
        <v>174.18336956083959</v>
      </c>
      <c r="D249" s="74">
        <f>('Old Data'!$I245-$B249)^2+('Old Data'!$S245-$C249)^2</f>
        <v>8564.7635168026754</v>
      </c>
      <c r="E249" s="75">
        <f>'Old Data'!$K245-'Old Data'!$U245</f>
        <v>26</v>
      </c>
      <c r="F249" s="72">
        <f>VLOOKUP('Old Data'!$F245,$V$6:$X$135,2,FALSE)+VLOOKUP('Old Data'!$P245,$V$6:$X$135,3,FALSE)+$C$2</f>
        <v>256.92338249953042</v>
      </c>
      <c r="G249" s="72">
        <f>VLOOKUP('Old Data'!$P245,$V$6:$X$135,2,FALSE)+VLOOKUP('Old Data'!$F245,$V$6:$X$135,3,FALSE)+$C$2</f>
        <v>162.5931965372742</v>
      </c>
      <c r="H249" s="74">
        <f>('Old Data'!$K245-$F249)^2+('Old Data'!$U245-$G249)^2</f>
        <v>3509.8282109654656</v>
      </c>
      <c r="I249" s="75">
        <f>('Old Data'!$L245+'Old Data'!$M245)-('Old Data'!$V245+'Old Data'!$W245)</f>
        <v>-59</v>
      </c>
      <c r="J249" s="72">
        <f>VLOOKUP('Old Data'!$F245,$Z$6:$AB$135,2,FALSE)+VLOOKUP('Old Data'!$P245,$Z$6:$AB$135,3,FALSE)+$D$2</f>
        <v>48.859879709792828</v>
      </c>
      <c r="K249" s="72">
        <f>VLOOKUP('Old Data'!$P245,$Z$6:$AB$135,2,FALSE)+VLOOKUP('Old Data'!$F245,$Z$6:$AB$135,3,FALSE)+$D$2</f>
        <v>107.3065376782678</v>
      </c>
      <c r="L249" s="74">
        <f>('Old Data'!$L245+'Old Data'!$M245-$J249)^2+('Old Data'!$V245+'Old Data'!$W245-$K249)^2</f>
        <v>0.50052368738995312</v>
      </c>
      <c r="M249" s="75">
        <f>'Old Data'!$N245-'Old Data'!$X245</f>
        <v>2</v>
      </c>
      <c r="N249" s="72">
        <f>VLOOKUP('Old Data'!$F245,$AD$6:$AF$135,2,FALSE)+VLOOKUP('Old Data'!$P245,$AD$6:$AF$135,3,FALSE)+$E$2</f>
        <v>1.6027049211527942</v>
      </c>
      <c r="O249" s="72">
        <f>VLOOKUP('Old Data'!$P245,$AD$6:$AF$135,2,FALSE)+VLOOKUP('Old Data'!$F245,$AD$6:$AF$135,3,FALSE)+$E$2</f>
        <v>1.294273223113914</v>
      </c>
      <c r="P249" s="73">
        <f>('Old Data'!$N245-$N249)^2+('Old Data'!$X245-$O249)^2</f>
        <v>1.8329865557458871</v>
      </c>
      <c r="Q249" s="62"/>
      <c r="R249" s="3"/>
      <c r="S249" s="3"/>
      <c r="T249" s="3"/>
      <c r="V249" s="3"/>
      <c r="W249" s="3"/>
      <c r="X249" s="3"/>
      <c r="Z249" s="3"/>
      <c r="AA249" s="3"/>
      <c r="AB249" s="3"/>
      <c r="AC249" s="3"/>
      <c r="AD249" s="3"/>
      <c r="AE249" s="3"/>
      <c r="AF249" s="3"/>
      <c r="AG249" s="3"/>
      <c r="AH249" s="37"/>
      <c r="AI249" s="1"/>
      <c r="AK249" s="10"/>
      <c r="AL249" s="10"/>
      <c r="AM249" s="10"/>
      <c r="AN249" s="11"/>
      <c r="AO249" s="11"/>
      <c r="AP249" s="11"/>
      <c r="AQ249" s="36"/>
      <c r="AR249" s="11"/>
      <c r="AS249" s="11"/>
      <c r="AT249" s="11"/>
      <c r="AU249" s="12"/>
      <c r="AV249" s="11"/>
      <c r="AW249" s="11"/>
      <c r="AX249" s="15"/>
      <c r="AY249" s="15"/>
      <c r="AZ249" s="15"/>
      <c r="BA249" s="15"/>
      <c r="BB249" s="15"/>
      <c r="BC249" s="15"/>
      <c r="BD249" s="15"/>
      <c r="BE249" s="12"/>
      <c r="BF249" s="11"/>
      <c r="BG249" s="11"/>
      <c r="BH249" s="10"/>
      <c r="BI249" s="10"/>
      <c r="BJ249" s="10"/>
      <c r="BK249" s="23"/>
      <c r="BL249" s="23"/>
      <c r="BM249" s="23"/>
      <c r="BN249" s="23"/>
      <c r="BO249" s="23"/>
      <c r="BP249" s="23"/>
      <c r="BQ249" s="23"/>
      <c r="BR249" s="10"/>
      <c r="BS249" s="16"/>
      <c r="BT249" s="16"/>
      <c r="BU249" s="16"/>
      <c r="BV249" s="16"/>
      <c r="BW249" s="11"/>
      <c r="BX249" s="16"/>
      <c r="BY249" s="16"/>
      <c r="BZ249" s="17"/>
      <c r="CA249" s="18"/>
      <c r="CB249" s="18"/>
      <c r="CC249" s="18"/>
      <c r="CD249" s="18"/>
      <c r="CE249" s="18"/>
      <c r="CF249" s="18"/>
      <c r="CG249" s="19"/>
      <c r="CH249" s="15"/>
      <c r="CI249" s="17"/>
      <c r="CJ249" s="10"/>
      <c r="CK249" s="10"/>
      <c r="CL249" s="10"/>
      <c r="CM249" s="17"/>
      <c r="CN249" s="17"/>
      <c r="CO249" s="10"/>
      <c r="CP249" s="10"/>
      <c r="CQ249" s="10"/>
      <c r="CR249" s="10"/>
      <c r="CS249" s="10"/>
      <c r="CT249" s="10"/>
      <c r="CU249" s="10"/>
      <c r="CV249" s="10"/>
      <c r="CW249" s="10"/>
      <c r="CX249" s="10"/>
      <c r="CY249" s="10"/>
      <c r="CZ249" s="10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34"/>
      <c r="DV249" s="34"/>
      <c r="DW249" s="34"/>
      <c r="DX249" s="34"/>
      <c r="DY249" s="34"/>
      <c r="DZ249" s="34"/>
      <c r="EA249" s="34"/>
      <c r="EB249" s="34"/>
      <c r="EC249" s="34"/>
      <c r="ED249" s="34"/>
      <c r="EE249" s="34"/>
    </row>
    <row r="250" spans="1:135" customFormat="1">
      <c r="A250" s="71">
        <f>'Old Data'!$I246-'Old Data'!$S246</f>
        <v>-138</v>
      </c>
      <c r="B250" s="72">
        <f>VLOOKUP('Old Data'!$F246,$R$6:$T$135,2,FALSE)+VLOOKUP('Old Data'!$P246,$R$6:$T$135,3,FALSE)+$B$2</f>
        <v>133.14328561827062</v>
      </c>
      <c r="C250" s="72">
        <f>VLOOKUP('Old Data'!$P246,$R$6:$T$135,2,FALSE)+VLOOKUP('Old Data'!$F246,$R$6:$T$135,3,FALSE)+$B$2</f>
        <v>300.10536471541718</v>
      </c>
      <c r="D250" s="74">
        <f>('Old Data'!$I246-$B250)^2+('Old Data'!$S246-$C250)^2</f>
        <v>1040.6346879879816</v>
      </c>
      <c r="E250" s="75">
        <f>'Old Data'!$K246-'Old Data'!$U246</f>
        <v>-47</v>
      </c>
      <c r="F250" s="72">
        <f>VLOOKUP('Old Data'!$F246,$V$6:$X$135,2,FALSE)+VLOOKUP('Old Data'!$P246,$V$6:$X$135,3,FALSE)+$C$2</f>
        <v>186.04373713826701</v>
      </c>
      <c r="G250" s="72">
        <f>VLOOKUP('Old Data'!$P246,$V$6:$X$135,2,FALSE)+VLOOKUP('Old Data'!$F246,$V$6:$X$135,3,FALSE)+$C$2</f>
        <v>299.2426900707938</v>
      </c>
      <c r="H250" s="74">
        <f>('Old Data'!$K246-$F250)^2+('Old Data'!$U246-$G250)^2</f>
        <v>2426.8903063551566</v>
      </c>
      <c r="I250" s="75">
        <f>('Old Data'!$L246+'Old Data'!$M246)-('Old Data'!$V246+'Old Data'!$W246)</f>
        <v>28</v>
      </c>
      <c r="J250" s="72">
        <f>VLOOKUP('Old Data'!$F246,$Z$6:$AB$135,2,FALSE)+VLOOKUP('Old Data'!$P246,$Z$6:$AB$135,3,FALSE)+$D$2</f>
        <v>77.850154732157648</v>
      </c>
      <c r="K250" s="72">
        <f>VLOOKUP('Old Data'!$P246,$Z$6:$AB$135,2,FALSE)+VLOOKUP('Old Data'!$F246,$Z$6:$AB$135,3,FALSE)+$D$2</f>
        <v>75.421486380340014</v>
      </c>
      <c r="L250" s="74">
        <f>('Old Data'!$L246+'Old Data'!$M246-$J250)^2+('Old Data'!$V246+'Old Data'!$W246-$K250)^2</f>
        <v>929.97595664024777</v>
      </c>
      <c r="M250" s="75">
        <f>'Old Data'!$N246-'Old Data'!$X246</f>
        <v>1</v>
      </c>
      <c r="N250" s="72">
        <f>VLOOKUP('Old Data'!$F246,$AD$6:$AF$135,2,FALSE)+VLOOKUP('Old Data'!$P246,$AD$6:$AF$135,3,FALSE)+$E$2</f>
        <v>0.54233494435312513</v>
      </c>
      <c r="O250" s="72">
        <f>VLOOKUP('Old Data'!$P246,$AD$6:$AF$135,2,FALSE)+VLOOKUP('Old Data'!$F246,$AD$6:$AF$135,3,FALSE)+$E$2</f>
        <v>0.76210664222575908</v>
      </c>
      <c r="P250" s="73">
        <f>('Old Data'!$N246-$N250)^2+('Old Data'!$X246-$O250)^2</f>
        <v>0.79026383728487826</v>
      </c>
      <c r="Q250" s="62"/>
      <c r="R250" s="3"/>
      <c r="S250" s="3"/>
      <c r="T250" s="3"/>
      <c r="V250" s="3"/>
      <c r="W250" s="3"/>
      <c r="X250" s="3"/>
      <c r="Z250" s="3"/>
      <c r="AA250" s="3"/>
      <c r="AB250" s="3"/>
      <c r="AC250" s="3"/>
      <c r="AD250" s="3"/>
      <c r="AE250" s="3"/>
      <c r="AF250" s="3"/>
      <c r="AG250" s="3"/>
      <c r="AH250" s="37"/>
      <c r="AI250" s="1"/>
      <c r="AK250" s="10"/>
      <c r="AL250" s="10"/>
      <c r="AM250" s="10"/>
      <c r="AN250" s="11"/>
      <c r="AO250" s="11"/>
      <c r="AP250" s="11"/>
      <c r="AQ250" s="36"/>
      <c r="AR250" s="11"/>
      <c r="AS250" s="11"/>
      <c r="AT250" s="11"/>
      <c r="AU250" s="12"/>
      <c r="AV250" s="11"/>
      <c r="AW250" s="11"/>
      <c r="AX250" s="15"/>
      <c r="AY250" s="15"/>
      <c r="AZ250" s="15"/>
      <c r="BA250" s="15"/>
      <c r="BB250" s="15"/>
      <c r="BC250" s="15"/>
      <c r="BD250" s="15"/>
      <c r="BE250" s="12"/>
      <c r="BF250" s="11"/>
      <c r="BG250" s="11"/>
      <c r="BH250" s="10"/>
      <c r="BI250" s="10"/>
      <c r="BJ250" s="10"/>
      <c r="BK250" s="23"/>
      <c r="BL250" s="23"/>
      <c r="BM250" s="23"/>
      <c r="BN250" s="23"/>
      <c r="BO250" s="23"/>
      <c r="BP250" s="23"/>
      <c r="BQ250" s="23"/>
      <c r="BR250" s="10"/>
      <c r="BS250" s="16"/>
      <c r="BT250" s="16"/>
      <c r="BU250" s="16"/>
      <c r="BV250" s="16"/>
      <c r="BW250" s="11"/>
      <c r="BX250" s="16"/>
      <c r="BY250" s="16"/>
      <c r="BZ250" s="17"/>
      <c r="CA250" s="18"/>
      <c r="CB250" s="18"/>
      <c r="CC250" s="18"/>
      <c r="CD250" s="18"/>
      <c r="CE250" s="18"/>
      <c r="CF250" s="18"/>
      <c r="CG250" s="19"/>
      <c r="CH250" s="15"/>
      <c r="CI250" s="17"/>
      <c r="CJ250" s="10"/>
      <c r="CK250" s="10"/>
      <c r="CL250" s="10"/>
      <c r="CM250" s="17"/>
      <c r="CN250" s="17"/>
      <c r="CO250" s="10"/>
      <c r="CP250" s="10"/>
      <c r="CQ250" s="10"/>
      <c r="CR250" s="10"/>
      <c r="CS250" s="10"/>
      <c r="CT250" s="10"/>
      <c r="CU250" s="10"/>
      <c r="CV250" s="10"/>
      <c r="CW250" s="10"/>
      <c r="CX250" s="10"/>
      <c r="CY250" s="10"/>
      <c r="CZ250" s="10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34"/>
      <c r="DV250" s="34"/>
      <c r="DW250" s="34"/>
      <c r="DX250" s="34"/>
      <c r="DY250" s="34"/>
      <c r="DZ250" s="34"/>
      <c r="EA250" s="34"/>
      <c r="EB250" s="34"/>
      <c r="EC250" s="34"/>
      <c r="ED250" s="34"/>
      <c r="EE250" s="34"/>
    </row>
    <row r="251" spans="1:135" customFormat="1">
      <c r="A251" s="71">
        <f>'Old Data'!$I247-'Old Data'!$S247</f>
        <v>-35</v>
      </c>
      <c r="B251" s="72">
        <f>VLOOKUP('Old Data'!$F247,$R$6:$T$135,2,FALSE)+VLOOKUP('Old Data'!$P247,$R$6:$T$135,3,FALSE)+$B$2</f>
        <v>161.16095515366391</v>
      </c>
      <c r="C251" s="72">
        <f>VLOOKUP('Old Data'!$P247,$R$6:$T$135,2,FALSE)+VLOOKUP('Old Data'!$F247,$R$6:$T$135,3,FALSE)+$B$2</f>
        <v>126.53240670538291</v>
      </c>
      <c r="D251" s="74">
        <f>('Old Data'!$I247-$B251)^2+('Old Data'!$S247-$C251)^2</f>
        <v>2446.4679259953782</v>
      </c>
      <c r="E251" s="75">
        <f>'Old Data'!$K247-'Old Data'!$U247</f>
        <v>-50</v>
      </c>
      <c r="F251" s="72">
        <f>VLOOKUP('Old Data'!$F247,$V$6:$X$135,2,FALSE)+VLOOKUP('Old Data'!$P247,$V$6:$X$135,3,FALSE)+$C$2</f>
        <v>152.0910310327001</v>
      </c>
      <c r="G251" s="72">
        <f>VLOOKUP('Old Data'!$P247,$V$6:$X$135,2,FALSE)+VLOOKUP('Old Data'!$F247,$V$6:$X$135,3,FALSE)+$C$2</f>
        <v>237.13204513484578</v>
      </c>
      <c r="H251" s="74">
        <f>('Old Data'!$K247-$F251)^2+('Old Data'!$U247-$G251)^2</f>
        <v>5296.8228278896995</v>
      </c>
      <c r="I251" s="75">
        <f>('Old Data'!$L247+'Old Data'!$M247)-('Old Data'!$V247+'Old Data'!$W247)</f>
        <v>53</v>
      </c>
      <c r="J251" s="72">
        <f>VLOOKUP('Old Data'!$F247,$Z$6:$AB$135,2,FALSE)+VLOOKUP('Old Data'!$P247,$Z$6:$AB$135,3,FALSE)+$D$2</f>
        <v>85.10203980335487</v>
      </c>
      <c r="K251" s="72">
        <f>VLOOKUP('Old Data'!$P247,$Z$6:$AB$135,2,FALSE)+VLOOKUP('Old Data'!$F247,$Z$6:$AB$135,3,FALSE)+$D$2</f>
        <v>48.831278537161609</v>
      </c>
      <c r="L251" s="74">
        <f>('Old Data'!$L247+'Old Data'!$M247-$J251)^2+('Old Data'!$V247+'Old Data'!$W247-$K251)^2</f>
        <v>897.83535280834826</v>
      </c>
      <c r="M251" s="75">
        <f>'Old Data'!$N247-'Old Data'!$X247</f>
        <v>-2</v>
      </c>
      <c r="N251" s="72">
        <f>VLOOKUP('Old Data'!$F247,$AD$6:$AF$135,2,FALSE)+VLOOKUP('Old Data'!$P247,$AD$6:$AF$135,3,FALSE)+$E$2</f>
        <v>1.2720588386462222</v>
      </c>
      <c r="O251" s="72">
        <f>VLOOKUP('Old Data'!$P247,$AD$6:$AF$135,2,FALSE)+VLOOKUP('Old Data'!$F247,$AD$6:$AF$135,3,FALSE)+$E$2</f>
        <v>1.8901294062362382</v>
      </c>
      <c r="P251" s="73">
        <f>('Old Data'!$N247-$N251)^2+('Old Data'!$X247-$O251)^2</f>
        <v>1.630205236351977</v>
      </c>
      <c r="Q251" s="62"/>
      <c r="R251" s="3"/>
      <c r="S251" s="3"/>
      <c r="T251" s="3"/>
      <c r="V251" s="3"/>
      <c r="W251" s="3"/>
      <c r="X251" s="3"/>
      <c r="Z251" s="3"/>
      <c r="AA251" s="3"/>
      <c r="AB251" s="3"/>
      <c r="AC251" s="3"/>
      <c r="AD251" s="3"/>
      <c r="AE251" s="3"/>
      <c r="AF251" s="3"/>
      <c r="AG251" s="3"/>
      <c r="AH251" s="37"/>
      <c r="AI251" s="1"/>
      <c r="AK251" s="10"/>
      <c r="AL251" s="10"/>
      <c r="AM251" s="10"/>
      <c r="AN251" s="11"/>
      <c r="AO251" s="11"/>
      <c r="AP251" s="11"/>
      <c r="AQ251" s="36"/>
      <c r="AR251" s="11"/>
      <c r="AS251" s="11"/>
      <c r="AT251" s="11"/>
      <c r="AU251" s="12"/>
      <c r="AV251" s="11"/>
      <c r="AW251" s="11"/>
      <c r="AX251" s="15"/>
      <c r="AY251" s="15"/>
      <c r="AZ251" s="15"/>
      <c r="BA251" s="15"/>
      <c r="BB251" s="15"/>
      <c r="BC251" s="15"/>
      <c r="BD251" s="15"/>
      <c r="BE251" s="12"/>
      <c r="BF251" s="11"/>
      <c r="BG251" s="11"/>
      <c r="BH251" s="10"/>
      <c r="BI251" s="10"/>
      <c r="BJ251" s="10"/>
      <c r="BK251" s="23"/>
      <c r="BL251" s="23"/>
      <c r="BM251" s="23"/>
      <c r="BN251" s="23"/>
      <c r="BO251" s="23"/>
      <c r="BP251" s="23"/>
      <c r="BQ251" s="23"/>
      <c r="BR251" s="10"/>
      <c r="BS251" s="16"/>
      <c r="BT251" s="16"/>
      <c r="BU251" s="16"/>
      <c r="BV251" s="16"/>
      <c r="BW251" s="11"/>
      <c r="BX251" s="16"/>
      <c r="BY251" s="16"/>
      <c r="BZ251" s="17"/>
      <c r="CA251" s="18"/>
      <c r="CB251" s="18"/>
      <c r="CC251" s="18"/>
      <c r="CD251" s="18"/>
      <c r="CE251" s="18"/>
      <c r="CF251" s="18"/>
      <c r="CG251" s="19"/>
      <c r="CH251" s="15"/>
      <c r="CI251" s="17"/>
      <c r="CJ251" s="10"/>
      <c r="CK251" s="10"/>
      <c r="CL251" s="10"/>
      <c r="CM251" s="17"/>
      <c r="CN251" s="17"/>
      <c r="CO251" s="10"/>
      <c r="CP251" s="10"/>
      <c r="CQ251" s="10"/>
      <c r="CR251" s="10"/>
      <c r="CS251" s="10"/>
      <c r="CT251" s="10"/>
      <c r="CU251" s="10"/>
      <c r="CV251" s="10"/>
      <c r="CW251" s="10"/>
      <c r="CX251" s="10"/>
      <c r="CY251" s="10"/>
      <c r="CZ251" s="10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34"/>
      <c r="DV251" s="34"/>
      <c r="DW251" s="34"/>
      <c r="DX251" s="34"/>
      <c r="DY251" s="34"/>
      <c r="DZ251" s="34"/>
      <c r="EA251" s="34"/>
      <c r="EB251" s="34"/>
      <c r="EC251" s="34"/>
      <c r="ED251" s="34"/>
      <c r="EE251" s="34"/>
    </row>
    <row r="252" spans="1:135" customFormat="1">
      <c r="A252" s="71">
        <f>'Old Data'!$I248-'Old Data'!$S248</f>
        <v>-30</v>
      </c>
      <c r="B252" s="72">
        <f>VLOOKUP('Old Data'!$F248,$R$6:$T$135,2,FALSE)+VLOOKUP('Old Data'!$P248,$R$6:$T$135,3,FALSE)+$B$2</f>
        <v>178.88165459030739</v>
      </c>
      <c r="C252" s="72">
        <f>VLOOKUP('Old Data'!$P248,$R$6:$T$135,2,FALSE)+VLOOKUP('Old Data'!$F248,$R$6:$T$135,3,FALSE)+$B$2</f>
        <v>290.55700945512211</v>
      </c>
      <c r="D252" s="74">
        <f>('Old Data'!$I248-$B252)^2+('Old Data'!$S248-$C252)^2</f>
        <v>5968.0055339027294</v>
      </c>
      <c r="E252" s="75">
        <f>'Old Data'!$K248-'Old Data'!$U248</f>
        <v>70</v>
      </c>
      <c r="F252" s="72">
        <f>VLOOKUP('Old Data'!$F248,$V$6:$X$135,2,FALSE)+VLOOKUP('Old Data'!$P248,$V$6:$X$135,3,FALSE)+$C$2</f>
        <v>252.82269532495715</v>
      </c>
      <c r="G252" s="72">
        <f>VLOOKUP('Old Data'!$P248,$V$6:$X$135,2,FALSE)+VLOOKUP('Old Data'!$F248,$V$6:$X$135,3,FALSE)+$C$2</f>
        <v>306.88861920473687</v>
      </c>
      <c r="H252" s="74">
        <f>('Old Data'!$K248-$F252)^2+('Old Data'!$U248-$G252)^2</f>
        <v>7730.5278874844789</v>
      </c>
      <c r="I252" s="75">
        <f>('Old Data'!$L248+'Old Data'!$M248)-('Old Data'!$V248+'Old Data'!$W248)</f>
        <v>-32</v>
      </c>
      <c r="J252" s="72">
        <f>VLOOKUP('Old Data'!$F248,$Z$6:$AB$135,2,FALSE)+VLOOKUP('Old Data'!$P248,$Z$6:$AB$135,3,FALSE)+$D$2</f>
        <v>40.46284984539227</v>
      </c>
      <c r="K252" s="72">
        <f>VLOOKUP('Old Data'!$P248,$Z$6:$AB$135,2,FALSE)+VLOOKUP('Old Data'!$F248,$Z$6:$AB$135,3,FALSE)+$D$2</f>
        <v>92.38299100603497</v>
      </c>
      <c r="L252" s="74">
        <f>('Old Data'!$L248+'Old Data'!$M248-$J252)^2+('Old Data'!$V248+'Old Data'!$W248-$K252)^2</f>
        <v>280.91382552006422</v>
      </c>
      <c r="M252" s="75">
        <f>'Old Data'!$N248-'Old Data'!$X248</f>
        <v>1</v>
      </c>
      <c r="N252" s="72">
        <f>VLOOKUP('Old Data'!$F248,$AD$6:$AF$135,2,FALSE)+VLOOKUP('Old Data'!$P248,$AD$6:$AF$135,3,FALSE)+$E$2</f>
        <v>1.569507191969248</v>
      </c>
      <c r="O252" s="72">
        <f>VLOOKUP('Old Data'!$P248,$AD$6:$AF$135,2,FALSE)+VLOOKUP('Old Data'!$F248,$AD$6:$AF$135,3,FALSE)+$E$2</f>
        <v>1.5796261021244422</v>
      </c>
      <c r="P252" s="73">
        <f>('Old Data'!$N248-$N252)^2+('Old Data'!$X248-$O252)^2</f>
        <v>0.5212904760301762</v>
      </c>
      <c r="Q252" s="62"/>
      <c r="R252" s="3"/>
      <c r="S252" s="3"/>
      <c r="T252" s="3"/>
      <c r="V252" s="3"/>
      <c r="W252" s="3"/>
      <c r="X252" s="3"/>
      <c r="Z252" s="3"/>
      <c r="AA252" s="3"/>
      <c r="AB252" s="3"/>
      <c r="AC252" s="3"/>
      <c r="AD252" s="3"/>
      <c r="AE252" s="3"/>
      <c r="AF252" s="3"/>
      <c r="AG252" s="3"/>
      <c r="AH252" s="37"/>
      <c r="AI252" s="1"/>
      <c r="AK252" s="10"/>
      <c r="AL252" s="10"/>
      <c r="AM252" s="10"/>
      <c r="AN252" s="11"/>
      <c r="AO252" s="11"/>
      <c r="AP252" s="11"/>
      <c r="AQ252" s="36"/>
      <c r="AR252" s="11"/>
      <c r="AS252" s="11"/>
      <c r="AT252" s="11"/>
      <c r="AU252" s="12"/>
      <c r="AV252" s="11"/>
      <c r="AW252" s="11"/>
      <c r="AX252" s="15"/>
      <c r="AY252" s="15"/>
      <c r="AZ252" s="15"/>
      <c r="BA252" s="15"/>
      <c r="BB252" s="15"/>
      <c r="BC252" s="15"/>
      <c r="BD252" s="15"/>
      <c r="BE252" s="12"/>
      <c r="BF252" s="11"/>
      <c r="BG252" s="11"/>
      <c r="BH252" s="10"/>
      <c r="BI252" s="10"/>
      <c r="BJ252" s="10"/>
      <c r="BK252" s="23"/>
      <c r="BL252" s="23"/>
      <c r="BM252" s="23"/>
      <c r="BN252" s="23"/>
      <c r="BO252" s="23"/>
      <c r="BP252" s="23"/>
      <c r="BQ252" s="23"/>
      <c r="BR252" s="10"/>
      <c r="BS252" s="16"/>
      <c r="BT252" s="16"/>
      <c r="BU252" s="16"/>
      <c r="BV252" s="16"/>
      <c r="BW252" s="11"/>
      <c r="BX252" s="16"/>
      <c r="BY252" s="16"/>
      <c r="BZ252" s="17"/>
      <c r="CA252" s="18"/>
      <c r="CB252" s="18"/>
      <c r="CC252" s="18"/>
      <c r="CD252" s="18"/>
      <c r="CE252" s="18"/>
      <c r="CF252" s="18"/>
      <c r="CG252" s="19"/>
      <c r="CH252" s="15"/>
      <c r="CI252" s="17"/>
      <c r="CJ252" s="10"/>
      <c r="CK252" s="10"/>
      <c r="CL252" s="10"/>
      <c r="CM252" s="17"/>
      <c r="CN252" s="17"/>
      <c r="CO252" s="10"/>
      <c r="CP252" s="10"/>
      <c r="CQ252" s="10"/>
      <c r="CR252" s="10"/>
      <c r="CS252" s="10"/>
      <c r="CT252" s="10"/>
      <c r="CU252" s="10"/>
      <c r="CV252" s="10"/>
      <c r="CW252" s="10"/>
      <c r="CX252" s="10"/>
      <c r="CY252" s="10"/>
      <c r="CZ252" s="10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34"/>
      <c r="DV252" s="34"/>
      <c r="DW252" s="34"/>
      <c r="DX252" s="34"/>
      <c r="DY252" s="34"/>
      <c r="DZ252" s="34"/>
      <c r="EA252" s="34"/>
      <c r="EB252" s="34"/>
      <c r="EC252" s="34"/>
      <c r="ED252" s="34"/>
      <c r="EE252" s="34"/>
    </row>
    <row r="253" spans="1:135" customFormat="1">
      <c r="A253" s="71">
        <f>'Old Data'!$I249-'Old Data'!$S249</f>
        <v>-23</v>
      </c>
      <c r="B253" s="72">
        <f>VLOOKUP('Old Data'!$F249,$R$6:$T$135,2,FALSE)+VLOOKUP('Old Data'!$P249,$R$6:$T$135,3,FALSE)+$B$2</f>
        <v>231.0204607989462</v>
      </c>
      <c r="C253" s="72">
        <f>VLOOKUP('Old Data'!$P249,$R$6:$T$135,2,FALSE)+VLOOKUP('Old Data'!$F249,$R$6:$T$135,3,FALSE)+$B$2</f>
        <v>300.62084864038559</v>
      </c>
      <c r="D253" s="74">
        <f>('Old Data'!$I249-$B253)^2+('Old Data'!$S249-$C253)^2</f>
        <v>1757.0908522007185</v>
      </c>
      <c r="E253" s="75">
        <f>'Old Data'!$K249-'Old Data'!$U249</f>
        <v>124</v>
      </c>
      <c r="F253" s="72">
        <f>VLOOKUP('Old Data'!$F249,$V$6:$X$135,2,FALSE)+VLOOKUP('Old Data'!$P249,$V$6:$X$135,3,FALSE)+$C$2</f>
        <v>315.02171269985269</v>
      </c>
      <c r="G253" s="72">
        <f>VLOOKUP('Old Data'!$P249,$V$6:$X$135,2,FALSE)+VLOOKUP('Old Data'!$F249,$V$6:$X$135,3,FALSE)+$C$2</f>
        <v>201.61723436119499</v>
      </c>
      <c r="H253" s="74">
        <f>('Old Data'!$K249-$F253)^2+('Old Data'!$U249-$G253)^2</f>
        <v>23246.324101125101</v>
      </c>
      <c r="I253" s="75">
        <f>('Old Data'!$L249+'Old Data'!$M249)-('Old Data'!$V249+'Old Data'!$W249)</f>
        <v>-124</v>
      </c>
      <c r="J253" s="72">
        <f>VLOOKUP('Old Data'!$F249,$Z$6:$AB$135,2,FALSE)+VLOOKUP('Old Data'!$P249,$Z$6:$AB$135,3,FALSE)+$D$2</f>
        <v>95.932282130190089</v>
      </c>
      <c r="K253" s="72">
        <f>VLOOKUP('Old Data'!$P249,$Z$6:$AB$135,2,FALSE)+VLOOKUP('Old Data'!$F249,$Z$6:$AB$135,3,FALSE)+$D$2</f>
        <v>129.83194763062428</v>
      </c>
      <c r="L253" s="74">
        <f>('Old Data'!$L249+'Old Data'!$M249-$J253)^2+('Old Data'!$V249+'Old Data'!$W249-$K253)^2</f>
        <v>4078.4775537047803</v>
      </c>
      <c r="M253" s="75">
        <f>'Old Data'!$N249-'Old Data'!$X249</f>
        <v>2</v>
      </c>
      <c r="N253" s="72">
        <f>VLOOKUP('Old Data'!$F249,$AD$6:$AF$135,2,FALSE)+VLOOKUP('Old Data'!$P249,$AD$6:$AF$135,3,FALSE)+$E$2</f>
        <v>1.1404913969688262</v>
      </c>
      <c r="O253" s="72">
        <f>VLOOKUP('Old Data'!$P249,$AD$6:$AF$135,2,FALSE)+VLOOKUP('Old Data'!$F249,$AD$6:$AF$135,3,FALSE)+$E$2</f>
        <v>1.0321441099087161</v>
      </c>
      <c r="P253" s="73">
        <f>('Old Data'!$N249-$N253)^2+('Old Data'!$X249-$O253)^2</f>
        <v>1.8040765023038556</v>
      </c>
      <c r="Q253" s="62"/>
      <c r="R253" s="3"/>
      <c r="S253" s="3"/>
      <c r="T253" s="3"/>
      <c r="V253" s="3"/>
      <c r="W253" s="3"/>
      <c r="X253" s="3"/>
      <c r="Z253" s="3"/>
      <c r="AA253" s="3"/>
      <c r="AB253" s="3"/>
      <c r="AC253" s="3"/>
      <c r="AD253" s="3"/>
      <c r="AE253" s="3"/>
      <c r="AF253" s="3"/>
      <c r="AG253" s="3"/>
      <c r="AH253" s="37"/>
      <c r="AI253" s="1"/>
      <c r="AK253" s="10"/>
      <c r="AL253" s="10"/>
      <c r="AM253" s="10"/>
      <c r="AN253" s="11"/>
      <c r="AO253" s="11"/>
      <c r="AP253" s="11"/>
      <c r="AQ253" s="36"/>
      <c r="AR253" s="11"/>
      <c r="AS253" s="11"/>
      <c r="AT253" s="11"/>
      <c r="AU253" s="12"/>
      <c r="AV253" s="11"/>
      <c r="AW253" s="11"/>
      <c r="AX253" s="15"/>
      <c r="AY253" s="15"/>
      <c r="AZ253" s="15"/>
      <c r="BA253" s="15"/>
      <c r="BB253" s="15"/>
      <c r="BC253" s="15"/>
      <c r="BD253" s="15"/>
      <c r="BE253" s="12"/>
      <c r="BF253" s="11"/>
      <c r="BG253" s="11"/>
      <c r="BH253" s="10"/>
      <c r="BI253" s="10"/>
      <c r="BJ253" s="10"/>
      <c r="BK253" s="23"/>
      <c r="BL253" s="23"/>
      <c r="BM253" s="23"/>
      <c r="BN253" s="23"/>
      <c r="BO253" s="23"/>
      <c r="BP253" s="23"/>
      <c r="BQ253" s="23"/>
      <c r="BR253" s="10"/>
      <c r="BS253" s="16"/>
      <c r="BT253" s="16"/>
      <c r="BU253" s="16"/>
      <c r="BV253" s="16"/>
      <c r="BW253" s="11"/>
      <c r="BX253" s="16"/>
      <c r="BY253" s="16"/>
      <c r="BZ253" s="17"/>
      <c r="CA253" s="18"/>
      <c r="CB253" s="18"/>
      <c r="CC253" s="18"/>
      <c r="CD253" s="18"/>
      <c r="CE253" s="18"/>
      <c r="CF253" s="18"/>
      <c r="CG253" s="19"/>
      <c r="CH253" s="15"/>
      <c r="CI253" s="17"/>
      <c r="CJ253" s="10"/>
      <c r="CK253" s="10"/>
      <c r="CL253" s="10"/>
      <c r="CM253" s="17"/>
      <c r="CN253" s="17"/>
      <c r="CO253" s="10"/>
      <c r="CP253" s="10"/>
      <c r="CQ253" s="10"/>
      <c r="CR253" s="10"/>
      <c r="CS253" s="10"/>
      <c r="CT253" s="10"/>
      <c r="CU253" s="10"/>
      <c r="CV253" s="10"/>
      <c r="CW253" s="10"/>
      <c r="CX253" s="10"/>
      <c r="CY253" s="10"/>
      <c r="CZ253" s="10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34"/>
      <c r="DV253" s="34"/>
      <c r="DW253" s="34"/>
      <c r="DX253" s="34"/>
      <c r="DY253" s="34"/>
      <c r="DZ253" s="34"/>
      <c r="EA253" s="34"/>
      <c r="EB253" s="34"/>
      <c r="EC253" s="34"/>
      <c r="ED253" s="34"/>
      <c r="EE253" s="34"/>
    </row>
    <row r="254" spans="1:135" customFormat="1">
      <c r="A254" s="71">
        <f>'Old Data'!$I250-'Old Data'!$S250</f>
        <v>220</v>
      </c>
      <c r="B254" s="72">
        <f>VLOOKUP('Old Data'!$F250,$R$6:$T$135,2,FALSE)+VLOOKUP('Old Data'!$P250,$R$6:$T$135,3,FALSE)+$B$2</f>
        <v>243.2376053078977</v>
      </c>
      <c r="C254" s="72">
        <f>VLOOKUP('Old Data'!$P250,$R$6:$T$135,2,FALSE)+VLOOKUP('Old Data'!$F250,$R$6:$T$135,3,FALSE)+$B$2</f>
        <v>76.473719351552504</v>
      </c>
      <c r="D254" s="74">
        <f>('Old Data'!$I250-$B254)^2+('Old Data'!$S250-$C254)^2</f>
        <v>2372.38187097644</v>
      </c>
      <c r="E254" s="75">
        <f>'Old Data'!$K250-'Old Data'!$U250</f>
        <v>213</v>
      </c>
      <c r="F254" s="72">
        <f>VLOOKUP('Old Data'!$F250,$V$6:$X$135,2,FALSE)+VLOOKUP('Old Data'!$P250,$V$6:$X$135,3,FALSE)+$C$2</f>
        <v>421.67516081577367</v>
      </c>
      <c r="G254" s="72">
        <f>VLOOKUP('Old Data'!$P250,$V$6:$X$135,2,FALSE)+VLOOKUP('Old Data'!$F250,$V$6:$X$135,3,FALSE)+$C$2</f>
        <v>245.16182208933338</v>
      </c>
      <c r="H254" s="74">
        <f>('Old Data'!$K250-$F254)^2+('Old Data'!$U250-$G254)^2</f>
        <v>15775.286538220982</v>
      </c>
      <c r="I254" s="75">
        <f>('Old Data'!$L250+'Old Data'!$M250)-('Old Data'!$V250+'Old Data'!$W250)</f>
        <v>27</v>
      </c>
      <c r="J254" s="72">
        <f>VLOOKUP('Old Data'!$F250,$Z$6:$AB$135,2,FALSE)+VLOOKUP('Old Data'!$P250,$Z$6:$AB$135,3,FALSE)+$D$2</f>
        <v>55.669797448778297</v>
      </c>
      <c r="K254" s="72">
        <f>VLOOKUP('Old Data'!$P250,$Z$6:$AB$135,2,FALSE)+VLOOKUP('Old Data'!$F250,$Z$6:$AB$135,3,FALSE)+$D$2</f>
        <v>37.597669056852489</v>
      </c>
      <c r="L254" s="74">
        <f>('Old Data'!$L250+'Old Data'!$M250-$J254)^2+('Old Data'!$V250+'Old Data'!$W250-$K254)^2</f>
        <v>334.30841102608463</v>
      </c>
      <c r="M254" s="75">
        <f>'Old Data'!$N250-'Old Data'!$X250</f>
        <v>1</v>
      </c>
      <c r="N254" s="72">
        <f>VLOOKUP('Old Data'!$F250,$AD$6:$AF$135,2,FALSE)+VLOOKUP('Old Data'!$P250,$AD$6:$AF$135,3,FALSE)+$E$2</f>
        <v>2.1851182097566753</v>
      </c>
      <c r="O254" s="72">
        <f>VLOOKUP('Old Data'!$P250,$AD$6:$AF$135,2,FALSE)+VLOOKUP('Old Data'!$F250,$AD$6:$AF$135,3,FALSE)+$E$2</f>
        <v>1.2603801206100131</v>
      </c>
      <c r="P254" s="73">
        <f>('Old Data'!$N250-$N254)^2+('Old Data'!$X250-$O254)^2</f>
        <v>1.2110698980590247</v>
      </c>
      <c r="Q254" s="62"/>
      <c r="R254" s="3"/>
      <c r="S254" s="3"/>
      <c r="T254" s="3"/>
      <c r="V254" s="3"/>
      <c r="W254" s="3"/>
      <c r="X254" s="3"/>
      <c r="Z254" s="3"/>
      <c r="AA254" s="3"/>
      <c r="AB254" s="3"/>
      <c r="AC254" s="3"/>
      <c r="AD254" s="3"/>
      <c r="AE254" s="3"/>
      <c r="AF254" s="3"/>
      <c r="AG254" s="3"/>
      <c r="AH254" s="37"/>
      <c r="AI254" s="1"/>
      <c r="AK254" s="10"/>
      <c r="AL254" s="10"/>
      <c r="AM254" s="10"/>
      <c r="AN254" s="11"/>
      <c r="AO254" s="11"/>
      <c r="AP254" s="11"/>
      <c r="AQ254" s="36"/>
      <c r="AR254" s="11"/>
      <c r="AS254" s="11"/>
      <c r="AT254" s="11"/>
      <c r="AU254" s="12"/>
      <c r="AV254" s="11"/>
      <c r="AW254" s="11"/>
      <c r="AX254" s="15"/>
      <c r="AY254" s="15"/>
      <c r="AZ254" s="15"/>
      <c r="BA254" s="15"/>
      <c r="BB254" s="15"/>
      <c r="BC254" s="15"/>
      <c r="BD254" s="15"/>
      <c r="BE254" s="12"/>
      <c r="BF254" s="11"/>
      <c r="BG254" s="11"/>
      <c r="BH254" s="10"/>
      <c r="BI254" s="10"/>
      <c r="BJ254" s="10"/>
      <c r="BK254" s="23"/>
      <c r="BL254" s="23"/>
      <c r="BM254" s="23"/>
      <c r="BN254" s="23"/>
      <c r="BO254" s="23"/>
      <c r="BP254" s="23"/>
      <c r="BQ254" s="23"/>
      <c r="BR254" s="10"/>
      <c r="BS254" s="16"/>
      <c r="BT254" s="16"/>
      <c r="BU254" s="16"/>
      <c r="BV254" s="16"/>
      <c r="BW254" s="11"/>
      <c r="BX254" s="16"/>
      <c r="BY254" s="16"/>
      <c r="BZ254" s="17"/>
      <c r="CA254" s="18"/>
      <c r="CB254" s="18"/>
      <c r="CC254" s="18"/>
      <c r="CD254" s="18"/>
      <c r="CE254" s="18"/>
      <c r="CF254" s="18"/>
      <c r="CG254" s="19"/>
      <c r="CH254" s="15"/>
      <c r="CI254" s="17"/>
      <c r="CJ254" s="10"/>
      <c r="CK254" s="10"/>
      <c r="CL254" s="10"/>
      <c r="CM254" s="17"/>
      <c r="CN254" s="17"/>
      <c r="CO254" s="10"/>
      <c r="CP254" s="10"/>
      <c r="CQ254" s="10"/>
      <c r="CR254" s="10"/>
      <c r="CS254" s="10"/>
      <c r="CT254" s="10"/>
      <c r="CU254" s="10"/>
      <c r="CV254" s="10"/>
      <c r="CW254" s="10"/>
      <c r="CX254" s="10"/>
      <c r="CY254" s="10"/>
      <c r="CZ254" s="10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34"/>
      <c r="DV254" s="34"/>
      <c r="DW254" s="34"/>
      <c r="DX254" s="34"/>
      <c r="DY254" s="34"/>
      <c r="DZ254" s="34"/>
      <c r="EA254" s="34"/>
      <c r="EB254" s="34"/>
      <c r="EC254" s="34"/>
      <c r="ED254" s="34"/>
      <c r="EE254" s="34"/>
    </row>
    <row r="255" spans="1:135" customFormat="1">
      <c r="A255" s="71">
        <f>'Old Data'!$I251-'Old Data'!$S251</f>
        <v>-59</v>
      </c>
      <c r="B255" s="72">
        <f>VLOOKUP('Old Data'!$F251,$R$6:$T$135,2,FALSE)+VLOOKUP('Old Data'!$P251,$R$6:$T$135,3,FALSE)+$B$2</f>
        <v>85.231535475830498</v>
      </c>
      <c r="C255" s="72">
        <f>VLOOKUP('Old Data'!$P251,$R$6:$T$135,2,FALSE)+VLOOKUP('Old Data'!$F251,$R$6:$T$135,3,FALSE)+$B$2</f>
        <v>138.1461000691902</v>
      </c>
      <c r="D255" s="74">
        <f>('Old Data'!$I251-$B255)^2+('Old Data'!$S251-$C255)^2</f>
        <v>297.52431326613055</v>
      </c>
      <c r="E255" s="75">
        <f>'Old Data'!$K251-'Old Data'!$U251</f>
        <v>285</v>
      </c>
      <c r="F255" s="72">
        <f>VLOOKUP('Old Data'!$F251,$V$6:$X$135,2,FALSE)+VLOOKUP('Old Data'!$P251,$V$6:$X$135,3,FALSE)+$C$2</f>
        <v>260.82229759748628</v>
      </c>
      <c r="G255" s="72">
        <f>VLOOKUP('Old Data'!$P251,$V$6:$X$135,2,FALSE)+VLOOKUP('Old Data'!$F251,$V$6:$X$135,3,FALSE)+$C$2</f>
        <v>178.93774797147029</v>
      </c>
      <c r="H255" s="74">
        <f>('Old Data'!$K251-$F255)^2+('Old Data'!$U251-$G255)^2</f>
        <v>43363.58217318992</v>
      </c>
      <c r="I255" s="75">
        <f>('Old Data'!$L251+'Old Data'!$M251)-('Old Data'!$V251+'Old Data'!$W251)</f>
        <v>20</v>
      </c>
      <c r="J255" s="72">
        <f>VLOOKUP('Old Data'!$F251,$Z$6:$AB$135,2,FALSE)+VLOOKUP('Old Data'!$P251,$Z$6:$AB$135,3,FALSE)+$D$2</f>
        <v>37.989955154739718</v>
      </c>
      <c r="K255" s="72">
        <f>VLOOKUP('Old Data'!$P251,$Z$6:$AB$135,2,FALSE)+VLOOKUP('Old Data'!$F251,$Z$6:$AB$135,3,FALSE)+$D$2</f>
        <v>58.964164969334597</v>
      </c>
      <c r="L255" s="74">
        <f>('Old Data'!$L251+'Old Data'!$M251-$J255)^2+('Old Data'!$V251+'Old Data'!$W251-$K255)^2</f>
        <v>951.25578930784388</v>
      </c>
      <c r="M255" s="75">
        <f>'Old Data'!$N251-'Old Data'!$X251</f>
        <v>-5</v>
      </c>
      <c r="N255" s="72">
        <f>VLOOKUP('Old Data'!$F251,$AD$6:$AF$135,2,FALSE)+VLOOKUP('Old Data'!$P251,$AD$6:$AF$135,3,FALSE)+$E$2</f>
        <v>1.9862757992411382</v>
      </c>
      <c r="O255" s="72">
        <f>VLOOKUP('Old Data'!$P251,$AD$6:$AF$135,2,FALSE)+VLOOKUP('Old Data'!$F251,$AD$6:$AF$135,3,FALSE)+$E$2</f>
        <v>1.3244446745567262</v>
      </c>
      <c r="P255" s="73">
        <f>('Old Data'!$N251-$N255)^2+('Old Data'!$X251-$O255)^2</f>
        <v>17.454998501045431</v>
      </c>
      <c r="Q255" s="62"/>
      <c r="R255" s="3"/>
      <c r="S255" s="3"/>
      <c r="T255" s="3"/>
      <c r="V255" s="3"/>
      <c r="W255" s="3"/>
      <c r="X255" s="3"/>
      <c r="Z255" s="3"/>
      <c r="AA255" s="3"/>
      <c r="AB255" s="3"/>
      <c r="AC255" s="3"/>
      <c r="AD255" s="3"/>
      <c r="AE255" s="3"/>
      <c r="AF255" s="3"/>
      <c r="AG255" s="3"/>
      <c r="AH255" s="37"/>
      <c r="AI255" s="1"/>
      <c r="AK255" s="10"/>
      <c r="AL255" s="10"/>
      <c r="AM255" s="10"/>
      <c r="AN255" s="11"/>
      <c r="AO255" s="11"/>
      <c r="AP255" s="11"/>
      <c r="AQ255" s="36"/>
      <c r="AR255" s="11"/>
      <c r="AS255" s="11"/>
      <c r="AT255" s="11"/>
      <c r="AU255" s="12"/>
      <c r="AV255" s="11"/>
      <c r="AW255" s="11"/>
      <c r="AX255" s="15"/>
      <c r="AY255" s="15"/>
      <c r="AZ255" s="15"/>
      <c r="BA255" s="15"/>
      <c r="BB255" s="15"/>
      <c r="BC255" s="15"/>
      <c r="BD255" s="15"/>
      <c r="BE255" s="12"/>
      <c r="BF255" s="11"/>
      <c r="BG255" s="11"/>
      <c r="BH255" s="10"/>
      <c r="BI255" s="10"/>
      <c r="BJ255" s="10"/>
      <c r="BK255" s="23"/>
      <c r="BL255" s="23"/>
      <c r="BM255" s="23"/>
      <c r="BN255" s="23"/>
      <c r="BO255" s="23"/>
      <c r="BP255" s="23"/>
      <c r="BQ255" s="23"/>
      <c r="BR255" s="10"/>
      <c r="BS255" s="16"/>
      <c r="BT255" s="16"/>
      <c r="BU255" s="16"/>
      <c r="BV255" s="16"/>
      <c r="BW255" s="11"/>
      <c r="BX255" s="16"/>
      <c r="BY255" s="16"/>
      <c r="BZ255" s="17"/>
      <c r="CA255" s="18"/>
      <c r="CB255" s="18"/>
      <c r="CC255" s="18"/>
      <c r="CD255" s="18"/>
      <c r="CE255" s="18"/>
      <c r="CF255" s="18"/>
      <c r="CG255" s="19"/>
      <c r="CH255" s="15"/>
      <c r="CI255" s="17"/>
      <c r="CJ255" s="10"/>
      <c r="CK255" s="10"/>
      <c r="CL255" s="10"/>
      <c r="CM255" s="17"/>
      <c r="CN255" s="17"/>
      <c r="CO255" s="10"/>
      <c r="CP255" s="10"/>
      <c r="CQ255" s="10"/>
      <c r="CR255" s="10"/>
      <c r="CS255" s="10"/>
      <c r="CT255" s="10"/>
      <c r="CU255" s="10"/>
      <c r="CV255" s="10"/>
      <c r="CW255" s="10"/>
      <c r="CX255" s="10"/>
      <c r="CY255" s="10"/>
      <c r="CZ255" s="10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34"/>
      <c r="DV255" s="34"/>
      <c r="DW255" s="34"/>
      <c r="DX255" s="34"/>
      <c r="DY255" s="34"/>
      <c r="DZ255" s="34"/>
      <c r="EA255" s="34"/>
      <c r="EB255" s="34"/>
      <c r="EC255" s="34"/>
      <c r="ED255" s="34"/>
      <c r="EE255" s="34"/>
    </row>
    <row r="256" spans="1:135" customFormat="1">
      <c r="A256" s="71">
        <f>'Old Data'!$I252-'Old Data'!$S252</f>
        <v>123</v>
      </c>
      <c r="B256" s="72">
        <f>VLOOKUP('Old Data'!$F252,$R$6:$T$135,2,FALSE)+VLOOKUP('Old Data'!$P252,$R$6:$T$135,3,FALSE)+$B$2</f>
        <v>114.67771646719649</v>
      </c>
      <c r="C256" s="72">
        <f>VLOOKUP('Old Data'!$P252,$R$6:$T$135,2,FALSE)+VLOOKUP('Old Data'!$F252,$R$6:$T$135,3,FALSE)+$B$2</f>
        <v>87.619676284506255</v>
      </c>
      <c r="D256" s="74">
        <f>('Old Data'!$I252-$B256)^2+('Old Data'!$S252-$C256)^2</f>
        <v>7589.8732898986345</v>
      </c>
      <c r="E256" s="75">
        <f>'Old Data'!$K252-'Old Data'!$U252</f>
        <v>-113</v>
      </c>
      <c r="F256" s="72">
        <f>VLOOKUP('Old Data'!$F252,$V$6:$X$135,2,FALSE)+VLOOKUP('Old Data'!$P252,$V$6:$X$135,3,FALSE)+$C$2</f>
        <v>224.76590508089151</v>
      </c>
      <c r="G256" s="72">
        <f>VLOOKUP('Old Data'!$P252,$V$6:$X$135,2,FALSE)+VLOOKUP('Old Data'!$F252,$V$6:$X$135,3,FALSE)+$C$2</f>
        <v>196.70641674768871</v>
      </c>
      <c r="H256" s="74">
        <f>('Old Data'!$K252-$F256)^2+('Old Data'!$U252-$G256)^2</f>
        <v>10053.613673967489</v>
      </c>
      <c r="I256" s="75">
        <f>('Old Data'!$L252+'Old Data'!$M252)-('Old Data'!$V252+'Old Data'!$W252)</f>
        <v>-36</v>
      </c>
      <c r="J256" s="72">
        <f>VLOOKUP('Old Data'!$F252,$Z$6:$AB$135,2,FALSE)+VLOOKUP('Old Data'!$P252,$Z$6:$AB$135,3,FALSE)+$D$2</f>
        <v>62.165180055102994</v>
      </c>
      <c r="K256" s="72">
        <f>VLOOKUP('Old Data'!$P252,$Z$6:$AB$135,2,FALSE)+VLOOKUP('Old Data'!$F252,$Z$6:$AB$135,3,FALSE)+$D$2</f>
        <v>38.362641535621925</v>
      </c>
      <c r="L256" s="74">
        <f>('Old Data'!$L252+'Old Data'!$M252-$J256)^2+('Old Data'!$V252+'Old Data'!$W252-$K256)^2</f>
        <v>2822.0313113294801</v>
      </c>
      <c r="M256" s="75">
        <f>'Old Data'!$N252-'Old Data'!$X252</f>
        <v>3</v>
      </c>
      <c r="N256" s="72">
        <f>VLOOKUP('Old Data'!$F252,$AD$6:$AF$135,2,FALSE)+VLOOKUP('Old Data'!$P252,$AD$6:$AF$135,3,FALSE)+$E$2</f>
        <v>0.9748724623876831</v>
      </c>
      <c r="O256" s="72">
        <f>VLOOKUP('Old Data'!$P252,$AD$6:$AF$135,2,FALSE)+VLOOKUP('Old Data'!$F252,$AD$6:$AF$135,3,FALSE)+$E$2</f>
        <v>1.4955971529837946</v>
      </c>
      <c r="P256" s="73">
        <f>('Old Data'!$N252-$N256)^2+('Old Data'!$X252-$O256)^2</f>
        <v>9.3970131568660005</v>
      </c>
      <c r="Q256" s="62"/>
      <c r="R256" s="3"/>
      <c r="S256" s="3"/>
      <c r="T256" s="3"/>
      <c r="V256" s="3"/>
      <c r="W256" s="3"/>
      <c r="X256" s="3"/>
      <c r="Z256" s="3"/>
      <c r="AA256" s="3"/>
      <c r="AB256" s="3"/>
      <c r="AC256" s="3"/>
      <c r="AD256" s="3"/>
      <c r="AE256" s="3"/>
      <c r="AF256" s="3"/>
      <c r="AG256" s="3"/>
      <c r="AH256" s="37"/>
      <c r="AI256" s="1"/>
      <c r="AK256" s="10"/>
      <c r="AL256" s="10"/>
      <c r="AM256" s="10"/>
      <c r="AN256" s="11"/>
      <c r="AO256" s="11"/>
      <c r="AP256" s="11"/>
      <c r="AQ256" s="36"/>
      <c r="AR256" s="11"/>
      <c r="AS256" s="11"/>
      <c r="AT256" s="11"/>
      <c r="AU256" s="12"/>
      <c r="AV256" s="11"/>
      <c r="AW256" s="11"/>
      <c r="AX256" s="15"/>
      <c r="AY256" s="15"/>
      <c r="AZ256" s="15"/>
      <c r="BA256" s="15"/>
      <c r="BB256" s="15"/>
      <c r="BC256" s="15"/>
      <c r="BD256" s="15"/>
      <c r="BE256" s="12"/>
      <c r="BF256" s="11"/>
      <c r="BG256" s="11"/>
      <c r="BH256" s="10"/>
      <c r="BI256" s="10"/>
      <c r="BJ256" s="10"/>
      <c r="BK256" s="23"/>
      <c r="BL256" s="23"/>
      <c r="BM256" s="23"/>
      <c r="BN256" s="23"/>
      <c r="BO256" s="23"/>
      <c r="BP256" s="23"/>
      <c r="BQ256" s="23"/>
      <c r="BR256" s="10"/>
      <c r="BS256" s="16"/>
      <c r="BT256" s="16"/>
      <c r="BU256" s="16"/>
      <c r="BV256" s="16"/>
      <c r="BW256" s="11"/>
      <c r="BX256" s="16"/>
      <c r="BY256" s="16"/>
      <c r="BZ256" s="17"/>
      <c r="CA256" s="18"/>
      <c r="CB256" s="18"/>
      <c r="CC256" s="18"/>
      <c r="CD256" s="18"/>
      <c r="CE256" s="18"/>
      <c r="CF256" s="18"/>
      <c r="CG256" s="19"/>
      <c r="CH256" s="15"/>
      <c r="CI256" s="17"/>
      <c r="CJ256" s="10"/>
      <c r="CK256" s="10"/>
      <c r="CL256" s="10"/>
      <c r="CM256" s="17"/>
      <c r="CN256" s="17"/>
      <c r="CO256" s="10"/>
      <c r="CP256" s="10"/>
      <c r="CQ256" s="10"/>
      <c r="CR256" s="10"/>
      <c r="CS256" s="10"/>
      <c r="CT256" s="10"/>
      <c r="CU256" s="10"/>
      <c r="CV256" s="10"/>
      <c r="CW256" s="10"/>
      <c r="CX256" s="10"/>
      <c r="CY256" s="10"/>
      <c r="CZ256" s="10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34"/>
      <c r="DV256" s="34"/>
      <c r="DW256" s="34"/>
      <c r="DX256" s="34"/>
      <c r="DY256" s="34"/>
      <c r="DZ256" s="34"/>
      <c r="EA256" s="34"/>
      <c r="EB256" s="34"/>
      <c r="EC256" s="34"/>
      <c r="ED256" s="34"/>
      <c r="EE256" s="34"/>
    </row>
    <row r="257" spans="1:135" customFormat="1">
      <c r="A257" s="71">
        <f>'Old Data'!$I253-'Old Data'!$S253</f>
        <v>242</v>
      </c>
      <c r="B257" s="72">
        <f>VLOOKUP('Old Data'!$F253,$R$6:$T$135,2,FALSE)+VLOOKUP('Old Data'!$P253,$R$6:$T$135,3,FALSE)+$B$2</f>
        <v>245.4168422052129</v>
      </c>
      <c r="C257" s="72">
        <f>VLOOKUP('Old Data'!$P253,$R$6:$T$135,2,FALSE)+VLOOKUP('Old Data'!$F253,$R$6:$T$135,3,FALSE)+$B$2</f>
        <v>92.197271231750889</v>
      </c>
      <c r="D257" s="74">
        <f>('Old Data'!$I253-$B257)^2+('Old Data'!$S253-$C257)^2</f>
        <v>7672.2429877089544</v>
      </c>
      <c r="E257" s="75">
        <f>'Old Data'!$K253-'Old Data'!$U253</f>
        <v>-2</v>
      </c>
      <c r="F257" s="72">
        <f>VLOOKUP('Old Data'!$F253,$V$6:$X$135,2,FALSE)+VLOOKUP('Old Data'!$P253,$V$6:$X$135,3,FALSE)+$C$2</f>
        <v>260.42942191820248</v>
      </c>
      <c r="G257" s="72">
        <f>VLOOKUP('Old Data'!$P253,$V$6:$X$135,2,FALSE)+VLOOKUP('Old Data'!$F253,$V$6:$X$135,3,FALSE)+$C$2</f>
        <v>179.90160296671269</v>
      </c>
      <c r="H257" s="74">
        <f>('Old Data'!$K253-$F257)^2+('Old Data'!$U253-$G257)^2</f>
        <v>11639.846424451296</v>
      </c>
      <c r="I257" s="75">
        <f>('Old Data'!$L253+'Old Data'!$M253)-('Old Data'!$V253+'Old Data'!$W253)</f>
        <v>-41</v>
      </c>
      <c r="J257" s="72">
        <f>VLOOKUP('Old Data'!$F253,$Z$6:$AB$135,2,FALSE)+VLOOKUP('Old Data'!$P253,$Z$6:$AB$135,3,FALSE)+$D$2</f>
        <v>23.387608882671103</v>
      </c>
      <c r="K257" s="72">
        <f>VLOOKUP('Old Data'!$P253,$Z$6:$AB$135,2,FALSE)+VLOOKUP('Old Data'!$F253,$Z$6:$AB$135,3,FALSE)+$D$2</f>
        <v>88.092497515518289</v>
      </c>
      <c r="L257" s="74">
        <f>('Old Data'!$L253+'Old Data'!$M253-$J257)^2+('Old Data'!$V253+'Old Data'!$W253-$K257)^2</f>
        <v>631.55888997755926</v>
      </c>
      <c r="M257" s="75">
        <f>'Old Data'!$N253-'Old Data'!$X253</f>
        <v>-1</v>
      </c>
      <c r="N257" s="72">
        <f>VLOOKUP('Old Data'!$F253,$AD$6:$AF$135,2,FALSE)+VLOOKUP('Old Data'!$P253,$AD$6:$AF$135,3,FALSE)+$E$2</f>
        <v>1.1773394877935754</v>
      </c>
      <c r="O257" s="72">
        <f>VLOOKUP('Old Data'!$P253,$AD$6:$AF$135,2,FALSE)+VLOOKUP('Old Data'!$F253,$AD$6:$AF$135,3,FALSE)+$E$2</f>
        <v>1.6865497216267342</v>
      </c>
      <c r="P257" s="73">
        <f>('Old Data'!$N253-$N257)^2+('Old Data'!$X253-$O257)^2</f>
        <v>0.1297003709431655</v>
      </c>
      <c r="Q257" s="62"/>
      <c r="R257" s="3"/>
      <c r="S257" s="3"/>
      <c r="T257" s="3"/>
      <c r="V257" s="3"/>
      <c r="W257" s="3"/>
      <c r="X257" s="3"/>
      <c r="Z257" s="3"/>
      <c r="AA257" s="3"/>
      <c r="AB257" s="3"/>
      <c r="AC257" s="3"/>
      <c r="AD257" s="3"/>
      <c r="AE257" s="3"/>
      <c r="AF257" s="3"/>
      <c r="AG257" s="3"/>
      <c r="AH257" s="37"/>
      <c r="AI257" s="1"/>
      <c r="AK257" s="10"/>
      <c r="AL257" s="10"/>
      <c r="AM257" s="10"/>
      <c r="AN257" s="11"/>
      <c r="AO257" s="11"/>
      <c r="AP257" s="11"/>
      <c r="AQ257" s="36"/>
      <c r="AR257" s="11"/>
      <c r="AS257" s="11"/>
      <c r="AT257" s="11"/>
      <c r="AU257" s="12"/>
      <c r="AV257" s="11"/>
      <c r="AW257" s="11"/>
      <c r="AX257" s="15"/>
      <c r="AY257" s="15"/>
      <c r="AZ257" s="15"/>
      <c r="BA257" s="15"/>
      <c r="BB257" s="15"/>
      <c r="BC257" s="15"/>
      <c r="BD257" s="15"/>
      <c r="BE257" s="12"/>
      <c r="BF257" s="11"/>
      <c r="BG257" s="11"/>
      <c r="BH257" s="10"/>
      <c r="BI257" s="10"/>
      <c r="BJ257" s="10"/>
      <c r="BK257" s="23"/>
      <c r="BL257" s="23"/>
      <c r="BM257" s="23"/>
      <c r="BN257" s="23"/>
      <c r="BO257" s="23"/>
      <c r="BP257" s="23"/>
      <c r="BQ257" s="23"/>
      <c r="BR257" s="10"/>
      <c r="BS257" s="16"/>
      <c r="BT257" s="16"/>
      <c r="BU257" s="16"/>
      <c r="BV257" s="16"/>
      <c r="BW257" s="11"/>
      <c r="BX257" s="16"/>
      <c r="BY257" s="16"/>
      <c r="BZ257" s="17"/>
      <c r="CA257" s="18"/>
      <c r="CB257" s="18"/>
      <c r="CC257" s="18"/>
      <c r="CD257" s="18"/>
      <c r="CE257" s="18"/>
      <c r="CF257" s="18"/>
      <c r="CG257" s="19"/>
      <c r="CH257" s="15"/>
      <c r="CI257" s="17"/>
      <c r="CJ257" s="10"/>
      <c r="CK257" s="10"/>
      <c r="CL257" s="10"/>
      <c r="CM257" s="17"/>
      <c r="CN257" s="17"/>
      <c r="CO257" s="10"/>
      <c r="CP257" s="10"/>
      <c r="CQ257" s="10"/>
      <c r="CR257" s="10"/>
      <c r="CS257" s="10"/>
      <c r="CT257" s="10"/>
      <c r="CU257" s="10"/>
      <c r="CV257" s="10"/>
      <c r="CW257" s="10"/>
      <c r="CX257" s="10"/>
      <c r="CY257" s="10"/>
      <c r="CZ257" s="10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34"/>
      <c r="DV257" s="34"/>
      <c r="DW257" s="34"/>
      <c r="DX257" s="34"/>
      <c r="DY257" s="34"/>
      <c r="DZ257" s="34"/>
      <c r="EA257" s="34"/>
      <c r="EB257" s="34"/>
      <c r="EC257" s="34"/>
      <c r="ED257" s="34"/>
      <c r="EE257" s="34"/>
    </row>
    <row r="258" spans="1:135" customFormat="1">
      <c r="A258" s="71">
        <f>'Old Data'!$I254-'Old Data'!$S254</f>
        <v>351</v>
      </c>
      <c r="B258" s="72">
        <f>VLOOKUP('Old Data'!$F254,$R$6:$T$135,2,FALSE)+VLOOKUP('Old Data'!$P254,$R$6:$T$135,3,FALSE)+$B$2</f>
        <v>314.56835086773503</v>
      </c>
      <c r="C258" s="72">
        <f>VLOOKUP('Old Data'!$P254,$R$6:$T$135,2,FALSE)+VLOOKUP('Old Data'!$F254,$R$6:$T$135,3,FALSE)+$B$2</f>
        <v>107.0981610636658</v>
      </c>
      <c r="D258" s="74">
        <f>('Old Data'!$I254-$B258)^2+('Old Data'!$S254-$C258)^2</f>
        <v>11722.63368222166</v>
      </c>
      <c r="E258" s="75">
        <f>'Old Data'!$K254-'Old Data'!$U254</f>
        <v>-103</v>
      </c>
      <c r="F258" s="72">
        <f>VLOOKUP('Old Data'!$F254,$V$6:$X$135,2,FALSE)+VLOOKUP('Old Data'!$P254,$V$6:$X$135,3,FALSE)+$C$2</f>
        <v>197.5543699789344</v>
      </c>
      <c r="G258" s="72">
        <f>VLOOKUP('Old Data'!$P254,$V$6:$X$135,2,FALSE)+VLOOKUP('Old Data'!$F254,$V$6:$X$135,3,FALSE)+$C$2</f>
        <v>217.6078080011815</v>
      </c>
      <c r="H258" s="74">
        <f>('Old Data'!$K254-$F258)^2+('Old Data'!$U254-$G258)^2</f>
        <v>9956.5675125464331</v>
      </c>
      <c r="I258" s="75">
        <f>('Old Data'!$L254+'Old Data'!$M254)-('Old Data'!$V254+'Old Data'!$W254)</f>
        <v>-22</v>
      </c>
      <c r="J258" s="72">
        <f>VLOOKUP('Old Data'!$F254,$Z$6:$AB$135,2,FALSE)+VLOOKUP('Old Data'!$P254,$Z$6:$AB$135,3,FALSE)+$D$2</f>
        <v>36.017708125691549</v>
      </c>
      <c r="K258" s="72">
        <f>VLOOKUP('Old Data'!$P254,$Z$6:$AB$135,2,FALSE)+VLOOKUP('Old Data'!$F254,$Z$6:$AB$135,3,FALSE)+$D$2</f>
        <v>59.590011458335518</v>
      </c>
      <c r="L258" s="74">
        <f>('Old Data'!$L254+'Old Data'!$M254-$J258)^2+('Old Data'!$V254+'Old Data'!$W254-$K258)^2</f>
        <v>1898.9916250569777</v>
      </c>
      <c r="M258" s="75">
        <f>'Old Data'!$N254-'Old Data'!$X254</f>
        <v>0</v>
      </c>
      <c r="N258" s="72">
        <f>VLOOKUP('Old Data'!$F254,$AD$6:$AF$135,2,FALSE)+VLOOKUP('Old Data'!$P254,$AD$6:$AF$135,3,FALSE)+$E$2</f>
        <v>0.92160628238932318</v>
      </c>
      <c r="O258" s="72">
        <f>VLOOKUP('Old Data'!$P254,$AD$6:$AF$135,2,FALSE)+VLOOKUP('Old Data'!$F254,$AD$6:$AF$135,3,FALSE)+$E$2</f>
        <v>0.90685365401756812</v>
      </c>
      <c r="P258" s="73">
        <f>('Old Data'!$N254-$N258)^2+('Old Data'!$X254-$O258)^2</f>
        <v>1.6717416895444841</v>
      </c>
      <c r="Q258" s="62"/>
      <c r="R258" s="3"/>
      <c r="S258" s="3"/>
      <c r="T258" s="3"/>
      <c r="V258" s="3"/>
      <c r="W258" s="3"/>
      <c r="X258" s="3"/>
      <c r="Z258" s="3"/>
      <c r="AA258" s="3"/>
      <c r="AB258" s="3"/>
      <c r="AC258" s="3"/>
      <c r="AD258" s="3"/>
      <c r="AE258" s="3"/>
      <c r="AF258" s="3"/>
      <c r="AG258" s="3"/>
      <c r="AH258" s="37"/>
      <c r="AI258" s="1"/>
      <c r="AK258" s="10"/>
      <c r="AL258" s="10"/>
      <c r="AM258" s="10"/>
      <c r="AN258" s="11"/>
      <c r="AO258" s="11"/>
      <c r="AP258" s="11"/>
      <c r="AQ258" s="36"/>
      <c r="AR258" s="11"/>
      <c r="AS258" s="11"/>
      <c r="AT258" s="11"/>
      <c r="AU258" s="12"/>
      <c r="AV258" s="11"/>
      <c r="AW258" s="11"/>
      <c r="AX258" s="15"/>
      <c r="AY258" s="15"/>
      <c r="AZ258" s="15"/>
      <c r="BA258" s="15"/>
      <c r="BB258" s="15"/>
      <c r="BC258" s="15"/>
      <c r="BD258" s="15"/>
      <c r="BE258" s="12"/>
      <c r="BF258" s="11"/>
      <c r="BG258" s="11"/>
      <c r="BH258" s="10"/>
      <c r="BI258" s="10"/>
      <c r="BJ258" s="10"/>
      <c r="BK258" s="23"/>
      <c r="BL258" s="23"/>
      <c r="BM258" s="23"/>
      <c r="BN258" s="23"/>
      <c r="BO258" s="23"/>
      <c r="BP258" s="23"/>
      <c r="BQ258" s="23"/>
      <c r="BR258" s="10"/>
      <c r="BS258" s="16"/>
      <c r="BT258" s="16"/>
      <c r="BU258" s="16"/>
      <c r="BV258" s="16"/>
      <c r="BW258" s="11"/>
      <c r="BX258" s="16"/>
      <c r="BY258" s="16"/>
      <c r="BZ258" s="17"/>
      <c r="CA258" s="18"/>
      <c r="CB258" s="18"/>
      <c r="CC258" s="18"/>
      <c r="CD258" s="18"/>
      <c r="CE258" s="18"/>
      <c r="CF258" s="18"/>
      <c r="CG258" s="19"/>
      <c r="CH258" s="15"/>
      <c r="CI258" s="17"/>
      <c r="CJ258" s="10"/>
      <c r="CK258" s="10"/>
      <c r="CL258" s="10"/>
      <c r="CM258" s="17"/>
      <c r="CN258" s="17"/>
      <c r="CO258" s="10"/>
      <c r="CP258" s="10"/>
      <c r="CQ258" s="10"/>
      <c r="CR258" s="10"/>
      <c r="CS258" s="10"/>
      <c r="CT258" s="10"/>
      <c r="CU258" s="10"/>
      <c r="CV258" s="10"/>
      <c r="CW258" s="10"/>
      <c r="CX258" s="10"/>
      <c r="CY258" s="10"/>
      <c r="CZ258" s="10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34"/>
      <c r="DV258" s="34"/>
      <c r="DW258" s="34"/>
      <c r="DX258" s="34"/>
      <c r="DY258" s="34"/>
      <c r="DZ258" s="34"/>
      <c r="EA258" s="34"/>
      <c r="EB258" s="34"/>
      <c r="EC258" s="34"/>
      <c r="ED258" s="34"/>
      <c r="EE258" s="34"/>
    </row>
    <row r="259" spans="1:135" customFormat="1">
      <c r="A259" s="71">
        <f>'Old Data'!$I255-'Old Data'!$S255</f>
        <v>104</v>
      </c>
      <c r="B259" s="72">
        <f>VLOOKUP('Old Data'!$F255,$R$6:$T$135,2,FALSE)+VLOOKUP('Old Data'!$P255,$R$6:$T$135,3,FALSE)+$B$2</f>
        <v>187.95012796408906</v>
      </c>
      <c r="C259" s="72">
        <f>VLOOKUP('Old Data'!$P255,$R$6:$T$135,2,FALSE)+VLOOKUP('Old Data'!$F255,$R$6:$T$135,3,FALSE)+$B$2</f>
        <v>82.510068912614315</v>
      </c>
      <c r="D259" s="74">
        <f>('Old Data'!$I255-$B259)^2+('Old Data'!$S255-$C259)^2</f>
        <v>989.39143819347964</v>
      </c>
      <c r="E259" s="75">
        <f>'Old Data'!$K255-'Old Data'!$U255</f>
        <v>128</v>
      </c>
      <c r="F259" s="72">
        <f>VLOOKUP('Old Data'!$F255,$V$6:$X$135,2,FALSE)+VLOOKUP('Old Data'!$P255,$V$6:$X$135,3,FALSE)+$C$2</f>
        <v>322.57268014128709</v>
      </c>
      <c r="G259" s="72">
        <f>VLOOKUP('Old Data'!$P255,$V$6:$X$135,2,FALSE)+VLOOKUP('Old Data'!$F255,$V$6:$X$135,3,FALSE)+$C$2</f>
        <v>285.46791855787779</v>
      </c>
      <c r="H259" s="74">
        <f>('Old Data'!$K255-$F259)^2+('Old Data'!$U255-$G259)^2</f>
        <v>20338.280773381299</v>
      </c>
      <c r="I259" s="75">
        <f>('Old Data'!$L255+'Old Data'!$M255)-('Old Data'!$V255+'Old Data'!$W255)</f>
        <v>16</v>
      </c>
      <c r="J259" s="72">
        <f>VLOOKUP('Old Data'!$F255,$Z$6:$AB$135,2,FALSE)+VLOOKUP('Old Data'!$P255,$Z$6:$AB$135,3,FALSE)+$D$2</f>
        <v>47.058104636997584</v>
      </c>
      <c r="K259" s="72">
        <f>VLOOKUP('Old Data'!$P255,$Z$6:$AB$135,2,FALSE)+VLOOKUP('Old Data'!$F255,$Z$6:$AB$135,3,FALSE)+$D$2</f>
        <v>50.606761200952903</v>
      </c>
      <c r="L259" s="74">
        <f>('Old Data'!$L255+'Old Data'!$M255-$J259)^2+('Old Data'!$V255+'Old Data'!$W255-$K259)^2</f>
        <v>573.74738764363667</v>
      </c>
      <c r="M259" s="75">
        <f>'Old Data'!$N255-'Old Data'!$X255</f>
        <v>3</v>
      </c>
      <c r="N259" s="72">
        <f>VLOOKUP('Old Data'!$F255,$AD$6:$AF$135,2,FALSE)+VLOOKUP('Old Data'!$P255,$AD$6:$AF$135,3,FALSE)+$E$2</f>
        <v>1.786168730251088</v>
      </c>
      <c r="O259" s="72">
        <f>VLOOKUP('Old Data'!$P255,$AD$6:$AF$135,2,FALSE)+VLOOKUP('Old Data'!$F255,$AD$6:$AF$135,3,FALSE)+$E$2</f>
        <v>1.0687630253300111</v>
      </c>
      <c r="P259" s="73">
        <f>('Old Data'!$N255-$N259)^2+('Old Data'!$X255-$O259)^2</f>
        <v>2.6156407557328141</v>
      </c>
      <c r="Q259" s="62"/>
      <c r="R259" s="3"/>
      <c r="S259" s="3"/>
      <c r="T259" s="3"/>
      <c r="V259" s="3"/>
      <c r="W259" s="3"/>
      <c r="X259" s="3"/>
      <c r="Z259" s="3"/>
      <c r="AA259" s="3"/>
      <c r="AB259" s="3"/>
      <c r="AC259" s="3"/>
      <c r="AD259" s="3"/>
      <c r="AE259" s="3"/>
      <c r="AF259" s="3"/>
      <c r="AG259" s="3"/>
      <c r="AH259" s="37"/>
      <c r="AI259" s="1"/>
      <c r="AK259" s="10"/>
      <c r="AL259" s="10"/>
      <c r="AM259" s="10"/>
      <c r="AN259" s="11"/>
      <c r="AO259" s="11"/>
      <c r="AP259" s="11"/>
      <c r="AQ259" s="36"/>
      <c r="AR259" s="11"/>
      <c r="AS259" s="11"/>
      <c r="AT259" s="11"/>
      <c r="AU259" s="12"/>
      <c r="AV259" s="11"/>
      <c r="AW259" s="11"/>
      <c r="AX259" s="15"/>
      <c r="AY259" s="15"/>
      <c r="AZ259" s="15"/>
      <c r="BA259" s="15"/>
      <c r="BB259" s="15"/>
      <c r="BC259" s="15"/>
      <c r="BD259" s="15"/>
      <c r="BE259" s="12"/>
      <c r="BF259" s="11"/>
      <c r="BG259" s="11"/>
      <c r="BH259" s="10"/>
      <c r="BI259" s="10"/>
      <c r="BJ259" s="10"/>
      <c r="BK259" s="23"/>
      <c r="BL259" s="23"/>
      <c r="BM259" s="23"/>
      <c r="BN259" s="23"/>
      <c r="BO259" s="23"/>
      <c r="BP259" s="23"/>
      <c r="BQ259" s="23"/>
      <c r="BR259" s="10"/>
      <c r="BS259" s="16"/>
      <c r="BT259" s="16"/>
      <c r="BU259" s="16"/>
      <c r="BV259" s="16"/>
      <c r="BW259" s="11"/>
      <c r="BX259" s="16"/>
      <c r="BY259" s="16"/>
      <c r="BZ259" s="17"/>
      <c r="CA259" s="18"/>
      <c r="CB259" s="18"/>
      <c r="CC259" s="18"/>
      <c r="CD259" s="18"/>
      <c r="CE259" s="18"/>
      <c r="CF259" s="18"/>
      <c r="CG259" s="19"/>
      <c r="CH259" s="15"/>
      <c r="CI259" s="17"/>
      <c r="CJ259" s="10"/>
      <c r="CK259" s="10"/>
      <c r="CL259" s="10"/>
      <c r="CM259" s="17"/>
      <c r="CN259" s="17"/>
      <c r="CO259" s="10"/>
      <c r="CP259" s="10"/>
      <c r="CQ259" s="10"/>
      <c r="CR259" s="10"/>
      <c r="CS259" s="10"/>
      <c r="CT259" s="10"/>
      <c r="CU259" s="10"/>
      <c r="CV259" s="10"/>
      <c r="CW259" s="10"/>
      <c r="CX259" s="10"/>
      <c r="CY259" s="10"/>
      <c r="CZ259" s="10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34"/>
      <c r="DV259" s="34"/>
      <c r="DW259" s="34"/>
      <c r="DX259" s="34"/>
      <c r="DY259" s="34"/>
      <c r="DZ259" s="34"/>
      <c r="EA259" s="34"/>
      <c r="EB259" s="34"/>
      <c r="EC259" s="34"/>
      <c r="ED259" s="34"/>
      <c r="EE259" s="34"/>
    </row>
    <row r="260" spans="1:135" customFormat="1">
      <c r="A260" s="71">
        <f>'Old Data'!$I256-'Old Data'!$S256</f>
        <v>-62</v>
      </c>
      <c r="B260" s="72">
        <f>VLOOKUP('Old Data'!$F256,$R$6:$T$135,2,FALSE)+VLOOKUP('Old Data'!$P256,$R$6:$T$135,3,FALSE)+$B$2</f>
        <v>166.0836675877207</v>
      </c>
      <c r="C260" s="72">
        <f>VLOOKUP('Old Data'!$P256,$R$6:$T$135,2,FALSE)+VLOOKUP('Old Data'!$F256,$R$6:$T$135,3,FALSE)+$B$2</f>
        <v>245.67193270434882</v>
      </c>
      <c r="D260" s="74">
        <f>('Old Data'!$I256-$B260)^2+('Old Data'!$S256-$C260)^2</f>
        <v>2587.5954209598831</v>
      </c>
      <c r="E260" s="75">
        <f>'Old Data'!$K256-'Old Data'!$U256</f>
        <v>-115</v>
      </c>
      <c r="F260" s="72">
        <f>VLOOKUP('Old Data'!$F256,$V$6:$X$135,2,FALSE)+VLOOKUP('Old Data'!$P256,$V$6:$X$135,3,FALSE)+$C$2</f>
        <v>246.19956209065924</v>
      </c>
      <c r="G260" s="72">
        <f>VLOOKUP('Old Data'!$P256,$V$6:$X$135,2,FALSE)+VLOOKUP('Old Data'!$F256,$V$6:$X$135,3,FALSE)+$C$2</f>
        <v>243.42983531402831</v>
      </c>
      <c r="H260" s="74">
        <f>('Old Data'!$K256-$F260)^2+('Old Data'!$U256-$G260)^2</f>
        <v>17793.901527173908</v>
      </c>
      <c r="I260" s="75">
        <f>('Old Data'!$L256+'Old Data'!$M256)-('Old Data'!$V256+'Old Data'!$W256)</f>
        <v>-15</v>
      </c>
      <c r="J260" s="72">
        <f>VLOOKUP('Old Data'!$F256,$Z$6:$AB$135,2,FALSE)+VLOOKUP('Old Data'!$P256,$Z$6:$AB$135,3,FALSE)+$D$2</f>
        <v>29.064370651256898</v>
      </c>
      <c r="K260" s="72">
        <f>VLOOKUP('Old Data'!$P256,$Z$6:$AB$135,2,FALSE)+VLOOKUP('Old Data'!$F256,$Z$6:$AB$135,3,FALSE)+$D$2</f>
        <v>61.187967727414396</v>
      </c>
      <c r="L260" s="74">
        <f>('Old Data'!$L256+'Old Data'!$M256-$J260)^2+('Old Data'!$V256+'Old Data'!$W256-$K260)^2</f>
        <v>2978.0660041423171</v>
      </c>
      <c r="M260" s="75">
        <f>'Old Data'!$N256-'Old Data'!$X256</f>
        <v>4</v>
      </c>
      <c r="N260" s="72">
        <f>VLOOKUP('Old Data'!$F256,$AD$6:$AF$135,2,FALSE)+VLOOKUP('Old Data'!$P256,$AD$6:$AF$135,3,FALSE)+$E$2</f>
        <v>1.0363837616965834</v>
      </c>
      <c r="O260" s="72">
        <f>VLOOKUP('Old Data'!$P256,$AD$6:$AF$135,2,FALSE)+VLOOKUP('Old Data'!$F256,$AD$6:$AF$135,3,FALSE)+$E$2</f>
        <v>1.3102671020164691</v>
      </c>
      <c r="P260" s="73">
        <f>('Old Data'!$N256-$N260)^2+('Old Data'!$X256-$O260)^2</f>
        <v>10.49982108656233</v>
      </c>
      <c r="Q260" s="62"/>
      <c r="R260" s="3"/>
      <c r="S260" s="3"/>
      <c r="T260" s="3"/>
      <c r="V260" s="3"/>
      <c r="W260" s="3"/>
      <c r="X260" s="3"/>
      <c r="Z260" s="3"/>
      <c r="AA260" s="3"/>
      <c r="AB260" s="3"/>
      <c r="AC260" s="3"/>
      <c r="AD260" s="3"/>
      <c r="AE260" s="3"/>
      <c r="AF260" s="3"/>
      <c r="AG260" s="3"/>
      <c r="AH260" s="37"/>
      <c r="AI260" s="1"/>
      <c r="AK260" s="10"/>
      <c r="AL260" s="10"/>
      <c r="AM260" s="10"/>
      <c r="AN260" s="11"/>
      <c r="AO260" s="11"/>
      <c r="AP260" s="11"/>
      <c r="AQ260" s="36"/>
      <c r="AR260" s="11"/>
      <c r="AS260" s="11"/>
      <c r="AT260" s="11"/>
      <c r="AU260" s="12"/>
      <c r="AV260" s="11"/>
      <c r="AW260" s="11"/>
      <c r="AX260" s="15"/>
      <c r="AY260" s="15"/>
      <c r="AZ260" s="15"/>
      <c r="BA260" s="15"/>
      <c r="BB260" s="15"/>
      <c r="BC260" s="15"/>
      <c r="BD260" s="15"/>
      <c r="BE260" s="12"/>
      <c r="BF260" s="11"/>
      <c r="BG260" s="11"/>
      <c r="BH260" s="10"/>
      <c r="BI260" s="10"/>
      <c r="BJ260" s="10"/>
      <c r="BK260" s="23"/>
      <c r="BL260" s="23"/>
      <c r="BM260" s="23"/>
      <c r="BN260" s="23"/>
      <c r="BO260" s="23"/>
      <c r="BP260" s="23"/>
      <c r="BQ260" s="23"/>
      <c r="BR260" s="10"/>
      <c r="BS260" s="16"/>
      <c r="BT260" s="16"/>
      <c r="BU260" s="16"/>
      <c r="BV260" s="16"/>
      <c r="BW260" s="11"/>
      <c r="BX260" s="16"/>
      <c r="BY260" s="16"/>
      <c r="BZ260" s="17"/>
      <c r="CA260" s="18"/>
      <c r="CB260" s="18"/>
      <c r="CC260" s="18"/>
      <c r="CD260" s="18"/>
      <c r="CE260" s="18"/>
      <c r="CF260" s="18"/>
      <c r="CG260" s="19"/>
      <c r="CH260" s="15"/>
      <c r="CI260" s="17"/>
      <c r="CJ260" s="10"/>
      <c r="CK260" s="10"/>
      <c r="CL260" s="10"/>
      <c r="CM260" s="17"/>
      <c r="CN260" s="17"/>
      <c r="CO260" s="10"/>
      <c r="CP260" s="10"/>
      <c r="CQ260" s="10"/>
      <c r="CR260" s="10"/>
      <c r="CS260" s="10"/>
      <c r="CT260" s="10"/>
      <c r="CU260" s="10"/>
      <c r="CV260" s="10"/>
      <c r="CW260" s="10"/>
      <c r="CX260" s="10"/>
      <c r="CY260" s="10"/>
      <c r="CZ260" s="10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  <c r="DY260" s="34"/>
      <c r="DZ260" s="34"/>
      <c r="EA260" s="34"/>
      <c r="EB260" s="34"/>
      <c r="EC260" s="34"/>
      <c r="ED260" s="34"/>
      <c r="EE260" s="34"/>
    </row>
    <row r="261" spans="1:135" customFormat="1">
      <c r="A261" s="71">
        <f>'Old Data'!$I257-'Old Data'!$S257</f>
        <v>104</v>
      </c>
      <c r="B261" s="72">
        <f>VLOOKUP('Old Data'!$F257,$R$6:$T$135,2,FALSE)+VLOOKUP('Old Data'!$P257,$R$6:$T$135,3,FALSE)+$B$2</f>
        <v>297.50226192457592</v>
      </c>
      <c r="C261" s="72">
        <f>VLOOKUP('Old Data'!$P257,$R$6:$T$135,2,FALSE)+VLOOKUP('Old Data'!$F257,$R$6:$T$135,3,FALSE)+$B$2</f>
        <v>199.39268604411239</v>
      </c>
      <c r="D261" s="74">
        <f>('Old Data'!$I257-$B261)^2+('Old Data'!$S257-$C261)^2</f>
        <v>14619.890168764352</v>
      </c>
      <c r="E261" s="75">
        <f>'Old Data'!$K257-'Old Data'!$U257</f>
        <v>-84</v>
      </c>
      <c r="F261" s="72">
        <f>VLOOKUP('Old Data'!$F257,$V$6:$X$135,2,FALSE)+VLOOKUP('Old Data'!$P257,$V$6:$X$135,3,FALSE)+$C$2</f>
        <v>65.379542346283301</v>
      </c>
      <c r="G261" s="72">
        <f>VLOOKUP('Old Data'!$P257,$V$6:$X$135,2,FALSE)+VLOOKUP('Old Data'!$F257,$V$6:$X$135,3,FALSE)+$C$2</f>
        <v>130.80003835666076</v>
      </c>
      <c r="H261" s="74">
        <f>('Old Data'!$K257-$F261)^2+('Old Data'!$U257-$G261)^2</f>
        <v>22606.543999840491</v>
      </c>
      <c r="I261" s="75">
        <f>('Old Data'!$L257+'Old Data'!$M257)-('Old Data'!$V257+'Old Data'!$W257)</f>
        <v>72</v>
      </c>
      <c r="J261" s="72">
        <f>VLOOKUP('Old Data'!$F257,$Z$6:$AB$135,2,FALSE)+VLOOKUP('Old Data'!$P257,$Z$6:$AB$135,3,FALSE)+$D$2</f>
        <v>36.547728369412695</v>
      </c>
      <c r="K261" s="72">
        <f>VLOOKUP('Old Data'!$P257,$Z$6:$AB$135,2,FALSE)+VLOOKUP('Old Data'!$F257,$Z$6:$AB$135,3,FALSE)+$D$2</f>
        <v>22.780086175990604</v>
      </c>
      <c r="L261" s="74">
        <f>('Old Data'!$L257+'Old Data'!$M257-$J261)^2+('Old Data'!$V257+'Old Data'!$W257-$K261)^2</f>
        <v>2879.9945663199851</v>
      </c>
      <c r="M261" s="75">
        <f>'Old Data'!$N257-'Old Data'!$X257</f>
        <v>1</v>
      </c>
      <c r="N261" s="72">
        <f>VLOOKUP('Old Data'!$F257,$AD$6:$AF$135,2,FALSE)+VLOOKUP('Old Data'!$P257,$AD$6:$AF$135,3,FALSE)+$E$2</f>
        <v>1.5905375133569857</v>
      </c>
      <c r="O261" s="72">
        <f>VLOOKUP('Old Data'!$P257,$AD$6:$AF$135,2,FALSE)+VLOOKUP('Old Data'!$F257,$AD$6:$AF$135,3,FALSE)+$E$2</f>
        <v>0.89958061811850853</v>
      </c>
      <c r="P261" s="73">
        <f>('Old Data'!$N257-$N261)^2+('Old Data'!$X257-$O261)^2</f>
        <v>3.1975073172743529</v>
      </c>
      <c r="Q261" s="62"/>
      <c r="R261" s="3"/>
      <c r="S261" s="3"/>
      <c r="T261" s="3"/>
      <c r="V261" s="3"/>
      <c r="W261" s="3"/>
      <c r="X261" s="3"/>
      <c r="Z261" s="3"/>
      <c r="AA261" s="3"/>
      <c r="AB261" s="3"/>
      <c r="AC261" s="3"/>
      <c r="AD261" s="3"/>
      <c r="AE261" s="3"/>
      <c r="AF261" s="3"/>
      <c r="AG261" s="3"/>
      <c r="AH261" s="37"/>
      <c r="AI261" s="1"/>
      <c r="AK261" s="10"/>
      <c r="AL261" s="10"/>
      <c r="AM261" s="10"/>
      <c r="AN261" s="11"/>
      <c r="AO261" s="11"/>
      <c r="AP261" s="11"/>
      <c r="AQ261" s="36"/>
      <c r="AR261" s="11"/>
      <c r="AS261" s="11"/>
      <c r="AT261" s="11"/>
      <c r="AU261" s="12"/>
      <c r="AV261" s="11"/>
      <c r="AW261" s="11"/>
      <c r="AX261" s="15"/>
      <c r="AY261" s="15"/>
      <c r="AZ261" s="15"/>
      <c r="BA261" s="15"/>
      <c r="BB261" s="15"/>
      <c r="BC261" s="15"/>
      <c r="BD261" s="15"/>
      <c r="BE261" s="12"/>
      <c r="BF261" s="11"/>
      <c r="BG261" s="11"/>
      <c r="BH261" s="10"/>
      <c r="BI261" s="10"/>
      <c r="BJ261" s="10"/>
      <c r="BK261" s="23"/>
      <c r="BL261" s="23"/>
      <c r="BM261" s="23"/>
      <c r="BN261" s="23"/>
      <c r="BO261" s="23"/>
      <c r="BP261" s="23"/>
      <c r="BQ261" s="23"/>
      <c r="BR261" s="10"/>
      <c r="BS261" s="16"/>
      <c r="BT261" s="16"/>
      <c r="BU261" s="16"/>
      <c r="BV261" s="16"/>
      <c r="BW261" s="11"/>
      <c r="BX261" s="16"/>
      <c r="BY261" s="16"/>
      <c r="BZ261" s="17"/>
      <c r="CA261" s="18"/>
      <c r="CB261" s="18"/>
      <c r="CC261" s="18"/>
      <c r="CD261" s="18"/>
      <c r="CE261" s="18"/>
      <c r="CF261" s="18"/>
      <c r="CG261" s="19"/>
      <c r="CH261" s="15"/>
      <c r="CI261" s="17"/>
      <c r="CJ261" s="10"/>
      <c r="CK261" s="10"/>
      <c r="CL261" s="10"/>
      <c r="CM261" s="17"/>
      <c r="CN261" s="17"/>
      <c r="CO261" s="10"/>
      <c r="CP261" s="10"/>
      <c r="CQ261" s="10"/>
      <c r="CR261" s="10"/>
      <c r="CS261" s="10"/>
      <c r="CT261" s="10"/>
      <c r="CU261" s="10"/>
      <c r="CV261" s="10"/>
      <c r="CW261" s="10"/>
      <c r="CX261" s="10"/>
      <c r="CY261" s="10"/>
      <c r="CZ261" s="10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34"/>
      <c r="DV261" s="34"/>
      <c r="DW261" s="34"/>
      <c r="DX261" s="34"/>
      <c r="DY261" s="34"/>
      <c r="DZ261" s="34"/>
      <c r="EA261" s="34"/>
      <c r="EB261" s="34"/>
      <c r="EC261" s="34"/>
      <c r="ED261" s="34"/>
      <c r="EE261" s="34"/>
    </row>
    <row r="262" spans="1:135" customFormat="1">
      <c r="A262" s="71">
        <f>'Old Data'!$I258-'Old Data'!$S258</f>
        <v>-24</v>
      </c>
      <c r="B262" s="72">
        <f>VLOOKUP('Old Data'!$F258,$R$6:$T$135,2,FALSE)+VLOOKUP('Old Data'!$P258,$R$6:$T$135,3,FALSE)+$B$2</f>
        <v>191.78018427295711</v>
      </c>
      <c r="C262" s="72">
        <f>VLOOKUP('Old Data'!$P258,$R$6:$T$135,2,FALSE)+VLOOKUP('Old Data'!$F258,$R$6:$T$135,3,FALSE)+$B$2</f>
        <v>201.21628392897341</v>
      </c>
      <c r="D262" s="74">
        <f>('Old Data'!$I258-$B262)^2+('Old Data'!$S258-$C262)^2</f>
        <v>5410.1898276503871</v>
      </c>
      <c r="E262" s="75">
        <f>'Old Data'!$K258-'Old Data'!$U258</f>
        <v>50</v>
      </c>
      <c r="F262" s="72">
        <f>VLOOKUP('Old Data'!$F258,$V$6:$X$135,2,FALSE)+VLOOKUP('Old Data'!$P258,$V$6:$X$135,3,FALSE)+$C$2</f>
        <v>178.06282197688981</v>
      </c>
      <c r="G262" s="72">
        <f>VLOOKUP('Old Data'!$P258,$V$6:$X$135,2,FALSE)+VLOOKUP('Old Data'!$F258,$V$6:$X$135,3,FALSE)+$C$2</f>
        <v>98.142880175963796</v>
      </c>
      <c r="H262" s="74">
        <f>('Old Data'!$K258-$F262)^2+('Old Data'!$U258-$G262)^2</f>
        <v>1496.1603163419784</v>
      </c>
      <c r="I262" s="75">
        <f>('Old Data'!$L258+'Old Data'!$M258)-('Old Data'!$V258+'Old Data'!$W258)</f>
        <v>-31</v>
      </c>
      <c r="J262" s="72">
        <f>VLOOKUP('Old Data'!$F258,$Z$6:$AB$135,2,FALSE)+VLOOKUP('Old Data'!$P258,$Z$6:$AB$135,3,FALSE)+$D$2</f>
        <v>43.395344041166425</v>
      </c>
      <c r="K262" s="72">
        <f>VLOOKUP('Old Data'!$P258,$Z$6:$AB$135,2,FALSE)+VLOOKUP('Old Data'!$F258,$Z$6:$AB$135,3,FALSE)+$D$2</f>
        <v>73.490551655739097</v>
      </c>
      <c r="L262" s="74">
        <f>('Old Data'!$L258+'Old Data'!$M258-$J262)^2+('Old Data'!$V258+'Old Data'!$W258-$K262)^2</f>
        <v>877.62345379638782</v>
      </c>
      <c r="M262" s="75">
        <f>'Old Data'!$N258-'Old Data'!$X258</f>
        <v>1</v>
      </c>
      <c r="N262" s="72">
        <f>VLOOKUP('Old Data'!$F258,$AD$6:$AF$135,2,FALSE)+VLOOKUP('Old Data'!$P258,$AD$6:$AF$135,3,FALSE)+$E$2</f>
        <v>2.2485561277773174</v>
      </c>
      <c r="O262" s="72">
        <f>VLOOKUP('Old Data'!$P258,$AD$6:$AF$135,2,FALSE)+VLOOKUP('Old Data'!$F258,$AD$6:$AF$135,3,FALSE)+$E$2</f>
        <v>1.5610865040401332</v>
      </c>
      <c r="P262" s="73">
        <f>('Old Data'!$N258-$N262)^2+('Old Data'!$X258-$O262)^2</f>
        <v>3.9958834773065335</v>
      </c>
      <c r="Q262" s="62"/>
      <c r="R262" s="3"/>
      <c r="S262" s="3"/>
      <c r="T262" s="3"/>
      <c r="V262" s="3"/>
      <c r="W262" s="3"/>
      <c r="X262" s="3"/>
      <c r="Z262" s="3"/>
      <c r="AA262" s="3"/>
      <c r="AB262" s="3"/>
      <c r="AC262" s="3"/>
      <c r="AD262" s="3"/>
      <c r="AE262" s="3"/>
      <c r="AF262" s="3"/>
      <c r="AG262" s="3"/>
      <c r="AH262" s="37"/>
      <c r="AI262" s="1"/>
      <c r="AK262" s="10"/>
      <c r="AL262" s="10"/>
      <c r="AM262" s="10"/>
      <c r="AN262" s="11"/>
      <c r="AO262" s="11"/>
      <c r="AP262" s="11"/>
      <c r="AQ262" s="36"/>
      <c r="AR262" s="11"/>
      <c r="AS262" s="11"/>
      <c r="AT262" s="11"/>
      <c r="AU262" s="12"/>
      <c r="AV262" s="11"/>
      <c r="AW262" s="11"/>
      <c r="AX262" s="15"/>
      <c r="AY262" s="15"/>
      <c r="AZ262" s="15"/>
      <c r="BA262" s="15"/>
      <c r="BB262" s="15"/>
      <c r="BC262" s="15"/>
      <c r="BD262" s="15"/>
      <c r="BE262" s="12"/>
      <c r="BF262" s="11"/>
      <c r="BG262" s="11"/>
      <c r="BH262" s="10"/>
      <c r="BI262" s="10"/>
      <c r="BJ262" s="10"/>
      <c r="BK262" s="23"/>
      <c r="BL262" s="23"/>
      <c r="BM262" s="23"/>
      <c r="BN262" s="23"/>
      <c r="BO262" s="23"/>
      <c r="BP262" s="23"/>
      <c r="BQ262" s="23"/>
      <c r="BR262" s="10"/>
      <c r="BS262" s="16"/>
      <c r="BT262" s="16"/>
      <c r="BU262" s="16"/>
      <c r="BV262" s="16"/>
      <c r="BW262" s="11"/>
      <c r="BX262" s="16"/>
      <c r="BY262" s="16"/>
      <c r="BZ262" s="17"/>
      <c r="CA262" s="18"/>
      <c r="CB262" s="18"/>
      <c r="CC262" s="18"/>
      <c r="CD262" s="18"/>
      <c r="CE262" s="18"/>
      <c r="CF262" s="18"/>
      <c r="CG262" s="19"/>
      <c r="CH262" s="15"/>
      <c r="CI262" s="17"/>
      <c r="CJ262" s="10"/>
      <c r="CK262" s="10"/>
      <c r="CL262" s="10"/>
      <c r="CM262" s="17"/>
      <c r="CN262" s="17"/>
      <c r="CO262" s="10"/>
      <c r="CP262" s="10"/>
      <c r="CQ262" s="10"/>
      <c r="CR262" s="10"/>
      <c r="CS262" s="10"/>
      <c r="CT262" s="10"/>
      <c r="CU262" s="10"/>
      <c r="CV262" s="10"/>
      <c r="CW262" s="10"/>
      <c r="CX262" s="10"/>
      <c r="CY262" s="10"/>
      <c r="CZ262" s="10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34"/>
      <c r="DV262" s="34"/>
      <c r="DW262" s="34"/>
      <c r="DX262" s="34"/>
      <c r="DY262" s="34"/>
      <c r="DZ262" s="34"/>
      <c r="EA262" s="34"/>
      <c r="EB262" s="34"/>
      <c r="EC262" s="34"/>
      <c r="ED262" s="34"/>
      <c r="EE262" s="34"/>
    </row>
    <row r="263" spans="1:135" customFormat="1">
      <c r="A263" s="71">
        <f>'Old Data'!$I259-'Old Data'!$S259</f>
        <v>-87</v>
      </c>
      <c r="B263" s="72">
        <f>VLOOKUP('Old Data'!$F259,$R$6:$T$135,2,FALSE)+VLOOKUP('Old Data'!$P259,$R$6:$T$135,3,FALSE)+$B$2</f>
        <v>146.4285001596856</v>
      </c>
      <c r="C263" s="72">
        <f>VLOOKUP('Old Data'!$P259,$R$6:$T$135,2,FALSE)+VLOOKUP('Old Data'!$F259,$R$6:$T$135,3,FALSE)+$B$2</f>
        <v>240.38977996873632</v>
      </c>
      <c r="D263" s="74">
        <f>('Old Data'!$I259-$B263)^2+('Old Data'!$S259-$C263)^2</f>
        <v>31.519339859499482</v>
      </c>
      <c r="E263" s="75">
        <f>'Old Data'!$K259-'Old Data'!$U259</f>
        <v>207</v>
      </c>
      <c r="F263" s="72">
        <f>VLOOKUP('Old Data'!$F259,$V$6:$X$135,2,FALSE)+VLOOKUP('Old Data'!$P259,$V$6:$X$135,3,FALSE)+$C$2</f>
        <v>229.70229837172479</v>
      </c>
      <c r="G263" s="72">
        <f>VLOOKUP('Old Data'!$P259,$V$6:$X$135,2,FALSE)+VLOOKUP('Old Data'!$F259,$V$6:$X$135,3,FALSE)+$C$2</f>
        <v>207.70868633086113</v>
      </c>
      <c r="H263" s="74">
        <f>('Old Data'!$K259-$F263)^2+('Old Data'!$U259-$G263)^2</f>
        <v>30302.345768875031</v>
      </c>
      <c r="I263" s="75">
        <f>('Old Data'!$L259+'Old Data'!$M259)-('Old Data'!$V259+'Old Data'!$W259)</f>
        <v>-21</v>
      </c>
      <c r="J263" s="72">
        <f>VLOOKUP('Old Data'!$F259,$Z$6:$AB$135,2,FALSE)+VLOOKUP('Old Data'!$P259,$Z$6:$AB$135,3,FALSE)+$D$2</f>
        <v>70.356772997791495</v>
      </c>
      <c r="K263" s="72">
        <f>VLOOKUP('Old Data'!$P259,$Z$6:$AB$135,2,FALSE)+VLOOKUP('Old Data'!$F259,$Z$6:$AB$135,3,FALSE)+$D$2</f>
        <v>88.384521256718216</v>
      </c>
      <c r="L263" s="74">
        <f>('Old Data'!$L259+'Old Data'!$M259-$J263)^2+('Old Data'!$V259+'Old Data'!$W259-$K263)^2</f>
        <v>3183.7541448983084</v>
      </c>
      <c r="M263" s="75">
        <f>'Old Data'!$N259-'Old Data'!$X259</f>
        <v>-1</v>
      </c>
      <c r="N263" s="72">
        <f>VLOOKUP('Old Data'!$F259,$AD$6:$AF$135,2,FALSE)+VLOOKUP('Old Data'!$P259,$AD$6:$AF$135,3,FALSE)+$E$2</f>
        <v>1.0598526810360591</v>
      </c>
      <c r="O263" s="72">
        <f>VLOOKUP('Old Data'!$P259,$AD$6:$AF$135,2,FALSE)+VLOOKUP('Old Data'!$F259,$AD$6:$AF$135,3,FALSE)+$E$2</f>
        <v>2.5346306829430638</v>
      </c>
      <c r="P263" s="73">
        <f>('Old Data'!$N259-$N263)^2+('Old Data'!$X259-$O263)^2</f>
        <v>1.1004455826131252</v>
      </c>
      <c r="Q263" s="62"/>
      <c r="R263" s="3"/>
      <c r="S263" s="3"/>
      <c r="T263" s="3"/>
      <c r="V263" s="3"/>
      <c r="W263" s="3"/>
      <c r="X263" s="3"/>
      <c r="Z263" s="3"/>
      <c r="AA263" s="3"/>
      <c r="AB263" s="3"/>
      <c r="AC263" s="3"/>
      <c r="AD263" s="3"/>
      <c r="AE263" s="3"/>
      <c r="AF263" s="3"/>
      <c r="AG263" s="3"/>
      <c r="AH263" s="37"/>
      <c r="AI263" s="1"/>
      <c r="AK263" s="10"/>
      <c r="AL263" s="10"/>
      <c r="AM263" s="10"/>
      <c r="AN263" s="11"/>
      <c r="AO263" s="11"/>
      <c r="AP263" s="11"/>
      <c r="AQ263" s="36"/>
      <c r="AR263" s="11"/>
      <c r="AS263" s="11"/>
      <c r="AT263" s="11"/>
      <c r="AU263" s="12"/>
      <c r="AV263" s="11"/>
      <c r="AW263" s="11"/>
      <c r="AX263" s="15"/>
      <c r="AY263" s="15"/>
      <c r="AZ263" s="15"/>
      <c r="BA263" s="15"/>
      <c r="BB263" s="15"/>
      <c r="BC263" s="15"/>
      <c r="BD263" s="15"/>
      <c r="BE263" s="12"/>
      <c r="BF263" s="11"/>
      <c r="BG263" s="11"/>
      <c r="BH263" s="10"/>
      <c r="BI263" s="10"/>
      <c r="BJ263" s="10"/>
      <c r="BK263" s="23"/>
      <c r="BL263" s="23"/>
      <c r="BM263" s="23"/>
      <c r="BN263" s="23"/>
      <c r="BO263" s="23"/>
      <c r="BP263" s="23"/>
      <c r="BQ263" s="23"/>
      <c r="BR263" s="10"/>
      <c r="BS263" s="16"/>
      <c r="BT263" s="16"/>
      <c r="BU263" s="16"/>
      <c r="BV263" s="16"/>
      <c r="BW263" s="11"/>
      <c r="BX263" s="16"/>
      <c r="BY263" s="16"/>
      <c r="BZ263" s="17"/>
      <c r="CA263" s="18"/>
      <c r="CB263" s="18"/>
      <c r="CC263" s="18"/>
      <c r="CD263" s="18"/>
      <c r="CE263" s="18"/>
      <c r="CF263" s="18"/>
      <c r="CG263" s="19"/>
      <c r="CH263" s="15"/>
      <c r="CI263" s="17"/>
      <c r="CJ263" s="10"/>
      <c r="CK263" s="10"/>
      <c r="CL263" s="10"/>
      <c r="CM263" s="17"/>
      <c r="CN263" s="17"/>
      <c r="CO263" s="10"/>
      <c r="CP263" s="10"/>
      <c r="CQ263" s="10"/>
      <c r="CR263" s="10"/>
      <c r="CS263" s="10"/>
      <c r="CT263" s="10"/>
      <c r="CU263" s="10"/>
      <c r="CV263" s="10"/>
      <c r="CW263" s="10"/>
      <c r="CX263" s="10"/>
      <c r="CY263" s="10"/>
      <c r="CZ263" s="10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34"/>
      <c r="DV263" s="34"/>
      <c r="DW263" s="34"/>
      <c r="DX263" s="34"/>
      <c r="DY263" s="34"/>
      <c r="DZ263" s="34"/>
      <c r="EA263" s="34"/>
      <c r="EB263" s="34"/>
      <c r="EC263" s="34"/>
      <c r="ED263" s="34"/>
      <c r="EE263" s="34"/>
    </row>
    <row r="264" spans="1:135" customFormat="1">
      <c r="A264" s="71">
        <f>'Old Data'!$I260-'Old Data'!$S260</f>
        <v>115</v>
      </c>
      <c r="B264" s="72">
        <f>VLOOKUP('Old Data'!$F260,$R$6:$T$135,2,FALSE)+VLOOKUP('Old Data'!$P260,$R$6:$T$135,3,FALSE)+$B$2</f>
        <v>279.91337286161649</v>
      </c>
      <c r="C264" s="72">
        <f>VLOOKUP('Old Data'!$P260,$R$6:$T$135,2,FALSE)+VLOOKUP('Old Data'!$F260,$R$6:$T$135,3,FALSE)+$B$2</f>
        <v>112.3736767960805</v>
      </c>
      <c r="D264" s="74">
        <f>('Old Data'!$I260-$B264)^2+('Old Data'!$S260-$C264)^2</f>
        <v>2232.5200660480177</v>
      </c>
      <c r="E264" s="75">
        <f>'Old Data'!$K260-'Old Data'!$U260</f>
        <v>230</v>
      </c>
      <c r="F264" s="72">
        <f>VLOOKUP('Old Data'!$F260,$V$6:$X$135,2,FALSE)+VLOOKUP('Old Data'!$P260,$V$6:$X$135,3,FALSE)+$C$2</f>
        <v>291.58938846178609</v>
      </c>
      <c r="G264" s="72">
        <f>VLOOKUP('Old Data'!$P260,$V$6:$X$135,2,FALSE)+VLOOKUP('Old Data'!$F260,$V$6:$X$135,3,FALSE)+$C$2</f>
        <v>80.553115480311902</v>
      </c>
      <c r="H264" s="74">
        <f>('Old Data'!$K260-$F264)^2+('Old Data'!$U260-$G264)^2</f>
        <v>3210.7063174196965</v>
      </c>
      <c r="I264" s="75">
        <f>('Old Data'!$L260+'Old Data'!$M260)-('Old Data'!$V260+'Old Data'!$W260)</f>
        <v>7</v>
      </c>
      <c r="J264" s="72">
        <f>VLOOKUP('Old Data'!$F260,$Z$6:$AB$135,2,FALSE)+VLOOKUP('Old Data'!$P260,$Z$6:$AB$135,3,FALSE)+$D$2</f>
        <v>36.933661841121065</v>
      </c>
      <c r="K264" s="72">
        <f>VLOOKUP('Old Data'!$P260,$Z$6:$AB$135,2,FALSE)+VLOOKUP('Old Data'!$F260,$Z$6:$AB$135,3,FALSE)+$D$2</f>
        <v>61.588745021780994</v>
      </c>
      <c r="L264" s="74">
        <f>('Old Data'!$L260+'Old Data'!$M260-$J264)^2+('Old Data'!$V260+'Old Data'!$W260-$K264)^2</f>
        <v>1062.898026528221</v>
      </c>
      <c r="M264" s="75">
        <f>'Old Data'!$N260-'Old Data'!$X260</f>
        <v>1</v>
      </c>
      <c r="N264" s="72">
        <f>VLOOKUP('Old Data'!$F260,$AD$6:$AF$135,2,FALSE)+VLOOKUP('Old Data'!$P260,$AD$6:$AF$135,3,FALSE)+$E$2</f>
        <v>2.4570084168457269</v>
      </c>
      <c r="O264" s="72">
        <f>VLOOKUP('Old Data'!$P260,$AD$6:$AF$135,2,FALSE)+VLOOKUP('Old Data'!$F260,$AD$6:$AF$135,3,FALSE)+$E$2</f>
        <v>0.84959467098751607</v>
      </c>
      <c r="P264" s="73">
        <f>('Old Data'!$N260-$N264)^2+('Old Data'!$X260-$O264)^2</f>
        <v>2.8446846317296774</v>
      </c>
      <c r="Q264" s="62"/>
      <c r="R264" s="3"/>
      <c r="S264" s="3"/>
      <c r="T264" s="3"/>
      <c r="V264" s="3"/>
      <c r="W264" s="3"/>
      <c r="X264" s="3"/>
      <c r="Z264" s="3"/>
      <c r="AA264" s="3"/>
      <c r="AB264" s="3"/>
      <c r="AC264" s="3"/>
      <c r="AD264" s="3"/>
      <c r="AE264" s="3"/>
      <c r="AF264" s="3"/>
      <c r="AG264" s="3"/>
      <c r="AH264" s="37"/>
      <c r="AI264" s="1"/>
      <c r="AK264" s="10"/>
      <c r="AL264" s="10"/>
      <c r="AM264" s="10"/>
      <c r="AN264" s="11"/>
      <c r="AO264" s="11"/>
      <c r="AP264" s="11"/>
      <c r="AQ264" s="36"/>
      <c r="AR264" s="11"/>
      <c r="AS264" s="11"/>
      <c r="AT264" s="11"/>
      <c r="AU264" s="12"/>
      <c r="AV264" s="11"/>
      <c r="AW264" s="11"/>
      <c r="AX264" s="15"/>
      <c r="AY264" s="15"/>
      <c r="AZ264" s="15"/>
      <c r="BA264" s="15"/>
      <c r="BB264" s="15"/>
      <c r="BC264" s="15"/>
      <c r="BD264" s="15"/>
      <c r="BE264" s="12"/>
      <c r="BF264" s="11"/>
      <c r="BG264" s="11"/>
      <c r="BH264" s="10"/>
      <c r="BI264" s="10"/>
      <c r="BJ264" s="10"/>
      <c r="BK264" s="23"/>
      <c r="BL264" s="23"/>
      <c r="BM264" s="23"/>
      <c r="BN264" s="23"/>
      <c r="BO264" s="23"/>
      <c r="BP264" s="23"/>
      <c r="BQ264" s="23"/>
      <c r="BR264" s="10"/>
      <c r="BS264" s="16"/>
      <c r="BT264" s="16"/>
      <c r="BU264" s="16"/>
      <c r="BV264" s="16"/>
      <c r="BW264" s="11"/>
      <c r="BX264" s="16"/>
      <c r="BY264" s="16"/>
      <c r="BZ264" s="17"/>
      <c r="CA264" s="18"/>
      <c r="CB264" s="18"/>
      <c r="CC264" s="18"/>
      <c r="CD264" s="18"/>
      <c r="CE264" s="18"/>
      <c r="CF264" s="18"/>
      <c r="CG264" s="19"/>
      <c r="CH264" s="15"/>
      <c r="CI264" s="17"/>
      <c r="CJ264" s="10"/>
      <c r="CK264" s="10"/>
      <c r="CL264" s="10"/>
      <c r="CM264" s="17"/>
      <c r="CN264" s="17"/>
      <c r="CO264" s="10"/>
      <c r="CP264" s="10"/>
      <c r="CQ264" s="10"/>
      <c r="CR264" s="10"/>
      <c r="CS264" s="10"/>
      <c r="CT264" s="10"/>
      <c r="CU264" s="10"/>
      <c r="CV264" s="10"/>
      <c r="CW264" s="10"/>
      <c r="CX264" s="10"/>
      <c r="CY264" s="10"/>
      <c r="CZ264" s="10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34"/>
      <c r="DV264" s="34"/>
      <c r="DW264" s="34"/>
      <c r="DX264" s="34"/>
      <c r="DY264" s="34"/>
      <c r="DZ264" s="34"/>
      <c r="EA264" s="34"/>
      <c r="EB264" s="34"/>
      <c r="EC264" s="34"/>
      <c r="ED264" s="34"/>
      <c r="EE264" s="34"/>
    </row>
    <row r="265" spans="1:135" customFormat="1">
      <c r="A265" s="71">
        <f>'Old Data'!$I261-'Old Data'!$S261</f>
        <v>254</v>
      </c>
      <c r="B265" s="72">
        <f>VLOOKUP('Old Data'!$F261,$R$6:$T$135,2,FALSE)+VLOOKUP('Old Data'!$P261,$R$6:$T$135,3,FALSE)+$B$2</f>
        <v>243.79403579283081</v>
      </c>
      <c r="C265" s="72">
        <f>VLOOKUP('Old Data'!$P261,$R$6:$T$135,2,FALSE)+VLOOKUP('Old Data'!$F261,$R$6:$T$135,3,FALSE)+$B$2</f>
        <v>64.294097616837703</v>
      </c>
      <c r="D265" s="74">
        <f>('Old Data'!$I261-$B265)^2+('Old Data'!$S261-$C265)^2</f>
        <v>6295.7302832272189</v>
      </c>
      <c r="E265" s="75">
        <f>'Old Data'!$K261-'Old Data'!$U261</f>
        <v>-12</v>
      </c>
      <c r="F265" s="72">
        <f>VLOOKUP('Old Data'!$F261,$V$6:$X$135,2,FALSE)+VLOOKUP('Old Data'!$P261,$V$6:$X$135,3,FALSE)+$C$2</f>
        <v>259.02168921641032</v>
      </c>
      <c r="G265" s="72">
        <f>VLOOKUP('Old Data'!$P261,$V$6:$X$135,2,FALSE)+VLOOKUP('Old Data'!$F261,$V$6:$X$135,3,FALSE)+$C$2</f>
        <v>198.021670957461</v>
      </c>
      <c r="H265" s="74">
        <f>('Old Data'!$K261-$F265)^2+('Old Data'!$U261-$G265)^2</f>
        <v>3210.4331586935605</v>
      </c>
      <c r="I265" s="75">
        <f>('Old Data'!$L261+'Old Data'!$M261)-('Old Data'!$V261+'Old Data'!$W261)</f>
        <v>0</v>
      </c>
      <c r="J265" s="72">
        <f>VLOOKUP('Old Data'!$F261,$Z$6:$AB$135,2,FALSE)+VLOOKUP('Old Data'!$P261,$Z$6:$AB$135,3,FALSE)+$D$2</f>
        <v>63.691575843063795</v>
      </c>
      <c r="K265" s="72">
        <f>VLOOKUP('Old Data'!$P261,$Z$6:$AB$135,2,FALSE)+VLOOKUP('Old Data'!$F261,$Z$6:$AB$135,3,FALSE)+$D$2</f>
        <v>41.614089328497215</v>
      </c>
      <c r="L265" s="74">
        <f>('Old Data'!$L261+'Old Data'!$M261-$J265)^2+('Old Data'!$V261+'Old Data'!$W261-$K265)^2</f>
        <v>5788.3492640128934</v>
      </c>
      <c r="M265" s="75">
        <f>'Old Data'!$N261-'Old Data'!$X261</f>
        <v>1</v>
      </c>
      <c r="N265" s="72">
        <f>VLOOKUP('Old Data'!$F261,$AD$6:$AF$135,2,FALSE)+VLOOKUP('Old Data'!$P261,$AD$6:$AF$135,3,FALSE)+$E$2</f>
        <v>2.039663681134404</v>
      </c>
      <c r="O265" s="72">
        <f>VLOOKUP('Old Data'!$P261,$AD$6:$AF$135,2,FALSE)+VLOOKUP('Old Data'!$F261,$AD$6:$AF$135,3,FALSE)+$E$2</f>
        <v>1.131380512649051</v>
      </c>
      <c r="P265" s="73">
        <f>('Old Data'!$N261-$N265)^2+('Old Data'!$X261-$O265)^2</f>
        <v>1.6767456591381491</v>
      </c>
      <c r="Q265" s="62"/>
      <c r="R265" s="3"/>
      <c r="S265" s="3"/>
      <c r="T265" s="3"/>
      <c r="V265" s="3"/>
      <c r="W265" s="3"/>
      <c r="X265" s="3"/>
      <c r="Z265" s="3"/>
      <c r="AA265" s="3"/>
      <c r="AB265" s="3"/>
      <c r="AC265" s="3"/>
      <c r="AD265" s="3"/>
      <c r="AE265" s="3"/>
      <c r="AF265" s="3"/>
      <c r="AG265" s="3"/>
      <c r="AH265" s="37"/>
      <c r="AI265" s="1"/>
      <c r="AK265" s="10"/>
      <c r="AL265" s="10"/>
      <c r="AM265" s="10"/>
      <c r="AN265" s="11"/>
      <c r="AO265" s="11"/>
      <c r="AP265" s="11"/>
      <c r="AQ265" s="36"/>
      <c r="AR265" s="11"/>
      <c r="AS265" s="11"/>
      <c r="AT265" s="11"/>
      <c r="AU265" s="12"/>
      <c r="AV265" s="11"/>
      <c r="AW265" s="11"/>
      <c r="AX265" s="15"/>
      <c r="AY265" s="15"/>
      <c r="AZ265" s="15"/>
      <c r="BA265" s="15"/>
      <c r="BB265" s="15"/>
      <c r="BC265" s="15"/>
      <c r="BD265" s="15"/>
      <c r="BE265" s="12"/>
      <c r="BF265" s="11"/>
      <c r="BG265" s="11"/>
      <c r="BH265" s="10"/>
      <c r="BI265" s="10"/>
      <c r="BJ265" s="10"/>
      <c r="BK265" s="23"/>
      <c r="BL265" s="23"/>
      <c r="BM265" s="23"/>
      <c r="BN265" s="23"/>
      <c r="BO265" s="23"/>
      <c r="BP265" s="23"/>
      <c r="BQ265" s="23"/>
      <c r="BR265" s="10"/>
      <c r="BS265" s="16"/>
      <c r="BT265" s="16"/>
      <c r="BU265" s="16"/>
      <c r="BV265" s="16"/>
      <c r="BW265" s="11"/>
      <c r="BX265" s="16"/>
      <c r="BY265" s="16"/>
      <c r="BZ265" s="17"/>
      <c r="CA265" s="18"/>
      <c r="CB265" s="18"/>
      <c r="CC265" s="18"/>
      <c r="CD265" s="18"/>
      <c r="CE265" s="18"/>
      <c r="CF265" s="18"/>
      <c r="CG265" s="19"/>
      <c r="CH265" s="15"/>
      <c r="CI265" s="17"/>
      <c r="CJ265" s="10"/>
      <c r="CK265" s="10"/>
      <c r="CL265" s="10"/>
      <c r="CM265" s="17"/>
      <c r="CN265" s="17"/>
      <c r="CO265" s="10"/>
      <c r="CP265" s="10"/>
      <c r="CQ265" s="10"/>
      <c r="CR265" s="10"/>
      <c r="CS265" s="10"/>
      <c r="CT265" s="10"/>
      <c r="CU265" s="10"/>
      <c r="CV265" s="10"/>
      <c r="CW265" s="10"/>
      <c r="CX265" s="10"/>
      <c r="CY265" s="10"/>
      <c r="CZ265" s="10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34"/>
      <c r="DV265" s="34"/>
      <c r="DW265" s="34"/>
      <c r="DX265" s="34"/>
      <c r="DY265" s="34"/>
      <c r="DZ265" s="34"/>
      <c r="EA265" s="34"/>
      <c r="EB265" s="34"/>
      <c r="EC265" s="34"/>
      <c r="ED265" s="34"/>
      <c r="EE265" s="34"/>
    </row>
    <row r="266" spans="1:135" customFormat="1">
      <c r="A266" s="71">
        <f>'Old Data'!$I262-'Old Data'!$S262</f>
        <v>-72</v>
      </c>
      <c r="B266" s="72">
        <f>VLOOKUP('Old Data'!$F262,$R$6:$T$135,2,FALSE)+VLOOKUP('Old Data'!$P262,$R$6:$T$135,3,FALSE)+$B$2</f>
        <v>48.683168343632104</v>
      </c>
      <c r="C266" s="72">
        <f>VLOOKUP('Old Data'!$P262,$R$6:$T$135,2,FALSE)+VLOOKUP('Old Data'!$F262,$R$6:$T$135,3,FALSE)+$B$2</f>
        <v>107.30681582212117</v>
      </c>
      <c r="D266" s="74">
        <f>('Old Data'!$I262-$B266)^2+('Old Data'!$S262-$C266)^2</f>
        <v>427.72386523874877</v>
      </c>
      <c r="E266" s="75">
        <f>'Old Data'!$K262-'Old Data'!$U262</f>
        <v>-88</v>
      </c>
      <c r="F266" s="72">
        <f>VLOOKUP('Old Data'!$F262,$V$6:$X$135,2,FALSE)+VLOOKUP('Old Data'!$P262,$V$6:$X$135,3,FALSE)+$C$2</f>
        <v>152.66966381877211</v>
      </c>
      <c r="G266" s="72">
        <f>VLOOKUP('Old Data'!$P262,$V$6:$X$135,2,FALSE)+VLOOKUP('Old Data'!$F262,$V$6:$X$135,3,FALSE)+$C$2</f>
        <v>217.59793737423504</v>
      </c>
      <c r="H266" s="74">
        <f>('Old Data'!$K262-$F266)^2+('Old Data'!$U262-$G266)^2</f>
        <v>2877.4553716615401</v>
      </c>
      <c r="I266" s="75">
        <f>('Old Data'!$L262+'Old Data'!$M262)-('Old Data'!$V262+'Old Data'!$W262)</f>
        <v>-27</v>
      </c>
      <c r="J266" s="72">
        <f>VLOOKUP('Old Data'!$F262,$Z$6:$AB$135,2,FALSE)+VLOOKUP('Old Data'!$P262,$Z$6:$AB$135,3,FALSE)+$D$2</f>
        <v>76.503658841211063</v>
      </c>
      <c r="K266" s="72">
        <f>VLOOKUP('Old Data'!$P262,$Z$6:$AB$135,2,FALSE)+VLOOKUP('Old Data'!$F262,$Z$6:$AB$135,3,FALSE)+$D$2</f>
        <v>55.046046922259237</v>
      </c>
      <c r="L266" s="74">
        <f>('Old Data'!$L262+'Old Data'!$M262-$J266)^2+('Old Data'!$V262+'Old Data'!$W262-$K266)^2</f>
        <v>3257.4023335191669</v>
      </c>
      <c r="M266" s="75">
        <f>'Old Data'!$N262-'Old Data'!$X262</f>
        <v>1</v>
      </c>
      <c r="N266" s="72">
        <f>VLOOKUP('Old Data'!$F262,$AD$6:$AF$135,2,FALSE)+VLOOKUP('Old Data'!$P262,$AD$6:$AF$135,3,FALSE)+$E$2</f>
        <v>1.2461853659949214</v>
      </c>
      <c r="O266" s="72">
        <f>VLOOKUP('Old Data'!$P262,$AD$6:$AF$135,2,FALSE)+VLOOKUP('Old Data'!$F262,$AD$6:$AF$135,3,FALSE)+$E$2</f>
        <v>1.3249006884578387</v>
      </c>
      <c r="P266" s="73">
        <f>('Old Data'!$N262-$N266)^2+('Old Data'!$X262-$O266)^2</f>
        <v>0.67379695980058818</v>
      </c>
      <c r="Q266" s="62"/>
      <c r="R266" s="3"/>
      <c r="S266" s="3"/>
      <c r="T266" s="3"/>
      <c r="V266" s="3"/>
      <c r="W266" s="3"/>
      <c r="X266" s="3"/>
      <c r="Z266" s="3"/>
      <c r="AA266" s="3"/>
      <c r="AB266" s="3"/>
      <c r="AC266" s="3"/>
      <c r="AD266" s="3"/>
      <c r="AE266" s="3"/>
      <c r="AF266" s="3"/>
      <c r="AG266" s="3"/>
      <c r="AH266" s="37"/>
      <c r="AI266" s="1"/>
      <c r="AK266" s="10"/>
      <c r="AL266" s="10"/>
      <c r="AM266" s="10"/>
      <c r="AN266" s="11"/>
      <c r="AO266" s="11"/>
      <c r="AP266" s="11"/>
      <c r="AQ266" s="36"/>
      <c r="AR266" s="11"/>
      <c r="AS266" s="11"/>
      <c r="AT266" s="11"/>
      <c r="AU266" s="12"/>
      <c r="AV266" s="11"/>
      <c r="AW266" s="11"/>
      <c r="AX266" s="15"/>
      <c r="AY266" s="15"/>
      <c r="AZ266" s="15"/>
      <c r="BA266" s="15"/>
      <c r="BB266" s="15"/>
      <c r="BC266" s="15"/>
      <c r="BD266" s="15"/>
      <c r="BE266" s="12"/>
      <c r="BF266" s="11"/>
      <c r="BG266" s="11"/>
      <c r="BH266" s="10"/>
      <c r="BI266" s="10"/>
      <c r="BJ266" s="10"/>
      <c r="BK266" s="23"/>
      <c r="BL266" s="23"/>
      <c r="BM266" s="23"/>
      <c r="BN266" s="23"/>
      <c r="BO266" s="23"/>
      <c r="BP266" s="23"/>
      <c r="BQ266" s="23"/>
      <c r="BR266" s="10"/>
      <c r="BS266" s="16"/>
      <c r="BT266" s="16"/>
      <c r="BU266" s="16"/>
      <c r="BV266" s="16"/>
      <c r="BW266" s="11"/>
      <c r="BX266" s="16"/>
      <c r="BY266" s="16"/>
      <c r="BZ266" s="17"/>
      <c r="CA266" s="18"/>
      <c r="CB266" s="18"/>
      <c r="CC266" s="18"/>
      <c r="CD266" s="18"/>
      <c r="CE266" s="18"/>
      <c r="CF266" s="18"/>
      <c r="CG266" s="19"/>
      <c r="CH266" s="15"/>
      <c r="CI266" s="17"/>
      <c r="CJ266" s="10"/>
      <c r="CK266" s="10"/>
      <c r="CL266" s="10"/>
      <c r="CM266" s="17"/>
      <c r="CN266" s="17"/>
      <c r="CO266" s="10"/>
      <c r="CP266" s="10"/>
      <c r="CQ266" s="10"/>
      <c r="CR266" s="10"/>
      <c r="CS266" s="10"/>
      <c r="CT266" s="10"/>
      <c r="CU266" s="10"/>
      <c r="CV266" s="10"/>
      <c r="CW266" s="10"/>
      <c r="CX266" s="10"/>
      <c r="CY266" s="10"/>
      <c r="CZ266" s="10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34"/>
      <c r="DV266" s="34"/>
      <c r="DW266" s="34"/>
      <c r="DX266" s="34"/>
      <c r="DY266" s="34"/>
      <c r="DZ266" s="34"/>
      <c r="EA266" s="34"/>
      <c r="EB266" s="34"/>
      <c r="EC266" s="34"/>
      <c r="ED266" s="34"/>
      <c r="EE266" s="34"/>
    </row>
    <row r="267" spans="1:135" customFormat="1">
      <c r="A267" s="71">
        <f>'Old Data'!$I263-'Old Data'!$S263</f>
        <v>124</v>
      </c>
      <c r="B267" s="72">
        <f>VLOOKUP('Old Data'!$F263,$R$6:$T$135,2,FALSE)+VLOOKUP('Old Data'!$P263,$R$6:$T$135,3,FALSE)+$B$2</f>
        <v>157.74554799712482</v>
      </c>
      <c r="C267" s="72">
        <f>VLOOKUP('Old Data'!$P263,$R$6:$T$135,2,FALSE)+VLOOKUP('Old Data'!$F263,$R$6:$T$135,3,FALSE)+$B$2</f>
        <v>100.09682195190861</v>
      </c>
      <c r="D267" s="74">
        <f>('Old Data'!$I263-$B267)^2+('Old Data'!$S263-$C267)^2</f>
        <v>2202.942941225936</v>
      </c>
      <c r="E267" s="75">
        <f>'Old Data'!$K263-'Old Data'!$U263</f>
        <v>24</v>
      </c>
      <c r="F267" s="72">
        <f>VLOOKUP('Old Data'!$F263,$V$6:$X$135,2,FALSE)+VLOOKUP('Old Data'!$P263,$V$6:$X$135,3,FALSE)+$C$2</f>
        <v>260.14596593418349</v>
      </c>
      <c r="G267" s="72">
        <f>VLOOKUP('Old Data'!$P263,$V$6:$X$135,2,FALSE)+VLOOKUP('Old Data'!$F263,$V$6:$X$135,3,FALSE)+$C$2</f>
        <v>159.05952519581501</v>
      </c>
      <c r="H267" s="74">
        <f>('Old Data'!$K263-$F267)^2+('Old Data'!$U263-$G267)^2</f>
        <v>3086.7631531072293</v>
      </c>
      <c r="I267" s="75">
        <f>('Old Data'!$L263+'Old Data'!$M263)-('Old Data'!$V263+'Old Data'!$W263)</f>
        <v>35</v>
      </c>
      <c r="J267" s="72">
        <f>VLOOKUP('Old Data'!$F263,$Z$6:$AB$135,2,FALSE)+VLOOKUP('Old Data'!$P263,$Z$6:$AB$135,3,FALSE)+$D$2</f>
        <v>70.386412204900282</v>
      </c>
      <c r="K267" s="72">
        <f>VLOOKUP('Old Data'!$P263,$Z$6:$AB$135,2,FALSE)+VLOOKUP('Old Data'!$F263,$Z$6:$AB$135,3,FALSE)+$D$2</f>
        <v>66.7927028477487</v>
      </c>
      <c r="L267" s="74">
        <f>('Old Data'!$L263+'Old Data'!$M263-$J267)^2+('Old Data'!$V263+'Old Data'!$W263-$K267)^2</f>
        <v>696.77588812555632</v>
      </c>
      <c r="M267" s="75">
        <f>'Old Data'!$N263-'Old Data'!$X263</f>
        <v>-1</v>
      </c>
      <c r="N267" s="72">
        <f>VLOOKUP('Old Data'!$F263,$AD$6:$AF$135,2,FALSE)+VLOOKUP('Old Data'!$P263,$AD$6:$AF$135,3,FALSE)+$E$2</f>
        <v>1.20944084079429</v>
      </c>
      <c r="O267" s="72">
        <f>VLOOKUP('Old Data'!$P263,$AD$6:$AF$135,2,FALSE)+VLOOKUP('Old Data'!$F263,$AD$6:$AF$135,3,FALSE)+$E$2</f>
        <v>0.86133029035671416</v>
      </c>
      <c r="P267" s="73">
        <f>('Old Data'!$N263-$N267)^2+('Old Data'!$X263-$O267)^2</f>
        <v>5.1988919111497349</v>
      </c>
      <c r="Q267" s="62"/>
      <c r="R267" s="3"/>
      <c r="S267" s="3"/>
      <c r="T267" s="3"/>
      <c r="V267" s="3"/>
      <c r="W267" s="3"/>
      <c r="X267" s="3"/>
      <c r="Z267" s="3"/>
      <c r="AA267" s="3"/>
      <c r="AB267" s="3"/>
      <c r="AC267" s="3"/>
      <c r="AD267" s="3"/>
      <c r="AE267" s="3"/>
      <c r="AF267" s="3"/>
      <c r="AG267" s="3"/>
      <c r="AH267" s="37"/>
      <c r="AI267" s="1"/>
      <c r="AK267" s="10"/>
      <c r="AL267" s="10"/>
      <c r="AM267" s="10"/>
      <c r="AN267" s="11"/>
      <c r="AO267" s="11"/>
      <c r="AP267" s="11"/>
      <c r="AQ267" s="36"/>
      <c r="AR267" s="11"/>
      <c r="AS267" s="11"/>
      <c r="AT267" s="11"/>
      <c r="AU267" s="12"/>
      <c r="AV267" s="11"/>
      <c r="AW267" s="11"/>
      <c r="AX267" s="15"/>
      <c r="AY267" s="15"/>
      <c r="AZ267" s="15"/>
      <c r="BA267" s="15"/>
      <c r="BB267" s="15"/>
      <c r="BC267" s="15"/>
      <c r="BD267" s="15"/>
      <c r="BE267" s="12"/>
      <c r="BF267" s="11"/>
      <c r="BG267" s="11"/>
      <c r="BH267" s="10"/>
      <c r="BI267" s="10"/>
      <c r="BJ267" s="10"/>
      <c r="BK267" s="23"/>
      <c r="BL267" s="23"/>
      <c r="BM267" s="23"/>
      <c r="BN267" s="23"/>
      <c r="BO267" s="23"/>
      <c r="BP267" s="23"/>
      <c r="BQ267" s="23"/>
      <c r="BR267" s="10"/>
      <c r="BS267" s="16"/>
      <c r="BT267" s="16"/>
      <c r="BU267" s="16"/>
      <c r="BV267" s="16"/>
      <c r="BW267" s="11"/>
      <c r="BX267" s="16"/>
      <c r="BY267" s="16"/>
      <c r="BZ267" s="17"/>
      <c r="CA267" s="18"/>
      <c r="CB267" s="18"/>
      <c r="CC267" s="18"/>
      <c r="CD267" s="18"/>
      <c r="CE267" s="18"/>
      <c r="CF267" s="18"/>
      <c r="CG267" s="19"/>
      <c r="CH267" s="15"/>
      <c r="CI267" s="17"/>
      <c r="CJ267" s="10"/>
      <c r="CK267" s="10"/>
      <c r="CL267" s="10"/>
      <c r="CM267" s="17"/>
      <c r="CN267" s="17"/>
      <c r="CO267" s="10"/>
      <c r="CP267" s="10"/>
      <c r="CQ267" s="10"/>
      <c r="CR267" s="10"/>
      <c r="CS267" s="10"/>
      <c r="CT267" s="10"/>
      <c r="CU267" s="10"/>
      <c r="CV267" s="10"/>
      <c r="CW267" s="10"/>
      <c r="CX267" s="10"/>
      <c r="CY267" s="10"/>
      <c r="CZ267" s="10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34"/>
      <c r="DV267" s="34"/>
      <c r="DW267" s="34"/>
      <c r="DX267" s="34"/>
      <c r="DY267" s="34"/>
      <c r="DZ267" s="34"/>
      <c r="EA267" s="34"/>
      <c r="EB267" s="34"/>
      <c r="EC267" s="34"/>
      <c r="ED267" s="34"/>
      <c r="EE267" s="34"/>
    </row>
    <row r="268" spans="1:135" customFormat="1">
      <c r="A268" s="71">
        <f>'Old Data'!$I264-'Old Data'!$S264</f>
        <v>177</v>
      </c>
      <c r="B268" s="72">
        <f>VLOOKUP('Old Data'!$F264,$R$6:$T$135,2,FALSE)+VLOOKUP('Old Data'!$P264,$R$6:$T$135,3,FALSE)+$B$2</f>
        <v>228.80217751317201</v>
      </c>
      <c r="C268" s="72">
        <f>VLOOKUP('Old Data'!$P264,$R$6:$T$135,2,FALSE)+VLOOKUP('Old Data'!$F264,$R$6:$T$135,3,FALSE)+$B$2</f>
        <v>39.376784720180609</v>
      </c>
      <c r="D268" s="74">
        <f>('Old Data'!$I264-$B268)^2+('Old Data'!$S264-$C268)^2</f>
        <v>1491.1962051382334</v>
      </c>
      <c r="E268" s="75">
        <f>'Old Data'!$K264-'Old Data'!$U264</f>
        <v>141</v>
      </c>
      <c r="F268" s="72">
        <f>VLOOKUP('Old Data'!$F264,$V$6:$X$135,2,FALSE)+VLOOKUP('Old Data'!$P264,$V$6:$X$135,3,FALSE)+$C$2</f>
        <v>253.1356746058492</v>
      </c>
      <c r="G268" s="72">
        <f>VLOOKUP('Old Data'!$P264,$V$6:$X$135,2,FALSE)+VLOOKUP('Old Data'!$F264,$V$6:$X$135,3,FALSE)+$C$2</f>
        <v>342.83320272640231</v>
      </c>
      <c r="H268" s="74">
        <f>('Old Data'!$K264-$F268)^2+('Old Data'!$U264-$G268)^2</f>
        <v>48444.670587217479</v>
      </c>
      <c r="I268" s="75">
        <f>('Old Data'!$L264+'Old Data'!$M264)-('Old Data'!$V264+'Old Data'!$W264)</f>
        <v>5</v>
      </c>
      <c r="J268" s="72">
        <f>VLOOKUP('Old Data'!$F264,$Z$6:$AB$135,2,FALSE)+VLOOKUP('Old Data'!$P264,$Z$6:$AB$135,3,FALSE)+$D$2</f>
        <v>40.37283809179592</v>
      </c>
      <c r="K268" s="72">
        <f>VLOOKUP('Old Data'!$P264,$Z$6:$AB$135,2,FALSE)+VLOOKUP('Old Data'!$F264,$Z$6:$AB$135,3,FALSE)+$D$2</f>
        <v>20.39817067309658</v>
      </c>
      <c r="L268" s="74">
        <f>('Old Data'!$L264+'Old Data'!$M264-$J268)^2+('Old Data'!$V264+'Old Data'!$W264-$K268)^2</f>
        <v>145.97848052406582</v>
      </c>
      <c r="M268" s="75">
        <f>'Old Data'!$N264-'Old Data'!$X264</f>
        <v>-2</v>
      </c>
      <c r="N268" s="72">
        <f>VLOOKUP('Old Data'!$F264,$AD$6:$AF$135,2,FALSE)+VLOOKUP('Old Data'!$P264,$AD$6:$AF$135,3,FALSE)+$E$2</f>
        <v>2.01685766724778</v>
      </c>
      <c r="O268" s="72">
        <f>VLOOKUP('Old Data'!$P264,$AD$6:$AF$135,2,FALSE)+VLOOKUP('Old Data'!$F264,$AD$6:$AF$135,3,FALSE)+$E$2</f>
        <v>0.88657777304563512</v>
      </c>
      <c r="P268" s="73">
        <f>('Old Data'!$N264-$N268)^2+('Old Data'!$X264-$O268)^2</f>
        <v>5.5005530248253436</v>
      </c>
      <c r="Q268" s="62"/>
      <c r="R268" s="3"/>
      <c r="S268" s="3"/>
      <c r="T268" s="3"/>
      <c r="V268" s="3"/>
      <c r="W268" s="3"/>
      <c r="X268" s="3"/>
      <c r="Z268" s="3"/>
      <c r="AA268" s="3"/>
      <c r="AB268" s="3"/>
      <c r="AC268" s="3"/>
      <c r="AD268" s="3"/>
      <c r="AE268" s="3"/>
      <c r="AF268" s="3"/>
      <c r="AG268" s="3"/>
      <c r="AH268" s="37"/>
      <c r="AI268" s="1"/>
      <c r="AK268" s="10"/>
      <c r="AL268" s="10"/>
      <c r="AM268" s="10"/>
      <c r="AN268" s="11"/>
      <c r="AO268" s="11"/>
      <c r="AP268" s="11"/>
      <c r="AQ268" s="36"/>
      <c r="AR268" s="11"/>
      <c r="AS268" s="11"/>
      <c r="AT268" s="11"/>
      <c r="AU268" s="12"/>
      <c r="AV268" s="11"/>
      <c r="AW268" s="11"/>
      <c r="AX268" s="15"/>
      <c r="AY268" s="15"/>
      <c r="AZ268" s="15"/>
      <c r="BA268" s="15"/>
      <c r="BB268" s="15"/>
      <c r="BC268" s="15"/>
      <c r="BD268" s="15"/>
      <c r="BE268" s="12"/>
      <c r="BF268" s="11"/>
      <c r="BG268" s="11"/>
      <c r="BH268" s="10"/>
      <c r="BI268" s="10"/>
      <c r="BJ268" s="10"/>
      <c r="BK268" s="23"/>
      <c r="BL268" s="23"/>
      <c r="BM268" s="23"/>
      <c r="BN268" s="23"/>
      <c r="BO268" s="23"/>
      <c r="BP268" s="23"/>
      <c r="BQ268" s="23"/>
      <c r="BR268" s="10"/>
      <c r="BS268" s="16"/>
      <c r="BT268" s="16"/>
      <c r="BU268" s="16"/>
      <c r="BV268" s="16"/>
      <c r="BW268" s="11"/>
      <c r="BX268" s="16"/>
      <c r="BY268" s="16"/>
      <c r="BZ268" s="17"/>
      <c r="CA268" s="18"/>
      <c r="CB268" s="18"/>
      <c r="CC268" s="18"/>
      <c r="CD268" s="18"/>
      <c r="CE268" s="18"/>
      <c r="CF268" s="18"/>
      <c r="CG268" s="19"/>
      <c r="CH268" s="15"/>
      <c r="CI268" s="17"/>
      <c r="CJ268" s="10"/>
      <c r="CK268" s="10"/>
      <c r="CL268" s="10"/>
      <c r="CM268" s="17"/>
      <c r="CN268" s="17"/>
      <c r="CO268" s="10"/>
      <c r="CP268" s="10"/>
      <c r="CQ268" s="10"/>
      <c r="CR268" s="10"/>
      <c r="CS268" s="10"/>
      <c r="CT268" s="10"/>
      <c r="CU268" s="10"/>
      <c r="CV268" s="10"/>
      <c r="CW268" s="10"/>
      <c r="CX268" s="10"/>
      <c r="CY268" s="10"/>
      <c r="CZ268" s="10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34"/>
      <c r="DV268" s="34"/>
      <c r="DW268" s="34"/>
      <c r="DX268" s="34"/>
      <c r="DY268" s="34"/>
      <c r="DZ268" s="34"/>
      <c r="EA268" s="34"/>
      <c r="EB268" s="34"/>
      <c r="EC268" s="34"/>
      <c r="ED268" s="34"/>
      <c r="EE268" s="34"/>
    </row>
    <row r="269" spans="1:135" customFormat="1">
      <c r="A269" s="71">
        <f>'Old Data'!$I265-'Old Data'!$S265</f>
        <v>-49</v>
      </c>
      <c r="B269" s="72">
        <f>VLOOKUP('Old Data'!$F265,$R$6:$T$135,2,FALSE)+VLOOKUP('Old Data'!$P265,$R$6:$T$135,3,FALSE)+$B$2</f>
        <v>163.18767714825572</v>
      </c>
      <c r="C269" s="72">
        <f>VLOOKUP('Old Data'!$P265,$R$6:$T$135,2,FALSE)+VLOOKUP('Old Data'!$F265,$R$6:$T$135,3,FALSE)+$B$2</f>
        <v>204.40132610548812</v>
      </c>
      <c r="D269" s="74">
        <f>('Old Data'!$I265-$B269)^2+('Old Data'!$S265-$C269)^2</f>
        <v>167.91114575696585</v>
      </c>
      <c r="E269" s="75">
        <f>'Old Data'!$K265-'Old Data'!$U265</f>
        <v>-127</v>
      </c>
      <c r="F269" s="72">
        <f>VLOOKUP('Old Data'!$F265,$V$6:$X$135,2,FALSE)+VLOOKUP('Old Data'!$P265,$V$6:$X$135,3,FALSE)+$C$2</f>
        <v>178.23354875940439</v>
      </c>
      <c r="G269" s="72">
        <f>VLOOKUP('Old Data'!$P265,$V$6:$X$135,2,FALSE)+VLOOKUP('Old Data'!$F265,$V$6:$X$135,3,FALSE)+$C$2</f>
        <v>164.72232953637905</v>
      </c>
      <c r="H269" s="74">
        <f>('Old Data'!$K265-$F269)^2+('Old Data'!$U265-$G269)^2</f>
        <v>15926.555724596756</v>
      </c>
      <c r="I269" s="75">
        <f>('Old Data'!$L265+'Old Data'!$M265)-('Old Data'!$V265+'Old Data'!$W265)</f>
        <v>53</v>
      </c>
      <c r="J269" s="72">
        <f>VLOOKUP('Old Data'!$F265,$Z$6:$AB$135,2,FALSE)+VLOOKUP('Old Data'!$P265,$Z$6:$AB$135,3,FALSE)+$D$2</f>
        <v>90.537688028139513</v>
      </c>
      <c r="K269" s="72">
        <f>VLOOKUP('Old Data'!$P265,$Z$6:$AB$135,2,FALSE)+VLOOKUP('Old Data'!$F265,$Z$6:$AB$135,3,FALSE)+$D$2</f>
        <v>94.268910516284294</v>
      </c>
      <c r="L269" s="74">
        <f>('Old Data'!$L265+'Old Data'!$M265-$J269)^2+('Old Data'!$V265+'Old Data'!$W265-$K269)^2</f>
        <v>7902.8954675857358</v>
      </c>
      <c r="M269" s="75">
        <f>'Old Data'!$N265-'Old Data'!$X265</f>
        <v>-2</v>
      </c>
      <c r="N269" s="72">
        <f>VLOOKUP('Old Data'!$F265,$AD$6:$AF$135,2,FALSE)+VLOOKUP('Old Data'!$P265,$AD$6:$AF$135,3,FALSE)+$E$2</f>
        <v>1.3604625654033271</v>
      </c>
      <c r="O269" s="72">
        <f>VLOOKUP('Old Data'!$P265,$AD$6:$AF$135,2,FALSE)+VLOOKUP('Old Data'!$F265,$AD$6:$AF$135,3,FALSE)+$E$2</f>
        <v>1.7924302247270054</v>
      </c>
      <c r="P269" s="73">
        <f>('Old Data'!$N265-$N269)^2+('Old Data'!$X265-$O269)^2</f>
        <v>1.8939436034706836</v>
      </c>
      <c r="Q269" s="62"/>
      <c r="R269" s="3"/>
      <c r="S269" s="3"/>
      <c r="T269" s="3"/>
      <c r="V269" s="3"/>
      <c r="W269" s="3"/>
      <c r="X269" s="3"/>
      <c r="Z269" s="3"/>
      <c r="AA269" s="3"/>
      <c r="AB269" s="3"/>
      <c r="AC269" s="3"/>
      <c r="AD269" s="3"/>
      <c r="AE269" s="3"/>
      <c r="AF269" s="3"/>
      <c r="AG269" s="3"/>
      <c r="AH269" s="37"/>
      <c r="AI269" s="1"/>
      <c r="AK269" s="10"/>
      <c r="AL269" s="10"/>
      <c r="AM269" s="10"/>
      <c r="AN269" s="11"/>
      <c r="AO269" s="11"/>
      <c r="AP269" s="11"/>
      <c r="AQ269" s="36"/>
      <c r="AR269" s="11"/>
      <c r="AS269" s="11"/>
      <c r="AT269" s="11"/>
      <c r="AU269" s="12"/>
      <c r="AV269" s="11"/>
      <c r="AW269" s="11"/>
      <c r="AX269" s="15"/>
      <c r="AY269" s="15"/>
      <c r="AZ269" s="15"/>
      <c r="BA269" s="15"/>
      <c r="BB269" s="15"/>
      <c r="BC269" s="15"/>
      <c r="BD269" s="15"/>
      <c r="BE269" s="12"/>
      <c r="BF269" s="11"/>
      <c r="BG269" s="11"/>
      <c r="BH269" s="10"/>
      <c r="BI269" s="10"/>
      <c r="BJ269" s="10"/>
      <c r="BK269" s="23"/>
      <c r="BL269" s="23"/>
      <c r="BM269" s="23"/>
      <c r="BN269" s="23"/>
      <c r="BO269" s="23"/>
      <c r="BP269" s="23"/>
      <c r="BQ269" s="23"/>
      <c r="BR269" s="10"/>
      <c r="BS269" s="16"/>
      <c r="BT269" s="16"/>
      <c r="BU269" s="16"/>
      <c r="BV269" s="16"/>
      <c r="BW269" s="11"/>
      <c r="BX269" s="16"/>
      <c r="BY269" s="16"/>
      <c r="BZ269" s="17"/>
      <c r="CA269" s="18"/>
      <c r="CB269" s="18"/>
      <c r="CC269" s="18"/>
      <c r="CD269" s="18"/>
      <c r="CE269" s="18"/>
      <c r="CF269" s="18"/>
      <c r="CG269" s="19"/>
      <c r="CH269" s="15"/>
      <c r="CI269" s="17"/>
      <c r="CJ269" s="10"/>
      <c r="CK269" s="10"/>
      <c r="CL269" s="10"/>
      <c r="CM269" s="17"/>
      <c r="CN269" s="17"/>
      <c r="CO269" s="10"/>
      <c r="CP269" s="10"/>
      <c r="CQ269" s="10"/>
      <c r="CR269" s="10"/>
      <c r="CS269" s="10"/>
      <c r="CT269" s="10"/>
      <c r="CU269" s="10"/>
      <c r="CV269" s="10"/>
      <c r="CW269" s="10"/>
      <c r="CX269" s="10"/>
      <c r="CY269" s="10"/>
      <c r="CZ269" s="10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34"/>
      <c r="DV269" s="34"/>
      <c r="DW269" s="34"/>
      <c r="DX269" s="34"/>
      <c r="DY269" s="34"/>
      <c r="DZ269" s="34"/>
      <c r="EA269" s="34"/>
      <c r="EB269" s="34"/>
      <c r="EC269" s="34"/>
      <c r="ED269" s="34"/>
      <c r="EE269" s="34"/>
    </row>
    <row r="270" spans="1:135" customFormat="1">
      <c r="A270" s="71">
        <f>'Old Data'!$I266-'Old Data'!$S266</f>
        <v>-24</v>
      </c>
      <c r="B270" s="72">
        <f>VLOOKUP('Old Data'!$F266,$R$6:$T$135,2,FALSE)+VLOOKUP('Old Data'!$P266,$R$6:$T$135,3,FALSE)+$B$2</f>
        <v>160.77034562771405</v>
      </c>
      <c r="C270" s="72">
        <f>VLOOKUP('Old Data'!$P266,$R$6:$T$135,2,FALSE)+VLOOKUP('Old Data'!$F266,$R$6:$T$135,3,FALSE)+$B$2</f>
        <v>148.67485944549759</v>
      </c>
      <c r="D270" s="74">
        <f>('Old Data'!$I266-$B270)^2+('Old Data'!$S266-$C270)^2</f>
        <v>975.1712919741874</v>
      </c>
      <c r="E270" s="75">
        <f>'Old Data'!$K266-'Old Data'!$U266</f>
        <v>-36</v>
      </c>
      <c r="F270" s="72">
        <f>VLOOKUP('Old Data'!$F266,$V$6:$X$135,2,FALSE)+VLOOKUP('Old Data'!$P266,$V$6:$X$135,3,FALSE)+$C$2</f>
        <v>282.27762715439002</v>
      </c>
      <c r="G270" s="72">
        <f>VLOOKUP('Old Data'!$P266,$V$6:$X$135,2,FALSE)+VLOOKUP('Old Data'!$F266,$V$6:$X$135,3,FALSE)+$C$2</f>
        <v>324.15931081095289</v>
      </c>
      <c r="H270" s="74">
        <f>('Old Data'!$K266-$F270)^2+('Old Data'!$U266-$G270)^2</f>
        <v>1245.5456604435731</v>
      </c>
      <c r="I270" s="75">
        <f>('Old Data'!$L266+'Old Data'!$M266)-('Old Data'!$V266+'Old Data'!$W266)</f>
        <v>19</v>
      </c>
      <c r="J270" s="72">
        <f>VLOOKUP('Old Data'!$F266,$Z$6:$AB$135,2,FALSE)+VLOOKUP('Old Data'!$P266,$Z$6:$AB$135,3,FALSE)+$D$2</f>
        <v>137.00894672217149</v>
      </c>
      <c r="K270" s="72">
        <f>VLOOKUP('Old Data'!$P266,$Z$6:$AB$135,2,FALSE)+VLOOKUP('Old Data'!$F266,$Z$6:$AB$135,3,FALSE)+$D$2</f>
        <v>70.262701200260096</v>
      </c>
      <c r="L270" s="74">
        <f>('Old Data'!$L266+'Old Data'!$M266-$J270)^2+('Old Data'!$V266+'Old Data'!$W266-$K270)^2</f>
        <v>1208.6291019470234</v>
      </c>
      <c r="M270" s="75">
        <f>'Old Data'!$N266-'Old Data'!$X266</f>
        <v>1</v>
      </c>
      <c r="N270" s="72">
        <f>VLOOKUP('Old Data'!$F266,$AD$6:$AF$135,2,FALSE)+VLOOKUP('Old Data'!$P266,$AD$6:$AF$135,3,FALSE)+$E$2</f>
        <v>1.5131546416982429</v>
      </c>
      <c r="O270" s="72">
        <f>VLOOKUP('Old Data'!$P266,$AD$6:$AF$135,2,FALSE)+VLOOKUP('Old Data'!$F266,$AD$6:$AF$135,3,FALSE)+$E$2</f>
        <v>1.3153501553115923</v>
      </c>
      <c r="P270" s="73">
        <f>('Old Data'!$N266-$N270)^2+('Old Data'!$X266-$O270)^2</f>
        <v>2.6794545293353411</v>
      </c>
      <c r="Q270" s="62"/>
      <c r="R270" s="3"/>
      <c r="S270" s="3"/>
      <c r="T270" s="3"/>
      <c r="V270" s="3"/>
      <c r="W270" s="3"/>
      <c r="X270" s="3"/>
      <c r="Z270" s="3"/>
      <c r="AA270" s="3"/>
      <c r="AB270" s="3"/>
      <c r="AC270" s="3"/>
      <c r="AD270" s="3"/>
      <c r="AE270" s="3"/>
      <c r="AF270" s="3"/>
      <c r="AG270" s="3"/>
      <c r="AH270" s="37"/>
      <c r="AI270" s="1"/>
      <c r="AK270" s="10"/>
      <c r="AL270" s="10"/>
      <c r="AM270" s="10"/>
      <c r="AN270" s="11"/>
      <c r="AO270" s="11"/>
      <c r="AP270" s="11"/>
      <c r="AQ270" s="36"/>
      <c r="AR270" s="11"/>
      <c r="AS270" s="11"/>
      <c r="AT270" s="11"/>
      <c r="AU270" s="12"/>
      <c r="AV270" s="11"/>
      <c r="AW270" s="11"/>
      <c r="AX270" s="15"/>
      <c r="AY270" s="15"/>
      <c r="AZ270" s="15"/>
      <c r="BA270" s="15"/>
      <c r="BB270" s="15"/>
      <c r="BC270" s="15"/>
      <c r="BD270" s="15"/>
      <c r="BE270" s="12"/>
      <c r="BF270" s="11"/>
      <c r="BG270" s="11"/>
      <c r="BH270" s="10"/>
      <c r="BI270" s="10"/>
      <c r="BJ270" s="10"/>
      <c r="BK270" s="23"/>
      <c r="BL270" s="23"/>
      <c r="BM270" s="23"/>
      <c r="BN270" s="23"/>
      <c r="BO270" s="23"/>
      <c r="BP270" s="23"/>
      <c r="BQ270" s="23"/>
      <c r="BR270" s="10"/>
      <c r="BS270" s="16"/>
      <c r="BT270" s="16"/>
      <c r="BU270" s="16"/>
      <c r="BV270" s="16"/>
      <c r="BW270" s="11"/>
      <c r="BX270" s="16"/>
      <c r="BY270" s="16"/>
      <c r="BZ270" s="17"/>
      <c r="CA270" s="18"/>
      <c r="CB270" s="18"/>
      <c r="CC270" s="18"/>
      <c r="CD270" s="18"/>
      <c r="CE270" s="18"/>
      <c r="CF270" s="18"/>
      <c r="CG270" s="19"/>
      <c r="CH270" s="15"/>
      <c r="CI270" s="17"/>
      <c r="CJ270" s="10"/>
      <c r="CK270" s="10"/>
      <c r="CL270" s="10"/>
      <c r="CM270" s="17"/>
      <c r="CN270" s="17"/>
      <c r="CO270" s="10"/>
      <c r="CP270" s="10"/>
      <c r="CQ270" s="10"/>
      <c r="CR270" s="10"/>
      <c r="CS270" s="10"/>
      <c r="CT270" s="10"/>
      <c r="CU270" s="10"/>
      <c r="CV270" s="10"/>
      <c r="CW270" s="10"/>
      <c r="CX270" s="10"/>
      <c r="CY270" s="10"/>
      <c r="CZ270" s="10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34"/>
      <c r="DV270" s="34"/>
      <c r="DW270" s="34"/>
      <c r="DX270" s="34"/>
      <c r="DY270" s="34"/>
      <c r="DZ270" s="34"/>
      <c r="EA270" s="34"/>
      <c r="EB270" s="34"/>
      <c r="EC270" s="34"/>
      <c r="ED270" s="34"/>
      <c r="EE270" s="34"/>
    </row>
    <row r="271" spans="1:135" customFormat="1">
      <c r="A271" s="71">
        <f>'Old Data'!$I267-'Old Data'!$S267</f>
        <v>72</v>
      </c>
      <c r="B271" s="72">
        <f>VLOOKUP('Old Data'!$F267,$R$6:$T$135,2,FALSE)+VLOOKUP('Old Data'!$P267,$R$6:$T$135,3,FALSE)+$B$2</f>
        <v>99.819488942990603</v>
      </c>
      <c r="C271" s="72">
        <f>VLOOKUP('Old Data'!$P267,$R$6:$T$135,2,FALSE)+VLOOKUP('Old Data'!$F267,$R$6:$T$135,3,FALSE)+$B$2</f>
        <v>139.72228315407182</v>
      </c>
      <c r="D271" s="74">
        <f>('Old Data'!$I267-$B271)^2+('Old Data'!$S267-$C271)^2</f>
        <v>6296.8884857528119</v>
      </c>
      <c r="E271" s="75">
        <f>'Old Data'!$K267-'Old Data'!$U267</f>
        <v>87</v>
      </c>
      <c r="F271" s="72">
        <f>VLOOKUP('Old Data'!$F267,$V$6:$X$135,2,FALSE)+VLOOKUP('Old Data'!$P267,$V$6:$X$135,3,FALSE)+$C$2</f>
        <v>204.09641683012669</v>
      </c>
      <c r="G271" s="72">
        <f>VLOOKUP('Old Data'!$P267,$V$6:$X$135,2,FALSE)+VLOOKUP('Old Data'!$F267,$V$6:$X$135,3,FALSE)+$C$2</f>
        <v>242.99517312786281</v>
      </c>
      <c r="H271" s="74">
        <f>('Old Data'!$K267-$F271)^2+('Old Data'!$U267-$G271)^2</f>
        <v>9272.4899352031243</v>
      </c>
      <c r="I271" s="75">
        <f>('Old Data'!$L267+'Old Data'!$M267)-('Old Data'!$V267+'Old Data'!$W267)</f>
        <v>38</v>
      </c>
      <c r="J271" s="72">
        <f>VLOOKUP('Old Data'!$F267,$Z$6:$AB$135,2,FALSE)+VLOOKUP('Old Data'!$P267,$Z$6:$AB$135,3,FALSE)+$D$2</f>
        <v>63.590434156314977</v>
      </c>
      <c r="K271" s="72">
        <f>VLOOKUP('Old Data'!$P267,$Z$6:$AB$135,2,FALSE)+VLOOKUP('Old Data'!$F267,$Z$6:$AB$135,3,FALSE)+$D$2</f>
        <v>42.605178355825274</v>
      </c>
      <c r="L271" s="74">
        <f>('Old Data'!$L267+'Old Data'!$M267-$J271)^2+('Old Data'!$V267+'Old Data'!$W267-$K271)^2</f>
        <v>2470.0715430403743</v>
      </c>
      <c r="M271" s="75">
        <f>'Old Data'!$N267-'Old Data'!$X267</f>
        <v>0</v>
      </c>
      <c r="N271" s="72">
        <f>VLOOKUP('Old Data'!$F267,$AD$6:$AF$135,2,FALSE)+VLOOKUP('Old Data'!$P267,$AD$6:$AF$135,3,FALSE)+$E$2</f>
        <v>0.88730418478928108</v>
      </c>
      <c r="O271" s="72">
        <f>VLOOKUP('Old Data'!$P267,$AD$6:$AF$135,2,FALSE)+VLOOKUP('Old Data'!$F267,$AD$6:$AF$135,3,FALSE)+$E$2</f>
        <v>1.3148404610911191</v>
      </c>
      <c r="P271" s="73">
        <f>('Old Data'!$N267-$N271)^2+('Old Data'!$X267-$O271)^2</f>
        <v>2.5161141544668775</v>
      </c>
      <c r="Q271" s="62"/>
      <c r="R271" s="3"/>
      <c r="S271" s="3"/>
      <c r="T271" s="3"/>
      <c r="V271" s="3"/>
      <c r="W271" s="3"/>
      <c r="X271" s="3"/>
      <c r="Z271" s="3"/>
      <c r="AA271" s="3"/>
      <c r="AB271" s="3"/>
      <c r="AC271" s="3"/>
      <c r="AD271" s="3"/>
      <c r="AE271" s="3"/>
      <c r="AF271" s="3"/>
      <c r="AG271" s="3"/>
      <c r="AH271" s="37"/>
      <c r="AI271" s="1"/>
      <c r="AK271" s="10"/>
      <c r="AL271" s="10"/>
      <c r="AM271" s="10"/>
      <c r="AN271" s="11"/>
      <c r="AO271" s="11"/>
      <c r="AP271" s="11"/>
      <c r="AQ271" s="36"/>
      <c r="AR271" s="11"/>
      <c r="AS271" s="11"/>
      <c r="AT271" s="11"/>
      <c r="AU271" s="12"/>
      <c r="AV271" s="11"/>
      <c r="AW271" s="11"/>
      <c r="AX271" s="15"/>
      <c r="AY271" s="15"/>
      <c r="AZ271" s="15"/>
      <c r="BA271" s="15"/>
      <c r="BB271" s="15"/>
      <c r="BC271" s="15"/>
      <c r="BD271" s="15"/>
      <c r="BE271" s="12"/>
      <c r="BF271" s="11"/>
      <c r="BG271" s="11"/>
      <c r="BH271" s="10"/>
      <c r="BI271" s="10"/>
      <c r="BJ271" s="10"/>
      <c r="BK271" s="23"/>
      <c r="BL271" s="23"/>
      <c r="BM271" s="23"/>
      <c r="BN271" s="23"/>
      <c r="BO271" s="23"/>
      <c r="BP271" s="23"/>
      <c r="BQ271" s="23"/>
      <c r="BR271" s="10"/>
      <c r="BS271" s="16"/>
      <c r="BT271" s="16"/>
      <c r="BU271" s="16"/>
      <c r="BV271" s="16"/>
      <c r="BW271" s="11"/>
      <c r="BX271" s="16"/>
      <c r="BY271" s="16"/>
      <c r="BZ271" s="17"/>
      <c r="CA271" s="18"/>
      <c r="CB271" s="18"/>
      <c r="CC271" s="18"/>
      <c r="CD271" s="18"/>
      <c r="CE271" s="18"/>
      <c r="CF271" s="18"/>
      <c r="CG271" s="19"/>
      <c r="CH271" s="15"/>
      <c r="CI271" s="17"/>
      <c r="CJ271" s="10"/>
      <c r="CK271" s="10"/>
      <c r="CL271" s="10"/>
      <c r="CM271" s="17"/>
      <c r="CN271" s="17"/>
      <c r="CO271" s="10"/>
      <c r="CP271" s="10"/>
      <c r="CQ271" s="10"/>
      <c r="CR271" s="10"/>
      <c r="CS271" s="10"/>
      <c r="CT271" s="10"/>
      <c r="CU271" s="10"/>
      <c r="CV271" s="10"/>
      <c r="CW271" s="10"/>
      <c r="CX271" s="10"/>
      <c r="CY271" s="10"/>
      <c r="CZ271" s="10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34"/>
      <c r="DV271" s="34"/>
      <c r="DW271" s="34"/>
      <c r="DX271" s="34"/>
      <c r="DY271" s="34"/>
      <c r="DZ271" s="34"/>
      <c r="EA271" s="34"/>
      <c r="EB271" s="34"/>
      <c r="EC271" s="34"/>
      <c r="ED271" s="34"/>
      <c r="EE271" s="34"/>
    </row>
    <row r="272" spans="1:135" customFormat="1">
      <c r="A272" s="71">
        <f>'Old Data'!$I268-'Old Data'!$S268</f>
        <v>-168</v>
      </c>
      <c r="B272" s="72">
        <f>VLOOKUP('Old Data'!$F268,$R$6:$T$135,2,FALSE)+VLOOKUP('Old Data'!$P268,$R$6:$T$135,3,FALSE)+$B$2</f>
        <v>61.063290503458305</v>
      </c>
      <c r="C272" s="72">
        <f>VLOOKUP('Old Data'!$P268,$R$6:$T$135,2,FALSE)+VLOOKUP('Old Data'!$F268,$R$6:$T$135,3,FALSE)+$B$2</f>
        <v>165.70192712299371</v>
      </c>
      <c r="D272" s="74">
        <f>('Old Data'!$I268-$B272)^2+('Old Data'!$S268-$C272)^2</f>
        <v>5306.8761183544912</v>
      </c>
      <c r="E272" s="75">
        <f>'Old Data'!$K268-'Old Data'!$U268</f>
        <v>-15</v>
      </c>
      <c r="F272" s="72">
        <f>VLOOKUP('Old Data'!$F268,$V$6:$X$135,2,FALSE)+VLOOKUP('Old Data'!$P268,$V$6:$X$135,3,FALSE)+$C$2</f>
        <v>195.00855455850638</v>
      </c>
      <c r="G272" s="72">
        <f>VLOOKUP('Old Data'!$P268,$V$6:$X$135,2,FALSE)+VLOOKUP('Old Data'!$F268,$V$6:$X$135,3,FALSE)+$C$2</f>
        <v>200.32262844330117</v>
      </c>
      <c r="H272" s="74">
        <f>('Old Data'!$K268-$F272)^2+('Old Data'!$U268-$G272)^2</f>
        <v>13769.987045144899</v>
      </c>
      <c r="I272" s="75">
        <f>('Old Data'!$L268+'Old Data'!$M268)-('Old Data'!$V268+'Old Data'!$W268)</f>
        <v>-6</v>
      </c>
      <c r="J272" s="72">
        <f>VLOOKUP('Old Data'!$F268,$Z$6:$AB$135,2,FALSE)+VLOOKUP('Old Data'!$P268,$Z$6:$AB$135,3,FALSE)+$D$2</f>
        <v>18.043402801074699</v>
      </c>
      <c r="K272" s="72">
        <f>VLOOKUP('Old Data'!$P268,$Z$6:$AB$135,2,FALSE)+VLOOKUP('Old Data'!$F268,$Z$6:$AB$135,3,FALSE)+$D$2</f>
        <v>14.334965147886294</v>
      </c>
      <c r="L272" s="74">
        <f>('Old Data'!$L268+'Old Data'!$M268-$J272)^2+('Old Data'!$V268+'Old Data'!$W268-$K272)^2</f>
        <v>395.03602865830942</v>
      </c>
      <c r="M272" s="75">
        <f>'Old Data'!$N268-'Old Data'!$X268</f>
        <v>-2</v>
      </c>
      <c r="N272" s="72">
        <f>VLOOKUP('Old Data'!$F268,$AD$6:$AF$135,2,FALSE)+VLOOKUP('Old Data'!$P268,$AD$6:$AF$135,3,FALSE)+$E$2</f>
        <v>0.68551350626975749</v>
      </c>
      <c r="O272" s="72">
        <f>VLOOKUP('Old Data'!$P268,$AD$6:$AF$135,2,FALSE)+VLOOKUP('Old Data'!$F268,$AD$6:$AF$135,3,FALSE)+$E$2</f>
        <v>1.3129494079059334</v>
      </c>
      <c r="P272" s="73">
        <f>('Old Data'!$N268-$N272)^2+('Old Data'!$X268-$O272)^2</f>
        <v>0.9419672833750643</v>
      </c>
      <c r="Q272" s="62"/>
      <c r="R272" s="3"/>
      <c r="S272" s="3"/>
      <c r="T272" s="3"/>
      <c r="V272" s="3"/>
      <c r="W272" s="3"/>
      <c r="X272" s="3"/>
      <c r="Z272" s="3"/>
      <c r="AA272" s="3"/>
      <c r="AB272" s="3"/>
      <c r="AC272" s="3"/>
      <c r="AD272" s="3"/>
      <c r="AE272" s="3"/>
      <c r="AF272" s="3"/>
      <c r="AG272" s="3"/>
      <c r="AH272" s="37"/>
      <c r="AI272" s="1"/>
      <c r="AK272" s="10"/>
      <c r="AL272" s="10"/>
      <c r="AM272" s="10"/>
      <c r="AN272" s="11"/>
      <c r="AO272" s="11"/>
      <c r="AP272" s="11"/>
      <c r="AQ272" s="36"/>
      <c r="AR272" s="11"/>
      <c r="AS272" s="11"/>
      <c r="AT272" s="11"/>
      <c r="AU272" s="12"/>
      <c r="AV272" s="11"/>
      <c r="AW272" s="11"/>
      <c r="AX272" s="15"/>
      <c r="AY272" s="15"/>
      <c r="AZ272" s="15"/>
      <c r="BA272" s="15"/>
      <c r="BB272" s="15"/>
      <c r="BC272" s="15"/>
      <c r="BD272" s="15"/>
      <c r="BE272" s="12"/>
      <c r="BF272" s="11"/>
      <c r="BG272" s="11"/>
      <c r="BH272" s="10"/>
      <c r="BI272" s="10"/>
      <c r="BJ272" s="10"/>
      <c r="BK272" s="23"/>
      <c r="BL272" s="23"/>
      <c r="BM272" s="23"/>
      <c r="BN272" s="23"/>
      <c r="BO272" s="23"/>
      <c r="BP272" s="23"/>
      <c r="BQ272" s="23"/>
      <c r="BR272" s="10"/>
      <c r="BS272" s="16"/>
      <c r="BT272" s="16"/>
      <c r="BU272" s="16"/>
      <c r="BV272" s="16"/>
      <c r="BW272" s="11"/>
      <c r="BX272" s="16"/>
      <c r="BY272" s="16"/>
      <c r="BZ272" s="17"/>
      <c r="CA272" s="18"/>
      <c r="CB272" s="18"/>
      <c r="CC272" s="18"/>
      <c r="CD272" s="18"/>
      <c r="CE272" s="18"/>
      <c r="CF272" s="18"/>
      <c r="CG272" s="19"/>
      <c r="CH272" s="15"/>
      <c r="CI272" s="17"/>
      <c r="CJ272" s="10"/>
      <c r="CK272" s="10"/>
      <c r="CL272" s="10"/>
      <c r="CM272" s="17"/>
      <c r="CN272" s="17"/>
      <c r="CO272" s="10"/>
      <c r="CP272" s="10"/>
      <c r="CQ272" s="10"/>
      <c r="CR272" s="10"/>
      <c r="CS272" s="10"/>
      <c r="CT272" s="10"/>
      <c r="CU272" s="10"/>
      <c r="CV272" s="10"/>
      <c r="CW272" s="10"/>
      <c r="CX272" s="10"/>
      <c r="CY272" s="10"/>
      <c r="CZ272" s="10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34"/>
      <c r="DV272" s="34"/>
      <c r="DW272" s="34"/>
      <c r="DX272" s="34"/>
      <c r="DY272" s="34"/>
      <c r="DZ272" s="34"/>
      <c r="EA272" s="34"/>
      <c r="EB272" s="34"/>
      <c r="EC272" s="34"/>
      <c r="ED272" s="34"/>
      <c r="EE272" s="34"/>
    </row>
    <row r="273" spans="1:135" customFormat="1">
      <c r="A273" s="71">
        <f>'Old Data'!$I269-'Old Data'!$S269</f>
        <v>158</v>
      </c>
      <c r="B273" s="72">
        <f>VLOOKUP('Old Data'!$F269,$R$6:$T$135,2,FALSE)+VLOOKUP('Old Data'!$P269,$R$6:$T$135,3,FALSE)+$B$2</f>
        <v>200.77853984777323</v>
      </c>
      <c r="C273" s="72">
        <f>VLOOKUP('Old Data'!$P269,$R$6:$T$135,2,FALSE)+VLOOKUP('Old Data'!$F269,$R$6:$T$135,3,FALSE)+$B$2</f>
        <v>232.71574161473038</v>
      </c>
      <c r="D273" s="74">
        <f>('Old Data'!$I269-$B273)^2+('Old Data'!$S269-$C273)^2</f>
        <v>18898.95800457563</v>
      </c>
      <c r="E273" s="75">
        <f>'Old Data'!$K269-'Old Data'!$U269</f>
        <v>-103</v>
      </c>
      <c r="F273" s="72">
        <f>VLOOKUP('Old Data'!$F269,$V$6:$X$135,2,FALSE)+VLOOKUP('Old Data'!$P269,$V$6:$X$135,3,FALSE)+$C$2</f>
        <v>222.97491034816778</v>
      </c>
      <c r="G273" s="72">
        <f>VLOOKUP('Old Data'!$P269,$V$6:$X$135,2,FALSE)+VLOOKUP('Old Data'!$F269,$V$6:$X$135,3,FALSE)+$C$2</f>
        <v>271.45074947424757</v>
      </c>
      <c r="H273" s="74">
        <f>('Old Data'!$K269-$F273)^2+('Old Data'!$U269-$G273)^2</f>
        <v>1523.2017142430368</v>
      </c>
      <c r="I273" s="75">
        <f>('Old Data'!$L269+'Old Data'!$M269)-('Old Data'!$V269+'Old Data'!$W269)</f>
        <v>4</v>
      </c>
      <c r="J273" s="72">
        <f>VLOOKUP('Old Data'!$F269,$Z$6:$AB$135,2,FALSE)+VLOOKUP('Old Data'!$P269,$Z$6:$AB$135,3,FALSE)+$D$2</f>
        <v>111.71734084914669</v>
      </c>
      <c r="K273" s="72">
        <f>VLOOKUP('Old Data'!$P269,$Z$6:$AB$135,2,FALSE)+VLOOKUP('Old Data'!$F269,$Z$6:$AB$135,3,FALSE)+$D$2</f>
        <v>67.995631983253688</v>
      </c>
      <c r="L273" s="74">
        <f>('Old Data'!$L269+'Old Data'!$M269-$J273)^2+('Old Data'!$V269+'Old Data'!$W269-$K273)^2</f>
        <v>1769.5774652852349</v>
      </c>
      <c r="M273" s="75">
        <f>'Old Data'!$N269-'Old Data'!$X269</f>
        <v>-1</v>
      </c>
      <c r="N273" s="72">
        <f>VLOOKUP('Old Data'!$F269,$AD$6:$AF$135,2,FALSE)+VLOOKUP('Old Data'!$P269,$AD$6:$AF$135,3,FALSE)+$E$2</f>
        <v>0.69011691752688309</v>
      </c>
      <c r="O273" s="72">
        <f>VLOOKUP('Old Data'!$P269,$AD$6:$AF$135,2,FALSE)+VLOOKUP('Old Data'!$F269,$AD$6:$AF$135,3,FALSE)+$E$2</f>
        <v>2.1673353089683292</v>
      </c>
      <c r="P273" s="73">
        <f>('Old Data'!$N269-$N273)^2+('Old Data'!$X269-$O273)^2</f>
        <v>0.12402863043056676</v>
      </c>
      <c r="Q273" s="62"/>
      <c r="R273" s="3"/>
      <c r="S273" s="3"/>
      <c r="T273" s="3"/>
      <c r="V273" s="3"/>
      <c r="W273" s="3"/>
      <c r="X273" s="3"/>
      <c r="Z273" s="3"/>
      <c r="AA273" s="3"/>
      <c r="AB273" s="3"/>
      <c r="AC273" s="3"/>
      <c r="AD273" s="3"/>
      <c r="AE273" s="3"/>
      <c r="AF273" s="3"/>
      <c r="AG273" s="3"/>
      <c r="AH273" s="37"/>
      <c r="AI273" s="1"/>
      <c r="AK273" s="10"/>
      <c r="AL273" s="10"/>
      <c r="AM273" s="10"/>
      <c r="AN273" s="11"/>
      <c r="AO273" s="11"/>
      <c r="AP273" s="11"/>
      <c r="AQ273" s="36"/>
      <c r="AR273" s="11"/>
      <c r="AS273" s="11"/>
      <c r="AT273" s="11"/>
      <c r="AU273" s="12"/>
      <c r="AV273" s="11"/>
      <c r="AW273" s="11"/>
      <c r="AX273" s="15"/>
      <c r="AY273" s="15"/>
      <c r="AZ273" s="15"/>
      <c r="BA273" s="15"/>
      <c r="BB273" s="15"/>
      <c r="BC273" s="15"/>
      <c r="BD273" s="15"/>
      <c r="BE273" s="12"/>
      <c r="BF273" s="11"/>
      <c r="BG273" s="11"/>
      <c r="BH273" s="10"/>
      <c r="BI273" s="10"/>
      <c r="BJ273" s="10"/>
      <c r="BK273" s="23"/>
      <c r="BL273" s="23"/>
      <c r="BM273" s="23"/>
      <c r="BN273" s="23"/>
      <c r="BO273" s="23"/>
      <c r="BP273" s="23"/>
      <c r="BQ273" s="23"/>
      <c r="BR273" s="10"/>
      <c r="BS273" s="16"/>
      <c r="BT273" s="16"/>
      <c r="BU273" s="16"/>
      <c r="BV273" s="16"/>
      <c r="BW273" s="11"/>
      <c r="BX273" s="16"/>
      <c r="BY273" s="16"/>
      <c r="BZ273" s="17"/>
      <c r="CA273" s="18"/>
      <c r="CB273" s="18"/>
      <c r="CC273" s="18"/>
      <c r="CD273" s="18"/>
      <c r="CE273" s="18"/>
      <c r="CF273" s="18"/>
      <c r="CG273" s="19"/>
      <c r="CH273" s="15"/>
      <c r="CI273" s="17"/>
      <c r="CJ273" s="10"/>
      <c r="CK273" s="10"/>
      <c r="CL273" s="10"/>
      <c r="CM273" s="17"/>
      <c r="CN273" s="17"/>
      <c r="CO273" s="10"/>
      <c r="CP273" s="10"/>
      <c r="CQ273" s="10"/>
      <c r="CR273" s="10"/>
      <c r="CS273" s="10"/>
      <c r="CT273" s="10"/>
      <c r="CU273" s="10"/>
      <c r="CV273" s="10"/>
      <c r="CW273" s="10"/>
      <c r="CX273" s="10"/>
      <c r="CY273" s="10"/>
      <c r="CZ273" s="10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34"/>
      <c r="DV273" s="34"/>
      <c r="DW273" s="34"/>
      <c r="DX273" s="34"/>
      <c r="DY273" s="34"/>
      <c r="DZ273" s="34"/>
      <c r="EA273" s="34"/>
      <c r="EB273" s="34"/>
      <c r="EC273" s="34"/>
      <c r="ED273" s="34"/>
      <c r="EE273" s="34"/>
    </row>
    <row r="274" spans="1:135" customFormat="1">
      <c r="A274" s="71">
        <f>'Old Data'!$I270-'Old Data'!$S270</f>
        <v>-57</v>
      </c>
      <c r="B274" s="72">
        <f>VLOOKUP('Old Data'!$F270,$R$6:$T$135,2,FALSE)+VLOOKUP('Old Data'!$P270,$R$6:$T$135,3,FALSE)+$B$2</f>
        <v>143.36036517772442</v>
      </c>
      <c r="C274" s="72">
        <f>VLOOKUP('Old Data'!$P270,$R$6:$T$135,2,FALSE)+VLOOKUP('Old Data'!$F270,$R$6:$T$135,3,FALSE)+$B$2</f>
        <v>240.540469284518</v>
      </c>
      <c r="D274" s="74">
        <f>('Old Data'!$I270-$B274)^2+('Old Data'!$S270-$C274)^2</f>
        <v>811.42780330505173</v>
      </c>
      <c r="E274" s="75">
        <f>'Old Data'!$K270-'Old Data'!$U270</f>
        <v>134</v>
      </c>
      <c r="F274" s="72">
        <f>VLOOKUP('Old Data'!$F270,$V$6:$X$135,2,FALSE)+VLOOKUP('Old Data'!$P270,$V$6:$X$135,3,FALSE)+$C$2</f>
        <v>329.73343226488601</v>
      </c>
      <c r="G274" s="72">
        <f>VLOOKUP('Old Data'!$P270,$V$6:$X$135,2,FALSE)+VLOOKUP('Old Data'!$F270,$V$6:$X$135,3,FALSE)+$C$2</f>
        <v>309.02074851134694</v>
      </c>
      <c r="H274" s="74">
        <f>('Old Data'!$K270-$F274)^2+('Old Data'!$U270-$G274)^2</f>
        <v>9247.9746664907416</v>
      </c>
      <c r="I274" s="75">
        <f>('Old Data'!$L270+'Old Data'!$M270)-('Old Data'!$V270+'Old Data'!$W270)</f>
        <v>-16</v>
      </c>
      <c r="J274" s="72">
        <f>VLOOKUP('Old Data'!$F270,$Z$6:$AB$135,2,FALSE)+VLOOKUP('Old Data'!$P270,$Z$6:$AB$135,3,FALSE)+$D$2</f>
        <v>76.442409635939427</v>
      </c>
      <c r="K274" s="72">
        <f>VLOOKUP('Old Data'!$P270,$Z$6:$AB$135,2,FALSE)+VLOOKUP('Old Data'!$F270,$Z$6:$AB$135,3,FALSE)+$D$2</f>
        <v>54.897567397304684</v>
      </c>
      <c r="L274" s="74">
        <f>('Old Data'!$L270+'Old Data'!$M270-$J274)^2+('Old Data'!$V270+'Old Data'!$W270-$K274)^2</f>
        <v>2348.7440724484668</v>
      </c>
      <c r="M274" s="75">
        <f>'Old Data'!$N270-'Old Data'!$X270</f>
        <v>5</v>
      </c>
      <c r="N274" s="72">
        <f>VLOOKUP('Old Data'!$F270,$AD$6:$AF$135,2,FALSE)+VLOOKUP('Old Data'!$P270,$AD$6:$AF$135,3,FALSE)+$E$2</f>
        <v>1.7757061290027019</v>
      </c>
      <c r="O274" s="72">
        <f>VLOOKUP('Old Data'!$P270,$AD$6:$AF$135,2,FALSE)+VLOOKUP('Old Data'!$F270,$AD$6:$AF$135,3,FALSE)+$E$2</f>
        <v>1.5023716076160878</v>
      </c>
      <c r="P274" s="73">
        <f>('Old Data'!$N270-$N274)^2+('Old Data'!$X270-$O274)^2</f>
        <v>12.653191413921689</v>
      </c>
      <c r="Q274" s="62"/>
      <c r="R274" s="3"/>
      <c r="S274" s="3"/>
      <c r="T274" s="3"/>
      <c r="V274" s="3"/>
      <c r="W274" s="3"/>
      <c r="X274" s="3"/>
      <c r="Z274" s="3"/>
      <c r="AA274" s="3"/>
      <c r="AB274" s="3"/>
      <c r="AC274" s="3"/>
      <c r="AD274" s="3"/>
      <c r="AE274" s="3"/>
      <c r="AF274" s="3"/>
      <c r="AG274" s="3"/>
      <c r="AH274" s="37"/>
      <c r="AI274" s="1"/>
      <c r="AK274" s="10"/>
      <c r="AL274" s="10"/>
      <c r="AM274" s="10"/>
      <c r="AN274" s="11"/>
      <c r="AO274" s="11"/>
      <c r="AP274" s="11"/>
      <c r="AQ274" s="36"/>
      <c r="AR274" s="11"/>
      <c r="AS274" s="11"/>
      <c r="AT274" s="11"/>
      <c r="AU274" s="12"/>
      <c r="AV274" s="11"/>
      <c r="AW274" s="11"/>
      <c r="AX274" s="15"/>
      <c r="AY274" s="15"/>
      <c r="AZ274" s="15"/>
      <c r="BA274" s="15"/>
      <c r="BB274" s="15"/>
      <c r="BC274" s="15"/>
      <c r="BD274" s="15"/>
      <c r="BE274" s="12"/>
      <c r="BF274" s="11"/>
      <c r="BG274" s="11"/>
      <c r="BH274" s="10"/>
      <c r="BI274" s="10"/>
      <c r="BJ274" s="10"/>
      <c r="BK274" s="23"/>
      <c r="BL274" s="23"/>
      <c r="BM274" s="23"/>
      <c r="BN274" s="23"/>
      <c r="BO274" s="23"/>
      <c r="BP274" s="23"/>
      <c r="BQ274" s="23"/>
      <c r="BR274" s="10"/>
      <c r="BS274" s="16"/>
      <c r="BT274" s="16"/>
      <c r="BU274" s="16"/>
      <c r="BV274" s="16"/>
      <c r="BW274" s="11"/>
      <c r="BX274" s="16"/>
      <c r="BY274" s="16"/>
      <c r="BZ274" s="17"/>
      <c r="CA274" s="18"/>
      <c r="CB274" s="18"/>
      <c r="CC274" s="18"/>
      <c r="CD274" s="18"/>
      <c r="CE274" s="18"/>
      <c r="CF274" s="18"/>
      <c r="CG274" s="19"/>
      <c r="CH274" s="15"/>
      <c r="CI274" s="17"/>
      <c r="CJ274" s="10"/>
      <c r="CK274" s="10"/>
      <c r="CL274" s="10"/>
      <c r="CM274" s="17"/>
      <c r="CN274" s="17"/>
      <c r="CO274" s="10"/>
      <c r="CP274" s="10"/>
      <c r="CQ274" s="10"/>
      <c r="CR274" s="10"/>
      <c r="CS274" s="10"/>
      <c r="CT274" s="10"/>
      <c r="CU274" s="10"/>
      <c r="CV274" s="10"/>
      <c r="CW274" s="10"/>
      <c r="CX274" s="10"/>
      <c r="CY274" s="10"/>
      <c r="CZ274" s="10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34"/>
      <c r="DV274" s="34"/>
      <c r="DW274" s="34"/>
      <c r="DX274" s="34"/>
      <c r="DY274" s="34"/>
      <c r="DZ274" s="34"/>
      <c r="EA274" s="34"/>
      <c r="EB274" s="34"/>
      <c r="EC274" s="34"/>
      <c r="ED274" s="34"/>
      <c r="EE274" s="34"/>
    </row>
    <row r="275" spans="1:135" customFormat="1">
      <c r="A275" s="71">
        <f>'Old Data'!$I271-'Old Data'!$S271</f>
        <v>-47</v>
      </c>
      <c r="B275" s="72">
        <f>VLOOKUP('Old Data'!$F271,$R$6:$T$135,2,FALSE)+VLOOKUP('Old Data'!$P271,$R$6:$T$135,3,FALSE)+$B$2</f>
        <v>132.6749617894705</v>
      </c>
      <c r="C275" s="72">
        <f>VLOOKUP('Old Data'!$P271,$R$6:$T$135,2,FALSE)+VLOOKUP('Old Data'!$F271,$R$6:$T$135,3,FALSE)+$B$2</f>
        <v>106.91160742563559</v>
      </c>
      <c r="D275" s="74">
        <f>('Old Data'!$I271-$B275)^2+('Old Data'!$S271-$C275)^2</f>
        <v>4533.057609523983</v>
      </c>
      <c r="E275" s="75">
        <f>'Old Data'!$K271-'Old Data'!$U271</f>
        <v>111</v>
      </c>
      <c r="F275" s="72">
        <f>VLOOKUP('Old Data'!$F271,$V$6:$X$135,2,FALSE)+VLOOKUP('Old Data'!$P271,$V$6:$X$135,3,FALSE)+$C$2</f>
        <v>210.45251314032529</v>
      </c>
      <c r="G275" s="72">
        <f>VLOOKUP('Old Data'!$P271,$V$6:$X$135,2,FALSE)+VLOOKUP('Old Data'!$F271,$V$6:$X$135,3,FALSE)+$C$2</f>
        <v>146.29664288709779</v>
      </c>
      <c r="H275" s="74">
        <f>('Old Data'!$K271-$F275)^2+('Old Data'!$U271-$G275)^2</f>
        <v>5729.2987285829004</v>
      </c>
      <c r="I275" s="75">
        <f>('Old Data'!$L271+'Old Data'!$M271)-('Old Data'!$V271+'Old Data'!$W271)</f>
        <v>14</v>
      </c>
      <c r="J275" s="72">
        <f>VLOOKUP('Old Data'!$F271,$Z$6:$AB$135,2,FALSE)+VLOOKUP('Old Data'!$P271,$Z$6:$AB$135,3,FALSE)+$D$2</f>
        <v>17.045626875947796</v>
      </c>
      <c r="K275" s="72">
        <f>VLOOKUP('Old Data'!$P271,$Z$6:$AB$135,2,FALSE)+VLOOKUP('Old Data'!$F271,$Z$6:$AB$135,3,FALSE)+$D$2</f>
        <v>23.652983271464393</v>
      </c>
      <c r="L275" s="74">
        <f>('Old Data'!$L271+'Old Data'!$M271-$J275)^2+('Old Data'!$V271+'Old Data'!$W271-$K275)^2</f>
        <v>1238.4395300939923</v>
      </c>
      <c r="M275" s="75">
        <f>'Old Data'!$N271-'Old Data'!$X271</f>
        <v>6</v>
      </c>
      <c r="N275" s="72">
        <f>VLOOKUP('Old Data'!$F271,$AD$6:$AF$135,2,FALSE)+VLOOKUP('Old Data'!$P271,$AD$6:$AF$135,3,FALSE)+$E$2</f>
        <v>1.7863020488542922</v>
      </c>
      <c r="O275" s="72">
        <f>VLOOKUP('Old Data'!$P271,$AD$6:$AF$135,2,FALSE)+VLOOKUP('Old Data'!$F271,$AD$6:$AF$135,3,FALSE)+$E$2</f>
        <v>1.0657511438135332</v>
      </c>
      <c r="P275" s="73">
        <f>('Old Data'!$N271-$N275)^2+('Old Data'!$X271-$O275)^2</f>
        <v>18.891075924029391</v>
      </c>
      <c r="Q275" s="62"/>
      <c r="R275" s="3"/>
      <c r="S275" s="3"/>
      <c r="T275" s="3"/>
      <c r="V275" s="3"/>
      <c r="W275" s="3"/>
      <c r="X275" s="3"/>
      <c r="Z275" s="3"/>
      <c r="AA275" s="3"/>
      <c r="AB275" s="3"/>
      <c r="AC275" s="3"/>
      <c r="AD275" s="3"/>
      <c r="AE275" s="3"/>
      <c r="AF275" s="3"/>
      <c r="AG275" s="3"/>
      <c r="AH275" s="37"/>
      <c r="AI275" s="1"/>
      <c r="AK275" s="10"/>
      <c r="AL275" s="10"/>
      <c r="AM275" s="10"/>
      <c r="AN275" s="11"/>
      <c r="AO275" s="11"/>
      <c r="AP275" s="11"/>
      <c r="AQ275" s="36"/>
      <c r="AR275" s="11"/>
      <c r="AS275" s="11"/>
      <c r="AT275" s="11"/>
      <c r="AU275" s="12"/>
      <c r="AV275" s="11"/>
      <c r="AW275" s="11"/>
      <c r="AX275" s="15"/>
      <c r="AY275" s="15"/>
      <c r="AZ275" s="15"/>
      <c r="BA275" s="15"/>
      <c r="BB275" s="15"/>
      <c r="BC275" s="15"/>
      <c r="BD275" s="15"/>
      <c r="BE275" s="12"/>
      <c r="BF275" s="11"/>
      <c r="BG275" s="11"/>
      <c r="BH275" s="10"/>
      <c r="BI275" s="10"/>
      <c r="BJ275" s="10"/>
      <c r="BK275" s="23"/>
      <c r="BL275" s="23"/>
      <c r="BM275" s="23"/>
      <c r="BN275" s="23"/>
      <c r="BO275" s="23"/>
      <c r="BP275" s="23"/>
      <c r="BQ275" s="23"/>
      <c r="BR275" s="10"/>
      <c r="BS275" s="16"/>
      <c r="BT275" s="16"/>
      <c r="BU275" s="16"/>
      <c r="BV275" s="16"/>
      <c r="BW275" s="11"/>
      <c r="BX275" s="16"/>
      <c r="BY275" s="16"/>
      <c r="BZ275" s="17"/>
      <c r="CA275" s="18"/>
      <c r="CB275" s="18"/>
      <c r="CC275" s="18"/>
      <c r="CD275" s="18"/>
      <c r="CE275" s="18"/>
      <c r="CF275" s="18"/>
      <c r="CG275" s="19"/>
      <c r="CH275" s="15"/>
      <c r="CI275" s="17"/>
      <c r="CJ275" s="10"/>
      <c r="CK275" s="10"/>
      <c r="CL275" s="10"/>
      <c r="CM275" s="17"/>
      <c r="CN275" s="17"/>
      <c r="CO275" s="10"/>
      <c r="CP275" s="10"/>
      <c r="CQ275" s="10"/>
      <c r="CR275" s="10"/>
      <c r="CS275" s="10"/>
      <c r="CT275" s="10"/>
      <c r="CU275" s="10"/>
      <c r="CV275" s="10"/>
      <c r="CW275" s="10"/>
      <c r="CX275" s="10"/>
      <c r="CY275" s="10"/>
      <c r="CZ275" s="10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34"/>
      <c r="DV275" s="34"/>
      <c r="DW275" s="34"/>
      <c r="DX275" s="34"/>
      <c r="DY275" s="34"/>
      <c r="DZ275" s="34"/>
      <c r="EA275" s="34"/>
      <c r="EB275" s="34"/>
      <c r="EC275" s="34"/>
      <c r="ED275" s="34"/>
      <c r="EE275" s="34"/>
    </row>
    <row r="276" spans="1:135" customFormat="1">
      <c r="A276" s="71">
        <f>'Old Data'!$I272-'Old Data'!$S272</f>
        <v>93</v>
      </c>
      <c r="B276" s="72">
        <f>VLOOKUP('Old Data'!$F272,$R$6:$T$135,2,FALSE)+VLOOKUP('Old Data'!$P272,$R$6:$T$135,3,FALSE)+$B$2</f>
        <v>176.12496920099653</v>
      </c>
      <c r="C276" s="72">
        <f>VLOOKUP('Old Data'!$P272,$R$6:$T$135,2,FALSE)+VLOOKUP('Old Data'!$F272,$R$6:$T$135,3,FALSE)+$B$2</f>
        <v>154.86456636549877</v>
      </c>
      <c r="D276" s="74">
        <f>('Old Data'!$I272-$B276)^2+('Old Data'!$S272-$C276)^2</f>
        <v>6446.2058255631264</v>
      </c>
      <c r="E276" s="75">
        <f>'Old Data'!$K272-'Old Data'!$U272</f>
        <v>-49</v>
      </c>
      <c r="F276" s="72">
        <f>VLOOKUP('Old Data'!$F272,$V$6:$X$135,2,FALSE)+VLOOKUP('Old Data'!$P272,$V$6:$X$135,3,FALSE)+$C$2</f>
        <v>286.2837686631417</v>
      </c>
      <c r="G276" s="72">
        <f>VLOOKUP('Old Data'!$P272,$V$6:$X$135,2,FALSE)+VLOOKUP('Old Data'!$F272,$V$6:$X$135,3,FALSE)+$C$2</f>
        <v>300.02880725551177</v>
      </c>
      <c r="H276" s="74">
        <f>('Old Data'!$K272-$F276)^2+('Old Data'!$U272-$G276)^2</f>
        <v>2754.3224384916743</v>
      </c>
      <c r="I276" s="75">
        <f>('Old Data'!$L272+'Old Data'!$M272)-('Old Data'!$V272+'Old Data'!$W272)</f>
        <v>38</v>
      </c>
      <c r="J276" s="72">
        <f>VLOOKUP('Old Data'!$F272,$Z$6:$AB$135,2,FALSE)+VLOOKUP('Old Data'!$P272,$Z$6:$AB$135,3,FALSE)+$D$2</f>
        <v>81.485330765431002</v>
      </c>
      <c r="K276" s="72">
        <f>VLOOKUP('Old Data'!$P272,$Z$6:$AB$135,2,FALSE)+VLOOKUP('Old Data'!$F272,$Z$6:$AB$135,3,FALSE)+$D$2</f>
        <v>30.087077548497188</v>
      </c>
      <c r="L276" s="74">
        <f>('Old Data'!$L272+'Old Data'!$M272-$J276)^2+('Old Data'!$V272+'Old Data'!$W272-$K276)^2</f>
        <v>2796.2062271882237</v>
      </c>
      <c r="M276" s="75">
        <f>'Old Data'!$N272-'Old Data'!$X272</f>
        <v>0</v>
      </c>
      <c r="N276" s="72">
        <f>VLOOKUP('Old Data'!$F272,$AD$6:$AF$135,2,FALSE)+VLOOKUP('Old Data'!$P272,$AD$6:$AF$135,3,FALSE)+$E$2</f>
        <v>0.343966092631665</v>
      </c>
      <c r="O276" s="72">
        <f>VLOOKUP('Old Data'!$P272,$AD$6:$AF$135,2,FALSE)+VLOOKUP('Old Data'!$F272,$AD$6:$AF$135,3,FALSE)+$E$2</f>
        <v>1.7447335845656433</v>
      </c>
      <c r="P276" s="73">
        <f>('Old Data'!$N272-$N276)^2+('Old Data'!$X272-$O276)^2</f>
        <v>3.1624079539915737</v>
      </c>
      <c r="Q276" s="62"/>
      <c r="R276" s="3"/>
      <c r="S276" s="3"/>
      <c r="T276" s="3"/>
      <c r="V276" s="3"/>
      <c r="W276" s="3"/>
      <c r="X276" s="3"/>
      <c r="Z276" s="3"/>
      <c r="AA276" s="3"/>
      <c r="AB276" s="3"/>
      <c r="AC276" s="3"/>
      <c r="AD276" s="3"/>
      <c r="AE276" s="3"/>
      <c r="AF276" s="3"/>
      <c r="AG276" s="3"/>
      <c r="AH276" s="37"/>
      <c r="AI276" s="1"/>
      <c r="AK276" s="10"/>
      <c r="AL276" s="10"/>
      <c r="AM276" s="10"/>
      <c r="AN276" s="11"/>
      <c r="AO276" s="11"/>
      <c r="AP276" s="11"/>
      <c r="AQ276" s="36"/>
      <c r="AR276" s="11"/>
      <c r="AS276" s="11"/>
      <c r="AT276" s="11"/>
      <c r="AU276" s="12"/>
      <c r="AV276" s="11"/>
      <c r="AW276" s="11"/>
      <c r="AX276" s="15"/>
      <c r="AY276" s="15"/>
      <c r="AZ276" s="15"/>
      <c r="BA276" s="15"/>
      <c r="BB276" s="15"/>
      <c r="BC276" s="15"/>
      <c r="BD276" s="15"/>
      <c r="BE276" s="12"/>
      <c r="BF276" s="11"/>
      <c r="BG276" s="11"/>
      <c r="BH276" s="10"/>
      <c r="BI276" s="10"/>
      <c r="BJ276" s="10"/>
      <c r="BK276" s="23"/>
      <c r="BL276" s="23"/>
      <c r="BM276" s="23"/>
      <c r="BN276" s="23"/>
      <c r="BO276" s="23"/>
      <c r="BP276" s="23"/>
      <c r="BQ276" s="23"/>
      <c r="BR276" s="10"/>
      <c r="BS276" s="16"/>
      <c r="BT276" s="16"/>
      <c r="BU276" s="16"/>
      <c r="BV276" s="16"/>
      <c r="BW276" s="11"/>
      <c r="BX276" s="16"/>
      <c r="BY276" s="16"/>
      <c r="BZ276" s="17"/>
      <c r="CA276" s="18"/>
      <c r="CB276" s="18"/>
      <c r="CC276" s="18"/>
      <c r="CD276" s="18"/>
      <c r="CE276" s="18"/>
      <c r="CF276" s="18"/>
      <c r="CG276" s="19"/>
      <c r="CH276" s="15"/>
      <c r="CI276" s="17"/>
      <c r="CJ276" s="10"/>
      <c r="CK276" s="10"/>
      <c r="CL276" s="10"/>
      <c r="CM276" s="17"/>
      <c r="CN276" s="17"/>
      <c r="CO276" s="10"/>
      <c r="CP276" s="10"/>
      <c r="CQ276" s="10"/>
      <c r="CR276" s="10"/>
      <c r="CS276" s="10"/>
      <c r="CT276" s="10"/>
      <c r="CU276" s="10"/>
      <c r="CV276" s="10"/>
      <c r="CW276" s="10"/>
      <c r="CX276" s="10"/>
      <c r="CY276" s="10"/>
      <c r="CZ276" s="10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34"/>
      <c r="DV276" s="34"/>
      <c r="DW276" s="34"/>
      <c r="DX276" s="34"/>
      <c r="DY276" s="34"/>
      <c r="DZ276" s="34"/>
      <c r="EA276" s="34"/>
      <c r="EB276" s="34"/>
      <c r="EC276" s="34"/>
      <c r="ED276" s="34"/>
      <c r="EE276" s="34"/>
    </row>
    <row r="277" spans="1:135" customFormat="1">
      <c r="A277" s="71">
        <f>'Old Data'!$I273-'Old Data'!$S273</f>
        <v>-104</v>
      </c>
      <c r="B277" s="72">
        <f>VLOOKUP('Old Data'!$F273,$R$6:$T$135,2,FALSE)+VLOOKUP('Old Data'!$P273,$R$6:$T$135,3,FALSE)+$B$2</f>
        <v>106.87308470208501</v>
      </c>
      <c r="C277" s="72">
        <f>VLOOKUP('Old Data'!$P273,$R$6:$T$135,2,FALSE)+VLOOKUP('Old Data'!$F273,$R$6:$T$135,3,FALSE)+$B$2</f>
        <v>214.38118835413189</v>
      </c>
      <c r="D277" s="74">
        <f>('Old Data'!$I273-$B277)^2+('Old Data'!$S273-$C277)^2</f>
        <v>1882.1963794395424</v>
      </c>
      <c r="E277" s="75">
        <f>'Old Data'!$K273-'Old Data'!$U273</f>
        <v>-212</v>
      </c>
      <c r="F277" s="72">
        <f>VLOOKUP('Old Data'!$F273,$V$6:$X$135,2,FALSE)+VLOOKUP('Old Data'!$P273,$V$6:$X$135,3,FALSE)+$C$2</f>
        <v>176.4628822739237</v>
      </c>
      <c r="G277" s="72">
        <f>VLOOKUP('Old Data'!$P273,$V$6:$X$135,2,FALSE)+VLOOKUP('Old Data'!$F273,$V$6:$X$135,3,FALSE)+$C$2</f>
        <v>260.25635583926731</v>
      </c>
      <c r="H277" s="74">
        <f>('Old Data'!$K273-$F277)^2+('Old Data'!$U273-$G277)^2</f>
        <v>8219.2768857254741</v>
      </c>
      <c r="I277" s="75">
        <f>('Old Data'!$L273+'Old Data'!$M273)-('Old Data'!$V273+'Old Data'!$W273)</f>
        <v>-91</v>
      </c>
      <c r="J277" s="72">
        <f>VLOOKUP('Old Data'!$F273,$Z$6:$AB$135,2,FALSE)+VLOOKUP('Old Data'!$P273,$Z$6:$AB$135,3,FALSE)+$D$2</f>
        <v>40.457183777516967</v>
      </c>
      <c r="K277" s="72">
        <f>VLOOKUP('Old Data'!$P273,$Z$6:$AB$135,2,FALSE)+VLOOKUP('Old Data'!$F273,$Z$6:$AB$135,3,FALSE)+$D$2</f>
        <v>98.338033498719597</v>
      </c>
      <c r="L277" s="74">
        <f>('Old Data'!$L273+'Old Data'!$M273-$J277)^2+('Old Data'!$V273+'Old Data'!$W273-$K277)^2</f>
        <v>1597.0400202836397</v>
      </c>
      <c r="M277" s="75">
        <f>'Old Data'!$N273-'Old Data'!$X273</f>
        <v>1</v>
      </c>
      <c r="N277" s="72">
        <f>VLOOKUP('Old Data'!$F273,$AD$6:$AF$135,2,FALSE)+VLOOKUP('Old Data'!$P273,$AD$6:$AF$135,3,FALSE)+$E$2</f>
        <v>0.71024309392409113</v>
      </c>
      <c r="O277" s="72">
        <f>VLOOKUP('Old Data'!$P273,$AD$6:$AF$135,2,FALSE)+VLOOKUP('Old Data'!$F273,$AD$6:$AF$135,3,FALSE)+$E$2</f>
        <v>1.4618382452982985</v>
      </c>
      <c r="P277" s="73">
        <f>('Old Data'!$N273-$N277)^2+('Old Data'!$X273-$O277)^2</f>
        <v>2.2209301200354914</v>
      </c>
      <c r="Q277" s="62"/>
      <c r="R277" s="3"/>
      <c r="S277" s="3"/>
      <c r="T277" s="3"/>
      <c r="V277" s="3"/>
      <c r="W277" s="3"/>
      <c r="X277" s="3"/>
      <c r="Z277" s="3"/>
      <c r="AA277" s="3"/>
      <c r="AB277" s="3"/>
      <c r="AC277" s="3"/>
      <c r="AD277" s="3"/>
      <c r="AE277" s="3"/>
      <c r="AF277" s="3"/>
      <c r="AG277" s="3"/>
      <c r="AH277" s="37"/>
      <c r="AI277" s="1"/>
      <c r="AK277" s="10"/>
      <c r="AL277" s="10"/>
      <c r="AM277" s="10"/>
      <c r="AN277" s="11"/>
      <c r="AO277" s="11"/>
      <c r="AP277" s="11"/>
      <c r="AQ277" s="36"/>
      <c r="AR277" s="11"/>
      <c r="AS277" s="11"/>
      <c r="AT277" s="11"/>
      <c r="AU277" s="12"/>
      <c r="AV277" s="11"/>
      <c r="AW277" s="11"/>
      <c r="AX277" s="15"/>
      <c r="AY277" s="15"/>
      <c r="AZ277" s="15"/>
      <c r="BA277" s="15"/>
      <c r="BB277" s="15"/>
      <c r="BC277" s="15"/>
      <c r="BD277" s="15"/>
      <c r="BE277" s="12"/>
      <c r="BF277" s="11"/>
      <c r="BG277" s="11"/>
      <c r="BH277" s="10"/>
      <c r="BI277" s="10"/>
      <c r="BJ277" s="10"/>
      <c r="BK277" s="23"/>
      <c r="BL277" s="23"/>
      <c r="BM277" s="23"/>
      <c r="BN277" s="23"/>
      <c r="BO277" s="23"/>
      <c r="BP277" s="23"/>
      <c r="BQ277" s="23"/>
      <c r="BR277" s="10"/>
      <c r="BS277" s="16"/>
      <c r="BT277" s="16"/>
      <c r="BU277" s="16"/>
      <c r="BV277" s="16"/>
      <c r="BW277" s="11"/>
      <c r="BX277" s="16"/>
      <c r="BY277" s="16"/>
      <c r="BZ277" s="17"/>
      <c r="CA277" s="18"/>
      <c r="CB277" s="18"/>
      <c r="CC277" s="18"/>
      <c r="CD277" s="18"/>
      <c r="CE277" s="18"/>
      <c r="CF277" s="18"/>
      <c r="CG277" s="19"/>
      <c r="CH277" s="15"/>
      <c r="CI277" s="17"/>
      <c r="CJ277" s="10"/>
      <c r="CK277" s="10"/>
      <c r="CL277" s="10"/>
      <c r="CM277" s="17"/>
      <c r="CN277" s="17"/>
      <c r="CO277" s="10"/>
      <c r="CP277" s="10"/>
      <c r="CQ277" s="10"/>
      <c r="CR277" s="10"/>
      <c r="CS277" s="10"/>
      <c r="CT277" s="10"/>
      <c r="CU277" s="10"/>
      <c r="CV277" s="10"/>
      <c r="CW277" s="10"/>
      <c r="CX277" s="10"/>
      <c r="CY277" s="10"/>
      <c r="CZ277" s="10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34"/>
      <c r="DV277" s="34"/>
      <c r="DW277" s="34"/>
      <c r="DX277" s="34"/>
      <c r="DY277" s="34"/>
      <c r="DZ277" s="34"/>
      <c r="EA277" s="34"/>
      <c r="EB277" s="34"/>
      <c r="EC277" s="34"/>
      <c r="ED277" s="34"/>
      <c r="EE277" s="34"/>
    </row>
    <row r="278" spans="1:135" customFormat="1">
      <c r="A278" s="71">
        <f>'Old Data'!$I274-'Old Data'!$S274</f>
        <v>288</v>
      </c>
      <c r="B278" s="72">
        <f>VLOOKUP('Old Data'!$F274,$R$6:$T$135,2,FALSE)+VLOOKUP('Old Data'!$P274,$R$6:$T$135,3,FALSE)+$B$2</f>
        <v>342.0378703852673</v>
      </c>
      <c r="C278" s="72">
        <f>VLOOKUP('Old Data'!$P274,$R$6:$T$135,2,FALSE)+VLOOKUP('Old Data'!$F274,$R$6:$T$135,3,FALSE)+$B$2</f>
        <v>92.458729647134504</v>
      </c>
      <c r="D278" s="74">
        <f>('Old Data'!$I274-$B278)^2+('Old Data'!$S274-$C278)^2</f>
        <v>1089.1161198486411</v>
      </c>
      <c r="E278" s="75">
        <f>'Old Data'!$K274-'Old Data'!$U274</f>
        <v>108</v>
      </c>
      <c r="F278" s="72">
        <f>VLOOKUP('Old Data'!$F274,$V$6:$X$135,2,FALSE)+VLOOKUP('Old Data'!$P274,$V$6:$X$135,3,FALSE)+$C$2</f>
        <v>255.46103997405459</v>
      </c>
      <c r="G278" s="72">
        <f>VLOOKUP('Old Data'!$P274,$V$6:$X$135,2,FALSE)+VLOOKUP('Old Data'!$F274,$V$6:$X$135,3,FALSE)+$C$2</f>
        <v>160.4819011677381</v>
      </c>
      <c r="H278" s="74">
        <f>('Old Data'!$K274-$F278)^2+('Old Data'!$U274-$G278)^2</f>
        <v>16274.502446491921</v>
      </c>
      <c r="I278" s="75">
        <f>('Old Data'!$L274+'Old Data'!$M274)-('Old Data'!$V274+'Old Data'!$W274)</f>
        <v>38</v>
      </c>
      <c r="J278" s="72">
        <f>VLOOKUP('Old Data'!$F274,$Z$6:$AB$135,2,FALSE)+VLOOKUP('Old Data'!$P274,$Z$6:$AB$135,3,FALSE)+$D$2</f>
        <v>56.317155695921102</v>
      </c>
      <c r="K278" s="72">
        <f>VLOOKUP('Old Data'!$P274,$Z$6:$AB$135,2,FALSE)+VLOOKUP('Old Data'!$F274,$Z$6:$AB$135,3,FALSE)+$D$2</f>
        <v>63.059808312653097</v>
      </c>
      <c r="L278" s="74">
        <f>('Old Data'!$L274+'Old Data'!$M274-$J278)^2+('Old Data'!$V274+'Old Data'!$W274-$K278)^2</f>
        <v>2884.5183370456834</v>
      </c>
      <c r="M278" s="75">
        <f>'Old Data'!$N274-'Old Data'!$X274</f>
        <v>0</v>
      </c>
      <c r="N278" s="72">
        <f>VLOOKUP('Old Data'!$F274,$AD$6:$AF$135,2,FALSE)+VLOOKUP('Old Data'!$P274,$AD$6:$AF$135,3,FALSE)+$E$2</f>
        <v>1.014531322206647</v>
      </c>
      <c r="O278" s="72">
        <f>VLOOKUP('Old Data'!$P274,$AD$6:$AF$135,2,FALSE)+VLOOKUP('Old Data'!$F274,$AD$6:$AF$135,3,FALSE)+$E$2</f>
        <v>1.0120959786630133</v>
      </c>
      <c r="P278" s="73">
        <f>('Old Data'!$N274-$N278)^2+('Old Data'!$X274-$O278)^2</f>
        <v>3.5747202488946409E-4</v>
      </c>
      <c r="Q278" s="62"/>
      <c r="R278" s="3"/>
      <c r="S278" s="3"/>
      <c r="T278" s="3"/>
      <c r="V278" s="3"/>
      <c r="W278" s="3"/>
      <c r="X278" s="3"/>
      <c r="Z278" s="3"/>
      <c r="AA278" s="3"/>
      <c r="AB278" s="3"/>
      <c r="AC278" s="3"/>
      <c r="AD278" s="3"/>
      <c r="AE278" s="3"/>
      <c r="AF278" s="3"/>
      <c r="AG278" s="3"/>
      <c r="AH278" s="37"/>
      <c r="AI278" s="1"/>
      <c r="AK278" s="10"/>
      <c r="AL278" s="10"/>
      <c r="AM278" s="10"/>
      <c r="AN278" s="11"/>
      <c r="AO278" s="11"/>
      <c r="AP278" s="11"/>
      <c r="AQ278" s="36"/>
      <c r="AR278" s="11"/>
      <c r="AS278" s="11"/>
      <c r="AT278" s="11"/>
      <c r="AU278" s="12"/>
      <c r="AV278" s="11"/>
      <c r="AW278" s="11"/>
      <c r="AX278" s="15"/>
      <c r="AY278" s="15"/>
      <c r="AZ278" s="15"/>
      <c r="BA278" s="15"/>
      <c r="BB278" s="15"/>
      <c r="BC278" s="15"/>
      <c r="BD278" s="15"/>
      <c r="BE278" s="12"/>
      <c r="BF278" s="11"/>
      <c r="BG278" s="11"/>
      <c r="BH278" s="10"/>
      <c r="BI278" s="10"/>
      <c r="BJ278" s="10"/>
      <c r="BK278" s="23"/>
      <c r="BL278" s="23"/>
      <c r="BM278" s="23"/>
      <c r="BN278" s="23"/>
      <c r="BO278" s="23"/>
      <c r="BP278" s="23"/>
      <c r="BQ278" s="23"/>
      <c r="BR278" s="10"/>
      <c r="BS278" s="16"/>
      <c r="BT278" s="16"/>
      <c r="BU278" s="16"/>
      <c r="BV278" s="16"/>
      <c r="BW278" s="11"/>
      <c r="BX278" s="16"/>
      <c r="BY278" s="16"/>
      <c r="BZ278" s="17"/>
      <c r="CA278" s="18"/>
      <c r="CB278" s="18"/>
      <c r="CC278" s="18"/>
      <c r="CD278" s="18"/>
      <c r="CE278" s="18"/>
      <c r="CF278" s="18"/>
      <c r="CG278" s="19"/>
      <c r="CH278" s="15"/>
      <c r="CI278" s="17"/>
      <c r="CJ278" s="10"/>
      <c r="CK278" s="10"/>
      <c r="CL278" s="10"/>
      <c r="CM278" s="17"/>
      <c r="CN278" s="17"/>
      <c r="CO278" s="10"/>
      <c r="CP278" s="10"/>
      <c r="CQ278" s="10"/>
      <c r="CR278" s="10"/>
      <c r="CS278" s="10"/>
      <c r="CT278" s="10"/>
      <c r="CU278" s="10"/>
      <c r="CV278" s="10"/>
      <c r="CW278" s="10"/>
      <c r="CX278" s="10"/>
      <c r="CY278" s="10"/>
      <c r="CZ278" s="10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34"/>
      <c r="DV278" s="34"/>
      <c r="DW278" s="34"/>
      <c r="DX278" s="34"/>
      <c r="DY278" s="34"/>
      <c r="DZ278" s="34"/>
      <c r="EA278" s="34"/>
      <c r="EB278" s="34"/>
      <c r="EC278" s="34"/>
      <c r="ED278" s="34"/>
      <c r="EE278" s="34"/>
    </row>
    <row r="279" spans="1:135" customFormat="1">
      <c r="A279" s="71">
        <f>'Old Data'!$I275-'Old Data'!$S275</f>
        <v>-128</v>
      </c>
      <c r="B279" s="72">
        <f>VLOOKUP('Old Data'!$F275,$R$6:$T$135,2,FALSE)+VLOOKUP('Old Data'!$P275,$R$6:$T$135,3,FALSE)+$B$2</f>
        <v>67.680351465505595</v>
      </c>
      <c r="C279" s="72">
        <f>VLOOKUP('Old Data'!$P275,$R$6:$T$135,2,FALSE)+VLOOKUP('Old Data'!$F275,$R$6:$T$135,3,FALSE)+$B$2</f>
        <v>175.29809486315631</v>
      </c>
      <c r="D279" s="74">
        <f>('Old Data'!$I275-$B279)^2+('Old Data'!$S275-$C279)^2</f>
        <v>3173.8780570754129</v>
      </c>
      <c r="E279" s="75">
        <f>'Old Data'!$K275-'Old Data'!$U275</f>
        <v>156</v>
      </c>
      <c r="F279" s="72">
        <f>VLOOKUP('Old Data'!$F275,$V$6:$X$135,2,FALSE)+VLOOKUP('Old Data'!$P275,$V$6:$X$135,3,FALSE)+$C$2</f>
        <v>305.52275643357001</v>
      </c>
      <c r="G279" s="72">
        <f>VLOOKUP('Old Data'!$P275,$V$6:$X$135,2,FALSE)+VLOOKUP('Old Data'!$F275,$V$6:$X$135,3,FALSE)+$C$2</f>
        <v>292.15562442061298</v>
      </c>
      <c r="H279" s="74">
        <f>('Old Data'!$K275-$F279)^2+('Old Data'!$U275-$G279)^2</f>
        <v>10365.686851625751</v>
      </c>
      <c r="I279" s="75">
        <f>('Old Data'!$L275+'Old Data'!$M275)-('Old Data'!$V275+'Old Data'!$W275)</f>
        <v>27</v>
      </c>
      <c r="J279" s="72">
        <f>VLOOKUP('Old Data'!$F275,$Z$6:$AB$135,2,FALSE)+VLOOKUP('Old Data'!$P275,$Z$6:$AB$135,3,FALSE)+$D$2</f>
        <v>43.576732749835777</v>
      </c>
      <c r="K279" s="72">
        <f>VLOOKUP('Old Data'!$P275,$Z$6:$AB$135,2,FALSE)+VLOOKUP('Old Data'!$F275,$Z$6:$AB$135,3,FALSE)+$D$2</f>
        <v>13.887671944687199</v>
      </c>
      <c r="L279" s="74">
        <f>('Old Data'!$L275+'Old Data'!$M275-$J279)^2+('Old Data'!$V275+'Old Data'!$W275-$K279)^2</f>
        <v>866.21836269707569</v>
      </c>
      <c r="M279" s="75">
        <f>'Old Data'!$N275-'Old Data'!$X275</f>
        <v>-3</v>
      </c>
      <c r="N279" s="72">
        <f>VLOOKUP('Old Data'!$F275,$AD$6:$AF$135,2,FALSE)+VLOOKUP('Old Data'!$P275,$AD$6:$AF$135,3,FALSE)+$E$2</f>
        <v>0.73937923679859707</v>
      </c>
      <c r="O279" s="72">
        <f>VLOOKUP('Old Data'!$P275,$AD$6:$AF$135,2,FALSE)+VLOOKUP('Old Data'!$F275,$AD$6:$AF$135,3,FALSE)+$E$2</f>
        <v>2.1669899477064654</v>
      </c>
      <c r="P279" s="73">
        <f>('Old Data'!$N275-$N279)^2+('Old Data'!$X275-$O279)^2</f>
        <v>3.4278490340208285</v>
      </c>
      <c r="Q279" s="62"/>
      <c r="R279" s="3"/>
      <c r="S279" s="3"/>
      <c r="T279" s="3"/>
      <c r="V279" s="3"/>
      <c r="W279" s="3"/>
      <c r="X279" s="3"/>
      <c r="Z279" s="3"/>
      <c r="AA279" s="3"/>
      <c r="AB279" s="3"/>
      <c r="AC279" s="3"/>
      <c r="AD279" s="3"/>
      <c r="AE279" s="3"/>
      <c r="AF279" s="3"/>
      <c r="AG279" s="3"/>
      <c r="AH279" s="37"/>
      <c r="AI279" s="1"/>
      <c r="AK279" s="10"/>
      <c r="AL279" s="10"/>
      <c r="AM279" s="10"/>
      <c r="AN279" s="11"/>
      <c r="AO279" s="11"/>
      <c r="AP279" s="11"/>
      <c r="AQ279" s="36"/>
      <c r="AR279" s="11"/>
      <c r="AS279" s="11"/>
      <c r="AT279" s="11"/>
      <c r="AU279" s="12"/>
      <c r="AV279" s="11"/>
      <c r="AW279" s="11"/>
      <c r="AX279" s="15"/>
      <c r="AY279" s="15"/>
      <c r="AZ279" s="15"/>
      <c r="BA279" s="15"/>
      <c r="BB279" s="15"/>
      <c r="BC279" s="15"/>
      <c r="BD279" s="15"/>
      <c r="BE279" s="12"/>
      <c r="BF279" s="11"/>
      <c r="BG279" s="11"/>
      <c r="BH279" s="10"/>
      <c r="BI279" s="10"/>
      <c r="BJ279" s="10"/>
      <c r="BK279" s="23"/>
      <c r="BL279" s="23"/>
      <c r="BM279" s="23"/>
      <c r="BN279" s="23"/>
      <c r="BO279" s="23"/>
      <c r="BP279" s="23"/>
      <c r="BQ279" s="23"/>
      <c r="BR279" s="10"/>
      <c r="BS279" s="16"/>
      <c r="BT279" s="16"/>
      <c r="BU279" s="16"/>
      <c r="BV279" s="16"/>
      <c r="BW279" s="11"/>
      <c r="BX279" s="16"/>
      <c r="BY279" s="16"/>
      <c r="BZ279" s="17"/>
      <c r="CA279" s="18"/>
      <c r="CB279" s="18"/>
      <c r="CC279" s="18"/>
      <c r="CD279" s="18"/>
      <c r="CE279" s="18"/>
      <c r="CF279" s="18"/>
      <c r="CG279" s="19"/>
      <c r="CH279" s="15"/>
      <c r="CI279" s="17"/>
      <c r="CJ279" s="10"/>
      <c r="CK279" s="10"/>
      <c r="CL279" s="10"/>
      <c r="CM279" s="17"/>
      <c r="CN279" s="17"/>
      <c r="CO279" s="10"/>
      <c r="CP279" s="10"/>
      <c r="CQ279" s="10"/>
      <c r="CR279" s="10"/>
      <c r="CS279" s="10"/>
      <c r="CT279" s="10"/>
      <c r="CU279" s="10"/>
      <c r="CV279" s="10"/>
      <c r="CW279" s="10"/>
      <c r="CX279" s="10"/>
      <c r="CY279" s="10"/>
      <c r="CZ279" s="10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34"/>
      <c r="DV279" s="34"/>
      <c r="DW279" s="34"/>
      <c r="DX279" s="34"/>
      <c r="DY279" s="34"/>
      <c r="DZ279" s="34"/>
      <c r="EA279" s="34"/>
      <c r="EB279" s="34"/>
      <c r="EC279" s="34"/>
      <c r="ED279" s="34"/>
      <c r="EE279" s="34"/>
    </row>
    <row r="280" spans="1:135" customFormat="1">
      <c r="A280" s="71">
        <f>'Old Data'!$I276-'Old Data'!$S276</f>
        <v>221</v>
      </c>
      <c r="B280" s="72">
        <f>VLOOKUP('Old Data'!$F276,$R$6:$T$135,2,FALSE)+VLOOKUP('Old Data'!$P276,$R$6:$T$135,3,FALSE)+$B$2</f>
        <v>235.56027546204314</v>
      </c>
      <c r="C280" s="72">
        <f>VLOOKUP('Old Data'!$P276,$R$6:$T$135,2,FALSE)+VLOOKUP('Old Data'!$F276,$R$6:$T$135,3,FALSE)+$B$2</f>
        <v>178.7080763916158</v>
      </c>
      <c r="D280" s="74">
        <f>('Old Data'!$I276-$B280)^2+('Old Data'!$S276-$C280)^2</f>
        <v>13483.444522097696</v>
      </c>
      <c r="E280" s="75">
        <f>'Old Data'!$K276-'Old Data'!$U276</f>
        <v>-135</v>
      </c>
      <c r="F280" s="72">
        <f>VLOOKUP('Old Data'!$F276,$V$6:$X$135,2,FALSE)+VLOOKUP('Old Data'!$P276,$V$6:$X$135,3,FALSE)+$C$2</f>
        <v>179.84766778699296</v>
      </c>
      <c r="G280" s="72">
        <f>VLOOKUP('Old Data'!$P276,$V$6:$X$135,2,FALSE)+VLOOKUP('Old Data'!$F276,$V$6:$X$135,3,FALSE)+$C$2</f>
        <v>196.38943029521369</v>
      </c>
      <c r="H280" s="74">
        <f>('Old Data'!$K276-$F280)^2+('Old Data'!$U276-$G280)^2</f>
        <v>18152.032736828474</v>
      </c>
      <c r="I280" s="75">
        <f>('Old Data'!$L276+'Old Data'!$M276)-('Old Data'!$V276+'Old Data'!$W276)</f>
        <v>-18</v>
      </c>
      <c r="J280" s="72">
        <f>VLOOKUP('Old Data'!$F276,$Z$6:$AB$135,2,FALSE)+VLOOKUP('Old Data'!$P276,$Z$6:$AB$135,3,FALSE)+$D$2</f>
        <v>39.599572941867763</v>
      </c>
      <c r="K280" s="72">
        <f>VLOOKUP('Old Data'!$P276,$Z$6:$AB$135,2,FALSE)+VLOOKUP('Old Data'!$F276,$Z$6:$AB$135,3,FALSE)+$D$2</f>
        <v>60.833935924944818</v>
      </c>
      <c r="L280" s="74">
        <f>('Old Data'!$L276+'Old Data'!$M276-$J280)^2+('Old Data'!$V276+'Old Data'!$W276-$K280)^2</f>
        <v>1954.2020666643321</v>
      </c>
      <c r="M280" s="75">
        <f>'Old Data'!$N276-'Old Data'!$X276</f>
        <v>0</v>
      </c>
      <c r="N280" s="72">
        <f>VLOOKUP('Old Data'!$F276,$AD$6:$AF$135,2,FALSE)+VLOOKUP('Old Data'!$P276,$AD$6:$AF$135,3,FALSE)+$E$2</f>
        <v>1.0333416815265921</v>
      </c>
      <c r="O280" s="72">
        <f>VLOOKUP('Old Data'!$P276,$AD$6:$AF$135,2,FALSE)+VLOOKUP('Old Data'!$F276,$AD$6:$AF$135,3,FALSE)+$E$2</f>
        <v>1.0916387649543142</v>
      </c>
      <c r="P280" s="73">
        <f>('Old Data'!$N276-$N280)^2+('Old Data'!$X276-$O280)^2</f>
        <v>2.2594702239311855</v>
      </c>
      <c r="Q280" s="62"/>
      <c r="R280" s="3"/>
      <c r="S280" s="3"/>
      <c r="T280" s="3"/>
      <c r="V280" s="3"/>
      <c r="W280" s="3"/>
      <c r="X280" s="3"/>
      <c r="Z280" s="3"/>
      <c r="AA280" s="3"/>
      <c r="AB280" s="3"/>
      <c r="AC280" s="3"/>
      <c r="AD280" s="3"/>
      <c r="AE280" s="3"/>
      <c r="AF280" s="3"/>
      <c r="AG280" s="3"/>
      <c r="AH280" s="37"/>
      <c r="AI280" s="1"/>
      <c r="AK280" s="10"/>
      <c r="AL280" s="10"/>
      <c r="AM280" s="10"/>
      <c r="AN280" s="11"/>
      <c r="AO280" s="11"/>
      <c r="AP280" s="11"/>
      <c r="AQ280" s="36"/>
      <c r="AR280" s="11"/>
      <c r="AS280" s="11"/>
      <c r="AT280" s="11"/>
      <c r="AU280" s="12"/>
      <c r="AV280" s="11"/>
      <c r="AW280" s="11"/>
      <c r="AX280" s="15"/>
      <c r="AY280" s="15"/>
      <c r="AZ280" s="15"/>
      <c r="BA280" s="15"/>
      <c r="BB280" s="15"/>
      <c r="BC280" s="15"/>
      <c r="BD280" s="15"/>
      <c r="BE280" s="12"/>
      <c r="BF280" s="11"/>
      <c r="BG280" s="11"/>
      <c r="BH280" s="10"/>
      <c r="BI280" s="10"/>
      <c r="BJ280" s="10"/>
      <c r="BK280" s="23"/>
      <c r="BL280" s="23"/>
      <c r="BM280" s="23"/>
      <c r="BN280" s="23"/>
      <c r="BO280" s="23"/>
      <c r="BP280" s="23"/>
      <c r="BQ280" s="23"/>
      <c r="BR280" s="10"/>
      <c r="BS280" s="16"/>
      <c r="BT280" s="16"/>
      <c r="BU280" s="16"/>
      <c r="BV280" s="16"/>
      <c r="BW280" s="11"/>
      <c r="BX280" s="16"/>
      <c r="BY280" s="16"/>
      <c r="BZ280" s="17"/>
      <c r="CA280" s="18"/>
      <c r="CB280" s="18"/>
      <c r="CC280" s="18"/>
      <c r="CD280" s="18"/>
      <c r="CE280" s="18"/>
      <c r="CF280" s="18"/>
      <c r="CG280" s="19"/>
      <c r="CH280" s="15"/>
      <c r="CI280" s="17"/>
      <c r="CJ280" s="10"/>
      <c r="CK280" s="10"/>
      <c r="CL280" s="10"/>
      <c r="CM280" s="17"/>
      <c r="CN280" s="17"/>
      <c r="CO280" s="10"/>
      <c r="CP280" s="10"/>
      <c r="CQ280" s="10"/>
      <c r="CR280" s="10"/>
      <c r="CS280" s="10"/>
      <c r="CT280" s="10"/>
      <c r="CU280" s="10"/>
      <c r="CV280" s="10"/>
      <c r="CW280" s="10"/>
      <c r="CX280" s="10"/>
      <c r="CY280" s="10"/>
      <c r="CZ280" s="10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34"/>
      <c r="DV280" s="34"/>
      <c r="DW280" s="34"/>
      <c r="DX280" s="34"/>
      <c r="DY280" s="34"/>
      <c r="DZ280" s="34"/>
      <c r="EA280" s="34"/>
      <c r="EB280" s="34"/>
      <c r="EC280" s="34"/>
      <c r="ED280" s="34"/>
      <c r="EE280" s="34"/>
    </row>
    <row r="281" spans="1:135" customFormat="1">
      <c r="A281" s="71">
        <f>'Old Data'!$I277-'Old Data'!$S277</f>
        <v>33</v>
      </c>
      <c r="B281" s="72">
        <f>VLOOKUP('Old Data'!$F277,$R$6:$T$135,2,FALSE)+VLOOKUP('Old Data'!$P277,$R$6:$T$135,3,FALSE)+$B$2</f>
        <v>231.93663428407001</v>
      </c>
      <c r="C281" s="72">
        <f>VLOOKUP('Old Data'!$P277,$R$6:$T$135,2,FALSE)+VLOOKUP('Old Data'!$F277,$R$6:$T$135,3,FALSE)+$B$2</f>
        <v>170.17185101417851</v>
      </c>
      <c r="D281" s="74">
        <f>('Old Data'!$I277-$B281)^2+('Old Data'!$S277-$C281)^2</f>
        <v>6149.8201897244753</v>
      </c>
      <c r="E281" s="75">
        <f>'Old Data'!$K277-'Old Data'!$U277</f>
        <v>-92</v>
      </c>
      <c r="F281" s="72">
        <f>VLOOKUP('Old Data'!$F277,$V$6:$X$135,2,FALSE)+VLOOKUP('Old Data'!$P277,$V$6:$X$135,3,FALSE)+$C$2</f>
        <v>276.70982097629746</v>
      </c>
      <c r="G281" s="72">
        <f>VLOOKUP('Old Data'!$P277,$V$6:$X$135,2,FALSE)+VLOOKUP('Old Data'!$F277,$V$6:$X$135,3,FALSE)+$C$2</f>
        <v>181.25545202818932</v>
      </c>
      <c r="H281" s="74">
        <f>('Old Data'!$K277-$F281)^2+('Old Data'!$U277-$G281)^2</f>
        <v>17768.87628193857</v>
      </c>
      <c r="I281" s="75">
        <f>('Old Data'!$L277+'Old Data'!$M277)-('Old Data'!$V277+'Old Data'!$W277)</f>
        <v>-101</v>
      </c>
      <c r="J281" s="72">
        <f>VLOOKUP('Old Data'!$F277,$Z$6:$AB$135,2,FALSE)+VLOOKUP('Old Data'!$P277,$Z$6:$AB$135,3,FALSE)+$D$2</f>
        <v>58.730483081515189</v>
      </c>
      <c r="K281" s="72">
        <f>VLOOKUP('Old Data'!$P277,$Z$6:$AB$135,2,FALSE)+VLOOKUP('Old Data'!$F277,$Z$6:$AB$135,3,FALSE)+$D$2</f>
        <v>45.577873616216095</v>
      </c>
      <c r="L281" s="74">
        <f>('Old Data'!$L277+'Old Data'!$M277-$J281)^2+('Old Data'!$V277+'Old Data'!$W277-$K281)^2</f>
        <v>9611.5964866742925</v>
      </c>
      <c r="M281" s="75">
        <f>'Old Data'!$N277-'Old Data'!$X277</f>
        <v>3</v>
      </c>
      <c r="N281" s="72">
        <f>VLOOKUP('Old Data'!$F277,$AD$6:$AF$135,2,FALSE)+VLOOKUP('Old Data'!$P277,$AD$6:$AF$135,3,FALSE)+$E$2</f>
        <v>1.6477092630826302</v>
      </c>
      <c r="O281" s="72">
        <f>VLOOKUP('Old Data'!$P277,$AD$6:$AF$135,2,FALSE)+VLOOKUP('Old Data'!$F277,$AD$6:$AF$135,3,FALSE)+$E$2</f>
        <v>0.72015478971190516</v>
      </c>
      <c r="P281" s="73">
        <f>('Old Data'!$N277-$N281)^2+('Old Data'!$X277-$O281)^2</f>
        <v>2.3473131582975215</v>
      </c>
      <c r="Q281" s="62"/>
      <c r="R281" s="3"/>
      <c r="S281" s="3"/>
      <c r="T281" s="3"/>
      <c r="V281" s="3"/>
      <c r="W281" s="3"/>
      <c r="X281" s="3"/>
      <c r="Z281" s="3"/>
      <c r="AA281" s="3"/>
      <c r="AB281" s="3"/>
      <c r="AC281" s="3"/>
      <c r="AD281" s="3"/>
      <c r="AE281" s="3"/>
      <c r="AF281" s="3"/>
      <c r="AG281" s="3"/>
      <c r="AH281" s="37"/>
      <c r="AI281" s="1"/>
      <c r="AK281" s="10"/>
      <c r="AL281" s="10"/>
      <c r="AM281" s="10"/>
      <c r="AN281" s="11"/>
      <c r="AO281" s="11"/>
      <c r="AP281" s="11"/>
      <c r="AQ281" s="36"/>
      <c r="AR281" s="11"/>
      <c r="AS281" s="11"/>
      <c r="AT281" s="11"/>
      <c r="AU281" s="12"/>
      <c r="AV281" s="11"/>
      <c r="AW281" s="11"/>
      <c r="AX281" s="15"/>
      <c r="AY281" s="15"/>
      <c r="AZ281" s="15"/>
      <c r="BA281" s="15"/>
      <c r="BB281" s="15"/>
      <c r="BC281" s="15"/>
      <c r="BD281" s="15"/>
      <c r="BE281" s="12"/>
      <c r="BF281" s="11"/>
      <c r="BG281" s="11"/>
      <c r="BH281" s="10"/>
      <c r="BI281" s="10"/>
      <c r="BJ281" s="10"/>
      <c r="BK281" s="23"/>
      <c r="BL281" s="23"/>
      <c r="BM281" s="23"/>
      <c r="BN281" s="23"/>
      <c r="BO281" s="23"/>
      <c r="BP281" s="23"/>
      <c r="BQ281" s="23"/>
      <c r="BR281" s="10"/>
      <c r="BS281" s="16"/>
      <c r="BT281" s="16"/>
      <c r="BU281" s="16"/>
      <c r="BV281" s="16"/>
      <c r="BW281" s="11"/>
      <c r="BX281" s="16"/>
      <c r="BY281" s="16"/>
      <c r="BZ281" s="17"/>
      <c r="CA281" s="18"/>
      <c r="CB281" s="18"/>
      <c r="CC281" s="18"/>
      <c r="CD281" s="18"/>
      <c r="CE281" s="18"/>
      <c r="CF281" s="18"/>
      <c r="CG281" s="19"/>
      <c r="CH281" s="15"/>
      <c r="CI281" s="17"/>
      <c r="CJ281" s="10"/>
      <c r="CK281" s="10"/>
      <c r="CL281" s="10"/>
      <c r="CM281" s="17"/>
      <c r="CN281" s="17"/>
      <c r="CO281" s="10"/>
      <c r="CP281" s="10"/>
      <c r="CQ281" s="10"/>
      <c r="CR281" s="10"/>
      <c r="CS281" s="10"/>
      <c r="CT281" s="10"/>
      <c r="CU281" s="10"/>
      <c r="CV281" s="10"/>
      <c r="CW281" s="10"/>
      <c r="CX281" s="10"/>
      <c r="CY281" s="10"/>
      <c r="CZ281" s="10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34"/>
      <c r="DV281" s="34"/>
      <c r="DW281" s="34"/>
      <c r="DX281" s="34"/>
      <c r="DY281" s="34"/>
      <c r="DZ281" s="34"/>
      <c r="EA281" s="34"/>
      <c r="EB281" s="34"/>
      <c r="EC281" s="34"/>
      <c r="ED281" s="34"/>
      <c r="EE281" s="34"/>
    </row>
    <row r="282" spans="1:135" customFormat="1">
      <c r="A282" s="71">
        <f>'Old Data'!$I278-'Old Data'!$S278</f>
        <v>-240</v>
      </c>
      <c r="B282" s="72">
        <f>VLOOKUP('Old Data'!$F278,$R$6:$T$135,2,FALSE)+VLOOKUP('Old Data'!$P278,$R$6:$T$135,3,FALSE)+$B$2</f>
        <v>150.13616670843152</v>
      </c>
      <c r="C282" s="72">
        <f>VLOOKUP('Old Data'!$P278,$R$6:$T$135,2,FALSE)+VLOOKUP('Old Data'!$F278,$R$6:$T$135,3,FALSE)+$B$2</f>
        <v>275.99422422017341</v>
      </c>
      <c r="D282" s="74">
        <f>('Old Data'!$I278-$B282)^2+('Old Data'!$S278-$C282)^2</f>
        <v>12578.543020540084</v>
      </c>
      <c r="E282" s="75">
        <f>'Old Data'!$K278-'Old Data'!$U278</f>
        <v>-186</v>
      </c>
      <c r="F282" s="72">
        <f>VLOOKUP('Old Data'!$F278,$V$6:$X$135,2,FALSE)+VLOOKUP('Old Data'!$P278,$V$6:$X$135,3,FALSE)+$C$2</f>
        <v>113.01867361806559</v>
      </c>
      <c r="G282" s="72">
        <f>VLOOKUP('Old Data'!$P278,$V$6:$X$135,2,FALSE)+VLOOKUP('Old Data'!$F278,$V$6:$X$135,3,FALSE)+$C$2</f>
        <v>276.05731640597611</v>
      </c>
      <c r="H282" s="74">
        <f>('Old Data'!$K278-$F282)^2+('Old Data'!$U278-$G282)^2</f>
        <v>1467.838360930507</v>
      </c>
      <c r="I282" s="75">
        <f>('Old Data'!$L278+'Old Data'!$M278)-('Old Data'!$V278+'Old Data'!$W278)</f>
        <v>-120</v>
      </c>
      <c r="J282" s="72">
        <f>VLOOKUP('Old Data'!$F278,$Z$6:$AB$135,2,FALSE)+VLOOKUP('Old Data'!$P278,$Z$6:$AB$135,3,FALSE)+$D$2</f>
        <v>109.31113393395398</v>
      </c>
      <c r="K282" s="72">
        <f>VLOOKUP('Old Data'!$P278,$Z$6:$AB$135,2,FALSE)+VLOOKUP('Old Data'!$F278,$Z$6:$AB$135,3,FALSE)+$D$2</f>
        <v>58.736953371388694</v>
      </c>
      <c r="L282" s="74">
        <f>('Old Data'!$L278+'Old Data'!$M278-$J282)^2+('Old Data'!$V278+'Old Data'!$W278-$K282)^2</f>
        <v>14580.161391932521</v>
      </c>
      <c r="M282" s="75">
        <f>'Old Data'!$N278-'Old Data'!$X278</f>
        <v>-2</v>
      </c>
      <c r="N282" s="72">
        <f>VLOOKUP('Old Data'!$F278,$AD$6:$AF$135,2,FALSE)+VLOOKUP('Old Data'!$P278,$AD$6:$AF$135,3,FALSE)+$E$2</f>
        <v>1.6882171233583345</v>
      </c>
      <c r="O282" s="72">
        <f>VLOOKUP('Old Data'!$P278,$AD$6:$AF$135,2,FALSE)+VLOOKUP('Old Data'!$F278,$AD$6:$AF$135,3,FALSE)+$E$2</f>
        <v>1.44019076608941</v>
      </c>
      <c r="P282" s="73">
        <f>('Old Data'!$N278-$N282)^2+('Old Data'!$X278-$O282)^2</f>
        <v>2.9066476550763625</v>
      </c>
      <c r="Q282" s="62"/>
      <c r="R282" s="3"/>
      <c r="S282" s="3"/>
      <c r="T282" s="3"/>
      <c r="V282" s="3"/>
      <c r="W282" s="3"/>
      <c r="X282" s="3"/>
      <c r="Z282" s="3"/>
      <c r="AA282" s="3"/>
      <c r="AB282" s="3"/>
      <c r="AC282" s="3"/>
      <c r="AD282" s="3"/>
      <c r="AE282" s="3"/>
      <c r="AF282" s="3"/>
      <c r="AG282" s="3"/>
      <c r="AH282" s="37"/>
      <c r="AI282" s="1"/>
      <c r="AK282" s="10"/>
      <c r="AL282" s="10"/>
      <c r="AM282" s="10"/>
      <c r="AN282" s="11"/>
      <c r="AO282" s="11"/>
      <c r="AP282" s="11"/>
      <c r="AQ282" s="36"/>
      <c r="AR282" s="11"/>
      <c r="AS282" s="11"/>
      <c r="AT282" s="11"/>
      <c r="AU282" s="12"/>
      <c r="AV282" s="11"/>
      <c r="AW282" s="11"/>
      <c r="AX282" s="15"/>
      <c r="AY282" s="15"/>
      <c r="AZ282" s="15"/>
      <c r="BA282" s="15"/>
      <c r="BB282" s="15"/>
      <c r="BC282" s="15"/>
      <c r="BD282" s="15"/>
      <c r="BE282" s="12"/>
      <c r="BF282" s="11"/>
      <c r="BG282" s="11"/>
      <c r="BH282" s="10"/>
      <c r="BI282" s="10"/>
      <c r="BJ282" s="10"/>
      <c r="BK282" s="23"/>
      <c r="BL282" s="23"/>
      <c r="BM282" s="23"/>
      <c r="BN282" s="23"/>
      <c r="BO282" s="23"/>
      <c r="BP282" s="23"/>
      <c r="BQ282" s="23"/>
      <c r="BR282" s="10"/>
      <c r="BS282" s="16"/>
      <c r="BT282" s="16"/>
      <c r="BU282" s="16"/>
      <c r="BV282" s="16"/>
      <c r="BW282" s="11"/>
      <c r="BX282" s="16"/>
      <c r="BY282" s="16"/>
      <c r="BZ282" s="17"/>
      <c r="CA282" s="18"/>
      <c r="CB282" s="18"/>
      <c r="CC282" s="18"/>
      <c r="CD282" s="18"/>
      <c r="CE282" s="18"/>
      <c r="CF282" s="18"/>
      <c r="CG282" s="19"/>
      <c r="CH282" s="15"/>
      <c r="CI282" s="17"/>
      <c r="CJ282" s="10"/>
      <c r="CK282" s="10"/>
      <c r="CL282" s="10"/>
      <c r="CM282" s="17"/>
      <c r="CN282" s="17"/>
      <c r="CO282" s="10"/>
      <c r="CP282" s="10"/>
      <c r="CQ282" s="10"/>
      <c r="CR282" s="10"/>
      <c r="CS282" s="10"/>
      <c r="CT282" s="10"/>
      <c r="CU282" s="10"/>
      <c r="CV282" s="10"/>
      <c r="CW282" s="10"/>
      <c r="CX282" s="10"/>
      <c r="CY282" s="10"/>
      <c r="CZ282" s="10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34"/>
      <c r="DV282" s="34"/>
      <c r="DW282" s="34"/>
      <c r="DX282" s="34"/>
      <c r="DY282" s="34"/>
      <c r="DZ282" s="34"/>
      <c r="EA282" s="34"/>
      <c r="EB282" s="34"/>
      <c r="EC282" s="34"/>
      <c r="ED282" s="34"/>
      <c r="EE282" s="34"/>
    </row>
    <row r="283" spans="1:135" customFormat="1">
      <c r="A283" s="71">
        <f>'Old Data'!$I279-'Old Data'!$S279</f>
        <v>-74</v>
      </c>
      <c r="B283" s="72">
        <f>VLOOKUP('Old Data'!$F279,$R$6:$T$135,2,FALSE)+VLOOKUP('Old Data'!$P279,$R$6:$T$135,3,FALSE)+$B$2</f>
        <v>203.368602098113</v>
      </c>
      <c r="C283" s="72">
        <f>VLOOKUP('Old Data'!$P279,$R$6:$T$135,2,FALSE)+VLOOKUP('Old Data'!$F279,$R$6:$T$135,3,FALSE)+$B$2</f>
        <v>217.47561568201252</v>
      </c>
      <c r="D283" s="74">
        <f>('Old Data'!$I279-$B283)^2+('Old Data'!$S279-$C283)^2</f>
        <v>6878.3630407622904</v>
      </c>
      <c r="E283" s="75">
        <f>'Old Data'!$K279-'Old Data'!$U279</f>
        <v>-16</v>
      </c>
      <c r="F283" s="72">
        <f>VLOOKUP('Old Data'!$F279,$V$6:$X$135,2,FALSE)+VLOOKUP('Old Data'!$P279,$V$6:$X$135,3,FALSE)+$C$2</f>
        <v>203.56730880283641</v>
      </c>
      <c r="G283" s="72">
        <f>VLOOKUP('Old Data'!$P279,$V$6:$X$135,2,FALSE)+VLOOKUP('Old Data'!$F279,$V$6:$X$135,3,FALSE)+$C$2</f>
        <v>196.4592262450588</v>
      </c>
      <c r="H283" s="74">
        <f>('Old Data'!$K279-$F283)^2+('Old Data'!$U279-$G283)^2</f>
        <v>7712.2293676461313</v>
      </c>
      <c r="I283" s="75">
        <f>('Old Data'!$L279+'Old Data'!$M279)-('Old Data'!$V279+'Old Data'!$W279)</f>
        <v>123</v>
      </c>
      <c r="J283" s="72">
        <f>VLOOKUP('Old Data'!$F279,$Z$6:$AB$135,2,FALSE)+VLOOKUP('Old Data'!$P279,$Z$6:$AB$135,3,FALSE)+$D$2</f>
        <v>90.438615795561802</v>
      </c>
      <c r="K283" s="72">
        <f>VLOOKUP('Old Data'!$P279,$Z$6:$AB$135,2,FALSE)+VLOOKUP('Old Data'!$F279,$Z$6:$AB$135,3,FALSE)+$D$2</f>
        <v>50.498551687817276</v>
      </c>
      <c r="L283" s="74">
        <f>('Old Data'!$L279+'Old Data'!$M279-$J283)^2+('Old Data'!$V279+'Old Data'!$W279-$K283)^2</f>
        <v>3467.8554442750924</v>
      </c>
      <c r="M283" s="75">
        <f>'Old Data'!$N279-'Old Data'!$X279</f>
        <v>0</v>
      </c>
      <c r="N283" s="72">
        <f>VLOOKUP('Old Data'!$F279,$AD$6:$AF$135,2,FALSE)+VLOOKUP('Old Data'!$P279,$AD$6:$AF$135,3,FALSE)+$E$2</f>
        <v>0.90477915139808296</v>
      </c>
      <c r="O283" s="72">
        <f>VLOOKUP('Old Data'!$P279,$AD$6:$AF$135,2,FALSE)+VLOOKUP('Old Data'!$F279,$AD$6:$AF$135,3,FALSE)+$E$2</f>
        <v>1.348072969463042</v>
      </c>
      <c r="P283" s="73">
        <f>('Old Data'!$N279-$N283)^2+('Old Data'!$X279-$O283)^2</f>
        <v>2.6359260438015388</v>
      </c>
      <c r="Q283" s="62"/>
      <c r="R283" s="3"/>
      <c r="S283" s="3"/>
      <c r="T283" s="3"/>
      <c r="V283" s="3"/>
      <c r="W283" s="3"/>
      <c r="X283" s="3"/>
      <c r="Z283" s="3"/>
      <c r="AA283" s="3"/>
      <c r="AB283" s="3"/>
      <c r="AC283" s="3"/>
      <c r="AD283" s="3"/>
      <c r="AE283" s="3"/>
      <c r="AF283" s="3"/>
      <c r="AG283" s="3"/>
      <c r="AH283" s="37"/>
      <c r="AI283" s="1"/>
      <c r="AK283" s="10"/>
      <c r="AL283" s="10"/>
      <c r="AM283" s="10"/>
      <c r="AN283" s="11"/>
      <c r="AO283" s="11"/>
      <c r="AP283" s="11"/>
      <c r="AQ283" s="36"/>
      <c r="AR283" s="11"/>
      <c r="AS283" s="11"/>
      <c r="AT283" s="11"/>
      <c r="AU283" s="12"/>
      <c r="AV283" s="11"/>
      <c r="AW283" s="11"/>
      <c r="AX283" s="15"/>
      <c r="AY283" s="15"/>
      <c r="AZ283" s="15"/>
      <c r="BA283" s="15"/>
      <c r="BB283" s="15"/>
      <c r="BC283" s="15"/>
      <c r="BD283" s="15"/>
      <c r="BE283" s="12"/>
      <c r="BF283" s="11"/>
      <c r="BG283" s="11"/>
      <c r="BH283" s="10"/>
      <c r="BI283" s="10"/>
      <c r="BJ283" s="10"/>
      <c r="BK283" s="23"/>
      <c r="BL283" s="23"/>
      <c r="BM283" s="23"/>
      <c r="BN283" s="23"/>
      <c r="BO283" s="23"/>
      <c r="BP283" s="23"/>
      <c r="BQ283" s="23"/>
      <c r="BR283" s="10"/>
      <c r="BS283" s="16"/>
      <c r="BT283" s="16"/>
      <c r="BU283" s="16"/>
      <c r="BV283" s="16"/>
      <c r="BW283" s="11"/>
      <c r="BX283" s="16"/>
      <c r="BY283" s="16"/>
      <c r="BZ283" s="17"/>
      <c r="CA283" s="18"/>
      <c r="CB283" s="18"/>
      <c r="CC283" s="18"/>
      <c r="CD283" s="18"/>
      <c r="CE283" s="18"/>
      <c r="CF283" s="18"/>
      <c r="CG283" s="19"/>
      <c r="CH283" s="15"/>
      <c r="CI283" s="17"/>
      <c r="CJ283" s="10"/>
      <c r="CK283" s="10"/>
      <c r="CL283" s="10"/>
      <c r="CM283" s="17"/>
      <c r="CN283" s="17"/>
      <c r="CO283" s="10"/>
      <c r="CP283" s="10"/>
      <c r="CQ283" s="10"/>
      <c r="CR283" s="10"/>
      <c r="CS283" s="10"/>
      <c r="CT283" s="10"/>
      <c r="CU283" s="10"/>
      <c r="CV283" s="10"/>
      <c r="CW283" s="10"/>
      <c r="CX283" s="10"/>
      <c r="CY283" s="10"/>
      <c r="CZ283" s="10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34"/>
      <c r="DV283" s="34"/>
      <c r="DW283" s="34"/>
      <c r="DX283" s="34"/>
      <c r="DY283" s="34"/>
      <c r="DZ283" s="34"/>
      <c r="EA283" s="34"/>
      <c r="EB283" s="34"/>
      <c r="EC283" s="34"/>
      <c r="ED283" s="34"/>
      <c r="EE283" s="34"/>
    </row>
    <row r="284" spans="1:135" customFormat="1">
      <c r="A284" s="71">
        <f>'Old Data'!$I280-'Old Data'!$S280</f>
        <v>63</v>
      </c>
      <c r="B284" s="72">
        <f>VLOOKUP('Old Data'!$F280,$R$6:$T$135,2,FALSE)+VLOOKUP('Old Data'!$P280,$R$6:$T$135,3,FALSE)+$B$2</f>
        <v>189.91556807324972</v>
      </c>
      <c r="C284" s="72">
        <f>VLOOKUP('Old Data'!$P280,$R$6:$T$135,2,FALSE)+VLOOKUP('Old Data'!$F280,$R$6:$T$135,3,FALSE)+$B$2</f>
        <v>131.68488094787159</v>
      </c>
      <c r="D284" s="74">
        <f>('Old Data'!$I280-$B284)^2+('Old Data'!$S280-$C284)^2</f>
        <v>15605.232469878849</v>
      </c>
      <c r="E284" s="75">
        <f>'Old Data'!$K280-'Old Data'!$U280</f>
        <v>-40</v>
      </c>
      <c r="F284" s="72">
        <f>VLOOKUP('Old Data'!$F280,$V$6:$X$135,2,FALSE)+VLOOKUP('Old Data'!$P280,$V$6:$X$135,3,FALSE)+$C$2</f>
        <v>259.3284897665884</v>
      </c>
      <c r="G284" s="72">
        <f>VLOOKUP('Old Data'!$P280,$V$6:$X$135,2,FALSE)+VLOOKUP('Old Data'!$F280,$V$6:$X$135,3,FALSE)+$C$2</f>
        <v>259.7865175281828</v>
      </c>
      <c r="H284" s="74">
        <f>('Old Data'!$K280-$F284)^2+('Old Data'!$U280-$G284)^2</f>
        <v>1617.5750985047257</v>
      </c>
      <c r="I284" s="75">
        <f>('Old Data'!$L280+'Old Data'!$M280)-('Old Data'!$V280+'Old Data'!$W280)</f>
        <v>8</v>
      </c>
      <c r="J284" s="72">
        <f>VLOOKUP('Old Data'!$F280,$Z$6:$AB$135,2,FALSE)+VLOOKUP('Old Data'!$P280,$Z$6:$AB$135,3,FALSE)+$D$2</f>
        <v>20.075408920616283</v>
      </c>
      <c r="K284" s="72">
        <f>VLOOKUP('Old Data'!$P280,$Z$6:$AB$135,2,FALSE)+VLOOKUP('Old Data'!$F280,$Z$6:$AB$135,3,FALSE)+$D$2</f>
        <v>53.023395071542517</v>
      </c>
      <c r="L284" s="74">
        <f>('Old Data'!$L280+'Old Data'!$M280-$J284)^2+('Old Data'!$V280+'Old Data'!$W280-$K284)^2</f>
        <v>838.77486203049773</v>
      </c>
      <c r="M284" s="75">
        <f>'Old Data'!$N280-'Old Data'!$X280</f>
        <v>-1</v>
      </c>
      <c r="N284" s="72">
        <f>VLOOKUP('Old Data'!$F280,$AD$6:$AF$135,2,FALSE)+VLOOKUP('Old Data'!$P280,$AD$6:$AF$135,3,FALSE)+$E$2</f>
        <v>0.16602441903641108</v>
      </c>
      <c r="O284" s="72">
        <f>VLOOKUP('Old Data'!$P280,$AD$6:$AF$135,2,FALSE)+VLOOKUP('Old Data'!$F280,$AD$6:$AF$135,3,FALSE)+$E$2</f>
        <v>2.2566038096404522</v>
      </c>
      <c r="P284" s="73">
        <f>('Old Data'!$N280-$N284)^2+('Old Data'!$X280-$O284)^2</f>
        <v>1.6066172421192755</v>
      </c>
      <c r="Q284" s="62"/>
      <c r="R284" s="3"/>
      <c r="S284" s="3"/>
      <c r="T284" s="3"/>
      <c r="V284" s="3"/>
      <c r="W284" s="3"/>
      <c r="X284" s="3"/>
      <c r="Z284" s="3"/>
      <c r="AA284" s="3"/>
      <c r="AB284" s="3"/>
      <c r="AC284" s="3"/>
      <c r="AD284" s="3"/>
      <c r="AE284" s="3"/>
      <c r="AF284" s="3"/>
      <c r="AG284" s="3"/>
      <c r="AH284" s="37"/>
      <c r="AI284" s="1"/>
      <c r="AK284" s="10"/>
      <c r="AL284" s="10"/>
      <c r="AM284" s="10"/>
      <c r="AN284" s="11"/>
      <c r="AO284" s="11"/>
      <c r="AP284" s="11"/>
      <c r="AQ284" s="36"/>
      <c r="AR284" s="11"/>
      <c r="AS284" s="11"/>
      <c r="AT284" s="11"/>
      <c r="AU284" s="12"/>
      <c r="AV284" s="11"/>
      <c r="AW284" s="11"/>
      <c r="AX284" s="15"/>
      <c r="AY284" s="15"/>
      <c r="AZ284" s="15"/>
      <c r="BA284" s="15"/>
      <c r="BB284" s="15"/>
      <c r="BC284" s="15"/>
      <c r="BD284" s="15"/>
      <c r="BE284" s="12"/>
      <c r="BF284" s="11"/>
      <c r="BG284" s="11"/>
      <c r="BH284" s="10"/>
      <c r="BI284" s="10"/>
      <c r="BJ284" s="10"/>
      <c r="BK284" s="23"/>
      <c r="BL284" s="23"/>
      <c r="BM284" s="23"/>
      <c r="BN284" s="23"/>
      <c r="BO284" s="23"/>
      <c r="BP284" s="23"/>
      <c r="BQ284" s="23"/>
      <c r="BR284" s="10"/>
      <c r="BS284" s="16"/>
      <c r="BT284" s="16"/>
      <c r="BU284" s="16"/>
      <c r="BV284" s="16"/>
      <c r="BW284" s="11"/>
      <c r="BX284" s="16"/>
      <c r="BY284" s="16"/>
      <c r="BZ284" s="17"/>
      <c r="CA284" s="18"/>
      <c r="CB284" s="18"/>
      <c r="CC284" s="18"/>
      <c r="CD284" s="18"/>
      <c r="CE284" s="18"/>
      <c r="CF284" s="18"/>
      <c r="CG284" s="19"/>
      <c r="CH284" s="15"/>
      <c r="CI284" s="17"/>
      <c r="CJ284" s="10"/>
      <c r="CK284" s="10"/>
      <c r="CL284" s="10"/>
      <c r="CM284" s="17"/>
      <c r="CN284" s="17"/>
      <c r="CO284" s="10"/>
      <c r="CP284" s="10"/>
      <c r="CQ284" s="10"/>
      <c r="CR284" s="10"/>
      <c r="CS284" s="10"/>
      <c r="CT284" s="10"/>
      <c r="CU284" s="10"/>
      <c r="CV284" s="10"/>
      <c r="CW284" s="10"/>
      <c r="CX284" s="10"/>
      <c r="CY284" s="10"/>
      <c r="CZ284" s="10"/>
      <c r="DA284" s="34"/>
      <c r="DB284" s="34"/>
      <c r="DC284" s="34"/>
      <c r="DD284" s="34"/>
      <c r="DE284" s="34"/>
      <c r="DF284" s="34"/>
      <c r="DG284" s="34"/>
      <c r="DH284" s="34"/>
      <c r="DI284" s="34"/>
      <c r="DJ284" s="34"/>
      <c r="DK284" s="34"/>
      <c r="DL284" s="34"/>
      <c r="DM284" s="34"/>
      <c r="DN284" s="34"/>
      <c r="DO284" s="34"/>
      <c r="DP284" s="34"/>
      <c r="DQ284" s="34"/>
      <c r="DR284" s="34"/>
      <c r="DS284" s="34"/>
      <c r="DT284" s="34"/>
      <c r="DU284" s="34"/>
      <c r="DV284" s="34"/>
      <c r="DW284" s="34"/>
      <c r="DX284" s="34"/>
      <c r="DY284" s="34"/>
      <c r="DZ284" s="34"/>
      <c r="EA284" s="34"/>
      <c r="EB284" s="34"/>
      <c r="EC284" s="34"/>
      <c r="ED284" s="34"/>
      <c r="EE284" s="34"/>
    </row>
    <row r="285" spans="1:135" customFormat="1">
      <c r="A285" s="71">
        <f>'Old Data'!$I281-'Old Data'!$S281</f>
        <v>-112</v>
      </c>
      <c r="B285" s="72">
        <f>VLOOKUP('Old Data'!$F281,$R$6:$T$135,2,FALSE)+VLOOKUP('Old Data'!$P281,$R$6:$T$135,3,FALSE)+$B$2</f>
        <v>140.41207643393051</v>
      </c>
      <c r="C285" s="72">
        <f>VLOOKUP('Old Data'!$P281,$R$6:$T$135,2,FALSE)+VLOOKUP('Old Data'!$F281,$R$6:$T$135,3,FALSE)+$B$2</f>
        <v>255.93860421250639</v>
      </c>
      <c r="D285" s="74">
        <f>('Old Data'!$I281-$B285)^2+('Old Data'!$S281-$C285)^2</f>
        <v>5041.3477521881159</v>
      </c>
      <c r="E285" s="75">
        <f>'Old Data'!$K281-'Old Data'!$U281</f>
        <v>21</v>
      </c>
      <c r="F285" s="72">
        <f>VLOOKUP('Old Data'!$F281,$V$6:$X$135,2,FALSE)+VLOOKUP('Old Data'!$P281,$V$6:$X$135,3,FALSE)+$C$2</f>
        <v>249.49296824670111</v>
      </c>
      <c r="G285" s="72">
        <f>VLOOKUP('Old Data'!$P281,$V$6:$X$135,2,FALSE)+VLOOKUP('Old Data'!$F281,$V$6:$X$135,3,FALSE)+$C$2</f>
        <v>224.20079671996999</v>
      </c>
      <c r="H285" s="74">
        <f>('Old Data'!$K281-$F285)^2+('Old Data'!$U281-$G285)^2</f>
        <v>12.839553055272962</v>
      </c>
      <c r="I285" s="75">
        <f>('Old Data'!$L281+'Old Data'!$M281)-('Old Data'!$V281+'Old Data'!$W281)</f>
        <v>3</v>
      </c>
      <c r="J285" s="72">
        <f>VLOOKUP('Old Data'!$F281,$Z$6:$AB$135,2,FALSE)+VLOOKUP('Old Data'!$P281,$Z$6:$AB$135,3,FALSE)+$D$2</f>
        <v>78.028338949841967</v>
      </c>
      <c r="K285" s="72">
        <f>VLOOKUP('Old Data'!$P281,$Z$6:$AB$135,2,FALSE)+VLOOKUP('Old Data'!$F281,$Z$6:$AB$135,3,FALSE)+$D$2</f>
        <v>58.573318706295197</v>
      </c>
      <c r="L285" s="74">
        <f>('Old Data'!$L281+'Old Data'!$M281-$J285)^2+('Old Data'!$V281+'Old Data'!$W281-$K285)^2</f>
        <v>2993.1891657856486</v>
      </c>
      <c r="M285" s="75">
        <f>'Old Data'!$N281-'Old Data'!$X281</f>
        <v>0</v>
      </c>
      <c r="N285" s="72">
        <f>VLOOKUP('Old Data'!$F281,$AD$6:$AF$135,2,FALSE)+VLOOKUP('Old Data'!$P281,$AD$6:$AF$135,3,FALSE)+$E$2</f>
        <v>1.1123091187713401</v>
      </c>
      <c r="O285" s="72">
        <f>VLOOKUP('Old Data'!$P281,$AD$6:$AF$135,2,FALSE)+VLOOKUP('Old Data'!$F281,$AD$6:$AF$135,3,FALSE)+$E$2</f>
        <v>2.4724467592090611</v>
      </c>
      <c r="P285" s="73">
        <f>('Old Data'!$N281-$N285)^2+('Old Data'!$X281-$O285)^2</f>
        <v>1.0112010409036594</v>
      </c>
      <c r="Q285" s="62"/>
      <c r="R285" s="3"/>
      <c r="S285" s="3"/>
      <c r="T285" s="3"/>
      <c r="V285" s="3"/>
      <c r="W285" s="3"/>
      <c r="X285" s="3"/>
      <c r="Z285" s="3"/>
      <c r="AA285" s="3"/>
      <c r="AB285" s="3"/>
      <c r="AC285" s="3"/>
      <c r="AD285" s="3"/>
      <c r="AE285" s="3"/>
      <c r="AF285" s="3"/>
      <c r="AG285" s="3"/>
      <c r="AH285" s="37"/>
      <c r="AI285" s="1"/>
      <c r="AK285" s="10"/>
      <c r="AL285" s="10"/>
      <c r="AM285" s="10"/>
      <c r="AN285" s="11"/>
      <c r="AO285" s="11"/>
      <c r="AP285" s="11"/>
      <c r="AQ285" s="36"/>
      <c r="AR285" s="11"/>
      <c r="AS285" s="11"/>
      <c r="AT285" s="11"/>
      <c r="AU285" s="12"/>
      <c r="AV285" s="11"/>
      <c r="AW285" s="11"/>
      <c r="AX285" s="15"/>
      <c r="AY285" s="15"/>
      <c r="AZ285" s="15"/>
      <c r="BA285" s="15"/>
      <c r="BB285" s="15"/>
      <c r="BC285" s="15"/>
      <c r="BD285" s="15"/>
      <c r="BE285" s="12"/>
      <c r="BF285" s="11"/>
      <c r="BG285" s="11"/>
      <c r="BH285" s="10"/>
      <c r="BI285" s="10"/>
      <c r="BJ285" s="10"/>
      <c r="BK285" s="23"/>
      <c r="BL285" s="23"/>
      <c r="BM285" s="23"/>
      <c r="BN285" s="23"/>
      <c r="BO285" s="23"/>
      <c r="BP285" s="23"/>
      <c r="BQ285" s="23"/>
      <c r="BR285" s="10"/>
      <c r="BS285" s="16"/>
      <c r="BT285" s="16"/>
      <c r="BU285" s="16"/>
      <c r="BV285" s="16"/>
      <c r="BW285" s="11"/>
      <c r="BX285" s="16"/>
      <c r="BY285" s="16"/>
      <c r="BZ285" s="17"/>
      <c r="CA285" s="18"/>
      <c r="CB285" s="18"/>
      <c r="CC285" s="18"/>
      <c r="CD285" s="18"/>
      <c r="CE285" s="18"/>
      <c r="CF285" s="18"/>
      <c r="CG285" s="19"/>
      <c r="CH285" s="15"/>
      <c r="CI285" s="17"/>
      <c r="CJ285" s="10"/>
      <c r="CK285" s="10"/>
      <c r="CL285" s="10"/>
      <c r="CM285" s="17"/>
      <c r="CN285" s="17"/>
      <c r="CO285" s="10"/>
      <c r="CP285" s="10"/>
      <c r="CQ285" s="10"/>
      <c r="CR285" s="10"/>
      <c r="CS285" s="10"/>
      <c r="CT285" s="10"/>
      <c r="CU285" s="10"/>
      <c r="CV285" s="10"/>
      <c r="CW285" s="10"/>
      <c r="CX285" s="10"/>
      <c r="CY285" s="10"/>
      <c r="CZ285" s="10"/>
      <c r="DA285" s="34"/>
      <c r="DB285" s="34"/>
      <c r="DC285" s="34"/>
      <c r="DD285" s="34"/>
      <c r="DE285" s="34"/>
      <c r="DF285" s="34"/>
      <c r="DG285" s="34"/>
      <c r="DH285" s="34"/>
      <c r="DI285" s="34"/>
      <c r="DJ285" s="34"/>
      <c r="DK285" s="34"/>
      <c r="DL285" s="34"/>
      <c r="DM285" s="34"/>
      <c r="DN285" s="34"/>
      <c r="DO285" s="34"/>
      <c r="DP285" s="34"/>
      <c r="DQ285" s="34"/>
      <c r="DR285" s="34"/>
      <c r="DS285" s="34"/>
      <c r="DT285" s="34"/>
      <c r="DU285" s="34"/>
      <c r="DV285" s="34"/>
      <c r="DW285" s="34"/>
      <c r="DX285" s="34"/>
      <c r="DY285" s="34"/>
      <c r="DZ285" s="34"/>
      <c r="EA285" s="34"/>
      <c r="EB285" s="34"/>
      <c r="EC285" s="34"/>
      <c r="ED285" s="34"/>
      <c r="EE285" s="34"/>
    </row>
    <row r="286" spans="1:135" customFormat="1">
      <c r="A286" s="71">
        <f>'Old Data'!$I282-'Old Data'!$S282</f>
        <v>9</v>
      </c>
      <c r="B286" s="72">
        <f>VLOOKUP('Old Data'!$F282,$R$6:$T$135,2,FALSE)+VLOOKUP('Old Data'!$P282,$R$6:$T$135,3,FALSE)+$B$2</f>
        <v>88.81288554309441</v>
      </c>
      <c r="C286" s="72">
        <f>VLOOKUP('Old Data'!$P282,$R$6:$T$135,2,FALSE)+VLOOKUP('Old Data'!$F282,$R$6:$T$135,3,FALSE)+$B$2</f>
        <v>92.981308622888506</v>
      </c>
      <c r="D286" s="74">
        <f>('Old Data'!$I282-$B286)^2+('Old Data'!$S282-$C286)^2</f>
        <v>394.07971537445752</v>
      </c>
      <c r="E286" s="75">
        <f>'Old Data'!$K282-'Old Data'!$U282</f>
        <v>-70</v>
      </c>
      <c r="F286" s="72">
        <f>VLOOKUP('Old Data'!$F282,$V$6:$X$135,2,FALSE)+VLOOKUP('Old Data'!$P282,$V$6:$X$135,3,FALSE)+$C$2</f>
        <v>242.02690683428355</v>
      </c>
      <c r="G286" s="72">
        <f>VLOOKUP('Old Data'!$P282,$V$6:$X$135,2,FALSE)+VLOOKUP('Old Data'!$F282,$V$6:$X$135,3,FALSE)+$C$2</f>
        <v>236.7680953919413</v>
      </c>
      <c r="H286" s="74">
        <f>('Old Data'!$K282-$F286)^2+('Old Data'!$U282-$G286)^2</f>
        <v>3835.240462080757</v>
      </c>
      <c r="I286" s="75">
        <f>('Old Data'!$L282+'Old Data'!$M282)-('Old Data'!$V282+'Old Data'!$W282)</f>
        <v>-109</v>
      </c>
      <c r="J286" s="72">
        <f>VLOOKUP('Old Data'!$F282,$Z$6:$AB$135,2,FALSE)+VLOOKUP('Old Data'!$P282,$Z$6:$AB$135,3,FALSE)+$D$2</f>
        <v>42.57590692825822</v>
      </c>
      <c r="K286" s="72">
        <f>VLOOKUP('Old Data'!$P282,$Z$6:$AB$135,2,FALSE)+VLOOKUP('Old Data'!$F282,$Z$6:$AB$135,3,FALSE)+$D$2</f>
        <v>84.035570194167292</v>
      </c>
      <c r="L286" s="74">
        <f>('Old Data'!$L282+'Old Data'!$M282-$J286)^2+('Old Data'!$V282+'Old Data'!$W282-$K286)^2</f>
        <v>2578.2485671521831</v>
      </c>
      <c r="M286" s="75">
        <f>'Old Data'!$N282-'Old Data'!$X282</f>
        <v>1</v>
      </c>
      <c r="N286" s="72">
        <f>VLOOKUP('Old Data'!$F282,$AD$6:$AF$135,2,FALSE)+VLOOKUP('Old Data'!$P282,$AD$6:$AF$135,3,FALSE)+$E$2</f>
        <v>1.1946135851052131</v>
      </c>
      <c r="O286" s="72">
        <f>VLOOKUP('Old Data'!$P282,$AD$6:$AF$135,2,FALSE)+VLOOKUP('Old Data'!$F282,$AD$6:$AF$135,3,FALSE)+$E$2</f>
        <v>1.129522792172359</v>
      </c>
      <c r="P286" s="73">
        <f>('Old Data'!$N282-$N286)^2+('Old Data'!$X282-$O286)^2</f>
        <v>1.3136961855443459</v>
      </c>
      <c r="Q286" s="62"/>
      <c r="R286" s="3"/>
      <c r="S286" s="3"/>
      <c r="T286" s="3"/>
      <c r="V286" s="3"/>
      <c r="W286" s="3"/>
      <c r="X286" s="3"/>
      <c r="Z286" s="3"/>
      <c r="AA286" s="3"/>
      <c r="AB286" s="3"/>
      <c r="AC286" s="3"/>
      <c r="AD286" s="3"/>
      <c r="AE286" s="3"/>
      <c r="AF286" s="3"/>
      <c r="AG286" s="3"/>
      <c r="AH286" s="37"/>
      <c r="AI286" s="1"/>
      <c r="AK286" s="10"/>
      <c r="AL286" s="10"/>
      <c r="AM286" s="10"/>
      <c r="AN286" s="11"/>
      <c r="AO286" s="11"/>
      <c r="AP286" s="11"/>
      <c r="AQ286" s="36"/>
      <c r="AR286" s="11"/>
      <c r="AS286" s="11"/>
      <c r="AT286" s="11"/>
      <c r="AU286" s="12"/>
      <c r="AV286" s="11"/>
      <c r="AW286" s="11"/>
      <c r="AX286" s="15"/>
      <c r="AY286" s="15"/>
      <c r="AZ286" s="15"/>
      <c r="BA286" s="15"/>
      <c r="BB286" s="15"/>
      <c r="BC286" s="15"/>
      <c r="BD286" s="15"/>
      <c r="BE286" s="12"/>
      <c r="BF286" s="11"/>
      <c r="BG286" s="11"/>
      <c r="BH286" s="10"/>
      <c r="BI286" s="10"/>
      <c r="BJ286" s="10"/>
      <c r="BK286" s="23"/>
      <c r="BL286" s="23"/>
      <c r="BM286" s="23"/>
      <c r="BN286" s="23"/>
      <c r="BO286" s="23"/>
      <c r="BP286" s="23"/>
      <c r="BQ286" s="23"/>
      <c r="BR286" s="10"/>
      <c r="BS286" s="16"/>
      <c r="BT286" s="16"/>
      <c r="BU286" s="16"/>
      <c r="BV286" s="16"/>
      <c r="BW286" s="11"/>
      <c r="BX286" s="16"/>
      <c r="BY286" s="16"/>
      <c r="BZ286" s="17"/>
      <c r="CA286" s="18"/>
      <c r="CB286" s="18"/>
      <c r="CC286" s="18"/>
      <c r="CD286" s="18"/>
      <c r="CE286" s="18"/>
      <c r="CF286" s="18"/>
      <c r="CG286" s="19"/>
      <c r="CH286" s="15"/>
      <c r="CI286" s="17"/>
      <c r="CJ286" s="10"/>
      <c r="CK286" s="10"/>
      <c r="CL286" s="10"/>
      <c r="CM286" s="17"/>
      <c r="CN286" s="17"/>
      <c r="CO286" s="10"/>
      <c r="CP286" s="10"/>
      <c r="CQ286" s="10"/>
      <c r="CR286" s="10"/>
      <c r="CS286" s="10"/>
      <c r="CT286" s="10"/>
      <c r="CU286" s="10"/>
      <c r="CV286" s="10"/>
      <c r="CW286" s="10"/>
      <c r="CX286" s="10"/>
      <c r="CY286" s="10"/>
      <c r="CZ286" s="10"/>
      <c r="DA286" s="34"/>
      <c r="DB286" s="34"/>
      <c r="DC286" s="34"/>
      <c r="DD286" s="34"/>
      <c r="DE286" s="34"/>
      <c r="DF286" s="34"/>
      <c r="DG286" s="34"/>
      <c r="DH286" s="34"/>
      <c r="DI286" s="34"/>
      <c r="DJ286" s="34"/>
      <c r="DK286" s="34"/>
      <c r="DL286" s="34"/>
      <c r="DM286" s="34"/>
      <c r="DN286" s="34"/>
      <c r="DO286" s="34"/>
      <c r="DP286" s="34"/>
      <c r="DQ286" s="34"/>
      <c r="DR286" s="34"/>
      <c r="DS286" s="34"/>
      <c r="DT286" s="34"/>
      <c r="DU286" s="34"/>
      <c r="DV286" s="34"/>
      <c r="DW286" s="34"/>
      <c r="DX286" s="34"/>
      <c r="DY286" s="34"/>
      <c r="DZ286" s="34"/>
      <c r="EA286" s="34"/>
      <c r="EB286" s="34"/>
      <c r="EC286" s="34"/>
      <c r="ED286" s="34"/>
      <c r="EE286" s="34"/>
    </row>
    <row r="287" spans="1:135" customFormat="1">
      <c r="A287" s="71">
        <f>'Old Data'!$I283-'Old Data'!$S283</f>
        <v>125</v>
      </c>
      <c r="B287" s="72">
        <f>VLOOKUP('Old Data'!$F283,$R$6:$T$135,2,FALSE)+VLOOKUP('Old Data'!$P283,$R$6:$T$135,3,FALSE)+$B$2</f>
        <v>211.0353810221045</v>
      </c>
      <c r="C287" s="72">
        <f>VLOOKUP('Old Data'!$P283,$R$6:$T$135,2,FALSE)+VLOOKUP('Old Data'!$F283,$R$6:$T$135,3,FALSE)+$B$2</f>
        <v>128.4770475712985</v>
      </c>
      <c r="D287" s="74">
        <f>('Old Data'!$I283-$B287)^2+('Old Data'!$S283-$C287)^2</f>
        <v>2028.1822487848108</v>
      </c>
      <c r="E287" s="75">
        <f>'Old Data'!$K283-'Old Data'!$U283</f>
        <v>-331</v>
      </c>
      <c r="F287" s="72">
        <f>VLOOKUP('Old Data'!$F283,$V$6:$X$135,2,FALSE)+VLOOKUP('Old Data'!$P283,$V$6:$X$135,3,FALSE)+$C$2</f>
        <v>171.2468812655892</v>
      </c>
      <c r="G287" s="72">
        <f>VLOOKUP('Old Data'!$P283,$V$6:$X$135,2,FALSE)+VLOOKUP('Old Data'!$F283,$V$6:$X$135,3,FALSE)+$C$2</f>
        <v>344.43551193310441</v>
      </c>
      <c r="H287" s="74">
        <f>('Old Data'!$K283-$F287)^2+('Old Data'!$U283-$G287)^2</f>
        <v>12474.541334727934</v>
      </c>
      <c r="I287" s="75">
        <f>('Old Data'!$L283+'Old Data'!$M283)-('Old Data'!$V283+'Old Data'!$W283)</f>
        <v>-62</v>
      </c>
      <c r="J287" s="72">
        <f>VLOOKUP('Old Data'!$F283,$Z$6:$AB$135,2,FALSE)+VLOOKUP('Old Data'!$P283,$Z$6:$AB$135,3,FALSE)+$D$2</f>
        <v>57.612303148788058</v>
      </c>
      <c r="K287" s="72">
        <f>VLOOKUP('Old Data'!$P283,$Z$6:$AB$135,2,FALSE)+VLOOKUP('Old Data'!$F283,$Z$6:$AB$135,3,FALSE)+$D$2</f>
        <v>57.495508016619787</v>
      </c>
      <c r="L287" s="74">
        <f>('Old Data'!$L283+'Old Data'!$M283-$J287)^2+('Old Data'!$V283+'Old Data'!$W283-$K287)^2</f>
        <v>3339.4679221361907</v>
      </c>
      <c r="M287" s="75">
        <f>'Old Data'!$N283-'Old Data'!$X283</f>
        <v>-1</v>
      </c>
      <c r="N287" s="72">
        <f>VLOOKUP('Old Data'!$F283,$AD$6:$AF$135,2,FALSE)+VLOOKUP('Old Data'!$P283,$AD$6:$AF$135,3,FALSE)+$E$2</f>
        <v>1.4869214188649451</v>
      </c>
      <c r="O287" s="72">
        <f>VLOOKUP('Old Data'!$P283,$AD$6:$AF$135,2,FALSE)+VLOOKUP('Old Data'!$F283,$AD$6:$AF$135,3,FALSE)+$E$2</f>
        <v>2.3190031441655345</v>
      </c>
      <c r="P287" s="73">
        <f>('Old Data'!$N283-$N287)^2+('Old Data'!$X283-$O287)^2</f>
        <v>0.72700634807598885</v>
      </c>
      <c r="Q287" s="62"/>
      <c r="R287" s="3"/>
      <c r="S287" s="3"/>
      <c r="T287" s="3"/>
      <c r="V287" s="3"/>
      <c r="W287" s="3"/>
      <c r="X287" s="3"/>
      <c r="Z287" s="3"/>
      <c r="AA287" s="3"/>
      <c r="AB287" s="3"/>
      <c r="AC287" s="3"/>
      <c r="AD287" s="3"/>
      <c r="AE287" s="3"/>
      <c r="AF287" s="3"/>
      <c r="AG287" s="3"/>
      <c r="AH287" s="37"/>
      <c r="AI287" s="1"/>
      <c r="AK287" s="10"/>
      <c r="AL287" s="10"/>
      <c r="AM287" s="10"/>
      <c r="AN287" s="11"/>
      <c r="AO287" s="11"/>
      <c r="AP287" s="11"/>
      <c r="AQ287" s="36"/>
      <c r="AR287" s="11"/>
      <c r="AS287" s="11"/>
      <c r="AT287" s="11"/>
      <c r="AU287" s="12"/>
      <c r="AV287" s="11"/>
      <c r="AW287" s="11"/>
      <c r="AX287" s="15"/>
      <c r="AY287" s="15"/>
      <c r="AZ287" s="15"/>
      <c r="BA287" s="15"/>
      <c r="BB287" s="15"/>
      <c r="BC287" s="15"/>
      <c r="BD287" s="15"/>
      <c r="BE287" s="12"/>
      <c r="BF287" s="11"/>
      <c r="BG287" s="11"/>
      <c r="BH287" s="10"/>
      <c r="BI287" s="10"/>
      <c r="BJ287" s="10"/>
      <c r="BK287" s="23"/>
      <c r="BL287" s="23"/>
      <c r="BM287" s="23"/>
      <c r="BN287" s="23"/>
      <c r="BO287" s="23"/>
      <c r="BP287" s="23"/>
      <c r="BQ287" s="23"/>
      <c r="BR287" s="10"/>
      <c r="BS287" s="16"/>
      <c r="BT287" s="16"/>
      <c r="BU287" s="16"/>
      <c r="BV287" s="16"/>
      <c r="BW287" s="11"/>
      <c r="BX287" s="16"/>
      <c r="BY287" s="16"/>
      <c r="BZ287" s="17"/>
      <c r="CA287" s="18"/>
      <c r="CB287" s="18"/>
      <c r="CC287" s="18"/>
      <c r="CD287" s="18"/>
      <c r="CE287" s="18"/>
      <c r="CF287" s="18"/>
      <c r="CG287" s="19"/>
      <c r="CH287" s="15"/>
      <c r="CI287" s="17"/>
      <c r="CJ287" s="10"/>
      <c r="CK287" s="10"/>
      <c r="CL287" s="10"/>
      <c r="CM287" s="17"/>
      <c r="CN287" s="17"/>
      <c r="CO287" s="10"/>
      <c r="CP287" s="10"/>
      <c r="CQ287" s="10"/>
      <c r="CR287" s="10"/>
      <c r="CS287" s="10"/>
      <c r="CT287" s="10"/>
      <c r="CU287" s="10"/>
      <c r="CV287" s="10"/>
      <c r="CW287" s="10"/>
      <c r="CX287" s="10"/>
      <c r="CY287" s="10"/>
      <c r="CZ287" s="10"/>
      <c r="DA287" s="34"/>
      <c r="DB287" s="34"/>
      <c r="DC287" s="34"/>
      <c r="DD287" s="34"/>
      <c r="DE287" s="34"/>
      <c r="DF287" s="34"/>
      <c r="DG287" s="34"/>
      <c r="DH287" s="34"/>
      <c r="DI287" s="34"/>
      <c r="DJ287" s="34"/>
      <c r="DK287" s="34"/>
      <c r="DL287" s="34"/>
      <c r="DM287" s="34"/>
      <c r="DN287" s="34"/>
      <c r="DO287" s="34"/>
      <c r="DP287" s="34"/>
      <c r="DQ287" s="34"/>
      <c r="DR287" s="34"/>
      <c r="DS287" s="34"/>
      <c r="DT287" s="34"/>
      <c r="DU287" s="34"/>
      <c r="DV287" s="34"/>
      <c r="DW287" s="34"/>
      <c r="DX287" s="34"/>
      <c r="DY287" s="34"/>
      <c r="DZ287" s="34"/>
      <c r="EA287" s="34"/>
      <c r="EB287" s="34"/>
      <c r="EC287" s="34"/>
      <c r="ED287" s="34"/>
      <c r="EE287" s="34"/>
    </row>
    <row r="288" spans="1:135" customFormat="1">
      <c r="A288" s="71">
        <f>'Old Data'!$I284-'Old Data'!$S284</f>
        <v>84</v>
      </c>
      <c r="B288" s="72">
        <f>VLOOKUP('Old Data'!$F284,$R$6:$T$135,2,FALSE)+VLOOKUP('Old Data'!$P284,$R$6:$T$135,3,FALSE)+$B$2</f>
        <v>183.74343536280742</v>
      </c>
      <c r="C288" s="72">
        <f>VLOOKUP('Old Data'!$P284,$R$6:$T$135,2,FALSE)+VLOOKUP('Old Data'!$F284,$R$6:$T$135,3,FALSE)+$B$2</f>
        <v>125.35343868268706</v>
      </c>
      <c r="D288" s="74">
        <f>('Old Data'!$I284-$B288)^2+('Old Data'!$S284-$C288)^2</f>
        <v>6477.6878082625817</v>
      </c>
      <c r="E288" s="75">
        <f>'Old Data'!$K284-'Old Data'!$U284</f>
        <v>144</v>
      </c>
      <c r="F288" s="72">
        <f>VLOOKUP('Old Data'!$F284,$V$6:$X$135,2,FALSE)+VLOOKUP('Old Data'!$P284,$V$6:$X$135,3,FALSE)+$C$2</f>
        <v>278.03705159350301</v>
      </c>
      <c r="G288" s="72">
        <f>VLOOKUP('Old Data'!$P284,$V$6:$X$135,2,FALSE)+VLOOKUP('Old Data'!$F284,$V$6:$X$135,3,FALSE)+$C$2</f>
        <v>210.89128554417471</v>
      </c>
      <c r="H288" s="74">
        <f>('Old Data'!$K284-$F288)^2+('Old Data'!$U284-$G288)^2</f>
        <v>6391.8411882824576</v>
      </c>
      <c r="I288" s="75">
        <f>('Old Data'!$L284+'Old Data'!$M284)-('Old Data'!$V284+'Old Data'!$W284)</f>
        <v>-64</v>
      </c>
      <c r="J288" s="72">
        <f>VLOOKUP('Old Data'!$F284,$Z$6:$AB$135,2,FALSE)+VLOOKUP('Old Data'!$P284,$Z$6:$AB$135,3,FALSE)+$D$2</f>
        <v>62.773966349533794</v>
      </c>
      <c r="K288" s="72">
        <f>VLOOKUP('Old Data'!$P284,$Z$6:$AB$135,2,FALSE)+VLOOKUP('Old Data'!$F284,$Z$6:$AB$135,3,FALSE)+$D$2</f>
        <v>71.3911754882145</v>
      </c>
      <c r="L288" s="74">
        <f>('Old Data'!$L284+'Old Data'!$M284-$J288)^2+('Old Data'!$V284+'Old Data'!$W284-$K288)^2</f>
        <v>3092.392454793699</v>
      </c>
      <c r="M288" s="75">
        <f>'Old Data'!$N284-'Old Data'!$X284</f>
        <v>4</v>
      </c>
      <c r="N288" s="72">
        <f>VLOOKUP('Old Data'!$F284,$AD$6:$AF$135,2,FALSE)+VLOOKUP('Old Data'!$P284,$AD$6:$AF$135,3,FALSE)+$E$2</f>
        <v>1.5717576413826351</v>
      </c>
      <c r="O288" s="72">
        <f>VLOOKUP('Old Data'!$P284,$AD$6:$AF$135,2,FALSE)+VLOOKUP('Old Data'!$F284,$AD$6:$AF$135,3,FALSE)+$E$2</f>
        <v>0.92365742736086753</v>
      </c>
      <c r="P288" s="73">
        <f>('Old Data'!$N284-$N288)^2+('Old Data'!$X284-$O288)^2</f>
        <v>6.7495039953025211</v>
      </c>
      <c r="Q288" s="62"/>
      <c r="R288" s="3"/>
      <c r="S288" s="3"/>
      <c r="T288" s="3"/>
      <c r="V288" s="3"/>
      <c r="W288" s="3"/>
      <c r="X288" s="3"/>
      <c r="Z288" s="3"/>
      <c r="AA288" s="3"/>
      <c r="AB288" s="3"/>
      <c r="AC288" s="3"/>
      <c r="AD288" s="3"/>
      <c r="AE288" s="3"/>
      <c r="AF288" s="3"/>
      <c r="AG288" s="3"/>
      <c r="AH288" s="37"/>
      <c r="AI288" s="1"/>
      <c r="AK288" s="10"/>
      <c r="AL288" s="10"/>
      <c r="AM288" s="10"/>
      <c r="AN288" s="11"/>
      <c r="AO288" s="11"/>
      <c r="AP288" s="11"/>
      <c r="AQ288" s="36"/>
      <c r="AR288" s="11"/>
      <c r="AS288" s="11"/>
      <c r="AT288" s="11"/>
      <c r="AU288" s="12"/>
      <c r="AV288" s="11"/>
      <c r="AW288" s="11"/>
      <c r="AX288" s="15"/>
      <c r="AY288" s="15"/>
      <c r="AZ288" s="15"/>
      <c r="BA288" s="15"/>
      <c r="BB288" s="15"/>
      <c r="BC288" s="15"/>
      <c r="BD288" s="15"/>
      <c r="BE288" s="12"/>
      <c r="BF288" s="11"/>
      <c r="BG288" s="11"/>
      <c r="BH288" s="10"/>
      <c r="BI288" s="10"/>
      <c r="BJ288" s="10"/>
      <c r="BK288" s="23"/>
      <c r="BL288" s="23"/>
      <c r="BM288" s="23"/>
      <c r="BN288" s="23"/>
      <c r="BO288" s="23"/>
      <c r="BP288" s="23"/>
      <c r="BQ288" s="23"/>
      <c r="BR288" s="10"/>
      <c r="BS288" s="16"/>
      <c r="BT288" s="16"/>
      <c r="BU288" s="16"/>
      <c r="BV288" s="16"/>
      <c r="BW288" s="11"/>
      <c r="BX288" s="16"/>
      <c r="BY288" s="16"/>
      <c r="BZ288" s="17"/>
      <c r="CA288" s="18"/>
      <c r="CB288" s="18"/>
      <c r="CC288" s="18"/>
      <c r="CD288" s="18"/>
      <c r="CE288" s="18"/>
      <c r="CF288" s="18"/>
      <c r="CG288" s="19"/>
      <c r="CH288" s="15"/>
      <c r="CI288" s="17"/>
      <c r="CJ288" s="10"/>
      <c r="CK288" s="10"/>
      <c r="CL288" s="10"/>
      <c r="CM288" s="17"/>
      <c r="CN288" s="17"/>
      <c r="CO288" s="10"/>
      <c r="CP288" s="10"/>
      <c r="CQ288" s="10"/>
      <c r="CR288" s="10"/>
      <c r="CS288" s="10"/>
      <c r="CT288" s="10"/>
      <c r="CU288" s="10"/>
      <c r="CV288" s="10"/>
      <c r="CW288" s="10"/>
      <c r="CX288" s="10"/>
      <c r="CY288" s="10"/>
      <c r="CZ288" s="10"/>
      <c r="DA288" s="34"/>
      <c r="DB288" s="34"/>
      <c r="DC288" s="34"/>
      <c r="DD288" s="34"/>
      <c r="DE288" s="34"/>
      <c r="DF288" s="34"/>
      <c r="DG288" s="34"/>
      <c r="DH288" s="34"/>
      <c r="DI288" s="34"/>
      <c r="DJ288" s="34"/>
      <c r="DK288" s="34"/>
      <c r="DL288" s="34"/>
      <c r="DM288" s="34"/>
      <c r="DN288" s="34"/>
      <c r="DO288" s="34"/>
      <c r="DP288" s="34"/>
      <c r="DQ288" s="34"/>
      <c r="DR288" s="34"/>
      <c r="DS288" s="34"/>
      <c r="DT288" s="34"/>
      <c r="DU288" s="34"/>
      <c r="DV288" s="34"/>
      <c r="DW288" s="34"/>
      <c r="DX288" s="34"/>
      <c r="DY288" s="34"/>
      <c r="DZ288" s="34"/>
      <c r="EA288" s="34"/>
      <c r="EB288" s="34"/>
      <c r="EC288" s="34"/>
      <c r="ED288" s="34"/>
      <c r="EE288" s="34"/>
    </row>
    <row r="289" spans="1:135" customFormat="1">
      <c r="A289" s="71">
        <f>'Old Data'!$I285-'Old Data'!$S285</f>
        <v>285</v>
      </c>
      <c r="B289" s="72">
        <f>VLOOKUP('Old Data'!$F285,$R$6:$T$135,2,FALSE)+VLOOKUP('Old Data'!$P285,$R$6:$T$135,3,FALSE)+$B$2</f>
        <v>288.5123164769023</v>
      </c>
      <c r="C289" s="72">
        <f>VLOOKUP('Old Data'!$P285,$R$6:$T$135,2,FALSE)+VLOOKUP('Old Data'!$F285,$R$6:$T$135,3,FALSE)+$B$2</f>
        <v>103.9641339880759</v>
      </c>
      <c r="D289" s="74">
        <f>('Old Data'!$I285-$B289)^2+('Old Data'!$S285-$C289)^2</f>
        <v>5100.6563680570907</v>
      </c>
      <c r="E289" s="75">
        <f>'Old Data'!$K285-'Old Data'!$U285</f>
        <v>-128</v>
      </c>
      <c r="F289" s="72">
        <f>VLOOKUP('Old Data'!$F285,$V$6:$X$135,2,FALSE)+VLOOKUP('Old Data'!$P285,$V$6:$X$135,3,FALSE)+$C$2</f>
        <v>148.14120303057655</v>
      </c>
      <c r="G289" s="72">
        <f>VLOOKUP('Old Data'!$P285,$V$6:$X$135,2,FALSE)+VLOOKUP('Old Data'!$F285,$V$6:$X$135,3,FALSE)+$C$2</f>
        <v>187.6245749208031</v>
      </c>
      <c r="H289" s="74">
        <f>('Old Data'!$K285-$F289)^2+('Old Data'!$U285-$G289)^2</f>
        <v>4964.8499417094608</v>
      </c>
      <c r="I289" s="75">
        <f>('Old Data'!$L285+'Old Data'!$M285)-('Old Data'!$V285+'Old Data'!$W285)</f>
        <v>-51</v>
      </c>
      <c r="J289" s="72">
        <f>VLOOKUP('Old Data'!$F285,$Z$6:$AB$135,2,FALSE)+VLOOKUP('Old Data'!$P285,$Z$6:$AB$135,3,FALSE)+$D$2</f>
        <v>28.822801683214699</v>
      </c>
      <c r="K289" s="72">
        <f>VLOOKUP('Old Data'!$P285,$Z$6:$AB$135,2,FALSE)+VLOOKUP('Old Data'!$F285,$Z$6:$AB$135,3,FALSE)+$D$2</f>
        <v>66.031040393622021</v>
      </c>
      <c r="L289" s="74">
        <f>('Old Data'!$L285+'Old Data'!$M285-$J289)^2+('Old Data'!$V285+'Old Data'!$W285-$K289)^2</f>
        <v>1056.686072184621</v>
      </c>
      <c r="M289" s="75">
        <f>'Old Data'!$N285-'Old Data'!$X285</f>
        <v>1</v>
      </c>
      <c r="N289" s="72">
        <f>VLOOKUP('Old Data'!$F285,$AD$6:$AF$135,2,FALSE)+VLOOKUP('Old Data'!$P285,$AD$6:$AF$135,3,FALSE)+$E$2</f>
        <v>0.76215226501111011</v>
      </c>
      <c r="O289" s="72">
        <f>VLOOKUP('Old Data'!$P285,$AD$6:$AF$135,2,FALSE)+VLOOKUP('Old Data'!$F285,$AD$6:$AF$135,3,FALSE)+$E$2</f>
        <v>1.2142806247603686</v>
      </c>
      <c r="P289" s="73">
        <f>('Old Data'!$N285-$N289)^2+('Old Data'!$X285-$O289)^2</f>
        <v>1.5310489807077763</v>
      </c>
      <c r="Q289" s="62"/>
      <c r="R289" s="3"/>
      <c r="S289" s="3"/>
      <c r="T289" s="3"/>
      <c r="V289" s="3"/>
      <c r="W289" s="3"/>
      <c r="X289" s="3"/>
      <c r="Z289" s="3"/>
      <c r="AA289" s="3"/>
      <c r="AB289" s="3"/>
      <c r="AC289" s="3"/>
      <c r="AD289" s="3"/>
      <c r="AE289" s="3"/>
      <c r="AF289" s="3"/>
      <c r="AG289" s="3"/>
      <c r="AH289" s="37"/>
      <c r="AI289" s="1"/>
      <c r="AK289" s="10"/>
      <c r="AL289" s="10"/>
      <c r="AM289" s="10"/>
      <c r="AN289" s="11"/>
      <c r="AO289" s="11"/>
      <c r="AP289" s="11"/>
      <c r="AQ289" s="36"/>
      <c r="AR289" s="11"/>
      <c r="AS289" s="11"/>
      <c r="AT289" s="11"/>
      <c r="AU289" s="12"/>
      <c r="AV289" s="11"/>
      <c r="AW289" s="11"/>
      <c r="AX289" s="15"/>
      <c r="AY289" s="15"/>
      <c r="AZ289" s="15"/>
      <c r="BA289" s="15"/>
      <c r="BB289" s="15"/>
      <c r="BC289" s="15"/>
      <c r="BD289" s="15"/>
      <c r="BE289" s="12"/>
      <c r="BF289" s="11"/>
      <c r="BG289" s="11"/>
      <c r="BH289" s="10"/>
      <c r="BI289" s="10"/>
      <c r="BJ289" s="10"/>
      <c r="BK289" s="23"/>
      <c r="BL289" s="23"/>
      <c r="BM289" s="23"/>
      <c r="BN289" s="23"/>
      <c r="BO289" s="23"/>
      <c r="BP289" s="23"/>
      <c r="BQ289" s="23"/>
      <c r="BR289" s="10"/>
      <c r="BS289" s="16"/>
      <c r="BT289" s="16"/>
      <c r="BU289" s="16"/>
      <c r="BV289" s="16"/>
      <c r="BW289" s="11"/>
      <c r="BX289" s="16"/>
      <c r="BY289" s="16"/>
      <c r="BZ289" s="17"/>
      <c r="CA289" s="18"/>
      <c r="CB289" s="18"/>
      <c r="CC289" s="18"/>
      <c r="CD289" s="18"/>
      <c r="CE289" s="18"/>
      <c r="CF289" s="18"/>
      <c r="CG289" s="19"/>
      <c r="CH289" s="15"/>
      <c r="CI289" s="17"/>
      <c r="CJ289" s="10"/>
      <c r="CK289" s="10"/>
      <c r="CL289" s="10"/>
      <c r="CM289" s="17"/>
      <c r="CN289" s="17"/>
      <c r="CO289" s="10"/>
      <c r="CP289" s="10"/>
      <c r="CQ289" s="10"/>
      <c r="CR289" s="10"/>
      <c r="CS289" s="10"/>
      <c r="CT289" s="10"/>
      <c r="CU289" s="10"/>
      <c r="CV289" s="10"/>
      <c r="CW289" s="10"/>
      <c r="CX289" s="10"/>
      <c r="CY289" s="10"/>
      <c r="CZ289" s="10"/>
      <c r="DA289" s="34"/>
      <c r="DB289" s="34"/>
      <c r="DC289" s="34"/>
      <c r="DD289" s="34"/>
      <c r="DE289" s="34"/>
      <c r="DF289" s="34"/>
      <c r="DG289" s="34"/>
      <c r="DH289" s="34"/>
      <c r="DI289" s="34"/>
      <c r="DJ289" s="34"/>
      <c r="DK289" s="34"/>
      <c r="DL289" s="34"/>
      <c r="DM289" s="34"/>
      <c r="DN289" s="34"/>
      <c r="DO289" s="34"/>
      <c r="DP289" s="34"/>
      <c r="DQ289" s="34"/>
      <c r="DR289" s="34"/>
      <c r="DS289" s="34"/>
      <c r="DT289" s="34"/>
      <c r="DU289" s="34"/>
      <c r="DV289" s="34"/>
      <c r="DW289" s="34"/>
      <c r="DX289" s="34"/>
      <c r="DY289" s="34"/>
      <c r="DZ289" s="34"/>
      <c r="EA289" s="34"/>
      <c r="EB289" s="34"/>
      <c r="EC289" s="34"/>
      <c r="ED289" s="34"/>
      <c r="EE289" s="34"/>
    </row>
    <row r="290" spans="1:135" customFormat="1">
      <c r="A290" s="71">
        <f>'Old Data'!$I286-'Old Data'!$S286</f>
        <v>-138</v>
      </c>
      <c r="B290" s="72">
        <f>VLOOKUP('Old Data'!$F286,$R$6:$T$135,2,FALSE)+VLOOKUP('Old Data'!$P286,$R$6:$T$135,3,FALSE)+$B$2</f>
        <v>98.449909893047803</v>
      </c>
      <c r="C290" s="72">
        <f>VLOOKUP('Old Data'!$P286,$R$6:$T$135,2,FALSE)+VLOOKUP('Old Data'!$F286,$R$6:$T$135,3,FALSE)+$B$2</f>
        <v>247.42651834277581</v>
      </c>
      <c r="D290" s="74">
        <f>('Old Data'!$I286-$B290)^2+('Old Data'!$S286-$C290)^2</f>
        <v>220.02630976459594</v>
      </c>
      <c r="E290" s="75">
        <f>'Old Data'!$K286-'Old Data'!$U286</f>
        <v>53</v>
      </c>
      <c r="F290" s="72">
        <f>VLOOKUP('Old Data'!$F286,$V$6:$X$135,2,FALSE)+VLOOKUP('Old Data'!$P286,$V$6:$X$135,3,FALSE)+$C$2</f>
        <v>197.9999775184489</v>
      </c>
      <c r="G290" s="72">
        <f>VLOOKUP('Old Data'!$P286,$V$6:$X$135,2,FALSE)+VLOOKUP('Old Data'!$F286,$V$6:$X$135,3,FALSE)+$C$2</f>
        <v>210.07549911702091</v>
      </c>
      <c r="H290" s="74">
        <f>('Old Data'!$K286-$F290)^2+('Old Data'!$U286-$G290)^2</f>
        <v>3746.2167722461363</v>
      </c>
      <c r="I290" s="75">
        <f>('Old Data'!$L286+'Old Data'!$M286)-('Old Data'!$V286+'Old Data'!$W286)</f>
        <v>124</v>
      </c>
      <c r="J290" s="72">
        <f>VLOOKUP('Old Data'!$F286,$Z$6:$AB$135,2,FALSE)+VLOOKUP('Old Data'!$P286,$Z$6:$AB$135,3,FALSE)+$D$2</f>
        <v>66.510504467453899</v>
      </c>
      <c r="K290" s="72">
        <f>VLOOKUP('Old Data'!$P286,$Z$6:$AB$135,2,FALSE)+VLOOKUP('Old Data'!$F286,$Z$6:$AB$135,3,FALSE)+$D$2</f>
        <v>58.996931424521492</v>
      </c>
      <c r="L290" s="74">
        <f>('Old Data'!$L286+'Old Data'!$M286-$J290)^2+('Old Data'!$V286+'Old Data'!$W286-$K290)^2</f>
        <v>6785.6800140963296</v>
      </c>
      <c r="M290" s="75">
        <f>'Old Data'!$N286-'Old Data'!$X286</f>
        <v>-1</v>
      </c>
      <c r="N290" s="72">
        <f>VLOOKUP('Old Data'!$F286,$AD$6:$AF$135,2,FALSE)+VLOOKUP('Old Data'!$P286,$AD$6:$AF$135,3,FALSE)+$E$2</f>
        <v>0.22284995653325312</v>
      </c>
      <c r="O290" s="72">
        <f>VLOOKUP('Old Data'!$P286,$AD$6:$AF$135,2,FALSE)+VLOOKUP('Old Data'!$F286,$AD$6:$AF$135,3,FALSE)+$E$2</f>
        <v>1.7295656019952621</v>
      </c>
      <c r="P290" s="73">
        <f>('Old Data'!$N286-$N290)^2+('Old Data'!$X286-$O290)^2</f>
        <v>0.58192807074158204</v>
      </c>
      <c r="Q290" s="62"/>
      <c r="R290" s="3"/>
      <c r="S290" s="3"/>
      <c r="T290" s="3"/>
      <c r="V290" s="3"/>
      <c r="W290" s="3"/>
      <c r="X290" s="3"/>
      <c r="Z290" s="3"/>
      <c r="AA290" s="3"/>
      <c r="AB290" s="3"/>
      <c r="AC290" s="3"/>
      <c r="AD290" s="3"/>
      <c r="AE290" s="3"/>
      <c r="AF290" s="3"/>
      <c r="AG290" s="3"/>
      <c r="AH290" s="37"/>
      <c r="AI290" s="1"/>
      <c r="AK290" s="10"/>
      <c r="AL290" s="10"/>
      <c r="AM290" s="10"/>
      <c r="AN290" s="11"/>
      <c r="AO290" s="11"/>
      <c r="AP290" s="11"/>
      <c r="AQ290" s="36"/>
      <c r="AR290" s="11"/>
      <c r="AS290" s="11"/>
      <c r="AT290" s="11"/>
      <c r="AU290" s="12"/>
      <c r="AV290" s="11"/>
      <c r="AW290" s="11"/>
      <c r="AX290" s="15"/>
      <c r="AY290" s="15"/>
      <c r="AZ290" s="15"/>
      <c r="BA290" s="15"/>
      <c r="BB290" s="15"/>
      <c r="BC290" s="15"/>
      <c r="BD290" s="15"/>
      <c r="BE290" s="12"/>
      <c r="BF290" s="11"/>
      <c r="BG290" s="11"/>
      <c r="BH290" s="10"/>
      <c r="BI290" s="10"/>
      <c r="BJ290" s="10"/>
      <c r="BK290" s="23"/>
      <c r="BL290" s="23"/>
      <c r="BM290" s="23"/>
      <c r="BN290" s="23"/>
      <c r="BO290" s="23"/>
      <c r="BP290" s="23"/>
      <c r="BQ290" s="23"/>
      <c r="BR290" s="10"/>
      <c r="BS290" s="16"/>
      <c r="BT290" s="16"/>
      <c r="BU290" s="16"/>
      <c r="BV290" s="16"/>
      <c r="BW290" s="11"/>
      <c r="BX290" s="16"/>
      <c r="BY290" s="16"/>
      <c r="BZ290" s="17"/>
      <c r="CA290" s="18"/>
      <c r="CB290" s="18"/>
      <c r="CC290" s="18"/>
      <c r="CD290" s="18"/>
      <c r="CE290" s="18"/>
      <c r="CF290" s="18"/>
      <c r="CG290" s="19"/>
      <c r="CH290" s="15"/>
      <c r="CI290" s="17"/>
      <c r="CJ290" s="10"/>
      <c r="CK290" s="10"/>
      <c r="CL290" s="10"/>
      <c r="CM290" s="17"/>
      <c r="CN290" s="17"/>
      <c r="CO290" s="10"/>
      <c r="CP290" s="10"/>
      <c r="CQ290" s="10"/>
      <c r="CR290" s="10"/>
      <c r="CS290" s="10"/>
      <c r="CT290" s="10"/>
      <c r="CU290" s="10"/>
      <c r="CV290" s="10"/>
      <c r="CW290" s="10"/>
      <c r="CX290" s="10"/>
      <c r="CY290" s="10"/>
      <c r="CZ290" s="10"/>
      <c r="DA290" s="34"/>
      <c r="DB290" s="34"/>
      <c r="DC290" s="34"/>
      <c r="DD290" s="34"/>
      <c r="DE290" s="34"/>
      <c r="DF290" s="34"/>
      <c r="DG290" s="34"/>
      <c r="DH290" s="34"/>
      <c r="DI290" s="34"/>
      <c r="DJ290" s="34"/>
      <c r="DK290" s="34"/>
      <c r="DL290" s="34"/>
      <c r="DM290" s="34"/>
      <c r="DN290" s="34"/>
      <c r="DO290" s="34"/>
      <c r="DP290" s="34"/>
      <c r="DQ290" s="34"/>
      <c r="DR290" s="34"/>
      <c r="DS290" s="34"/>
      <c r="DT290" s="34"/>
      <c r="DU290" s="34"/>
      <c r="DV290" s="34"/>
      <c r="DW290" s="34"/>
      <c r="DX290" s="34"/>
      <c r="DY290" s="34"/>
      <c r="DZ290" s="34"/>
      <c r="EA290" s="34"/>
      <c r="EB290" s="34"/>
      <c r="EC290" s="34"/>
      <c r="ED290" s="34"/>
      <c r="EE290" s="34"/>
    </row>
    <row r="291" spans="1:135" customFormat="1">
      <c r="A291" s="71">
        <f>'Old Data'!$I287-'Old Data'!$S287</f>
        <v>-60</v>
      </c>
      <c r="B291" s="72">
        <f>VLOOKUP('Old Data'!$F287,$R$6:$T$135,2,FALSE)+VLOOKUP('Old Data'!$P287,$R$6:$T$135,3,FALSE)+$B$2</f>
        <v>137.383941981546</v>
      </c>
      <c r="C291" s="72">
        <f>VLOOKUP('Old Data'!$P287,$R$6:$T$135,2,FALSE)+VLOOKUP('Old Data'!$F287,$R$6:$T$135,3,FALSE)+$B$2</f>
        <v>192.02112643597681</v>
      </c>
      <c r="D291" s="74">
        <f>('Old Data'!$I287-$B291)^2+('Old Data'!$S287-$C291)^2</f>
        <v>545.59467772108371</v>
      </c>
      <c r="E291" s="75">
        <f>'Old Data'!$K287-'Old Data'!$U287</f>
        <v>-59</v>
      </c>
      <c r="F291" s="72">
        <f>VLOOKUP('Old Data'!$F287,$V$6:$X$135,2,FALSE)+VLOOKUP('Old Data'!$P287,$V$6:$X$135,3,FALSE)+$C$2</f>
        <v>217.0466801468082</v>
      </c>
      <c r="G291" s="72">
        <f>VLOOKUP('Old Data'!$P287,$V$6:$X$135,2,FALSE)+VLOOKUP('Old Data'!$F287,$V$6:$X$135,3,FALSE)+$C$2</f>
        <v>242.67936412723088</v>
      </c>
      <c r="H291" s="74">
        <f>('Old Data'!$K287-$F291)^2+('Old Data'!$U287-$G291)^2</f>
        <v>1092.1858760883536</v>
      </c>
      <c r="I291" s="75">
        <f>('Old Data'!$L287+'Old Data'!$M287)-('Old Data'!$V287+'Old Data'!$W287)</f>
        <v>-8</v>
      </c>
      <c r="J291" s="72">
        <f>VLOOKUP('Old Data'!$F287,$Z$6:$AB$135,2,FALSE)+VLOOKUP('Old Data'!$P287,$Z$6:$AB$135,3,FALSE)+$D$2</f>
        <v>55.936316712701348</v>
      </c>
      <c r="K291" s="72">
        <f>VLOOKUP('Old Data'!$P287,$Z$6:$AB$135,2,FALSE)+VLOOKUP('Old Data'!$F287,$Z$6:$AB$135,3,FALSE)+$D$2</f>
        <v>18.061379797255896</v>
      </c>
      <c r="L291" s="74">
        <f>('Old Data'!$L287+'Old Data'!$M287-$J291)^2+('Old Data'!$V287+'Old Data'!$W287-$K291)^2</f>
        <v>1060.2457071909121</v>
      </c>
      <c r="M291" s="75">
        <f>'Old Data'!$N287-'Old Data'!$X287</f>
        <v>-2</v>
      </c>
      <c r="N291" s="72">
        <f>VLOOKUP('Old Data'!$F287,$AD$6:$AF$135,2,FALSE)+VLOOKUP('Old Data'!$P287,$AD$6:$AF$135,3,FALSE)+$E$2</f>
        <v>1.1274867658260832</v>
      </c>
      <c r="O291" s="72">
        <f>VLOOKUP('Old Data'!$P287,$AD$6:$AF$135,2,FALSE)+VLOOKUP('Old Data'!$F287,$AD$6:$AF$135,3,FALSE)+$E$2</f>
        <v>1.5739497789451931</v>
      </c>
      <c r="P291" s="73">
        <f>('Old Data'!$N287-$N291)^2+('Old Data'!$X287-$O291)^2</f>
        <v>2.0498721084312583</v>
      </c>
      <c r="Q291" s="62"/>
      <c r="R291" s="3"/>
      <c r="S291" s="3"/>
      <c r="T291" s="3"/>
      <c r="V291" s="3"/>
      <c r="W291" s="3"/>
      <c r="X291" s="3"/>
      <c r="Z291" s="3"/>
      <c r="AA291" s="3"/>
      <c r="AB291" s="3"/>
      <c r="AC291" s="3"/>
      <c r="AD291" s="3"/>
      <c r="AE291" s="3"/>
      <c r="AF291" s="3"/>
      <c r="AG291" s="3"/>
      <c r="AH291" s="37"/>
      <c r="AI291" s="1"/>
      <c r="AK291" s="10"/>
      <c r="AL291" s="10"/>
      <c r="AM291" s="10"/>
      <c r="AN291" s="11"/>
      <c r="AO291" s="11"/>
      <c r="AP291" s="11"/>
      <c r="AQ291" s="36"/>
      <c r="AR291" s="11"/>
      <c r="AS291" s="11"/>
      <c r="AT291" s="11"/>
      <c r="AU291" s="12"/>
      <c r="AV291" s="11"/>
      <c r="AW291" s="11"/>
      <c r="AX291" s="15"/>
      <c r="AY291" s="15"/>
      <c r="AZ291" s="15"/>
      <c r="BA291" s="15"/>
      <c r="BB291" s="15"/>
      <c r="BC291" s="15"/>
      <c r="BD291" s="15"/>
      <c r="BE291" s="12"/>
      <c r="BF291" s="11"/>
      <c r="BG291" s="11"/>
      <c r="BH291" s="10"/>
      <c r="BI291" s="10"/>
      <c r="BJ291" s="10"/>
      <c r="BK291" s="23"/>
      <c r="BL291" s="23"/>
      <c r="BM291" s="23"/>
      <c r="BN291" s="23"/>
      <c r="BO291" s="23"/>
      <c r="BP291" s="23"/>
      <c r="BQ291" s="23"/>
      <c r="BR291" s="10"/>
      <c r="BS291" s="16"/>
      <c r="BT291" s="16"/>
      <c r="BU291" s="16"/>
      <c r="BV291" s="16"/>
      <c r="BW291" s="11"/>
      <c r="BX291" s="16"/>
      <c r="BY291" s="16"/>
      <c r="BZ291" s="17"/>
      <c r="CA291" s="18"/>
      <c r="CB291" s="18"/>
      <c r="CC291" s="18"/>
      <c r="CD291" s="18"/>
      <c r="CE291" s="18"/>
      <c r="CF291" s="18"/>
      <c r="CG291" s="19"/>
      <c r="CH291" s="15"/>
      <c r="CI291" s="17"/>
      <c r="CJ291" s="10"/>
      <c r="CK291" s="10"/>
      <c r="CL291" s="10"/>
      <c r="CM291" s="17"/>
      <c r="CN291" s="17"/>
      <c r="CO291" s="10"/>
      <c r="CP291" s="10"/>
      <c r="CQ291" s="10"/>
      <c r="CR291" s="10"/>
      <c r="CS291" s="10"/>
      <c r="CT291" s="10"/>
      <c r="CU291" s="10"/>
      <c r="CV291" s="10"/>
      <c r="CW291" s="10"/>
      <c r="CX291" s="10"/>
      <c r="CY291" s="10"/>
      <c r="CZ291" s="10"/>
      <c r="DA291" s="34"/>
      <c r="DB291" s="34"/>
      <c r="DC291" s="34"/>
      <c r="DD291" s="34"/>
      <c r="DE291" s="34"/>
      <c r="DF291" s="34"/>
      <c r="DG291" s="34"/>
      <c r="DH291" s="34"/>
      <c r="DI291" s="34"/>
      <c r="DJ291" s="34"/>
      <c r="DK291" s="34"/>
      <c r="DL291" s="34"/>
      <c r="DM291" s="34"/>
      <c r="DN291" s="34"/>
      <c r="DO291" s="34"/>
      <c r="DP291" s="34"/>
      <c r="DQ291" s="34"/>
      <c r="DR291" s="34"/>
      <c r="DS291" s="34"/>
      <c r="DT291" s="34"/>
      <c r="DU291" s="34"/>
      <c r="DV291" s="34"/>
      <c r="DW291" s="34"/>
      <c r="DX291" s="34"/>
      <c r="DY291" s="34"/>
      <c r="DZ291" s="34"/>
      <c r="EA291" s="34"/>
      <c r="EB291" s="34"/>
      <c r="EC291" s="34"/>
      <c r="ED291" s="34"/>
      <c r="EE291" s="34"/>
    </row>
    <row r="292" spans="1:135" customFormat="1">
      <c r="A292" s="71">
        <f>'Old Data'!$I288-'Old Data'!$S288</f>
        <v>137</v>
      </c>
      <c r="B292" s="72">
        <f>VLOOKUP('Old Data'!$F288,$R$6:$T$135,2,FALSE)+VLOOKUP('Old Data'!$P288,$R$6:$T$135,3,FALSE)+$B$2</f>
        <v>127.7385338602858</v>
      </c>
      <c r="C292" s="72">
        <f>VLOOKUP('Old Data'!$P288,$R$6:$T$135,2,FALSE)+VLOOKUP('Old Data'!$F288,$R$6:$T$135,3,FALSE)+$B$2</f>
        <v>74.804786670418792</v>
      </c>
      <c r="D292" s="74">
        <f>('Old Data'!$I288-$B292)^2+('Old Data'!$S288-$C292)^2</f>
        <v>3534.7583498988442</v>
      </c>
      <c r="E292" s="75">
        <f>'Old Data'!$K288-'Old Data'!$U288</f>
        <v>-103</v>
      </c>
      <c r="F292" s="72">
        <f>VLOOKUP('Old Data'!$F288,$V$6:$X$135,2,FALSE)+VLOOKUP('Old Data'!$P288,$V$6:$X$135,3,FALSE)+$C$2</f>
        <v>333.65635682058263</v>
      </c>
      <c r="G292" s="72">
        <f>VLOOKUP('Old Data'!$P288,$V$6:$X$135,2,FALSE)+VLOOKUP('Old Data'!$F288,$V$6:$X$135,3,FALSE)+$C$2</f>
        <v>406.9482028844966</v>
      </c>
      <c r="H292" s="74">
        <f>('Old Data'!$K288-$F292)^2+('Old Data'!$U288-$G292)^2</f>
        <v>4348.164137611544</v>
      </c>
      <c r="I292" s="75">
        <f>('Old Data'!$L288+'Old Data'!$M288)-('Old Data'!$V288+'Old Data'!$W288)</f>
        <v>-29</v>
      </c>
      <c r="J292" s="72">
        <f>VLOOKUP('Old Data'!$F288,$Z$6:$AB$135,2,FALSE)+VLOOKUP('Old Data'!$P288,$Z$6:$AB$135,3,FALSE)+$D$2</f>
        <v>72.236273142711553</v>
      </c>
      <c r="K292" s="72">
        <f>VLOOKUP('Old Data'!$P288,$Z$6:$AB$135,2,FALSE)+VLOOKUP('Old Data'!$F288,$Z$6:$AB$135,3,FALSE)+$D$2</f>
        <v>85.897682625747791</v>
      </c>
      <c r="L292" s="74">
        <f>('Old Data'!$L288+'Old Data'!$M288-$J292)^2+('Old Data'!$V288+'Old Data'!$W288-$K292)^2</f>
        <v>485.76195734589942</v>
      </c>
      <c r="M292" s="75">
        <f>'Old Data'!$N288-'Old Data'!$X288</f>
        <v>0</v>
      </c>
      <c r="N292" s="72">
        <f>VLOOKUP('Old Data'!$F288,$AD$6:$AF$135,2,FALSE)+VLOOKUP('Old Data'!$P288,$AD$6:$AF$135,3,FALSE)+$E$2</f>
        <v>2.6484353912124021</v>
      </c>
      <c r="O292" s="72">
        <f>VLOOKUP('Old Data'!$P288,$AD$6:$AF$135,2,FALSE)+VLOOKUP('Old Data'!$F288,$AD$6:$AF$135,3,FALSE)+$E$2</f>
        <v>1.5318452609816071</v>
      </c>
      <c r="P292" s="73">
        <f>('Old Data'!$N288-$N292)^2+('Old Data'!$X288-$O292)^2</f>
        <v>9.360759925018197</v>
      </c>
      <c r="Q292" s="62"/>
      <c r="R292" s="3"/>
      <c r="S292" s="3"/>
      <c r="T292" s="3"/>
      <c r="V292" s="3"/>
      <c r="W292" s="3"/>
      <c r="X292" s="3"/>
      <c r="Z292" s="3"/>
      <c r="AA292" s="3"/>
      <c r="AB292" s="3"/>
      <c r="AC292" s="3"/>
      <c r="AD292" s="3"/>
      <c r="AE292" s="3"/>
      <c r="AF292" s="3"/>
      <c r="AG292" s="3"/>
      <c r="AH292" s="37"/>
      <c r="AI292" s="1"/>
      <c r="AK292" s="10"/>
      <c r="AL292" s="10"/>
      <c r="AM292" s="10"/>
      <c r="AN292" s="11"/>
      <c r="AO292" s="11"/>
      <c r="AP292" s="11"/>
      <c r="AQ292" s="36"/>
      <c r="AR292" s="11"/>
      <c r="AS292" s="11"/>
      <c r="AT292" s="11"/>
      <c r="AU292" s="12"/>
      <c r="AV292" s="11"/>
      <c r="AW292" s="11"/>
      <c r="AX292" s="15"/>
      <c r="AY292" s="15"/>
      <c r="AZ292" s="15"/>
      <c r="BA292" s="15"/>
      <c r="BB292" s="15"/>
      <c r="BC292" s="15"/>
      <c r="BD292" s="15"/>
      <c r="BE292" s="12"/>
      <c r="BF292" s="11"/>
      <c r="BG292" s="11"/>
      <c r="BH292" s="10"/>
      <c r="BI292" s="10"/>
      <c r="BJ292" s="10"/>
      <c r="BK292" s="23"/>
      <c r="BL292" s="23"/>
      <c r="BM292" s="23"/>
      <c r="BN292" s="23"/>
      <c r="BO292" s="23"/>
      <c r="BP292" s="23"/>
      <c r="BQ292" s="23"/>
      <c r="BR292" s="10"/>
      <c r="BS292" s="16"/>
      <c r="BT292" s="16"/>
      <c r="BU292" s="16"/>
      <c r="BV292" s="16"/>
      <c r="BW292" s="11"/>
      <c r="BX292" s="16"/>
      <c r="BY292" s="16"/>
      <c r="BZ292" s="17"/>
      <c r="CA292" s="18"/>
      <c r="CB292" s="18"/>
      <c r="CC292" s="18"/>
      <c r="CD292" s="18"/>
      <c r="CE292" s="18"/>
      <c r="CF292" s="18"/>
      <c r="CG292" s="19"/>
      <c r="CH292" s="15"/>
      <c r="CI292" s="17"/>
      <c r="CJ292" s="10"/>
      <c r="CK292" s="10"/>
      <c r="CL292" s="10"/>
      <c r="CM292" s="17"/>
      <c r="CN292" s="17"/>
      <c r="CO292" s="10"/>
      <c r="CP292" s="10"/>
      <c r="CQ292" s="10"/>
      <c r="CR292" s="10"/>
      <c r="CS292" s="10"/>
      <c r="CT292" s="10"/>
      <c r="CU292" s="10"/>
      <c r="CV292" s="10"/>
      <c r="CW292" s="10"/>
      <c r="CX292" s="10"/>
      <c r="CY292" s="10"/>
      <c r="CZ292" s="10"/>
      <c r="DA292" s="34"/>
      <c r="DB292" s="34"/>
      <c r="DC292" s="34"/>
      <c r="DD292" s="34"/>
      <c r="DE292" s="34"/>
      <c r="DF292" s="34"/>
      <c r="DG292" s="34"/>
      <c r="DH292" s="34"/>
      <c r="DI292" s="34"/>
      <c r="DJ292" s="34"/>
      <c r="DK292" s="34"/>
      <c r="DL292" s="34"/>
      <c r="DM292" s="34"/>
      <c r="DN292" s="34"/>
      <c r="DO292" s="34"/>
      <c r="DP292" s="34"/>
      <c r="DQ292" s="34"/>
      <c r="DR292" s="34"/>
      <c r="DS292" s="34"/>
      <c r="DT292" s="34"/>
      <c r="DU292" s="34"/>
      <c r="DV292" s="34"/>
      <c r="DW292" s="34"/>
      <c r="DX292" s="34"/>
      <c r="DY292" s="34"/>
      <c r="DZ292" s="34"/>
      <c r="EA292" s="34"/>
      <c r="EB292" s="34"/>
      <c r="EC292" s="34"/>
      <c r="ED292" s="34"/>
      <c r="EE292" s="34"/>
    </row>
    <row r="293" spans="1:135" customFormat="1">
      <c r="A293" s="71">
        <f>'Old Data'!$I289-'Old Data'!$S289</f>
        <v>25</v>
      </c>
      <c r="B293" s="72">
        <f>VLOOKUP('Old Data'!$F289,$R$6:$T$135,2,FALSE)+VLOOKUP('Old Data'!$P289,$R$6:$T$135,3,FALSE)+$B$2</f>
        <v>157.28782362611682</v>
      </c>
      <c r="C293" s="72">
        <f>VLOOKUP('Old Data'!$P289,$R$6:$T$135,2,FALSE)+VLOOKUP('Old Data'!$F289,$R$6:$T$135,3,FALSE)+$B$2</f>
        <v>121.04205368842291</v>
      </c>
      <c r="D293" s="74">
        <f>('Old Data'!$I289-$B293)^2+('Old Data'!$S289-$C293)^2</f>
        <v>973.60335574188571</v>
      </c>
      <c r="E293" s="75">
        <f>'Old Data'!$K289-'Old Data'!$U289</f>
        <v>-10</v>
      </c>
      <c r="F293" s="72">
        <f>VLOOKUP('Old Data'!$F289,$V$6:$X$135,2,FALSE)+VLOOKUP('Old Data'!$P289,$V$6:$X$135,3,FALSE)+$C$2</f>
        <v>355.17512856497882</v>
      </c>
      <c r="G293" s="72">
        <f>VLOOKUP('Old Data'!$P289,$V$6:$X$135,2,FALSE)+VLOOKUP('Old Data'!$F289,$V$6:$X$135,3,FALSE)+$C$2</f>
        <v>303.26716583984467</v>
      </c>
      <c r="H293" s="74">
        <f>('Old Data'!$K289-$F293)^2+('Old Data'!$U289-$G293)^2</f>
        <v>3459.6272498884537</v>
      </c>
      <c r="I293" s="75">
        <f>('Old Data'!$L289+'Old Data'!$M289)-('Old Data'!$V289+'Old Data'!$W289)</f>
        <v>60</v>
      </c>
      <c r="J293" s="72">
        <f>VLOOKUP('Old Data'!$F289,$Z$6:$AB$135,2,FALSE)+VLOOKUP('Old Data'!$P289,$Z$6:$AB$135,3,FALSE)+$D$2</f>
        <v>55.02495782463884</v>
      </c>
      <c r="K293" s="72">
        <f>VLOOKUP('Old Data'!$P289,$Z$6:$AB$135,2,FALSE)+VLOOKUP('Old Data'!$F289,$Z$6:$AB$135,3,FALSE)+$D$2</f>
        <v>79.195583632159369</v>
      </c>
      <c r="L293" s="74">
        <f>('Old Data'!$L289+'Old Data'!$M289-$J293)^2+('Old Data'!$V289+'Old Data'!$W289-$K293)^2</f>
        <v>4882.9032879283959</v>
      </c>
      <c r="M293" s="75">
        <f>'Old Data'!$N289-'Old Data'!$X289</f>
        <v>0</v>
      </c>
      <c r="N293" s="72">
        <f>VLOOKUP('Old Data'!$F289,$AD$6:$AF$135,2,FALSE)+VLOOKUP('Old Data'!$P289,$AD$6:$AF$135,3,FALSE)+$E$2</f>
        <v>2.22636543988133</v>
      </c>
      <c r="O293" s="72">
        <f>VLOOKUP('Old Data'!$P289,$AD$6:$AF$135,2,FALSE)+VLOOKUP('Old Data'!$F289,$AD$6:$AF$135,3,FALSE)+$E$2</f>
        <v>1.8363737233270079</v>
      </c>
      <c r="P293" s="73">
        <f>('Old Data'!$N289-$N293)^2+('Old Data'!$X289-$O293)^2</f>
        <v>1.9525365443738589</v>
      </c>
      <c r="Q293" s="62"/>
      <c r="R293" s="3"/>
      <c r="S293" s="3"/>
      <c r="T293" s="3"/>
      <c r="V293" s="3"/>
      <c r="W293" s="3"/>
      <c r="X293" s="3"/>
      <c r="Z293" s="3"/>
      <c r="AA293" s="3"/>
      <c r="AB293" s="3"/>
      <c r="AC293" s="3"/>
      <c r="AD293" s="3"/>
      <c r="AE293" s="3"/>
      <c r="AF293" s="3"/>
      <c r="AG293" s="3"/>
      <c r="AH293" s="37"/>
      <c r="AI293" s="1"/>
      <c r="AK293" s="10"/>
      <c r="AL293" s="10"/>
      <c r="AM293" s="10"/>
      <c r="AN293" s="11"/>
      <c r="AO293" s="11"/>
      <c r="AP293" s="11"/>
      <c r="AQ293" s="36"/>
      <c r="AR293" s="11"/>
      <c r="AS293" s="11"/>
      <c r="AT293" s="11"/>
      <c r="AU293" s="12"/>
      <c r="AV293" s="11"/>
      <c r="AW293" s="11"/>
      <c r="AX293" s="15"/>
      <c r="AY293" s="15"/>
      <c r="AZ293" s="15"/>
      <c r="BA293" s="15"/>
      <c r="BB293" s="15"/>
      <c r="BC293" s="15"/>
      <c r="BD293" s="15"/>
      <c r="BE293" s="12"/>
      <c r="BF293" s="11"/>
      <c r="BG293" s="11"/>
      <c r="BH293" s="10"/>
      <c r="BI293" s="10"/>
      <c r="BJ293" s="10"/>
      <c r="BK293" s="23"/>
      <c r="BL293" s="23"/>
      <c r="BM293" s="23"/>
      <c r="BN293" s="23"/>
      <c r="BO293" s="23"/>
      <c r="BP293" s="23"/>
      <c r="BQ293" s="23"/>
      <c r="BR293" s="10"/>
      <c r="BS293" s="16"/>
      <c r="BT293" s="16"/>
      <c r="BU293" s="16"/>
      <c r="BV293" s="16"/>
      <c r="BW293" s="11"/>
      <c r="BX293" s="16"/>
      <c r="BY293" s="16"/>
      <c r="BZ293" s="17"/>
      <c r="CA293" s="18"/>
      <c r="CB293" s="18"/>
      <c r="CC293" s="18"/>
      <c r="CD293" s="18"/>
      <c r="CE293" s="18"/>
      <c r="CF293" s="18"/>
      <c r="CG293" s="19"/>
      <c r="CH293" s="15"/>
      <c r="CI293" s="17"/>
      <c r="CJ293" s="10"/>
      <c r="CK293" s="10"/>
      <c r="CL293" s="10"/>
      <c r="CM293" s="17"/>
      <c r="CN293" s="17"/>
      <c r="CO293" s="10"/>
      <c r="CP293" s="10"/>
      <c r="CQ293" s="10"/>
      <c r="CR293" s="10"/>
      <c r="CS293" s="10"/>
      <c r="CT293" s="10"/>
      <c r="CU293" s="10"/>
      <c r="CV293" s="10"/>
      <c r="CW293" s="10"/>
      <c r="CX293" s="10"/>
      <c r="CY293" s="10"/>
      <c r="CZ293" s="10"/>
      <c r="DA293" s="34"/>
      <c r="DB293" s="34"/>
      <c r="DC293" s="34"/>
      <c r="DD293" s="34"/>
      <c r="DE293" s="34"/>
      <c r="DF293" s="34"/>
      <c r="DG293" s="34"/>
      <c r="DH293" s="34"/>
      <c r="DI293" s="34"/>
      <c r="DJ293" s="34"/>
      <c r="DK293" s="34"/>
      <c r="DL293" s="34"/>
      <c r="DM293" s="34"/>
      <c r="DN293" s="34"/>
      <c r="DO293" s="34"/>
      <c r="DP293" s="34"/>
      <c r="DQ293" s="34"/>
      <c r="DR293" s="34"/>
      <c r="DS293" s="34"/>
      <c r="DT293" s="34"/>
      <c r="DU293" s="34"/>
      <c r="DV293" s="34"/>
      <c r="DW293" s="34"/>
      <c r="DX293" s="34"/>
      <c r="DY293" s="34"/>
      <c r="DZ293" s="34"/>
      <c r="EA293" s="34"/>
      <c r="EB293" s="34"/>
      <c r="EC293" s="34"/>
      <c r="ED293" s="34"/>
      <c r="EE293" s="34"/>
    </row>
    <row r="294" spans="1:135" customFormat="1">
      <c r="A294" s="71">
        <f>'Old Data'!$I290-'Old Data'!$S290</f>
        <v>90</v>
      </c>
      <c r="B294" s="72">
        <f>VLOOKUP('Old Data'!$F290,$R$6:$T$135,2,FALSE)+VLOOKUP('Old Data'!$P290,$R$6:$T$135,3,FALSE)+$B$2</f>
        <v>183.5398893425544</v>
      </c>
      <c r="C294" s="72">
        <f>VLOOKUP('Old Data'!$P290,$R$6:$T$135,2,FALSE)+VLOOKUP('Old Data'!$F290,$R$6:$T$135,3,FALSE)+$B$2</f>
        <v>107.61996672009501</v>
      </c>
      <c r="D294" s="74">
        <f>('Old Data'!$I290-$B294)^2+('Old Data'!$S290-$C294)^2</f>
        <v>407.64066489291298</v>
      </c>
      <c r="E294" s="75">
        <f>'Old Data'!$K290-'Old Data'!$U290</f>
        <v>-10</v>
      </c>
      <c r="F294" s="72">
        <f>VLOOKUP('Old Data'!$F290,$V$6:$X$135,2,FALSE)+VLOOKUP('Old Data'!$P290,$V$6:$X$135,3,FALSE)+$C$2</f>
        <v>268.91479492183072</v>
      </c>
      <c r="G294" s="72">
        <f>VLOOKUP('Old Data'!$P290,$V$6:$X$135,2,FALSE)+VLOOKUP('Old Data'!$F290,$V$6:$X$135,3,FALSE)+$C$2</f>
        <v>313.02772337258773</v>
      </c>
      <c r="H294" s="74">
        <f>('Old Data'!$K290-$F294)^2+('Old Data'!$U290-$G294)^2</f>
        <v>2267.1815347402016</v>
      </c>
      <c r="I294" s="75">
        <f>('Old Data'!$L290+'Old Data'!$M290)-('Old Data'!$V290+'Old Data'!$W290)</f>
        <v>-98</v>
      </c>
      <c r="J294" s="72">
        <f>VLOOKUP('Old Data'!$F290,$Z$6:$AB$135,2,FALSE)+VLOOKUP('Old Data'!$P290,$Z$6:$AB$135,3,FALSE)+$D$2</f>
        <v>72.868678392047983</v>
      </c>
      <c r="K294" s="72">
        <f>VLOOKUP('Old Data'!$P290,$Z$6:$AB$135,2,FALSE)+VLOOKUP('Old Data'!$F290,$Z$6:$AB$135,3,FALSE)+$D$2</f>
        <v>76.868006246037268</v>
      </c>
      <c r="L294" s="74">
        <f>('Old Data'!$L290+'Old Data'!$M290-$J294)^2+('Old Data'!$V290+'Old Data'!$W290-$K294)^2</f>
        <v>4712.4174181267608</v>
      </c>
      <c r="M294" s="75">
        <f>'Old Data'!$N290-'Old Data'!$X290</f>
        <v>1</v>
      </c>
      <c r="N294" s="72">
        <f>VLOOKUP('Old Data'!$F290,$AD$6:$AF$135,2,FALSE)+VLOOKUP('Old Data'!$P290,$AD$6:$AF$135,3,FALSE)+$E$2</f>
        <v>2.078484804685552</v>
      </c>
      <c r="O294" s="72">
        <f>VLOOKUP('Old Data'!$P290,$AD$6:$AF$135,2,FALSE)+VLOOKUP('Old Data'!$F290,$AD$6:$AF$135,3,FALSE)+$E$2</f>
        <v>0.97357203081362309</v>
      </c>
      <c r="P294" s="73">
        <f>('Old Data'!$N290-$N294)^2+('Old Data'!$X290-$O294)^2</f>
        <v>1.9027446311234952</v>
      </c>
      <c r="Q294" s="62"/>
      <c r="R294" s="3"/>
      <c r="S294" s="3"/>
      <c r="T294" s="3"/>
      <c r="V294" s="3"/>
      <c r="W294" s="3"/>
      <c r="X294" s="3"/>
      <c r="Z294" s="3"/>
      <c r="AA294" s="3"/>
      <c r="AB294" s="3"/>
      <c r="AC294" s="3"/>
      <c r="AD294" s="3"/>
      <c r="AE294" s="3"/>
      <c r="AF294" s="3"/>
      <c r="AG294" s="3"/>
      <c r="AH294" s="37"/>
      <c r="AI294" s="1"/>
      <c r="AK294" s="10"/>
      <c r="AL294" s="10"/>
      <c r="AM294" s="10"/>
      <c r="AN294" s="11"/>
      <c r="AO294" s="11"/>
      <c r="AP294" s="11"/>
      <c r="AQ294" s="36"/>
      <c r="AR294" s="11"/>
      <c r="AS294" s="11"/>
      <c r="AT294" s="11"/>
      <c r="AU294" s="12"/>
      <c r="AV294" s="11"/>
      <c r="AW294" s="11"/>
      <c r="AX294" s="15"/>
      <c r="AY294" s="15"/>
      <c r="AZ294" s="15"/>
      <c r="BA294" s="15"/>
      <c r="BB294" s="15"/>
      <c r="BC294" s="15"/>
      <c r="BD294" s="15"/>
      <c r="BE294" s="12"/>
      <c r="BF294" s="11"/>
      <c r="BG294" s="11"/>
      <c r="BH294" s="10"/>
      <c r="BI294" s="10"/>
      <c r="BJ294" s="10"/>
      <c r="BK294" s="23"/>
      <c r="BL294" s="23"/>
      <c r="BM294" s="23"/>
      <c r="BN294" s="23"/>
      <c r="BO294" s="23"/>
      <c r="BP294" s="23"/>
      <c r="BQ294" s="23"/>
      <c r="BR294" s="10"/>
      <c r="BS294" s="16"/>
      <c r="BT294" s="16"/>
      <c r="BU294" s="16"/>
      <c r="BV294" s="16"/>
      <c r="BW294" s="11"/>
      <c r="BX294" s="16"/>
      <c r="BY294" s="16"/>
      <c r="BZ294" s="17"/>
      <c r="CA294" s="18"/>
      <c r="CB294" s="18"/>
      <c r="CC294" s="18"/>
      <c r="CD294" s="18"/>
      <c r="CE294" s="18"/>
      <c r="CF294" s="18"/>
      <c r="CG294" s="19"/>
      <c r="CH294" s="15"/>
      <c r="CI294" s="17"/>
      <c r="CJ294" s="10"/>
      <c r="CK294" s="10"/>
      <c r="CL294" s="10"/>
      <c r="CM294" s="17"/>
      <c r="CN294" s="17"/>
      <c r="CO294" s="10"/>
      <c r="CP294" s="10"/>
      <c r="CQ294" s="10"/>
      <c r="CR294" s="10"/>
      <c r="CS294" s="10"/>
      <c r="CT294" s="10"/>
      <c r="CU294" s="10"/>
      <c r="CV294" s="10"/>
      <c r="CW294" s="10"/>
      <c r="CX294" s="10"/>
      <c r="CY294" s="10"/>
      <c r="CZ294" s="10"/>
      <c r="DA294" s="34"/>
      <c r="DB294" s="34"/>
      <c r="DC294" s="34"/>
      <c r="DD294" s="34"/>
      <c r="DE294" s="34"/>
      <c r="DF294" s="34"/>
      <c r="DG294" s="34"/>
      <c r="DH294" s="34"/>
      <c r="DI294" s="34"/>
      <c r="DJ294" s="34"/>
      <c r="DK294" s="34"/>
      <c r="DL294" s="34"/>
      <c r="DM294" s="34"/>
      <c r="DN294" s="34"/>
      <c r="DO294" s="34"/>
      <c r="DP294" s="34"/>
      <c r="DQ294" s="34"/>
      <c r="DR294" s="34"/>
      <c r="DS294" s="34"/>
      <c r="DT294" s="34"/>
      <c r="DU294" s="34"/>
      <c r="DV294" s="34"/>
      <c r="DW294" s="34"/>
      <c r="DX294" s="34"/>
      <c r="DY294" s="34"/>
      <c r="DZ294" s="34"/>
      <c r="EA294" s="34"/>
      <c r="EB294" s="34"/>
      <c r="EC294" s="34"/>
      <c r="ED294" s="34"/>
      <c r="EE294" s="34"/>
    </row>
    <row r="295" spans="1:135" customFormat="1">
      <c r="A295" s="71">
        <f>'Old Data'!$I291-'Old Data'!$S291</f>
        <v>108</v>
      </c>
      <c r="B295" s="72">
        <f>VLOOKUP('Old Data'!$F291,$R$6:$T$135,2,FALSE)+VLOOKUP('Old Data'!$P291,$R$6:$T$135,3,FALSE)+$B$2</f>
        <v>194.7061452185248</v>
      </c>
      <c r="C295" s="72">
        <f>VLOOKUP('Old Data'!$P291,$R$6:$T$135,2,FALSE)+VLOOKUP('Old Data'!$F291,$R$6:$T$135,3,FALSE)+$B$2</f>
        <v>276.30934755810193</v>
      </c>
      <c r="D295" s="74">
        <f>('Old Data'!$I291-$B295)^2+('Old Data'!$S291-$C295)^2</f>
        <v>22876.721073610424</v>
      </c>
      <c r="E295" s="75">
        <f>'Old Data'!$K291-'Old Data'!$U291</f>
        <v>-75</v>
      </c>
      <c r="F295" s="72">
        <f>VLOOKUP('Old Data'!$F291,$V$6:$X$135,2,FALSE)+VLOOKUP('Old Data'!$P291,$V$6:$X$135,3,FALSE)+$C$2</f>
        <v>173.22611698168771</v>
      </c>
      <c r="G295" s="72">
        <f>VLOOKUP('Old Data'!$P291,$V$6:$X$135,2,FALSE)+VLOOKUP('Old Data'!$F291,$V$6:$X$135,3,FALSE)+$C$2</f>
        <v>236.80864574212939</v>
      </c>
      <c r="H295" s="74">
        <f>('Old Data'!$K291-$F295)^2+('Old Data'!$U291-$G295)^2</f>
        <v>676.46323364295597</v>
      </c>
      <c r="I295" s="75">
        <f>('Old Data'!$L291+'Old Data'!$M291)-('Old Data'!$V291+'Old Data'!$W291)</f>
        <v>32</v>
      </c>
      <c r="J295" s="72">
        <f>VLOOKUP('Old Data'!$F291,$Z$6:$AB$135,2,FALSE)+VLOOKUP('Old Data'!$P291,$Z$6:$AB$135,3,FALSE)+$D$2</f>
        <v>78.997194679450345</v>
      </c>
      <c r="K295" s="72">
        <f>VLOOKUP('Old Data'!$P291,$Z$6:$AB$135,2,FALSE)+VLOOKUP('Old Data'!$F291,$Z$6:$AB$135,3,FALSE)+$D$2</f>
        <v>87.075031201218195</v>
      </c>
      <c r="L295" s="74">
        <f>('Old Data'!$L291+'Old Data'!$M291-$J295)^2+('Old Data'!$V291+'Old Data'!$W291-$K295)^2</f>
        <v>4859.6194276818624</v>
      </c>
      <c r="M295" s="75">
        <f>'Old Data'!$N291-'Old Data'!$X291</f>
        <v>1</v>
      </c>
      <c r="N295" s="72">
        <f>VLOOKUP('Old Data'!$F291,$AD$6:$AF$135,2,FALSE)+VLOOKUP('Old Data'!$P291,$AD$6:$AF$135,3,FALSE)+$E$2</f>
        <v>1.5240983372004442</v>
      </c>
      <c r="O295" s="72">
        <f>VLOOKUP('Old Data'!$P291,$AD$6:$AF$135,2,FALSE)+VLOOKUP('Old Data'!$F291,$AD$6:$AF$135,3,FALSE)+$E$2</f>
        <v>1.189142118870441</v>
      </c>
      <c r="P295" s="73">
        <f>('Old Data'!$N291-$N295)^2+('Old Data'!$X291-$O295)^2</f>
        <v>0.26225713378618215</v>
      </c>
      <c r="Q295" s="62"/>
      <c r="R295" s="3"/>
      <c r="S295" s="3"/>
      <c r="T295" s="3"/>
      <c r="V295" s="3"/>
      <c r="W295" s="3"/>
      <c r="X295" s="3"/>
      <c r="Z295" s="3"/>
      <c r="AA295" s="3"/>
      <c r="AB295" s="3"/>
      <c r="AC295" s="3"/>
      <c r="AD295" s="3"/>
      <c r="AE295" s="3"/>
      <c r="AF295" s="3"/>
      <c r="AG295" s="3"/>
      <c r="AH295" s="37"/>
      <c r="AI295" s="1"/>
      <c r="AK295" s="10"/>
      <c r="AL295" s="10"/>
      <c r="AM295" s="10"/>
      <c r="AN295" s="11"/>
      <c r="AO295" s="11"/>
      <c r="AP295" s="11"/>
      <c r="AQ295" s="36"/>
      <c r="AR295" s="11"/>
      <c r="AS295" s="11"/>
      <c r="AT295" s="11"/>
      <c r="AU295" s="12"/>
      <c r="AV295" s="11"/>
      <c r="AW295" s="11"/>
      <c r="AX295" s="15"/>
      <c r="AY295" s="15"/>
      <c r="AZ295" s="15"/>
      <c r="BA295" s="15"/>
      <c r="BB295" s="15"/>
      <c r="BC295" s="15"/>
      <c r="BD295" s="15"/>
      <c r="BE295" s="12"/>
      <c r="BF295" s="11"/>
      <c r="BG295" s="11"/>
      <c r="BH295" s="10"/>
      <c r="BI295" s="10"/>
      <c r="BJ295" s="10"/>
      <c r="BK295" s="23"/>
      <c r="BL295" s="23"/>
      <c r="BM295" s="23"/>
      <c r="BN295" s="23"/>
      <c r="BO295" s="23"/>
      <c r="BP295" s="23"/>
      <c r="BQ295" s="23"/>
      <c r="BR295" s="10"/>
      <c r="BS295" s="16"/>
      <c r="BT295" s="16"/>
      <c r="BU295" s="16"/>
      <c r="BV295" s="16"/>
      <c r="BW295" s="11"/>
      <c r="BX295" s="16"/>
      <c r="BY295" s="16"/>
      <c r="BZ295" s="17"/>
      <c r="CA295" s="18"/>
      <c r="CB295" s="18"/>
      <c r="CC295" s="18"/>
      <c r="CD295" s="18"/>
      <c r="CE295" s="18"/>
      <c r="CF295" s="18"/>
      <c r="CG295" s="19"/>
      <c r="CH295" s="15"/>
      <c r="CI295" s="17"/>
      <c r="CJ295" s="10"/>
      <c r="CK295" s="10"/>
      <c r="CL295" s="10"/>
      <c r="CM295" s="17"/>
      <c r="CN295" s="17"/>
      <c r="CO295" s="10"/>
      <c r="CP295" s="10"/>
      <c r="CQ295" s="10"/>
      <c r="CR295" s="10"/>
      <c r="CS295" s="10"/>
      <c r="CT295" s="10"/>
      <c r="CU295" s="10"/>
      <c r="CV295" s="10"/>
      <c r="CW295" s="10"/>
      <c r="CX295" s="10"/>
      <c r="CY295" s="10"/>
      <c r="CZ295" s="10"/>
      <c r="DA295" s="34"/>
      <c r="DB295" s="34"/>
      <c r="DC295" s="34"/>
      <c r="DD295" s="34"/>
      <c r="DE295" s="34"/>
      <c r="DF295" s="34"/>
      <c r="DG295" s="34"/>
      <c r="DH295" s="34"/>
      <c r="DI295" s="34"/>
      <c r="DJ295" s="34"/>
      <c r="DK295" s="34"/>
      <c r="DL295" s="34"/>
      <c r="DM295" s="34"/>
      <c r="DN295" s="34"/>
      <c r="DO295" s="34"/>
      <c r="DP295" s="34"/>
      <c r="DQ295" s="34"/>
      <c r="DR295" s="34"/>
      <c r="DS295" s="34"/>
      <c r="DT295" s="34"/>
      <c r="DU295" s="34"/>
      <c r="DV295" s="34"/>
      <c r="DW295" s="34"/>
      <c r="DX295" s="34"/>
      <c r="DY295" s="34"/>
      <c r="DZ295" s="34"/>
      <c r="EA295" s="34"/>
      <c r="EB295" s="34"/>
      <c r="EC295" s="34"/>
      <c r="ED295" s="34"/>
      <c r="EE295" s="34"/>
    </row>
    <row r="296" spans="1:135" customFormat="1">
      <c r="A296" s="71">
        <f>'Old Data'!$I292-'Old Data'!$S292</f>
        <v>217</v>
      </c>
      <c r="B296" s="72">
        <f>VLOOKUP('Old Data'!$F292,$R$6:$T$135,2,FALSE)+VLOOKUP('Old Data'!$P292,$R$6:$T$135,3,FALSE)+$B$2</f>
        <v>221.03629907409621</v>
      </c>
      <c r="C296" s="72">
        <f>VLOOKUP('Old Data'!$P292,$R$6:$T$135,2,FALSE)+VLOOKUP('Old Data'!$F292,$R$6:$T$135,3,FALSE)+$B$2</f>
        <v>69.012594261171614</v>
      </c>
      <c r="D296" s="74">
        <f>('Old Data'!$I292-$B296)^2+('Old Data'!$S292-$C296)^2</f>
        <v>10948.957849807475</v>
      </c>
      <c r="E296" s="75">
        <f>'Old Data'!$K292-'Old Data'!$U292</f>
        <v>82</v>
      </c>
      <c r="F296" s="72">
        <f>VLOOKUP('Old Data'!$F292,$V$6:$X$135,2,FALSE)+VLOOKUP('Old Data'!$P292,$V$6:$X$135,3,FALSE)+$C$2</f>
        <v>307.15747927015281</v>
      </c>
      <c r="G296" s="72">
        <f>VLOOKUP('Old Data'!$P292,$V$6:$X$135,2,FALSE)+VLOOKUP('Old Data'!$F292,$V$6:$X$135,3,FALSE)+$C$2</f>
        <v>184.9619897682731</v>
      </c>
      <c r="H296" s="74">
        <f>('Old Data'!$K292-$F296)^2+('Old Data'!$U292-$G296)^2</f>
        <v>6870.9874188002814</v>
      </c>
      <c r="I296" s="75">
        <f>('Old Data'!$L292+'Old Data'!$M292)-('Old Data'!$V292+'Old Data'!$W292)</f>
        <v>-51</v>
      </c>
      <c r="J296" s="72">
        <f>VLOOKUP('Old Data'!$F292,$Z$6:$AB$135,2,FALSE)+VLOOKUP('Old Data'!$P292,$Z$6:$AB$135,3,FALSE)+$D$2</f>
        <v>11.915031122965601</v>
      </c>
      <c r="K296" s="72">
        <f>VLOOKUP('Old Data'!$P292,$Z$6:$AB$135,2,FALSE)+VLOOKUP('Old Data'!$F292,$Z$6:$AB$135,3,FALSE)+$D$2</f>
        <v>23.067518387918881</v>
      </c>
      <c r="L296" s="74">
        <f>('Old Data'!$L292+'Old Data'!$M292-$J296)^2+('Old Data'!$V292+'Old Data'!$W292-$K296)^2</f>
        <v>922.19149567048885</v>
      </c>
      <c r="M296" s="75">
        <f>'Old Data'!$N292-'Old Data'!$X292</f>
        <v>2</v>
      </c>
      <c r="N296" s="72">
        <f>VLOOKUP('Old Data'!$F292,$AD$6:$AF$135,2,FALSE)+VLOOKUP('Old Data'!$P292,$AD$6:$AF$135,3,FALSE)+$E$2</f>
        <v>1.921445296762855</v>
      </c>
      <c r="O296" s="72">
        <f>VLOOKUP('Old Data'!$P292,$AD$6:$AF$135,2,FALSE)+VLOOKUP('Old Data'!$F292,$AD$6:$AF$135,3,FALSE)+$E$2</f>
        <v>1.325761230723943</v>
      </c>
      <c r="P296" s="73">
        <f>('Old Data'!$N292-$N296)^2+('Old Data'!$X292-$O296)^2</f>
        <v>4.7749875723441484</v>
      </c>
      <c r="Q296" s="62"/>
      <c r="R296" s="3"/>
      <c r="S296" s="3"/>
      <c r="T296" s="3"/>
      <c r="V296" s="3"/>
      <c r="W296" s="3"/>
      <c r="X296" s="3"/>
      <c r="Z296" s="3"/>
      <c r="AA296" s="3"/>
      <c r="AB296" s="3"/>
      <c r="AC296" s="3"/>
      <c r="AD296" s="3"/>
      <c r="AE296" s="3"/>
      <c r="AF296" s="3"/>
      <c r="AG296" s="3"/>
      <c r="AH296" s="37"/>
      <c r="AI296" s="1"/>
      <c r="AK296" s="10"/>
      <c r="AL296" s="10"/>
      <c r="AM296" s="10"/>
      <c r="AN296" s="11"/>
      <c r="AO296" s="11"/>
      <c r="AP296" s="11"/>
      <c r="AQ296" s="36"/>
      <c r="AR296" s="11"/>
      <c r="AS296" s="11"/>
      <c r="AT296" s="11"/>
      <c r="AU296" s="12"/>
      <c r="AV296" s="11"/>
      <c r="AW296" s="11"/>
      <c r="AX296" s="15"/>
      <c r="AY296" s="15"/>
      <c r="AZ296" s="15"/>
      <c r="BA296" s="15"/>
      <c r="BB296" s="15"/>
      <c r="BC296" s="15"/>
      <c r="BD296" s="15"/>
      <c r="BE296" s="12"/>
      <c r="BF296" s="11"/>
      <c r="BG296" s="11"/>
      <c r="BH296" s="10"/>
      <c r="BI296" s="10"/>
      <c r="BJ296" s="10"/>
      <c r="BK296" s="23"/>
      <c r="BL296" s="23"/>
      <c r="BM296" s="23"/>
      <c r="BN296" s="23"/>
      <c r="BO296" s="23"/>
      <c r="BP296" s="23"/>
      <c r="BQ296" s="23"/>
      <c r="BR296" s="10"/>
      <c r="BS296" s="16"/>
      <c r="BT296" s="16"/>
      <c r="BU296" s="16"/>
      <c r="BV296" s="16"/>
      <c r="BW296" s="11"/>
      <c r="BX296" s="16"/>
      <c r="BY296" s="16"/>
      <c r="BZ296" s="17"/>
      <c r="CA296" s="18"/>
      <c r="CB296" s="18"/>
      <c r="CC296" s="18"/>
      <c r="CD296" s="18"/>
      <c r="CE296" s="18"/>
      <c r="CF296" s="18"/>
      <c r="CG296" s="19"/>
      <c r="CH296" s="15"/>
      <c r="CI296" s="17"/>
      <c r="CJ296" s="10"/>
      <c r="CK296" s="10"/>
      <c r="CL296" s="10"/>
      <c r="CM296" s="17"/>
      <c r="CN296" s="17"/>
      <c r="CO296" s="10"/>
      <c r="CP296" s="10"/>
      <c r="CQ296" s="10"/>
      <c r="CR296" s="10"/>
      <c r="CS296" s="10"/>
      <c r="CT296" s="10"/>
      <c r="CU296" s="10"/>
      <c r="CV296" s="10"/>
      <c r="CW296" s="10"/>
      <c r="CX296" s="10"/>
      <c r="CY296" s="10"/>
      <c r="CZ296" s="10"/>
      <c r="DA296" s="34"/>
      <c r="DB296" s="34"/>
      <c r="DC296" s="34"/>
      <c r="DD296" s="34"/>
      <c r="DE296" s="34"/>
      <c r="DF296" s="34"/>
      <c r="DG296" s="34"/>
      <c r="DH296" s="34"/>
      <c r="DI296" s="34"/>
      <c r="DJ296" s="34"/>
      <c r="DK296" s="34"/>
      <c r="DL296" s="34"/>
      <c r="DM296" s="34"/>
      <c r="DN296" s="34"/>
      <c r="DO296" s="34"/>
      <c r="DP296" s="34"/>
      <c r="DQ296" s="34"/>
      <c r="DR296" s="34"/>
      <c r="DS296" s="34"/>
      <c r="DT296" s="34"/>
      <c r="DU296" s="34"/>
      <c r="DV296" s="34"/>
      <c r="DW296" s="34"/>
      <c r="DX296" s="34"/>
      <c r="DY296" s="34"/>
      <c r="DZ296" s="34"/>
      <c r="EA296" s="34"/>
      <c r="EB296" s="34"/>
      <c r="EC296" s="34"/>
      <c r="ED296" s="34"/>
      <c r="EE296" s="34"/>
    </row>
    <row r="297" spans="1:135" customFormat="1">
      <c r="A297" s="71">
        <f>'Old Data'!$I293-'Old Data'!$S293</f>
        <v>231</v>
      </c>
      <c r="B297" s="72">
        <f>VLOOKUP('Old Data'!$F293,$R$6:$T$135,2,FALSE)+VLOOKUP('Old Data'!$P293,$R$6:$T$135,3,FALSE)+$B$2</f>
        <v>281.63032319363231</v>
      </c>
      <c r="C297" s="72">
        <f>VLOOKUP('Old Data'!$P293,$R$6:$T$135,2,FALSE)+VLOOKUP('Old Data'!$F293,$R$6:$T$135,3,FALSE)+$B$2</f>
        <v>114.72273131852731</v>
      </c>
      <c r="D297" s="74">
        <f>('Old Data'!$I293-$B297)^2+('Old Data'!$S293-$C297)^2</f>
        <v>4991.2955159320418</v>
      </c>
      <c r="E297" s="75">
        <f>'Old Data'!$K293-'Old Data'!$U293</f>
        <v>-129</v>
      </c>
      <c r="F297" s="72">
        <f>VLOOKUP('Old Data'!$F293,$V$6:$X$135,2,FALSE)+VLOOKUP('Old Data'!$P293,$V$6:$X$135,3,FALSE)+$C$2</f>
        <v>234.27095037241529</v>
      </c>
      <c r="G297" s="72">
        <f>VLOOKUP('Old Data'!$P293,$V$6:$X$135,2,FALSE)+VLOOKUP('Old Data'!$F293,$V$6:$X$135,3,FALSE)+$C$2</f>
        <v>221.35659274124851</v>
      </c>
      <c r="H297" s="74">
        <f>('Old Data'!$K293-$F297)^2+('Old Data'!$U293-$G297)^2</f>
        <v>11788.436856705604</v>
      </c>
      <c r="I297" s="75">
        <f>('Old Data'!$L293+'Old Data'!$M293)-('Old Data'!$V293+'Old Data'!$W293)</f>
        <v>73</v>
      </c>
      <c r="J297" s="72">
        <f>VLOOKUP('Old Data'!$F293,$Z$6:$AB$135,2,FALSE)+VLOOKUP('Old Data'!$P293,$Z$6:$AB$135,3,FALSE)+$D$2</f>
        <v>66.950297283433201</v>
      </c>
      <c r="K297" s="72">
        <f>VLOOKUP('Old Data'!$P293,$Z$6:$AB$135,2,FALSE)+VLOOKUP('Old Data'!$F293,$Z$6:$AB$135,3,FALSE)+$D$2</f>
        <v>64.352208081596402</v>
      </c>
      <c r="L297" s="74">
        <f>('Old Data'!$L293+'Old Data'!$M293-$J297)^2+('Old Data'!$V293+'Old Data'!$W293-$K297)^2</f>
        <v>5496.6648582918906</v>
      </c>
      <c r="M297" s="75">
        <f>'Old Data'!$N293-'Old Data'!$X293</f>
        <v>1</v>
      </c>
      <c r="N297" s="72">
        <f>VLOOKUP('Old Data'!$F293,$AD$6:$AF$135,2,FALSE)+VLOOKUP('Old Data'!$P293,$AD$6:$AF$135,3,FALSE)+$E$2</f>
        <v>1.9932134199822471</v>
      </c>
      <c r="O297" s="72">
        <f>VLOOKUP('Old Data'!$P293,$AD$6:$AF$135,2,FALSE)+VLOOKUP('Old Data'!$F293,$AD$6:$AF$135,3,FALSE)+$E$2</f>
        <v>1.6010018144555052</v>
      </c>
      <c r="P297" s="73">
        <f>('Old Data'!$N293-$N297)^2+('Old Data'!$X293-$O297)^2</f>
        <v>0.36124923864714681</v>
      </c>
      <c r="Q297" s="62"/>
      <c r="R297" s="3"/>
      <c r="S297" s="3"/>
      <c r="T297" s="3"/>
      <c r="V297" s="3"/>
      <c r="W297" s="3"/>
      <c r="X297" s="3"/>
      <c r="Z297" s="3"/>
      <c r="AA297" s="3"/>
      <c r="AB297" s="3"/>
      <c r="AC297" s="3"/>
      <c r="AD297" s="3"/>
      <c r="AE297" s="3"/>
      <c r="AF297" s="3"/>
      <c r="AG297" s="3"/>
      <c r="AH297" s="37"/>
      <c r="AI297" s="1"/>
      <c r="AK297" s="10"/>
      <c r="AL297" s="10"/>
      <c r="AM297" s="10"/>
      <c r="AN297" s="11"/>
      <c r="AO297" s="11"/>
      <c r="AP297" s="11"/>
      <c r="AQ297" s="36"/>
      <c r="AR297" s="11"/>
      <c r="AS297" s="11"/>
      <c r="AT297" s="11"/>
      <c r="AU297" s="12"/>
      <c r="AV297" s="11"/>
      <c r="AW297" s="11"/>
      <c r="AX297" s="15"/>
      <c r="AY297" s="15"/>
      <c r="AZ297" s="15"/>
      <c r="BA297" s="15"/>
      <c r="BB297" s="15"/>
      <c r="BC297" s="15"/>
      <c r="BD297" s="15"/>
      <c r="BE297" s="12"/>
      <c r="BF297" s="11"/>
      <c r="BG297" s="11"/>
      <c r="BH297" s="10"/>
      <c r="BI297" s="10"/>
      <c r="BJ297" s="10"/>
      <c r="BK297" s="23"/>
      <c r="BL297" s="23"/>
      <c r="BM297" s="23"/>
      <c r="BN297" s="23"/>
      <c r="BO297" s="23"/>
      <c r="BP297" s="23"/>
      <c r="BQ297" s="23"/>
      <c r="BR297" s="10"/>
      <c r="BS297" s="16"/>
      <c r="BT297" s="16"/>
      <c r="BU297" s="16"/>
      <c r="BV297" s="16"/>
      <c r="BW297" s="11"/>
      <c r="BX297" s="16"/>
      <c r="BY297" s="16"/>
      <c r="BZ297" s="17"/>
      <c r="CA297" s="18"/>
      <c r="CB297" s="18"/>
      <c r="CC297" s="18"/>
      <c r="CD297" s="18"/>
      <c r="CE297" s="18"/>
      <c r="CF297" s="18"/>
      <c r="CG297" s="19"/>
      <c r="CH297" s="15"/>
      <c r="CI297" s="17"/>
      <c r="CJ297" s="10"/>
      <c r="CK297" s="10"/>
      <c r="CL297" s="10"/>
      <c r="CM297" s="17"/>
      <c r="CN297" s="17"/>
      <c r="CO297" s="10"/>
      <c r="CP297" s="10"/>
      <c r="CQ297" s="10"/>
      <c r="CR297" s="10"/>
      <c r="CS297" s="10"/>
      <c r="CT297" s="10"/>
      <c r="CU297" s="10"/>
      <c r="CV297" s="10"/>
      <c r="CW297" s="10"/>
      <c r="CX297" s="10"/>
      <c r="CY297" s="10"/>
      <c r="CZ297" s="10"/>
      <c r="DA297" s="34"/>
      <c r="DB297" s="34"/>
      <c r="DC297" s="34"/>
      <c r="DD297" s="34"/>
      <c r="DE297" s="34"/>
      <c r="DF297" s="34"/>
      <c r="DG297" s="34"/>
      <c r="DH297" s="34"/>
      <c r="DI297" s="34"/>
      <c r="DJ297" s="34"/>
      <c r="DK297" s="34"/>
      <c r="DL297" s="34"/>
      <c r="DM297" s="34"/>
      <c r="DN297" s="34"/>
      <c r="DO297" s="34"/>
      <c r="DP297" s="34"/>
      <c r="DQ297" s="34"/>
      <c r="DR297" s="34"/>
      <c r="DS297" s="34"/>
      <c r="DT297" s="34"/>
      <c r="DU297" s="34"/>
      <c r="DV297" s="34"/>
      <c r="DW297" s="34"/>
      <c r="DX297" s="34"/>
      <c r="DY297" s="34"/>
      <c r="DZ297" s="34"/>
      <c r="EA297" s="34"/>
      <c r="EB297" s="34"/>
      <c r="EC297" s="34"/>
      <c r="ED297" s="34"/>
      <c r="EE297" s="34"/>
    </row>
    <row r="298" spans="1:135" customFormat="1">
      <c r="A298" s="71">
        <f>'Old Data'!$I294-'Old Data'!$S294</f>
        <v>-247</v>
      </c>
      <c r="B298" s="72">
        <f>VLOOKUP('Old Data'!$F294,$R$6:$T$135,2,FALSE)+VLOOKUP('Old Data'!$P294,$R$6:$T$135,3,FALSE)+$B$2</f>
        <v>180.44122267540561</v>
      </c>
      <c r="C298" s="72">
        <f>VLOOKUP('Old Data'!$P294,$R$6:$T$135,2,FALSE)+VLOOKUP('Old Data'!$F294,$R$6:$T$135,3,FALSE)+$B$2</f>
        <v>254.92704912940718</v>
      </c>
      <c r="D298" s="74">
        <f>('Old Data'!$I294-$B298)^2+('Old Data'!$S294-$C298)^2</f>
        <v>15114.53586948466</v>
      </c>
      <c r="E298" s="75">
        <f>'Old Data'!$K294-'Old Data'!$U294</f>
        <v>95</v>
      </c>
      <c r="F298" s="72">
        <f>VLOOKUP('Old Data'!$F294,$V$6:$X$135,2,FALSE)+VLOOKUP('Old Data'!$P294,$V$6:$X$135,3,FALSE)+$C$2</f>
        <v>224.6520438661455</v>
      </c>
      <c r="G298" s="72">
        <f>VLOOKUP('Old Data'!$P294,$V$6:$X$135,2,FALSE)+VLOOKUP('Old Data'!$F294,$V$6:$X$135,3,FALSE)+$C$2</f>
        <v>184.5828802061892</v>
      </c>
      <c r="H298" s="74">
        <f>('Old Data'!$K294-$F298)^2+('Old Data'!$U294-$G298)^2</f>
        <v>3975.1706702316433</v>
      </c>
      <c r="I298" s="75">
        <f>('Old Data'!$L294+'Old Data'!$M294)-('Old Data'!$V294+'Old Data'!$W294)</f>
        <v>20</v>
      </c>
      <c r="J298" s="72">
        <f>VLOOKUP('Old Data'!$F294,$Z$6:$AB$135,2,FALSE)+VLOOKUP('Old Data'!$P294,$Z$6:$AB$135,3,FALSE)+$D$2</f>
        <v>44.787785745567703</v>
      </c>
      <c r="K298" s="72">
        <f>VLOOKUP('Old Data'!$P294,$Z$6:$AB$135,2,FALSE)+VLOOKUP('Old Data'!$F294,$Z$6:$AB$135,3,FALSE)+$D$2</f>
        <v>32.543574305066699</v>
      </c>
      <c r="L298" s="74">
        <f>('Old Data'!$L294+'Old Data'!$M294-$J298)^2+('Old Data'!$V294+'Old Data'!$W294-$K298)^2</f>
        <v>1452.1931105150293</v>
      </c>
      <c r="M298" s="75">
        <f>'Old Data'!$N294-'Old Data'!$X294</f>
        <v>-1</v>
      </c>
      <c r="N298" s="72">
        <f>VLOOKUP('Old Data'!$F294,$AD$6:$AF$135,2,FALSE)+VLOOKUP('Old Data'!$P294,$AD$6:$AF$135,3,FALSE)+$E$2</f>
        <v>1.0342251501583621</v>
      </c>
      <c r="O298" s="72">
        <f>VLOOKUP('Old Data'!$P294,$AD$6:$AF$135,2,FALSE)+VLOOKUP('Old Data'!$F294,$AD$6:$AF$135,3,FALSE)+$E$2</f>
        <v>1.5032408636910639</v>
      </c>
      <c r="P298" s="73">
        <f>('Old Data'!$N294-$N298)^2+('Old Data'!$X294-$O298)^2</f>
        <v>0.24794100040976258</v>
      </c>
      <c r="Q298" s="62"/>
      <c r="R298" s="3"/>
      <c r="S298" s="3"/>
      <c r="T298" s="3"/>
      <c r="V298" s="3"/>
      <c r="W298" s="3"/>
      <c r="X298" s="3"/>
      <c r="Z298" s="3"/>
      <c r="AA298" s="3"/>
      <c r="AB298" s="3"/>
      <c r="AC298" s="3"/>
      <c r="AD298" s="3"/>
      <c r="AE298" s="3"/>
      <c r="AF298" s="3"/>
      <c r="AG298" s="3"/>
      <c r="AH298" s="37"/>
      <c r="AI298" s="1"/>
      <c r="AK298" s="10"/>
      <c r="AL298" s="10"/>
      <c r="AM298" s="10"/>
      <c r="AN298" s="11"/>
      <c r="AO298" s="11"/>
      <c r="AP298" s="11"/>
      <c r="AQ298" s="36"/>
      <c r="AR298" s="11"/>
      <c r="AS298" s="11"/>
      <c r="AT298" s="11"/>
      <c r="AU298" s="12"/>
      <c r="AV298" s="11"/>
      <c r="AW298" s="11"/>
      <c r="AX298" s="15"/>
      <c r="AY298" s="15"/>
      <c r="AZ298" s="15"/>
      <c r="BA298" s="15"/>
      <c r="BB298" s="15"/>
      <c r="BC298" s="15"/>
      <c r="BD298" s="15"/>
      <c r="BE298" s="12"/>
      <c r="BF298" s="11"/>
      <c r="BG298" s="11"/>
      <c r="BH298" s="10"/>
      <c r="BI298" s="10"/>
      <c r="BJ298" s="10"/>
      <c r="BK298" s="23"/>
      <c r="BL298" s="23"/>
      <c r="BM298" s="23"/>
      <c r="BN298" s="23"/>
      <c r="BO298" s="23"/>
      <c r="BP298" s="23"/>
      <c r="BQ298" s="23"/>
      <c r="BR298" s="10"/>
      <c r="BS298" s="16"/>
      <c r="BT298" s="16"/>
      <c r="BU298" s="16"/>
      <c r="BV298" s="16"/>
      <c r="BW298" s="11"/>
      <c r="BX298" s="16"/>
      <c r="BY298" s="16"/>
      <c r="BZ298" s="17"/>
      <c r="CA298" s="18"/>
      <c r="CB298" s="18"/>
      <c r="CC298" s="18"/>
      <c r="CD298" s="18"/>
      <c r="CE298" s="18"/>
      <c r="CF298" s="18"/>
      <c r="CG298" s="19"/>
      <c r="CH298" s="15"/>
      <c r="CI298" s="17"/>
      <c r="CJ298" s="10"/>
      <c r="CK298" s="10"/>
      <c r="CL298" s="10"/>
      <c r="CM298" s="17"/>
      <c r="CN298" s="17"/>
      <c r="CO298" s="10"/>
      <c r="CP298" s="10"/>
      <c r="CQ298" s="10"/>
      <c r="CR298" s="10"/>
      <c r="CS298" s="10"/>
      <c r="CT298" s="10"/>
      <c r="CU298" s="10"/>
      <c r="CV298" s="10"/>
      <c r="CW298" s="10"/>
      <c r="CX298" s="10"/>
      <c r="CY298" s="10"/>
      <c r="CZ298" s="10"/>
      <c r="DA298" s="34"/>
      <c r="DB298" s="34"/>
      <c r="DC298" s="34"/>
      <c r="DD298" s="34"/>
      <c r="DE298" s="34"/>
      <c r="DF298" s="34"/>
      <c r="DG298" s="34"/>
      <c r="DH298" s="34"/>
      <c r="DI298" s="34"/>
      <c r="DJ298" s="34"/>
      <c r="DK298" s="34"/>
      <c r="DL298" s="34"/>
      <c r="DM298" s="34"/>
      <c r="DN298" s="34"/>
      <c r="DO298" s="34"/>
      <c r="DP298" s="34"/>
      <c r="DQ298" s="34"/>
      <c r="DR298" s="34"/>
      <c r="DS298" s="34"/>
      <c r="DT298" s="34"/>
      <c r="DU298" s="34"/>
      <c r="DV298" s="34"/>
      <c r="DW298" s="34"/>
      <c r="DX298" s="34"/>
      <c r="DY298" s="34"/>
      <c r="DZ298" s="34"/>
      <c r="EA298" s="34"/>
      <c r="EB298" s="34"/>
      <c r="EC298" s="34"/>
      <c r="ED298" s="34"/>
      <c r="EE298" s="34"/>
    </row>
    <row r="299" spans="1:135" customFormat="1">
      <c r="A299" s="71">
        <f>'Old Data'!$I295-'Old Data'!$S295</f>
        <v>24</v>
      </c>
      <c r="B299" s="72">
        <f>VLOOKUP('Old Data'!$F295,$R$6:$T$135,2,FALSE)+VLOOKUP('Old Data'!$P295,$R$6:$T$135,3,FALSE)+$B$2</f>
        <v>202.1885919175003</v>
      </c>
      <c r="C299" s="72">
        <f>VLOOKUP('Old Data'!$P295,$R$6:$T$135,2,FALSE)+VLOOKUP('Old Data'!$F295,$R$6:$T$135,3,FALSE)+$B$2</f>
        <v>197.4433406700451</v>
      </c>
      <c r="D299" s="74">
        <f>('Old Data'!$I295-$B299)^2+('Old Data'!$S295-$C299)^2</f>
        <v>624.39838919823046</v>
      </c>
      <c r="E299" s="75">
        <f>'Old Data'!$K295-'Old Data'!$U295</f>
        <v>-30</v>
      </c>
      <c r="F299" s="72">
        <f>VLOOKUP('Old Data'!$F295,$V$6:$X$135,2,FALSE)+VLOOKUP('Old Data'!$P295,$V$6:$X$135,3,FALSE)+$C$2</f>
        <v>174.31184498917469</v>
      </c>
      <c r="G299" s="72">
        <f>VLOOKUP('Old Data'!$P295,$V$6:$X$135,2,FALSE)+VLOOKUP('Old Data'!$F295,$V$6:$X$135,3,FALSE)+$C$2</f>
        <v>87.496317306795987</v>
      </c>
      <c r="H299" s="74">
        <f>('Old Data'!$K295-$F299)^2+('Old Data'!$U295-$G299)^2</f>
        <v>14045.972679192155</v>
      </c>
      <c r="I299" s="75">
        <f>('Old Data'!$L295+'Old Data'!$M295)-('Old Data'!$V295+'Old Data'!$W295)</f>
        <v>88</v>
      </c>
      <c r="J299" s="72">
        <f>VLOOKUP('Old Data'!$F295,$Z$6:$AB$135,2,FALSE)+VLOOKUP('Old Data'!$P295,$Z$6:$AB$135,3,FALSE)+$D$2</f>
        <v>112.8565023913859</v>
      </c>
      <c r="K299" s="72">
        <f>VLOOKUP('Old Data'!$P295,$Z$6:$AB$135,2,FALSE)+VLOOKUP('Old Data'!$F295,$Z$6:$AB$135,3,FALSE)+$D$2</f>
        <v>86.604650221475993</v>
      </c>
      <c r="L299" s="74">
        <f>('Old Data'!$L295+'Old Data'!$M295-$J299)^2+('Old Data'!$V295+'Old Data'!$W295-$K299)^2</f>
        <v>2095.7851107338802</v>
      </c>
      <c r="M299" s="75">
        <f>'Old Data'!$N295-'Old Data'!$X295</f>
        <v>0</v>
      </c>
      <c r="N299" s="72">
        <f>VLOOKUP('Old Data'!$F295,$AD$6:$AF$135,2,FALSE)+VLOOKUP('Old Data'!$P295,$AD$6:$AF$135,3,FALSE)+$E$2</f>
        <v>2.071836303683309</v>
      </c>
      <c r="O299" s="72">
        <f>VLOOKUP('Old Data'!$P295,$AD$6:$AF$135,2,FALSE)+VLOOKUP('Old Data'!$F295,$AD$6:$AF$135,3,FALSE)+$E$2</f>
        <v>1.869394007905381</v>
      </c>
      <c r="P299" s="73">
        <f>('Old Data'!$N295-$N299)^2+('Old Data'!$X295-$O299)^2</f>
        <v>7.7871396260526602</v>
      </c>
      <c r="Q299" s="62"/>
      <c r="R299" s="3"/>
      <c r="S299" s="3"/>
      <c r="T299" s="3"/>
      <c r="V299" s="3"/>
      <c r="W299" s="3"/>
      <c r="X299" s="3"/>
      <c r="Z299" s="3"/>
      <c r="AA299" s="3"/>
      <c r="AB299" s="3"/>
      <c r="AC299" s="3"/>
      <c r="AD299" s="3"/>
      <c r="AE299" s="3"/>
      <c r="AF299" s="3"/>
      <c r="AG299" s="3"/>
      <c r="AH299" s="37"/>
      <c r="AI299" s="1"/>
      <c r="AK299" s="10"/>
      <c r="AL299" s="10"/>
      <c r="AM299" s="10"/>
      <c r="AN299" s="11"/>
      <c r="AO299" s="11"/>
      <c r="AP299" s="11"/>
      <c r="AQ299" s="36"/>
      <c r="AR299" s="11"/>
      <c r="AS299" s="11"/>
      <c r="AT299" s="11"/>
      <c r="AU299" s="12"/>
      <c r="AV299" s="11"/>
      <c r="AW299" s="11"/>
      <c r="AX299" s="15"/>
      <c r="AY299" s="15"/>
      <c r="AZ299" s="15"/>
      <c r="BA299" s="15"/>
      <c r="BB299" s="15"/>
      <c r="BC299" s="15"/>
      <c r="BD299" s="15"/>
      <c r="BE299" s="12"/>
      <c r="BF299" s="11"/>
      <c r="BG299" s="11"/>
      <c r="BH299" s="10"/>
      <c r="BI299" s="10"/>
      <c r="BJ299" s="10"/>
      <c r="BK299" s="23"/>
      <c r="BL299" s="23"/>
      <c r="BM299" s="23"/>
      <c r="BN299" s="23"/>
      <c r="BO299" s="23"/>
      <c r="BP299" s="23"/>
      <c r="BQ299" s="23"/>
      <c r="BR299" s="10"/>
      <c r="BS299" s="16"/>
      <c r="BT299" s="16"/>
      <c r="BU299" s="16"/>
      <c r="BV299" s="16"/>
      <c r="BW299" s="11"/>
      <c r="BX299" s="16"/>
      <c r="BY299" s="16"/>
      <c r="BZ299" s="17"/>
      <c r="CA299" s="18"/>
      <c r="CB299" s="18"/>
      <c r="CC299" s="18"/>
      <c r="CD299" s="18"/>
      <c r="CE299" s="18"/>
      <c r="CF299" s="18"/>
      <c r="CG299" s="19"/>
      <c r="CH299" s="15"/>
      <c r="CI299" s="17"/>
      <c r="CJ299" s="10"/>
      <c r="CK299" s="10"/>
      <c r="CL299" s="10"/>
      <c r="CM299" s="17"/>
      <c r="CN299" s="17"/>
      <c r="CO299" s="10"/>
      <c r="CP299" s="10"/>
      <c r="CQ299" s="10"/>
      <c r="CR299" s="10"/>
      <c r="CS299" s="10"/>
      <c r="CT299" s="10"/>
      <c r="CU299" s="10"/>
      <c r="CV299" s="10"/>
      <c r="CW299" s="10"/>
      <c r="CX299" s="10"/>
      <c r="CY299" s="10"/>
      <c r="CZ299" s="10"/>
      <c r="DA299" s="34"/>
      <c r="DB299" s="34"/>
      <c r="DC299" s="34"/>
      <c r="DD299" s="34"/>
      <c r="DE299" s="34"/>
      <c r="DF299" s="34"/>
      <c r="DG299" s="34"/>
      <c r="DH299" s="34"/>
      <c r="DI299" s="34"/>
      <c r="DJ299" s="34"/>
      <c r="DK299" s="34"/>
      <c r="DL299" s="34"/>
      <c r="DM299" s="34"/>
      <c r="DN299" s="34"/>
      <c r="DO299" s="34"/>
      <c r="DP299" s="34"/>
      <c r="DQ299" s="34"/>
      <c r="DR299" s="34"/>
      <c r="DS299" s="34"/>
      <c r="DT299" s="34"/>
      <c r="DU299" s="34"/>
      <c r="DV299" s="34"/>
      <c r="DW299" s="34"/>
      <c r="DX299" s="34"/>
      <c r="DY299" s="34"/>
      <c r="DZ299" s="34"/>
      <c r="EA299" s="34"/>
      <c r="EB299" s="34"/>
      <c r="EC299" s="34"/>
      <c r="ED299" s="34"/>
      <c r="EE299" s="34"/>
    </row>
    <row r="300" spans="1:135" customFormat="1">
      <c r="A300" s="71">
        <f>'Old Data'!$I296-'Old Data'!$S296</f>
        <v>-107</v>
      </c>
      <c r="B300" s="72">
        <f>VLOOKUP('Old Data'!$F296,$R$6:$T$135,2,FALSE)+VLOOKUP('Old Data'!$P296,$R$6:$T$135,3,FALSE)+$B$2</f>
        <v>127.5226792402174</v>
      </c>
      <c r="C300" s="72">
        <f>VLOOKUP('Old Data'!$P296,$R$6:$T$135,2,FALSE)+VLOOKUP('Old Data'!$F296,$R$6:$T$135,3,FALSE)+$B$2</f>
        <v>249.4248394029936</v>
      </c>
      <c r="D300" s="74">
        <f>('Old Data'!$I296-$B300)^2+('Old Data'!$S296-$C300)^2</f>
        <v>4338.2102810803335</v>
      </c>
      <c r="E300" s="75">
        <f>'Old Data'!$K296-'Old Data'!$U296</f>
        <v>28</v>
      </c>
      <c r="F300" s="72">
        <f>VLOOKUP('Old Data'!$F296,$V$6:$X$135,2,FALSE)+VLOOKUP('Old Data'!$P296,$V$6:$X$135,3,FALSE)+$C$2</f>
        <v>306.12807908283111</v>
      </c>
      <c r="G300" s="72">
        <f>VLOOKUP('Old Data'!$P296,$V$6:$X$135,2,FALSE)+VLOOKUP('Old Data'!$F296,$V$6:$X$135,3,FALSE)+$C$2</f>
        <v>250.10161133999279</v>
      </c>
      <c r="H300" s="74">
        <f>('Old Data'!$K296-$F300)^2+('Old Data'!$U296-$G300)^2</f>
        <v>558.90225352617711</v>
      </c>
      <c r="I300" s="75">
        <f>('Old Data'!$L296+'Old Data'!$M296)-('Old Data'!$V296+'Old Data'!$W296)</f>
        <v>-2</v>
      </c>
      <c r="J300" s="72">
        <f>VLOOKUP('Old Data'!$F296,$Z$6:$AB$135,2,FALSE)+VLOOKUP('Old Data'!$P296,$Z$6:$AB$135,3,FALSE)+$D$2</f>
        <v>85.838963945467995</v>
      </c>
      <c r="K300" s="72">
        <f>VLOOKUP('Old Data'!$P296,$Z$6:$AB$135,2,FALSE)+VLOOKUP('Old Data'!$F296,$Z$6:$AB$135,3,FALSE)+$D$2</f>
        <v>79.780509116056834</v>
      </c>
      <c r="L300" s="74">
        <f>('Old Data'!$L296+'Old Data'!$M296-$J300)^2+('Old Data'!$V296+'Old Data'!$W296-$K300)^2</f>
        <v>35.302801371233016</v>
      </c>
      <c r="M300" s="75">
        <f>'Old Data'!$N296-'Old Data'!$X296</f>
        <v>-3</v>
      </c>
      <c r="N300" s="72">
        <f>VLOOKUP('Old Data'!$F296,$AD$6:$AF$135,2,FALSE)+VLOOKUP('Old Data'!$P296,$AD$6:$AF$135,3,FALSE)+$E$2</f>
        <v>1.7020517984046781</v>
      </c>
      <c r="O300" s="72">
        <f>VLOOKUP('Old Data'!$P296,$AD$6:$AF$135,2,FALSE)+VLOOKUP('Old Data'!$F296,$AD$6:$AF$135,3,FALSE)+$E$2</f>
        <v>2.1791696226989599</v>
      </c>
      <c r="P300" s="73">
        <f>('Old Data'!$N296-$N300)^2+('Old Data'!$X296-$O300)^2</f>
        <v>3.8082999905454908</v>
      </c>
      <c r="Q300" s="62"/>
      <c r="R300" s="3"/>
      <c r="S300" s="3"/>
      <c r="T300" s="3"/>
      <c r="V300" s="3"/>
      <c r="W300" s="3"/>
      <c r="X300" s="3"/>
      <c r="Z300" s="3"/>
      <c r="AA300" s="3"/>
      <c r="AB300" s="3"/>
      <c r="AC300" s="3"/>
      <c r="AD300" s="3"/>
      <c r="AE300" s="3"/>
      <c r="AF300" s="3"/>
      <c r="AG300" s="3"/>
      <c r="AH300" s="37"/>
      <c r="AI300" s="1"/>
      <c r="AK300" s="10"/>
      <c r="AL300" s="10"/>
      <c r="AM300" s="10"/>
      <c r="AN300" s="11"/>
      <c r="AO300" s="11"/>
      <c r="AP300" s="11"/>
      <c r="AQ300" s="36"/>
      <c r="AR300" s="11"/>
      <c r="AS300" s="11"/>
      <c r="AT300" s="11"/>
      <c r="AU300" s="12"/>
      <c r="AV300" s="11"/>
      <c r="AW300" s="11"/>
      <c r="AX300" s="15"/>
      <c r="AY300" s="15"/>
      <c r="AZ300" s="15"/>
      <c r="BA300" s="15"/>
      <c r="BB300" s="15"/>
      <c r="BC300" s="15"/>
      <c r="BD300" s="15"/>
      <c r="BE300" s="12"/>
      <c r="BF300" s="11"/>
      <c r="BG300" s="11"/>
      <c r="BH300" s="10"/>
      <c r="BI300" s="10"/>
      <c r="BJ300" s="10"/>
      <c r="BK300" s="23"/>
      <c r="BL300" s="23"/>
      <c r="BM300" s="23"/>
      <c r="BN300" s="23"/>
      <c r="BO300" s="23"/>
      <c r="BP300" s="23"/>
      <c r="BQ300" s="23"/>
      <c r="BR300" s="10"/>
      <c r="BS300" s="16"/>
      <c r="BT300" s="16"/>
      <c r="BU300" s="16"/>
      <c r="BV300" s="16"/>
      <c r="BW300" s="11"/>
      <c r="BX300" s="16"/>
      <c r="BY300" s="16"/>
      <c r="BZ300" s="17"/>
      <c r="CA300" s="18"/>
      <c r="CB300" s="18"/>
      <c r="CC300" s="18"/>
      <c r="CD300" s="18"/>
      <c r="CE300" s="18"/>
      <c r="CF300" s="18"/>
      <c r="CG300" s="19"/>
      <c r="CH300" s="15"/>
      <c r="CI300" s="17"/>
      <c r="CJ300" s="10"/>
      <c r="CK300" s="10"/>
      <c r="CL300" s="10"/>
      <c r="CM300" s="17"/>
      <c r="CN300" s="17"/>
      <c r="CO300" s="10"/>
      <c r="CP300" s="10"/>
      <c r="CQ300" s="10"/>
      <c r="CR300" s="10"/>
      <c r="CS300" s="10"/>
      <c r="CT300" s="10"/>
      <c r="CU300" s="10"/>
      <c r="CV300" s="10"/>
      <c r="CW300" s="10"/>
      <c r="CX300" s="10"/>
      <c r="CY300" s="10"/>
      <c r="CZ300" s="10"/>
      <c r="DA300" s="34"/>
      <c r="DB300" s="34"/>
      <c r="DC300" s="34"/>
      <c r="DD300" s="34"/>
      <c r="DE300" s="34"/>
      <c r="DF300" s="34"/>
      <c r="DG300" s="34"/>
      <c r="DH300" s="34"/>
      <c r="DI300" s="34"/>
      <c r="DJ300" s="34"/>
      <c r="DK300" s="34"/>
      <c r="DL300" s="34"/>
      <c r="DM300" s="34"/>
      <c r="DN300" s="34"/>
      <c r="DO300" s="34"/>
      <c r="DP300" s="34"/>
      <c r="DQ300" s="34"/>
      <c r="DR300" s="34"/>
      <c r="DS300" s="34"/>
      <c r="DT300" s="34"/>
      <c r="DU300" s="34"/>
      <c r="DV300" s="34"/>
      <c r="DW300" s="34"/>
      <c r="DX300" s="34"/>
      <c r="DY300" s="34"/>
      <c r="DZ300" s="34"/>
      <c r="EA300" s="34"/>
      <c r="EB300" s="34"/>
      <c r="EC300" s="34"/>
      <c r="ED300" s="34"/>
      <c r="EE300" s="34"/>
    </row>
    <row r="301" spans="1:135" customFormat="1">
      <c r="A301" s="71">
        <f>'Old Data'!$I297-'Old Data'!$S297</f>
        <v>79</v>
      </c>
      <c r="B301" s="72">
        <f>VLOOKUP('Old Data'!$F297,$R$6:$T$135,2,FALSE)+VLOOKUP('Old Data'!$P297,$R$6:$T$135,3,FALSE)+$B$2</f>
        <v>215.88222379904329</v>
      </c>
      <c r="C301" s="72">
        <f>VLOOKUP('Old Data'!$P297,$R$6:$T$135,2,FALSE)+VLOOKUP('Old Data'!$F297,$R$6:$T$135,3,FALSE)+$B$2</f>
        <v>155.64161927368502</v>
      </c>
      <c r="D301" s="74">
        <f>('Old Data'!$I297-$B301)^2+('Old Data'!$S297-$C301)^2</f>
        <v>1167.1437602694728</v>
      </c>
      <c r="E301" s="75">
        <f>'Old Data'!$K297-'Old Data'!$U297</f>
        <v>-174</v>
      </c>
      <c r="F301" s="72">
        <f>VLOOKUP('Old Data'!$F297,$V$6:$X$135,2,FALSE)+VLOOKUP('Old Data'!$P297,$V$6:$X$135,3,FALSE)+$C$2</f>
        <v>322.77846399614509</v>
      </c>
      <c r="G301" s="72">
        <f>VLOOKUP('Old Data'!$P297,$V$6:$X$135,2,FALSE)+VLOOKUP('Old Data'!$F297,$V$6:$X$135,3,FALSE)+$C$2</f>
        <v>251.81658599341699</v>
      </c>
      <c r="H301" s="74">
        <f>('Old Data'!$K297-$F301)^2+('Old Data'!$U297-$G301)^2</f>
        <v>33091.751778742604</v>
      </c>
      <c r="I301" s="75">
        <f>('Old Data'!$L297+'Old Data'!$M297)-('Old Data'!$V297+'Old Data'!$W297)</f>
        <v>59</v>
      </c>
      <c r="J301" s="72">
        <f>VLOOKUP('Old Data'!$F297,$Z$6:$AB$135,2,FALSE)+VLOOKUP('Old Data'!$P297,$Z$6:$AB$135,3,FALSE)+$D$2</f>
        <v>43.4634040121976</v>
      </c>
      <c r="K301" s="72">
        <f>VLOOKUP('Old Data'!$P297,$Z$6:$AB$135,2,FALSE)+VLOOKUP('Old Data'!$F297,$Z$6:$AB$135,3,FALSE)+$D$2</f>
        <v>27.651469326799997</v>
      </c>
      <c r="L301" s="74">
        <f>('Old Data'!$L297+'Old Data'!$M297-$J301)^2+('Old Data'!$V297+'Old Data'!$W297-$K301)^2</f>
        <v>1267.6243839372501</v>
      </c>
      <c r="M301" s="75">
        <f>'Old Data'!$N297-'Old Data'!$X297</f>
        <v>3</v>
      </c>
      <c r="N301" s="72">
        <f>VLOOKUP('Old Data'!$F297,$AD$6:$AF$135,2,FALSE)+VLOOKUP('Old Data'!$P297,$AD$6:$AF$135,3,FALSE)+$E$2</f>
        <v>2.120908560413</v>
      </c>
      <c r="O301" s="72">
        <f>VLOOKUP('Old Data'!$P297,$AD$6:$AF$135,2,FALSE)+VLOOKUP('Old Data'!$F297,$AD$6:$AF$135,3,FALSE)+$E$2</f>
        <v>0.9277728394222664</v>
      </c>
      <c r="P301" s="73">
        <f>('Old Data'!$N297-$N301)^2+('Old Data'!$X297-$O301)^2</f>
        <v>1.6335642007247986</v>
      </c>
      <c r="Q301" s="62"/>
      <c r="R301" s="3"/>
      <c r="S301" s="3"/>
      <c r="T301" s="3"/>
      <c r="V301" s="3"/>
      <c r="W301" s="3"/>
      <c r="X301" s="3"/>
      <c r="Z301" s="3"/>
      <c r="AA301" s="3"/>
      <c r="AB301" s="3"/>
      <c r="AC301" s="3"/>
      <c r="AD301" s="3"/>
      <c r="AE301" s="3"/>
      <c r="AF301" s="3"/>
      <c r="AG301" s="3"/>
      <c r="AH301" s="37"/>
      <c r="AI301" s="1"/>
      <c r="AK301" s="10"/>
      <c r="AL301" s="10"/>
      <c r="AM301" s="10"/>
      <c r="AN301" s="11"/>
      <c r="AO301" s="11"/>
      <c r="AP301" s="11"/>
      <c r="AQ301" s="36"/>
      <c r="AR301" s="11"/>
      <c r="AS301" s="11"/>
      <c r="AT301" s="11"/>
      <c r="AU301" s="12"/>
      <c r="AV301" s="11"/>
      <c r="AW301" s="11"/>
      <c r="AX301" s="15"/>
      <c r="AY301" s="15"/>
      <c r="AZ301" s="15"/>
      <c r="BA301" s="15"/>
      <c r="BB301" s="15"/>
      <c r="BC301" s="15"/>
      <c r="BD301" s="15"/>
      <c r="BE301" s="12"/>
      <c r="BF301" s="11"/>
      <c r="BG301" s="11"/>
      <c r="BH301" s="10"/>
      <c r="BI301" s="10"/>
      <c r="BJ301" s="10"/>
      <c r="BK301" s="23"/>
      <c r="BL301" s="23"/>
      <c r="BM301" s="23"/>
      <c r="BN301" s="23"/>
      <c r="BO301" s="23"/>
      <c r="BP301" s="23"/>
      <c r="BQ301" s="23"/>
      <c r="BR301" s="10"/>
      <c r="BS301" s="16"/>
      <c r="BT301" s="16"/>
      <c r="BU301" s="16"/>
      <c r="BV301" s="16"/>
      <c r="BW301" s="11"/>
      <c r="BX301" s="16"/>
      <c r="BY301" s="16"/>
      <c r="BZ301" s="17"/>
      <c r="CA301" s="18"/>
      <c r="CB301" s="18"/>
      <c r="CC301" s="18"/>
      <c r="CD301" s="18"/>
      <c r="CE301" s="18"/>
      <c r="CF301" s="18"/>
      <c r="CG301" s="19"/>
      <c r="CH301" s="15"/>
      <c r="CI301" s="17"/>
      <c r="CJ301" s="10"/>
      <c r="CK301" s="10"/>
      <c r="CL301" s="10"/>
      <c r="CM301" s="17"/>
      <c r="CN301" s="17"/>
      <c r="CO301" s="10"/>
      <c r="CP301" s="10"/>
      <c r="CQ301" s="10"/>
      <c r="CR301" s="10"/>
      <c r="CS301" s="10"/>
      <c r="CT301" s="10"/>
      <c r="CU301" s="10"/>
      <c r="CV301" s="10"/>
      <c r="CW301" s="10"/>
      <c r="CX301" s="10"/>
      <c r="CY301" s="10"/>
      <c r="CZ301" s="10"/>
      <c r="DA301" s="34"/>
      <c r="DB301" s="34"/>
      <c r="DC301" s="34"/>
      <c r="DD301" s="34"/>
      <c r="DE301" s="34"/>
      <c r="DF301" s="34"/>
      <c r="DG301" s="34"/>
      <c r="DH301" s="34"/>
      <c r="DI301" s="34"/>
      <c r="DJ301" s="34"/>
      <c r="DK301" s="34"/>
      <c r="DL301" s="34"/>
      <c r="DM301" s="34"/>
      <c r="DN301" s="34"/>
      <c r="DO301" s="34"/>
      <c r="DP301" s="34"/>
      <c r="DQ301" s="34"/>
      <c r="DR301" s="34"/>
      <c r="DS301" s="34"/>
      <c r="DT301" s="34"/>
      <c r="DU301" s="34"/>
      <c r="DV301" s="34"/>
      <c r="DW301" s="34"/>
      <c r="DX301" s="34"/>
      <c r="DY301" s="34"/>
      <c r="DZ301" s="34"/>
      <c r="EA301" s="34"/>
      <c r="EB301" s="34"/>
      <c r="EC301" s="34"/>
      <c r="ED301" s="34"/>
      <c r="EE301" s="34"/>
    </row>
    <row r="302" spans="1:135" customFormat="1">
      <c r="A302" s="71">
        <f>'Old Data'!$I298-'Old Data'!$S298</f>
        <v>135</v>
      </c>
      <c r="B302" s="72">
        <f>VLOOKUP('Old Data'!$F298,$R$6:$T$135,2,FALSE)+VLOOKUP('Old Data'!$P298,$R$6:$T$135,3,FALSE)+$B$2</f>
        <v>158.7641682847391</v>
      </c>
      <c r="C302" s="72">
        <f>VLOOKUP('Old Data'!$P298,$R$6:$T$135,2,FALSE)+VLOOKUP('Old Data'!$F298,$R$6:$T$135,3,FALSE)+$B$2</f>
        <v>233.65207931821618</v>
      </c>
      <c r="D302" s="74">
        <f>('Old Data'!$I298-$B302)^2+('Old Data'!$S298-$C302)^2</f>
        <v>37617.378404308794</v>
      </c>
      <c r="E302" s="75">
        <f>'Old Data'!$K298-'Old Data'!$U298</f>
        <v>47</v>
      </c>
      <c r="F302" s="72">
        <f>VLOOKUP('Old Data'!$F298,$V$6:$X$135,2,FALSE)+VLOOKUP('Old Data'!$P298,$V$6:$X$135,3,FALSE)+$C$2</f>
        <v>189.35607776699919</v>
      </c>
      <c r="G302" s="72">
        <f>VLOOKUP('Old Data'!$P298,$V$6:$X$135,2,FALSE)+VLOOKUP('Old Data'!$F298,$V$6:$X$135,3,FALSE)+$C$2</f>
        <v>162.34232766084369</v>
      </c>
      <c r="H302" s="74">
        <f>('Old Data'!$K298-$F302)^2+('Old Data'!$U298-$G302)^2</f>
        <v>3296.444600852165</v>
      </c>
      <c r="I302" s="75">
        <f>('Old Data'!$L298+'Old Data'!$M298)-('Old Data'!$V298+'Old Data'!$W298)</f>
        <v>-51</v>
      </c>
      <c r="J302" s="72">
        <f>VLOOKUP('Old Data'!$F298,$Z$6:$AB$135,2,FALSE)+VLOOKUP('Old Data'!$P298,$Z$6:$AB$135,3,FALSE)+$D$2</f>
        <v>35.700833705421879</v>
      </c>
      <c r="K302" s="72">
        <f>VLOOKUP('Old Data'!$P298,$Z$6:$AB$135,2,FALSE)+VLOOKUP('Old Data'!$F298,$Z$6:$AB$135,3,FALSE)+$D$2</f>
        <v>6.9723400475439945</v>
      </c>
      <c r="L302" s="74">
        <f>('Old Data'!$L298+'Old Data'!$M298-$J302)^2+('Old Data'!$V298+'Old Data'!$W298-$K302)^2</f>
        <v>3212.9843681512848</v>
      </c>
      <c r="M302" s="75">
        <f>'Old Data'!$N298-'Old Data'!$X298</f>
        <v>1</v>
      </c>
      <c r="N302" s="72">
        <f>VLOOKUP('Old Data'!$F298,$AD$6:$AF$135,2,FALSE)+VLOOKUP('Old Data'!$P298,$AD$6:$AF$135,3,FALSE)+$E$2</f>
        <v>0.87551109557805307</v>
      </c>
      <c r="O302" s="72">
        <f>VLOOKUP('Old Data'!$P298,$AD$6:$AF$135,2,FALSE)+VLOOKUP('Old Data'!$F298,$AD$6:$AF$135,3,FALSE)+$E$2</f>
        <v>1.275887549494676</v>
      </c>
      <c r="P302" s="73">
        <f>('Old Data'!$N298-$N302)^2+('Old Data'!$X298-$O302)^2</f>
        <v>1.6433865262797058</v>
      </c>
      <c r="Q302" s="62"/>
      <c r="R302" s="3"/>
      <c r="S302" s="3"/>
      <c r="T302" s="3"/>
      <c r="V302" s="3"/>
      <c r="W302" s="3"/>
      <c r="X302" s="3"/>
      <c r="Z302" s="3"/>
      <c r="AA302" s="3"/>
      <c r="AB302" s="3"/>
      <c r="AC302" s="3"/>
      <c r="AD302" s="3"/>
      <c r="AE302" s="3"/>
      <c r="AF302" s="3"/>
      <c r="AG302" s="3"/>
      <c r="AH302" s="37"/>
      <c r="AI302" s="1"/>
      <c r="AK302" s="10"/>
      <c r="AL302" s="10"/>
      <c r="AM302" s="10"/>
      <c r="AN302" s="11"/>
      <c r="AO302" s="11"/>
      <c r="AP302" s="11"/>
      <c r="AQ302" s="36"/>
      <c r="AR302" s="11"/>
      <c r="AS302" s="11"/>
      <c r="AT302" s="11"/>
      <c r="AU302" s="12"/>
      <c r="AV302" s="11"/>
      <c r="AW302" s="11"/>
      <c r="AX302" s="15"/>
      <c r="AY302" s="15"/>
      <c r="AZ302" s="15"/>
      <c r="BA302" s="15"/>
      <c r="BB302" s="15"/>
      <c r="BC302" s="15"/>
      <c r="BD302" s="15"/>
      <c r="BE302" s="12"/>
      <c r="BF302" s="11"/>
      <c r="BG302" s="11"/>
      <c r="BH302" s="10"/>
      <c r="BI302" s="10"/>
      <c r="BJ302" s="10"/>
      <c r="BK302" s="23"/>
      <c r="BL302" s="23"/>
      <c r="BM302" s="23"/>
      <c r="BN302" s="23"/>
      <c r="BO302" s="23"/>
      <c r="BP302" s="23"/>
      <c r="BQ302" s="23"/>
      <c r="BR302" s="10"/>
      <c r="BS302" s="16"/>
      <c r="BT302" s="16"/>
      <c r="BU302" s="16"/>
      <c r="BV302" s="16"/>
      <c r="BW302" s="11"/>
      <c r="BX302" s="16"/>
      <c r="BY302" s="16"/>
      <c r="BZ302" s="17"/>
      <c r="CA302" s="18"/>
      <c r="CB302" s="18"/>
      <c r="CC302" s="18"/>
      <c r="CD302" s="18"/>
      <c r="CE302" s="18"/>
      <c r="CF302" s="18"/>
      <c r="CG302" s="19"/>
      <c r="CH302" s="15"/>
      <c r="CI302" s="17"/>
      <c r="CJ302" s="10"/>
      <c r="CK302" s="10"/>
      <c r="CL302" s="10"/>
      <c r="CM302" s="17"/>
      <c r="CN302" s="17"/>
      <c r="CO302" s="10"/>
      <c r="CP302" s="10"/>
      <c r="CQ302" s="10"/>
      <c r="CR302" s="10"/>
      <c r="CS302" s="10"/>
      <c r="CT302" s="10"/>
      <c r="CU302" s="10"/>
      <c r="CV302" s="10"/>
      <c r="CW302" s="10"/>
      <c r="CX302" s="10"/>
      <c r="CY302" s="10"/>
      <c r="CZ302" s="10"/>
      <c r="DA302" s="34"/>
      <c r="DB302" s="34"/>
      <c r="DC302" s="34"/>
      <c r="DD302" s="34"/>
      <c r="DE302" s="34"/>
      <c r="DF302" s="34"/>
      <c r="DG302" s="34"/>
      <c r="DH302" s="34"/>
      <c r="DI302" s="34"/>
      <c r="DJ302" s="34"/>
      <c r="DK302" s="34"/>
      <c r="DL302" s="34"/>
      <c r="DM302" s="34"/>
      <c r="DN302" s="34"/>
      <c r="DO302" s="34"/>
      <c r="DP302" s="34"/>
      <c r="DQ302" s="34"/>
      <c r="DR302" s="34"/>
      <c r="DS302" s="34"/>
      <c r="DT302" s="34"/>
      <c r="DU302" s="34"/>
      <c r="DV302" s="34"/>
      <c r="DW302" s="34"/>
      <c r="DX302" s="34"/>
      <c r="DY302" s="34"/>
      <c r="DZ302" s="34"/>
      <c r="EA302" s="34"/>
      <c r="EB302" s="34"/>
      <c r="EC302" s="34"/>
      <c r="ED302" s="34"/>
      <c r="EE302" s="34"/>
    </row>
    <row r="303" spans="1:135" customFormat="1">
      <c r="A303" s="71">
        <f>'Old Data'!$I299-'Old Data'!$S299</f>
        <v>31</v>
      </c>
      <c r="B303" s="72">
        <f>VLOOKUP('Old Data'!$F299,$R$6:$T$135,2,FALSE)+VLOOKUP('Old Data'!$P299,$R$6:$T$135,3,FALSE)+$B$2</f>
        <v>185.23119546964821</v>
      </c>
      <c r="C303" s="72">
        <f>VLOOKUP('Old Data'!$P299,$R$6:$T$135,2,FALSE)+VLOOKUP('Old Data'!$F299,$R$6:$T$135,3,FALSE)+$B$2</f>
        <v>56.534693727920498</v>
      </c>
      <c r="D303" s="74">
        <f>('Old Data'!$I299-$B303)^2+('Old Data'!$S299-$C303)^2</f>
        <v>7453.9207187970942</v>
      </c>
      <c r="E303" s="75">
        <f>'Old Data'!$K299-'Old Data'!$U299</f>
        <v>140</v>
      </c>
      <c r="F303" s="72">
        <f>VLOOKUP('Old Data'!$F299,$V$6:$X$135,2,FALSE)+VLOOKUP('Old Data'!$P299,$V$6:$X$135,3,FALSE)+$C$2</f>
        <v>225.62058844255017</v>
      </c>
      <c r="G303" s="72">
        <f>VLOOKUP('Old Data'!$P299,$V$6:$X$135,2,FALSE)+VLOOKUP('Old Data'!$F299,$V$6:$X$135,3,FALSE)+$C$2</f>
        <v>203.68197171568738</v>
      </c>
      <c r="H303" s="74">
        <f>('Old Data'!$K299-$F303)^2+('Old Data'!$U299-$G303)^2</f>
        <v>7183.4371181849892</v>
      </c>
      <c r="I303" s="75">
        <f>('Old Data'!$L299+'Old Data'!$M299)-('Old Data'!$V299+'Old Data'!$W299)</f>
        <v>0</v>
      </c>
      <c r="J303" s="72">
        <f>VLOOKUP('Old Data'!$F299,$Z$6:$AB$135,2,FALSE)+VLOOKUP('Old Data'!$P299,$Z$6:$AB$135,3,FALSE)+$D$2</f>
        <v>39.642297395750191</v>
      </c>
      <c r="K303" s="72">
        <f>VLOOKUP('Old Data'!$P299,$Z$6:$AB$135,2,FALSE)+VLOOKUP('Old Data'!$F299,$Z$6:$AB$135,3,FALSE)+$D$2</f>
        <v>32.027772252338558</v>
      </c>
      <c r="L303" s="74">
        <f>('Old Data'!$L299+'Old Data'!$M299-$J303)^2+('Old Data'!$V299+'Old Data'!$W299-$K303)^2</f>
        <v>2597.2899382607702</v>
      </c>
      <c r="M303" s="75">
        <f>'Old Data'!$N299-'Old Data'!$X299</f>
        <v>-4</v>
      </c>
      <c r="N303" s="72">
        <f>VLOOKUP('Old Data'!$F299,$AD$6:$AF$135,2,FALSE)+VLOOKUP('Old Data'!$P299,$AD$6:$AF$135,3,FALSE)+$E$2</f>
        <v>0.75414095436266515</v>
      </c>
      <c r="O303" s="72">
        <f>VLOOKUP('Old Data'!$P299,$AD$6:$AF$135,2,FALSE)+VLOOKUP('Old Data'!$F299,$AD$6:$AF$135,3,FALSE)+$E$2</f>
        <v>0.93140869252789804</v>
      </c>
      <c r="P303" s="73">
        <f>('Old Data'!$N299-$N303)^2+('Old Data'!$X299-$O303)^2</f>
        <v>9.9849811913403759</v>
      </c>
      <c r="Q303" s="62"/>
      <c r="R303" s="3"/>
      <c r="S303" s="3"/>
      <c r="T303" s="3"/>
      <c r="V303" s="3"/>
      <c r="W303" s="3"/>
      <c r="X303" s="3"/>
      <c r="Z303" s="3"/>
      <c r="AA303" s="3"/>
      <c r="AB303" s="3"/>
      <c r="AC303" s="3"/>
      <c r="AD303" s="3"/>
      <c r="AE303" s="3"/>
      <c r="AF303" s="3"/>
      <c r="AG303" s="3"/>
      <c r="AH303" s="37"/>
      <c r="AI303" s="1"/>
      <c r="AK303" s="10"/>
      <c r="AL303" s="10"/>
      <c r="AM303" s="10"/>
      <c r="AN303" s="11"/>
      <c r="AO303" s="11"/>
      <c r="AP303" s="11"/>
      <c r="AQ303" s="36"/>
      <c r="AR303" s="11"/>
      <c r="AS303" s="11"/>
      <c r="AT303" s="11"/>
      <c r="AU303" s="12"/>
      <c r="AV303" s="11"/>
      <c r="AW303" s="11"/>
      <c r="AX303" s="15"/>
      <c r="AY303" s="15"/>
      <c r="AZ303" s="15"/>
      <c r="BA303" s="15"/>
      <c r="BB303" s="15"/>
      <c r="BC303" s="15"/>
      <c r="BD303" s="15"/>
      <c r="BE303" s="12"/>
      <c r="BF303" s="11"/>
      <c r="BG303" s="11"/>
      <c r="BH303" s="10"/>
      <c r="BI303" s="10"/>
      <c r="BJ303" s="10"/>
      <c r="BK303" s="23"/>
      <c r="BL303" s="23"/>
      <c r="BM303" s="23"/>
      <c r="BN303" s="23"/>
      <c r="BO303" s="23"/>
      <c r="BP303" s="23"/>
      <c r="BQ303" s="23"/>
      <c r="BR303" s="10"/>
      <c r="BS303" s="16"/>
      <c r="BT303" s="16"/>
      <c r="BU303" s="16"/>
      <c r="BV303" s="16"/>
      <c r="BW303" s="11"/>
      <c r="BX303" s="16"/>
      <c r="BY303" s="16"/>
      <c r="BZ303" s="17"/>
      <c r="CA303" s="18"/>
      <c r="CB303" s="18"/>
      <c r="CC303" s="18"/>
      <c r="CD303" s="18"/>
      <c r="CE303" s="18"/>
      <c r="CF303" s="18"/>
      <c r="CG303" s="19"/>
      <c r="CH303" s="15"/>
      <c r="CI303" s="17"/>
      <c r="CJ303" s="10"/>
      <c r="CK303" s="10"/>
      <c r="CL303" s="10"/>
      <c r="CM303" s="17"/>
      <c r="CN303" s="17"/>
      <c r="CO303" s="10"/>
      <c r="CP303" s="10"/>
      <c r="CQ303" s="10"/>
      <c r="CR303" s="10"/>
      <c r="CS303" s="10"/>
      <c r="CT303" s="10"/>
      <c r="CU303" s="10"/>
      <c r="CV303" s="10"/>
      <c r="CW303" s="10"/>
      <c r="CX303" s="10"/>
      <c r="CY303" s="10"/>
      <c r="CZ303" s="10"/>
      <c r="DA303" s="34"/>
      <c r="DB303" s="34"/>
      <c r="DC303" s="34"/>
      <c r="DD303" s="34"/>
      <c r="DE303" s="34"/>
      <c r="DF303" s="34"/>
      <c r="DG303" s="34"/>
      <c r="DH303" s="34"/>
      <c r="DI303" s="34"/>
      <c r="DJ303" s="34"/>
      <c r="DK303" s="34"/>
      <c r="DL303" s="34"/>
      <c r="DM303" s="34"/>
      <c r="DN303" s="34"/>
      <c r="DO303" s="34"/>
      <c r="DP303" s="34"/>
      <c r="DQ303" s="34"/>
      <c r="DR303" s="34"/>
      <c r="DS303" s="34"/>
      <c r="DT303" s="34"/>
      <c r="DU303" s="34"/>
      <c r="DV303" s="34"/>
      <c r="DW303" s="34"/>
      <c r="DX303" s="34"/>
      <c r="DY303" s="34"/>
      <c r="DZ303" s="34"/>
      <c r="EA303" s="34"/>
      <c r="EB303" s="34"/>
      <c r="EC303" s="34"/>
      <c r="ED303" s="34"/>
      <c r="EE303" s="34"/>
    </row>
    <row r="304" spans="1:135" customFormat="1">
      <c r="A304" s="71">
        <f>'Old Data'!$I300-'Old Data'!$S300</f>
        <v>59</v>
      </c>
      <c r="B304" s="72">
        <f>VLOOKUP('Old Data'!$F300,$R$6:$T$135,2,FALSE)+VLOOKUP('Old Data'!$P300,$R$6:$T$135,3,FALSE)+$B$2</f>
        <v>148.4806129207964</v>
      </c>
      <c r="C304" s="72">
        <f>VLOOKUP('Old Data'!$P300,$R$6:$T$135,2,FALSE)+VLOOKUP('Old Data'!$F300,$R$6:$T$135,3,FALSE)+$B$2</f>
        <v>209.88847414814882</v>
      </c>
      <c r="D304" s="74">
        <f>('Old Data'!$I300-$B304)^2+('Old Data'!$S300-$C304)^2</f>
        <v>7947.2508568558824</v>
      </c>
      <c r="E304" s="75">
        <f>'Old Data'!$K300-'Old Data'!$U300</f>
        <v>-29</v>
      </c>
      <c r="F304" s="72">
        <f>VLOOKUP('Old Data'!$F300,$V$6:$X$135,2,FALSE)+VLOOKUP('Old Data'!$P300,$V$6:$X$135,3,FALSE)+$C$2</f>
        <v>201.07323411307641</v>
      </c>
      <c r="G304" s="72">
        <f>VLOOKUP('Old Data'!$P300,$V$6:$X$135,2,FALSE)+VLOOKUP('Old Data'!$F300,$V$6:$X$135,3,FALSE)+$C$2</f>
        <v>210.96442445375149</v>
      </c>
      <c r="H304" s="74">
        <f>('Old Data'!$K300-$F304)^2+('Old Data'!$U300-$G304)^2</f>
        <v>3791.8730342016111</v>
      </c>
      <c r="I304" s="75">
        <f>('Old Data'!$L300+'Old Data'!$M300)-('Old Data'!$V300+'Old Data'!$W300)</f>
        <v>28</v>
      </c>
      <c r="J304" s="72">
        <f>VLOOKUP('Old Data'!$F300,$Z$6:$AB$135,2,FALSE)+VLOOKUP('Old Data'!$P300,$Z$6:$AB$135,3,FALSE)+$D$2</f>
        <v>72.689174216470661</v>
      </c>
      <c r="K304" s="72">
        <f>VLOOKUP('Old Data'!$P300,$Z$6:$AB$135,2,FALSE)+VLOOKUP('Old Data'!$F300,$Z$6:$AB$135,3,FALSE)+$D$2</f>
        <v>51.649636210984688</v>
      </c>
      <c r="L304" s="74">
        <f>('Old Data'!$L300+'Old Data'!$M300-$J304)^2+('Old Data'!$V300+'Old Data'!$W300-$K304)^2</f>
        <v>2313.2423027744494</v>
      </c>
      <c r="M304" s="75">
        <f>'Old Data'!$N300-'Old Data'!$X300</f>
        <v>-4</v>
      </c>
      <c r="N304" s="72">
        <f>VLOOKUP('Old Data'!$F300,$AD$6:$AF$135,2,FALSE)+VLOOKUP('Old Data'!$P300,$AD$6:$AF$135,3,FALSE)+$E$2</f>
        <v>1.1076249874887667</v>
      </c>
      <c r="O304" s="72">
        <f>VLOOKUP('Old Data'!$P300,$AD$6:$AF$135,2,FALSE)+VLOOKUP('Old Data'!$F300,$AD$6:$AF$135,3,FALSE)+$E$2</f>
        <v>2.2679336638090311</v>
      </c>
      <c r="P304" s="73">
        <f>('Old Data'!$N300-$N304)^2+('Old Data'!$X300-$O304)^2</f>
        <v>7.4757696032799021</v>
      </c>
      <c r="Q304" s="62"/>
      <c r="R304" s="3"/>
      <c r="S304" s="3"/>
      <c r="T304" s="3"/>
      <c r="V304" s="3"/>
      <c r="W304" s="3"/>
      <c r="X304" s="3"/>
      <c r="Z304" s="3"/>
      <c r="AA304" s="3"/>
      <c r="AB304" s="3"/>
      <c r="AC304" s="3"/>
      <c r="AD304" s="3"/>
      <c r="AE304" s="3"/>
      <c r="AF304" s="3"/>
      <c r="AG304" s="3"/>
      <c r="AH304" s="37"/>
      <c r="AI304" s="1"/>
      <c r="AK304" s="10"/>
      <c r="AL304" s="10"/>
      <c r="AM304" s="10"/>
      <c r="AN304" s="11"/>
      <c r="AO304" s="11"/>
      <c r="AP304" s="11"/>
      <c r="AQ304" s="36"/>
      <c r="AR304" s="11"/>
      <c r="AS304" s="11"/>
      <c r="AT304" s="11"/>
      <c r="AU304" s="12"/>
      <c r="AV304" s="11"/>
      <c r="AW304" s="11"/>
      <c r="AX304" s="15"/>
      <c r="AY304" s="15"/>
      <c r="AZ304" s="15"/>
      <c r="BA304" s="15"/>
      <c r="BB304" s="15"/>
      <c r="BC304" s="15"/>
      <c r="BD304" s="15"/>
      <c r="BE304" s="12"/>
      <c r="BF304" s="11"/>
      <c r="BG304" s="11"/>
      <c r="BH304" s="10"/>
      <c r="BI304" s="10"/>
      <c r="BJ304" s="10"/>
      <c r="BK304" s="23"/>
      <c r="BL304" s="23"/>
      <c r="BM304" s="23"/>
      <c r="BN304" s="23"/>
      <c r="BO304" s="23"/>
      <c r="BP304" s="23"/>
      <c r="BQ304" s="23"/>
      <c r="BR304" s="10"/>
      <c r="BS304" s="16"/>
      <c r="BT304" s="16"/>
      <c r="BU304" s="16"/>
      <c r="BV304" s="16"/>
      <c r="BW304" s="11"/>
      <c r="BX304" s="16"/>
      <c r="BY304" s="16"/>
      <c r="BZ304" s="17"/>
      <c r="CA304" s="18"/>
      <c r="CB304" s="18"/>
      <c r="CC304" s="18"/>
      <c r="CD304" s="18"/>
      <c r="CE304" s="18"/>
      <c r="CF304" s="18"/>
      <c r="CG304" s="19"/>
      <c r="CH304" s="15"/>
      <c r="CI304" s="17"/>
      <c r="CJ304" s="10"/>
      <c r="CK304" s="10"/>
      <c r="CL304" s="10"/>
      <c r="CM304" s="17"/>
      <c r="CN304" s="17"/>
      <c r="CO304" s="10"/>
      <c r="CP304" s="10"/>
      <c r="CQ304" s="10"/>
      <c r="CR304" s="10"/>
      <c r="CS304" s="10"/>
      <c r="CT304" s="10"/>
      <c r="CU304" s="10"/>
      <c r="CV304" s="10"/>
      <c r="CW304" s="10"/>
      <c r="CX304" s="10"/>
      <c r="CY304" s="10"/>
      <c r="CZ304" s="10"/>
      <c r="DA304" s="34"/>
      <c r="DB304" s="34"/>
      <c r="DC304" s="34"/>
      <c r="DD304" s="34"/>
      <c r="DE304" s="34"/>
      <c r="DF304" s="34"/>
      <c r="DG304" s="34"/>
      <c r="DH304" s="34"/>
      <c r="DI304" s="34"/>
      <c r="DJ304" s="34"/>
      <c r="DK304" s="34"/>
      <c r="DL304" s="34"/>
      <c r="DM304" s="34"/>
      <c r="DN304" s="34"/>
      <c r="DO304" s="34"/>
      <c r="DP304" s="34"/>
      <c r="DQ304" s="34"/>
      <c r="DR304" s="34"/>
      <c r="DS304" s="34"/>
      <c r="DT304" s="34"/>
      <c r="DU304" s="34"/>
      <c r="DV304" s="34"/>
      <c r="DW304" s="34"/>
      <c r="DX304" s="34"/>
      <c r="DY304" s="34"/>
      <c r="DZ304" s="34"/>
      <c r="EA304" s="34"/>
      <c r="EB304" s="34"/>
      <c r="EC304" s="34"/>
      <c r="ED304" s="34"/>
      <c r="EE304" s="34"/>
    </row>
    <row r="305" spans="1:135" customFormat="1">
      <c r="A305" s="71">
        <f>'Old Data'!$I301-'Old Data'!$S301</f>
        <v>-236</v>
      </c>
      <c r="B305" s="72">
        <f>VLOOKUP('Old Data'!$F301,$R$6:$T$135,2,FALSE)+VLOOKUP('Old Data'!$P301,$R$6:$T$135,3,FALSE)+$B$2</f>
        <v>87.796040401157896</v>
      </c>
      <c r="C305" s="72">
        <f>VLOOKUP('Old Data'!$P301,$R$6:$T$135,2,FALSE)+VLOOKUP('Old Data'!$F301,$R$6:$T$135,3,FALSE)+$B$2</f>
        <v>223.07376052649198</v>
      </c>
      <c r="D305" s="74">
        <f>('Old Data'!$I301-$B305)^2+('Old Data'!$S301-$C305)^2</f>
        <v>6483.8978583090429</v>
      </c>
      <c r="E305" s="75">
        <f>'Old Data'!$K301-'Old Data'!$U301</f>
        <v>-2</v>
      </c>
      <c r="F305" s="72">
        <f>VLOOKUP('Old Data'!$F301,$V$6:$X$135,2,FALSE)+VLOOKUP('Old Data'!$P301,$V$6:$X$135,3,FALSE)+$C$2</f>
        <v>153.21062460963748</v>
      </c>
      <c r="G305" s="72">
        <f>VLOOKUP('Old Data'!$P301,$V$6:$X$135,2,FALSE)+VLOOKUP('Old Data'!$F301,$V$6:$X$135,3,FALSE)+$C$2</f>
        <v>255.46634125087388</v>
      </c>
      <c r="H305" s="74">
        <f>('Old Data'!$K301-$F305)^2+('Old Data'!$U301-$G305)^2</f>
        <v>5282.7267499433419</v>
      </c>
      <c r="I305" s="75">
        <f>('Old Data'!$L301+'Old Data'!$M301)-('Old Data'!$V301+'Old Data'!$W301)</f>
        <v>15</v>
      </c>
      <c r="J305" s="72">
        <f>VLOOKUP('Old Data'!$F301,$Z$6:$AB$135,2,FALSE)+VLOOKUP('Old Data'!$P301,$Z$6:$AB$135,3,FALSE)+$D$2</f>
        <v>59.2470686230333</v>
      </c>
      <c r="K305" s="72">
        <f>VLOOKUP('Old Data'!$P301,$Z$6:$AB$135,2,FALSE)+VLOOKUP('Old Data'!$F301,$Z$6:$AB$135,3,FALSE)+$D$2</f>
        <v>61.772654441395602</v>
      </c>
      <c r="L305" s="74">
        <f>('Old Data'!$L301+'Old Data'!$M301-$J305)^2+('Old Data'!$V301+'Old Data'!$W301-$K305)^2</f>
        <v>1954.7566575037604</v>
      </c>
      <c r="M305" s="75">
        <f>'Old Data'!$N301-'Old Data'!$X301</f>
        <v>2</v>
      </c>
      <c r="N305" s="72">
        <f>VLOOKUP('Old Data'!$F301,$AD$6:$AF$135,2,FALSE)+VLOOKUP('Old Data'!$P301,$AD$6:$AF$135,3,FALSE)+$E$2</f>
        <v>2.1179527581209818</v>
      </c>
      <c r="O305" s="72">
        <f>VLOOKUP('Old Data'!$P301,$AD$6:$AF$135,2,FALSE)+VLOOKUP('Old Data'!$F301,$AD$6:$AF$135,3,FALSE)+$E$2</f>
        <v>1.295130101026658</v>
      </c>
      <c r="P305" s="73">
        <f>('Old Data'!$N301-$N305)^2+('Old Data'!$X301-$O305)^2</f>
        <v>1.6912748317336683</v>
      </c>
      <c r="Q305" s="62"/>
      <c r="R305" s="3"/>
      <c r="S305" s="3"/>
      <c r="T305" s="3"/>
      <c r="V305" s="3"/>
      <c r="W305" s="3"/>
      <c r="X305" s="3"/>
      <c r="Z305" s="3"/>
      <c r="AA305" s="3"/>
      <c r="AB305" s="3"/>
      <c r="AC305" s="3"/>
      <c r="AD305" s="3"/>
      <c r="AE305" s="3"/>
      <c r="AF305" s="3"/>
      <c r="AG305" s="3"/>
      <c r="AH305" s="37"/>
      <c r="AI305" s="1"/>
      <c r="AK305" s="10"/>
      <c r="AL305" s="10"/>
      <c r="AM305" s="10"/>
      <c r="AN305" s="11"/>
      <c r="AO305" s="11"/>
      <c r="AP305" s="11"/>
      <c r="AQ305" s="36"/>
      <c r="AR305" s="11"/>
      <c r="AS305" s="11"/>
      <c r="AT305" s="11"/>
      <c r="AU305" s="12"/>
      <c r="AV305" s="11"/>
      <c r="AW305" s="11"/>
      <c r="AX305" s="15"/>
      <c r="AY305" s="15"/>
      <c r="AZ305" s="15"/>
      <c r="BA305" s="15"/>
      <c r="BB305" s="15"/>
      <c r="BC305" s="15"/>
      <c r="BD305" s="15"/>
      <c r="BE305" s="12"/>
      <c r="BF305" s="11"/>
      <c r="BG305" s="11"/>
      <c r="BH305" s="10"/>
      <c r="BI305" s="10"/>
      <c r="BJ305" s="10"/>
      <c r="BK305" s="23"/>
      <c r="BL305" s="23"/>
      <c r="BM305" s="23"/>
      <c r="BN305" s="23"/>
      <c r="BO305" s="23"/>
      <c r="BP305" s="23"/>
      <c r="BQ305" s="23"/>
      <c r="BR305" s="10"/>
      <c r="BS305" s="16"/>
      <c r="BT305" s="16"/>
      <c r="BU305" s="16"/>
      <c r="BV305" s="16"/>
      <c r="BW305" s="11"/>
      <c r="BX305" s="16"/>
      <c r="BY305" s="16"/>
      <c r="BZ305" s="17"/>
      <c r="CA305" s="18"/>
      <c r="CB305" s="18"/>
      <c r="CC305" s="18"/>
      <c r="CD305" s="18"/>
      <c r="CE305" s="18"/>
      <c r="CF305" s="18"/>
      <c r="CG305" s="19"/>
      <c r="CH305" s="15"/>
      <c r="CI305" s="17"/>
      <c r="CJ305" s="10"/>
      <c r="CK305" s="10"/>
      <c r="CL305" s="10"/>
      <c r="CM305" s="17"/>
      <c r="CN305" s="17"/>
      <c r="CO305" s="10"/>
      <c r="CP305" s="10"/>
      <c r="CQ305" s="10"/>
      <c r="CR305" s="10"/>
      <c r="CS305" s="10"/>
      <c r="CT305" s="10"/>
      <c r="CU305" s="10"/>
      <c r="CV305" s="10"/>
      <c r="CW305" s="10"/>
      <c r="CX305" s="10"/>
      <c r="CY305" s="10"/>
      <c r="CZ305" s="10"/>
      <c r="DA305" s="34"/>
      <c r="DB305" s="34"/>
      <c r="DC305" s="34"/>
      <c r="DD305" s="34"/>
      <c r="DE305" s="34"/>
      <c r="DF305" s="34"/>
      <c r="DG305" s="34"/>
      <c r="DH305" s="34"/>
      <c r="DI305" s="34"/>
      <c r="DJ305" s="34"/>
      <c r="DK305" s="34"/>
      <c r="DL305" s="34"/>
      <c r="DM305" s="34"/>
      <c r="DN305" s="34"/>
      <c r="DO305" s="34"/>
      <c r="DP305" s="34"/>
      <c r="DQ305" s="34"/>
      <c r="DR305" s="34"/>
      <c r="DS305" s="34"/>
      <c r="DT305" s="34"/>
      <c r="DU305" s="34"/>
      <c r="DV305" s="34"/>
      <c r="DW305" s="34"/>
      <c r="DX305" s="34"/>
      <c r="DY305" s="34"/>
      <c r="DZ305" s="34"/>
      <c r="EA305" s="34"/>
      <c r="EB305" s="34"/>
      <c r="EC305" s="34"/>
      <c r="ED305" s="34"/>
      <c r="EE305" s="34"/>
    </row>
    <row r="306" spans="1:135" customFormat="1">
      <c r="A306" s="71">
        <f>'Old Data'!$I302-'Old Data'!$S302</f>
        <v>186</v>
      </c>
      <c r="B306" s="72">
        <f>VLOOKUP('Old Data'!$F302,$R$6:$T$135,2,FALSE)+VLOOKUP('Old Data'!$P302,$R$6:$T$135,3,FALSE)+$B$2</f>
        <v>172.71048209732731</v>
      </c>
      <c r="C306" s="72">
        <f>VLOOKUP('Old Data'!$P302,$R$6:$T$135,2,FALSE)+VLOOKUP('Old Data'!$F302,$R$6:$T$135,3,FALSE)+$B$2</f>
        <v>112.55881703616261</v>
      </c>
      <c r="D306" s="74">
        <f>('Old Data'!$I302-$B306)^2+('Old Data'!$S302-$C306)^2</f>
        <v>9106.2423069092783</v>
      </c>
      <c r="E306" s="75">
        <f>'Old Data'!$K302-'Old Data'!$U302</f>
        <v>296</v>
      </c>
      <c r="F306" s="72">
        <f>VLOOKUP('Old Data'!$F302,$V$6:$X$135,2,FALSE)+VLOOKUP('Old Data'!$P302,$V$6:$X$135,3,FALSE)+$C$2</f>
        <v>293.05865079313219</v>
      </c>
      <c r="G306" s="72">
        <f>VLOOKUP('Old Data'!$P302,$V$6:$X$135,2,FALSE)+VLOOKUP('Old Data'!$F302,$V$6:$X$135,3,FALSE)+$C$2</f>
        <v>141.04143200701586</v>
      </c>
      <c r="H306" s="74">
        <f>('Old Data'!$K302-$F306)^2+('Old Data'!$U302-$G306)^2</f>
        <v>19627.136912146121</v>
      </c>
      <c r="I306" s="75">
        <f>('Old Data'!$L302+'Old Data'!$M302)-('Old Data'!$V302+'Old Data'!$W302)</f>
        <v>-54</v>
      </c>
      <c r="J306" s="72">
        <f>VLOOKUP('Old Data'!$F302,$Z$6:$AB$135,2,FALSE)+VLOOKUP('Old Data'!$P302,$Z$6:$AB$135,3,FALSE)+$D$2</f>
        <v>50.566535377136063</v>
      </c>
      <c r="K306" s="72">
        <f>VLOOKUP('Old Data'!$P302,$Z$6:$AB$135,2,FALSE)+VLOOKUP('Old Data'!$F302,$Z$6:$AB$135,3,FALSE)+$D$2</f>
        <v>52.63992513153751</v>
      </c>
      <c r="L306" s="74">
        <f>('Old Data'!$L302+'Old Data'!$M302-$J306)^2+('Old Data'!$V302+'Old Data'!$W302-$K306)^2</f>
        <v>1374.1529623306863</v>
      </c>
      <c r="M306" s="75">
        <f>'Old Data'!$N302-'Old Data'!$X302</f>
        <v>-1</v>
      </c>
      <c r="N306" s="72">
        <f>VLOOKUP('Old Data'!$F302,$AD$6:$AF$135,2,FALSE)+VLOOKUP('Old Data'!$P302,$AD$6:$AF$135,3,FALSE)+$E$2</f>
        <v>1.6306280468141532</v>
      </c>
      <c r="O306" s="72">
        <f>VLOOKUP('Old Data'!$P302,$AD$6:$AF$135,2,FALSE)+VLOOKUP('Old Data'!$F302,$AD$6:$AF$135,3,FALSE)+$E$2</f>
        <v>0.72783675672923109</v>
      </c>
      <c r="P306" s="73">
        <f>('Old Data'!$N302-$N306)^2+('Old Data'!$X302-$O306)^2</f>
        <v>2.0160910509578351</v>
      </c>
      <c r="Q306" s="62"/>
      <c r="R306" s="3"/>
      <c r="S306" s="3"/>
      <c r="T306" s="3"/>
      <c r="V306" s="3"/>
      <c r="W306" s="3"/>
      <c r="X306" s="3"/>
      <c r="Z306" s="3"/>
      <c r="AA306" s="3"/>
      <c r="AB306" s="3"/>
      <c r="AC306" s="3"/>
      <c r="AD306" s="3"/>
      <c r="AE306" s="3"/>
      <c r="AF306" s="3"/>
      <c r="AG306" s="3"/>
      <c r="AH306" s="37"/>
      <c r="AI306" s="1"/>
      <c r="AK306" s="10"/>
      <c r="AL306" s="10"/>
      <c r="AM306" s="10"/>
      <c r="AN306" s="11"/>
      <c r="AO306" s="11"/>
      <c r="AP306" s="11"/>
      <c r="AQ306" s="36"/>
      <c r="AR306" s="11"/>
      <c r="AS306" s="11"/>
      <c r="AT306" s="11"/>
      <c r="AU306" s="12"/>
      <c r="AV306" s="11"/>
      <c r="AW306" s="11"/>
      <c r="AX306" s="15"/>
      <c r="AY306" s="15"/>
      <c r="AZ306" s="15"/>
      <c r="BA306" s="15"/>
      <c r="BB306" s="15"/>
      <c r="BC306" s="15"/>
      <c r="BD306" s="15"/>
      <c r="BE306" s="12"/>
      <c r="BF306" s="11"/>
      <c r="BG306" s="11"/>
      <c r="BH306" s="10"/>
      <c r="BI306" s="10"/>
      <c r="BJ306" s="10"/>
      <c r="BK306" s="23"/>
      <c r="BL306" s="23"/>
      <c r="BM306" s="23"/>
      <c r="BN306" s="23"/>
      <c r="BO306" s="23"/>
      <c r="BP306" s="23"/>
      <c r="BQ306" s="23"/>
      <c r="BR306" s="10"/>
      <c r="BS306" s="16"/>
      <c r="BT306" s="16"/>
      <c r="BU306" s="16"/>
      <c r="BV306" s="16"/>
      <c r="BW306" s="11"/>
      <c r="BX306" s="16"/>
      <c r="BY306" s="16"/>
      <c r="BZ306" s="17"/>
      <c r="CA306" s="18"/>
      <c r="CB306" s="18"/>
      <c r="CC306" s="18"/>
      <c r="CD306" s="18"/>
      <c r="CE306" s="18"/>
      <c r="CF306" s="18"/>
      <c r="CG306" s="19"/>
      <c r="CH306" s="15"/>
      <c r="CI306" s="17"/>
      <c r="CJ306" s="10"/>
      <c r="CK306" s="10"/>
      <c r="CL306" s="10"/>
      <c r="CM306" s="17"/>
      <c r="CN306" s="17"/>
      <c r="CO306" s="10"/>
      <c r="CP306" s="10"/>
      <c r="CQ306" s="10"/>
      <c r="CR306" s="10"/>
      <c r="CS306" s="10"/>
      <c r="CT306" s="10"/>
      <c r="CU306" s="10"/>
      <c r="CV306" s="10"/>
      <c r="CW306" s="10"/>
      <c r="CX306" s="10"/>
      <c r="CY306" s="10"/>
      <c r="CZ306" s="10"/>
      <c r="DA306" s="34"/>
      <c r="DB306" s="34"/>
      <c r="DC306" s="34"/>
      <c r="DD306" s="34"/>
      <c r="DE306" s="34"/>
      <c r="DF306" s="34"/>
      <c r="DG306" s="34"/>
      <c r="DH306" s="34"/>
      <c r="DI306" s="34"/>
      <c r="DJ306" s="34"/>
      <c r="DK306" s="34"/>
      <c r="DL306" s="34"/>
      <c r="DM306" s="34"/>
      <c r="DN306" s="34"/>
      <c r="DO306" s="34"/>
      <c r="DP306" s="34"/>
      <c r="DQ306" s="34"/>
      <c r="DR306" s="34"/>
      <c r="DS306" s="34"/>
      <c r="DT306" s="34"/>
      <c r="DU306" s="34"/>
      <c r="DV306" s="34"/>
      <c r="DW306" s="34"/>
      <c r="DX306" s="34"/>
      <c r="DY306" s="34"/>
      <c r="DZ306" s="34"/>
      <c r="EA306" s="34"/>
      <c r="EB306" s="34"/>
      <c r="EC306" s="34"/>
      <c r="ED306" s="34"/>
      <c r="EE306" s="34"/>
    </row>
    <row r="307" spans="1:135" customFormat="1">
      <c r="A307" s="71">
        <f>'Old Data'!$I303-'Old Data'!$S303</f>
        <v>-121</v>
      </c>
      <c r="B307" s="72">
        <f>VLOOKUP('Old Data'!$F303,$R$6:$T$135,2,FALSE)+VLOOKUP('Old Data'!$P303,$R$6:$T$135,3,FALSE)+$B$2</f>
        <v>88.083594547516654</v>
      </c>
      <c r="C307" s="72">
        <f>VLOOKUP('Old Data'!$P303,$R$6:$T$135,2,FALSE)+VLOOKUP('Old Data'!$F303,$R$6:$T$135,3,FALSE)+$B$2</f>
        <v>158.53228590449299</v>
      </c>
      <c r="D307" s="74">
        <f>('Old Data'!$I303-$B307)^2+('Old Data'!$S303-$C307)^2</f>
        <v>1381.1688503465584</v>
      </c>
      <c r="E307" s="75">
        <f>'Old Data'!$K303-'Old Data'!$U303</f>
        <v>169</v>
      </c>
      <c r="F307" s="72">
        <f>VLOOKUP('Old Data'!$F303,$V$6:$X$135,2,FALSE)+VLOOKUP('Old Data'!$P303,$V$6:$X$135,3,FALSE)+$C$2</f>
        <v>255.96781043143233</v>
      </c>
      <c r="G307" s="72">
        <f>VLOOKUP('Old Data'!$P303,$V$6:$X$135,2,FALSE)+VLOOKUP('Old Data'!$F303,$V$6:$X$135,3,FALSE)+$C$2</f>
        <v>181.89168377395612</v>
      </c>
      <c r="H307" s="74">
        <f>('Old Data'!$K303-$F307)^2+('Old Data'!$U303-$G307)^2</f>
        <v>5112.8630333015044</v>
      </c>
      <c r="I307" s="75">
        <f>('Old Data'!$L303+'Old Data'!$M303)-('Old Data'!$V303+'Old Data'!$W303)</f>
        <v>-11</v>
      </c>
      <c r="J307" s="72">
        <f>VLOOKUP('Old Data'!$F303,$Z$6:$AB$135,2,FALSE)+VLOOKUP('Old Data'!$P303,$Z$6:$AB$135,3,FALSE)+$D$2</f>
        <v>17.039303877793827</v>
      </c>
      <c r="K307" s="72">
        <f>VLOOKUP('Old Data'!$P303,$Z$6:$AB$135,2,FALSE)+VLOOKUP('Old Data'!$F303,$Z$6:$AB$135,3,FALSE)+$D$2</f>
        <v>51.752233363073515</v>
      </c>
      <c r="L307" s="74">
        <f>('Old Data'!$L303+'Old Data'!$M303-$J307)^2+('Old Data'!$V303+'Old Data'!$W303-$K307)^2</f>
        <v>624.5932724853451</v>
      </c>
      <c r="M307" s="75">
        <f>'Old Data'!$N303-'Old Data'!$X303</f>
        <v>-2</v>
      </c>
      <c r="N307" s="72">
        <f>VLOOKUP('Old Data'!$F303,$AD$6:$AF$135,2,FALSE)+VLOOKUP('Old Data'!$P303,$AD$6:$AF$135,3,FALSE)+$E$2</f>
        <v>1.176831332609122</v>
      </c>
      <c r="O307" s="72">
        <f>VLOOKUP('Old Data'!$P303,$AD$6:$AF$135,2,FALSE)+VLOOKUP('Old Data'!$F303,$AD$6:$AF$135,3,FALSE)+$E$2</f>
        <v>1.2530548039217801</v>
      </c>
      <c r="P307" s="73">
        <f>('Old Data'!$N303-$N307)^2+('Old Data'!$X303-$O307)^2</f>
        <v>1.9428591113548923</v>
      </c>
      <c r="Q307" s="62"/>
      <c r="R307" s="3"/>
      <c r="S307" s="3"/>
      <c r="T307" s="3"/>
      <c r="V307" s="3"/>
      <c r="W307" s="3"/>
      <c r="X307" s="3"/>
      <c r="Z307" s="3"/>
      <c r="AA307" s="3"/>
      <c r="AB307" s="3"/>
      <c r="AC307" s="3"/>
      <c r="AD307" s="3"/>
      <c r="AE307" s="3"/>
      <c r="AF307" s="3"/>
      <c r="AG307" s="3"/>
      <c r="AH307" s="37"/>
      <c r="AI307" s="1"/>
      <c r="AK307" s="10"/>
      <c r="AL307" s="10"/>
      <c r="AM307" s="10"/>
      <c r="AN307" s="11"/>
      <c r="AO307" s="11"/>
      <c r="AP307" s="11"/>
      <c r="AQ307" s="36"/>
      <c r="AR307" s="11"/>
      <c r="AS307" s="11"/>
      <c r="AT307" s="11"/>
      <c r="AU307" s="12"/>
      <c r="AV307" s="11"/>
      <c r="AW307" s="11"/>
      <c r="AX307" s="15"/>
      <c r="AY307" s="15"/>
      <c r="AZ307" s="15"/>
      <c r="BA307" s="15"/>
      <c r="BB307" s="15"/>
      <c r="BC307" s="15"/>
      <c r="BD307" s="15"/>
      <c r="BE307" s="12"/>
      <c r="BF307" s="11"/>
      <c r="BG307" s="11"/>
      <c r="BH307" s="10"/>
      <c r="BI307" s="10"/>
      <c r="BJ307" s="10"/>
      <c r="BK307" s="23"/>
      <c r="BL307" s="23"/>
      <c r="BM307" s="23"/>
      <c r="BN307" s="23"/>
      <c r="BO307" s="23"/>
      <c r="BP307" s="23"/>
      <c r="BQ307" s="23"/>
      <c r="BR307" s="10"/>
      <c r="BS307" s="16"/>
      <c r="BT307" s="16"/>
      <c r="BU307" s="16"/>
      <c r="BV307" s="16"/>
      <c r="BW307" s="11"/>
      <c r="BX307" s="16"/>
      <c r="BY307" s="16"/>
      <c r="BZ307" s="17"/>
      <c r="CA307" s="18"/>
      <c r="CB307" s="18"/>
      <c r="CC307" s="18"/>
      <c r="CD307" s="18"/>
      <c r="CE307" s="18"/>
      <c r="CF307" s="18"/>
      <c r="CG307" s="19"/>
      <c r="CH307" s="15"/>
      <c r="CI307" s="17"/>
      <c r="CJ307" s="10"/>
      <c r="CK307" s="10"/>
      <c r="CL307" s="10"/>
      <c r="CM307" s="17"/>
      <c r="CN307" s="17"/>
      <c r="CO307" s="10"/>
      <c r="CP307" s="10"/>
      <c r="CQ307" s="10"/>
      <c r="CR307" s="10"/>
      <c r="CS307" s="10"/>
      <c r="CT307" s="10"/>
      <c r="CU307" s="10"/>
      <c r="CV307" s="10"/>
      <c r="CW307" s="10"/>
      <c r="CX307" s="10"/>
      <c r="CY307" s="10"/>
      <c r="CZ307" s="10"/>
      <c r="DA307" s="34"/>
      <c r="DB307" s="34"/>
      <c r="DC307" s="34"/>
      <c r="DD307" s="34"/>
      <c r="DE307" s="34"/>
      <c r="DF307" s="34"/>
      <c r="DG307" s="34"/>
      <c r="DH307" s="34"/>
      <c r="DI307" s="34"/>
      <c r="DJ307" s="34"/>
      <c r="DK307" s="34"/>
      <c r="DL307" s="34"/>
      <c r="DM307" s="34"/>
      <c r="DN307" s="34"/>
      <c r="DO307" s="34"/>
      <c r="DP307" s="34"/>
      <c r="DQ307" s="34"/>
      <c r="DR307" s="34"/>
      <c r="DS307" s="34"/>
      <c r="DT307" s="34"/>
      <c r="DU307" s="34"/>
      <c r="DV307" s="34"/>
      <c r="DW307" s="34"/>
      <c r="DX307" s="34"/>
      <c r="DY307" s="34"/>
      <c r="DZ307" s="34"/>
      <c r="EA307" s="34"/>
      <c r="EB307" s="34"/>
      <c r="EC307" s="34"/>
      <c r="ED307" s="34"/>
      <c r="EE307" s="34"/>
    </row>
    <row r="308" spans="1:135" customFormat="1">
      <c r="A308" s="71">
        <f>'Old Data'!$I304-'Old Data'!$S304</f>
        <v>150</v>
      </c>
      <c r="B308" s="72">
        <f>VLOOKUP('Old Data'!$F304,$R$6:$T$135,2,FALSE)+VLOOKUP('Old Data'!$P304,$R$6:$T$135,3,FALSE)+$B$2</f>
        <v>339.41921947343167</v>
      </c>
      <c r="C308" s="72">
        <f>VLOOKUP('Old Data'!$P304,$R$6:$T$135,2,FALSE)+VLOOKUP('Old Data'!$F304,$R$6:$T$135,3,FALSE)+$B$2</f>
        <v>173.10082510481072</v>
      </c>
      <c r="D308" s="74">
        <f>('Old Data'!$I304-$B308)^2+('Old Data'!$S304-$C308)^2</f>
        <v>139.20004225362993</v>
      </c>
      <c r="E308" s="75">
        <f>'Old Data'!$K304-'Old Data'!$U304</f>
        <v>-34</v>
      </c>
      <c r="F308" s="72">
        <f>VLOOKUP('Old Data'!$F304,$V$6:$X$135,2,FALSE)+VLOOKUP('Old Data'!$P304,$V$6:$X$135,3,FALSE)+$C$2</f>
        <v>108.30970132521719</v>
      </c>
      <c r="G308" s="72">
        <f>VLOOKUP('Old Data'!$P304,$V$6:$X$135,2,FALSE)+VLOOKUP('Old Data'!$F304,$V$6:$X$135,3,FALSE)+$C$2</f>
        <v>134.3944554681481</v>
      </c>
      <c r="H308" s="74">
        <f>('Old Data'!$K304-$F308)^2+('Old Data'!$U304-$G308)^2</f>
        <v>566.10649427143517</v>
      </c>
      <c r="I308" s="75">
        <f>('Old Data'!$L304+'Old Data'!$M304)-('Old Data'!$V304+'Old Data'!$W304)</f>
        <v>2</v>
      </c>
      <c r="J308" s="72">
        <f>VLOOKUP('Old Data'!$F304,$Z$6:$AB$135,2,FALSE)+VLOOKUP('Old Data'!$P304,$Z$6:$AB$135,3,FALSE)+$D$2</f>
        <v>27.004230532905936</v>
      </c>
      <c r="K308" s="72">
        <f>VLOOKUP('Old Data'!$P304,$Z$6:$AB$135,2,FALSE)+VLOOKUP('Old Data'!$F304,$Z$6:$AB$135,3,FALSE)+$D$2</f>
        <v>40.248924920285894</v>
      </c>
      <c r="L308" s="74">
        <f>('Old Data'!$L304+'Old Data'!$M304-$J308)^2+('Old Data'!$V304+'Old Data'!$W304-$K308)^2</f>
        <v>2084.7836037729621</v>
      </c>
      <c r="M308" s="75">
        <f>'Old Data'!$N304-'Old Data'!$X304</f>
        <v>-1</v>
      </c>
      <c r="N308" s="72">
        <f>VLOOKUP('Old Data'!$F304,$AD$6:$AF$135,2,FALSE)+VLOOKUP('Old Data'!$P304,$AD$6:$AF$135,3,FALSE)+$E$2</f>
        <v>1.9488374384159111</v>
      </c>
      <c r="O308" s="72">
        <f>VLOOKUP('Old Data'!$P304,$AD$6:$AF$135,2,FALSE)+VLOOKUP('Old Data'!$F304,$AD$6:$AF$135,3,FALSE)+$E$2</f>
        <v>1.0923398964102025</v>
      </c>
      <c r="P308" s="73">
        <f>('Old Data'!$N304-$N308)^2+('Old Data'!$X304-$O308)^2</f>
        <v>3.8064940178405369</v>
      </c>
      <c r="Q308" s="62"/>
      <c r="R308" s="3"/>
      <c r="S308" s="3"/>
      <c r="T308" s="3"/>
      <c r="V308" s="3"/>
      <c r="W308" s="3"/>
      <c r="X308" s="3"/>
      <c r="Z308" s="3"/>
      <c r="AA308" s="3"/>
      <c r="AB308" s="3"/>
      <c r="AC308" s="3"/>
      <c r="AD308" s="3"/>
      <c r="AE308" s="3"/>
      <c r="AF308" s="3"/>
      <c r="AG308" s="3"/>
      <c r="AH308" s="37"/>
      <c r="AI308" s="1"/>
      <c r="AK308" s="10"/>
      <c r="AL308" s="10"/>
      <c r="AM308" s="10"/>
      <c r="AN308" s="11"/>
      <c r="AO308" s="11"/>
      <c r="AP308" s="11"/>
      <c r="AQ308" s="36"/>
      <c r="AR308" s="11"/>
      <c r="AS308" s="11"/>
      <c r="AT308" s="11"/>
      <c r="AU308" s="12"/>
      <c r="AV308" s="11"/>
      <c r="AW308" s="11"/>
      <c r="AX308" s="15"/>
      <c r="AY308" s="15"/>
      <c r="AZ308" s="15"/>
      <c r="BA308" s="15"/>
      <c r="BB308" s="15"/>
      <c r="BC308" s="15"/>
      <c r="BD308" s="15"/>
      <c r="BE308" s="12"/>
      <c r="BF308" s="11"/>
      <c r="BG308" s="11"/>
      <c r="BH308" s="10"/>
      <c r="BI308" s="10"/>
      <c r="BJ308" s="10"/>
      <c r="BK308" s="23"/>
      <c r="BL308" s="23"/>
      <c r="BM308" s="23"/>
      <c r="BN308" s="23"/>
      <c r="BO308" s="23"/>
      <c r="BP308" s="23"/>
      <c r="BQ308" s="23"/>
      <c r="BR308" s="10"/>
      <c r="BS308" s="16"/>
      <c r="BT308" s="16"/>
      <c r="BU308" s="16"/>
      <c r="BV308" s="16"/>
      <c r="BW308" s="11"/>
      <c r="BX308" s="16"/>
      <c r="BY308" s="16"/>
      <c r="BZ308" s="17"/>
      <c r="CA308" s="18"/>
      <c r="CB308" s="18"/>
      <c r="CC308" s="18"/>
      <c r="CD308" s="18"/>
      <c r="CE308" s="18"/>
      <c r="CF308" s="18"/>
      <c r="CG308" s="19"/>
      <c r="CH308" s="15"/>
      <c r="CI308" s="17"/>
      <c r="CJ308" s="10"/>
      <c r="CK308" s="10"/>
      <c r="CL308" s="10"/>
      <c r="CM308" s="17"/>
      <c r="CN308" s="17"/>
      <c r="CO308" s="10"/>
      <c r="CP308" s="10"/>
      <c r="CQ308" s="10"/>
      <c r="CR308" s="10"/>
      <c r="CS308" s="10"/>
      <c r="CT308" s="10"/>
      <c r="CU308" s="10"/>
      <c r="CV308" s="10"/>
      <c r="CW308" s="10"/>
      <c r="CX308" s="10"/>
      <c r="CY308" s="10"/>
      <c r="CZ308" s="10"/>
      <c r="DA308" s="34"/>
      <c r="DB308" s="34"/>
      <c r="DC308" s="34"/>
      <c r="DD308" s="34"/>
      <c r="DE308" s="34"/>
      <c r="DF308" s="34"/>
      <c r="DG308" s="34"/>
      <c r="DH308" s="34"/>
      <c r="DI308" s="34"/>
      <c r="DJ308" s="34"/>
      <c r="DK308" s="34"/>
      <c r="DL308" s="34"/>
      <c r="DM308" s="34"/>
      <c r="DN308" s="34"/>
      <c r="DO308" s="34"/>
      <c r="DP308" s="34"/>
      <c r="DQ308" s="34"/>
      <c r="DR308" s="34"/>
      <c r="DS308" s="34"/>
      <c r="DT308" s="34"/>
      <c r="DU308" s="34"/>
      <c r="DV308" s="34"/>
      <c r="DW308" s="34"/>
      <c r="DX308" s="34"/>
      <c r="DY308" s="34"/>
      <c r="DZ308" s="34"/>
      <c r="EA308" s="34"/>
      <c r="EB308" s="34"/>
      <c r="EC308" s="34"/>
      <c r="ED308" s="34"/>
      <c r="EE308" s="34"/>
    </row>
    <row r="309" spans="1:135" customFormat="1">
      <c r="A309" s="71">
        <f>'Old Data'!$I305-'Old Data'!$S305</f>
        <v>73</v>
      </c>
      <c r="B309" s="72">
        <f>VLOOKUP('Old Data'!$F305,$R$6:$T$135,2,FALSE)+VLOOKUP('Old Data'!$P305,$R$6:$T$135,3,FALSE)+$B$2</f>
        <v>156.88085749440739</v>
      </c>
      <c r="C309" s="72">
        <f>VLOOKUP('Old Data'!$P305,$R$6:$T$135,2,FALSE)+VLOOKUP('Old Data'!$F305,$R$6:$T$135,3,FALSE)+$B$2</f>
        <v>64.315002655008712</v>
      </c>
      <c r="D309" s="74">
        <f>('Old Data'!$I305-$B309)^2+('Old Data'!$S305-$C309)^2</f>
        <v>10531.226656881356</v>
      </c>
      <c r="E309" s="75">
        <f>'Old Data'!$K305-'Old Data'!$U305</f>
        <v>-18</v>
      </c>
      <c r="F309" s="72">
        <f>VLOOKUP('Old Data'!$F305,$V$6:$X$135,2,FALSE)+VLOOKUP('Old Data'!$P305,$V$6:$X$135,3,FALSE)+$C$2</f>
        <v>369.55391928047834</v>
      </c>
      <c r="G309" s="72">
        <f>VLOOKUP('Old Data'!$P305,$V$6:$X$135,2,FALSE)+VLOOKUP('Old Data'!$F305,$V$6:$X$135,3,FALSE)+$C$2</f>
        <v>313.3764190779055</v>
      </c>
      <c r="H309" s="74">
        <f>('Old Data'!$K305-$F309)^2+('Old Data'!$U305-$G309)^2</f>
        <v>5866.1499248358259</v>
      </c>
      <c r="I309" s="75">
        <f>('Old Data'!$L305+'Old Data'!$M305)-('Old Data'!$V305+'Old Data'!$W305)</f>
        <v>20</v>
      </c>
      <c r="J309" s="72">
        <f>VLOOKUP('Old Data'!$F305,$Z$6:$AB$135,2,FALSE)+VLOOKUP('Old Data'!$P305,$Z$6:$AB$135,3,FALSE)+$D$2</f>
        <v>13.653235145436497</v>
      </c>
      <c r="K309" s="72">
        <f>VLOOKUP('Old Data'!$P305,$Z$6:$AB$135,2,FALSE)+VLOOKUP('Old Data'!$F305,$Z$6:$AB$135,3,FALSE)+$D$2</f>
        <v>14.388248195658498</v>
      </c>
      <c r="L309" s="74">
        <f>('Old Data'!$L305+'Old Data'!$M305-$J309)^2+('Old Data'!$V305+'Old Data'!$W305-$K309)^2</f>
        <v>247.30311025899252</v>
      </c>
      <c r="M309" s="75">
        <f>'Old Data'!$N305-'Old Data'!$X305</f>
        <v>1</v>
      </c>
      <c r="N309" s="72">
        <f>VLOOKUP('Old Data'!$F305,$AD$6:$AF$135,2,FALSE)+VLOOKUP('Old Data'!$P305,$AD$6:$AF$135,3,FALSE)+$E$2</f>
        <v>1.6238476653951179</v>
      </c>
      <c r="O309" s="72">
        <f>VLOOKUP('Old Data'!$P305,$AD$6:$AF$135,2,FALSE)+VLOOKUP('Old Data'!$F305,$AD$6:$AF$135,3,FALSE)+$E$2</f>
        <v>1.6822306506001432</v>
      </c>
      <c r="P309" s="73">
        <f>('Old Data'!$N305-$N309)^2+('Old Data'!$X305-$O309)^2</f>
        <v>3.2190858714375201</v>
      </c>
      <c r="Q309" s="62"/>
      <c r="R309" s="3"/>
      <c r="S309" s="3"/>
      <c r="T309" s="3"/>
      <c r="V309" s="3"/>
      <c r="W309" s="3"/>
      <c r="X309" s="3"/>
      <c r="Z309" s="3"/>
      <c r="AA309" s="3"/>
      <c r="AB309" s="3"/>
      <c r="AC309" s="3"/>
      <c r="AD309" s="3"/>
      <c r="AE309" s="3"/>
      <c r="AF309" s="3"/>
      <c r="AG309" s="3"/>
      <c r="AH309" s="37"/>
      <c r="AI309" s="1"/>
      <c r="AK309" s="10"/>
      <c r="AL309" s="10"/>
      <c r="AM309" s="10"/>
      <c r="AN309" s="11"/>
      <c r="AO309" s="11"/>
      <c r="AP309" s="11"/>
      <c r="AQ309" s="36"/>
      <c r="AR309" s="11"/>
      <c r="AS309" s="11"/>
      <c r="AT309" s="11"/>
      <c r="AU309" s="12"/>
      <c r="AV309" s="11"/>
      <c r="AW309" s="11"/>
      <c r="AX309" s="15"/>
      <c r="AY309" s="15"/>
      <c r="AZ309" s="15"/>
      <c r="BA309" s="15"/>
      <c r="BB309" s="15"/>
      <c r="BC309" s="15"/>
      <c r="BD309" s="15"/>
      <c r="BE309" s="12"/>
      <c r="BF309" s="11"/>
      <c r="BG309" s="11"/>
      <c r="BH309" s="10"/>
      <c r="BI309" s="10"/>
      <c r="BJ309" s="10"/>
      <c r="BK309" s="23"/>
      <c r="BL309" s="23"/>
      <c r="BM309" s="23"/>
      <c r="BN309" s="23"/>
      <c r="BO309" s="23"/>
      <c r="BP309" s="23"/>
      <c r="BQ309" s="23"/>
      <c r="BR309" s="10"/>
      <c r="BS309" s="16"/>
      <c r="BT309" s="16"/>
      <c r="BU309" s="16"/>
      <c r="BV309" s="16"/>
      <c r="BW309" s="11"/>
      <c r="BX309" s="16"/>
      <c r="BY309" s="16"/>
      <c r="BZ309" s="17"/>
      <c r="CA309" s="18"/>
      <c r="CB309" s="18"/>
      <c r="CC309" s="18"/>
      <c r="CD309" s="18"/>
      <c r="CE309" s="18"/>
      <c r="CF309" s="18"/>
      <c r="CG309" s="19"/>
      <c r="CH309" s="15"/>
      <c r="CI309" s="17"/>
      <c r="CJ309" s="10"/>
      <c r="CK309" s="10"/>
      <c r="CL309" s="10"/>
      <c r="CM309" s="17"/>
      <c r="CN309" s="17"/>
      <c r="CO309" s="10"/>
      <c r="CP309" s="10"/>
      <c r="CQ309" s="10"/>
      <c r="CR309" s="10"/>
      <c r="CS309" s="10"/>
      <c r="CT309" s="10"/>
      <c r="CU309" s="10"/>
      <c r="CV309" s="10"/>
      <c r="CW309" s="10"/>
      <c r="CX309" s="10"/>
      <c r="CY309" s="10"/>
      <c r="CZ309" s="10"/>
      <c r="DA309" s="34"/>
      <c r="DB309" s="34"/>
      <c r="DC309" s="34"/>
      <c r="DD309" s="34"/>
      <c r="DE309" s="34"/>
      <c r="DF309" s="34"/>
      <c r="DG309" s="34"/>
      <c r="DH309" s="34"/>
      <c r="DI309" s="34"/>
      <c r="DJ309" s="34"/>
      <c r="DK309" s="34"/>
      <c r="DL309" s="34"/>
      <c r="DM309" s="34"/>
      <c r="DN309" s="34"/>
      <c r="DO309" s="34"/>
      <c r="DP309" s="34"/>
      <c r="DQ309" s="34"/>
      <c r="DR309" s="34"/>
      <c r="DS309" s="34"/>
      <c r="DT309" s="34"/>
      <c r="DU309" s="34"/>
      <c r="DV309" s="34"/>
      <c r="DW309" s="34"/>
      <c r="DX309" s="34"/>
      <c r="DY309" s="34"/>
      <c r="DZ309" s="34"/>
      <c r="EA309" s="34"/>
      <c r="EB309" s="34"/>
      <c r="EC309" s="34"/>
      <c r="ED309" s="34"/>
      <c r="EE309" s="34"/>
    </row>
    <row r="310" spans="1:135" customFormat="1">
      <c r="A310" s="71">
        <f>'Old Data'!$I306-'Old Data'!$S306</f>
        <v>171</v>
      </c>
      <c r="B310" s="72">
        <f>VLOOKUP('Old Data'!$F306,$R$6:$T$135,2,FALSE)+VLOOKUP('Old Data'!$P306,$R$6:$T$135,3,FALSE)+$B$2</f>
        <v>209.97596341602821</v>
      </c>
      <c r="C310" s="72">
        <f>VLOOKUP('Old Data'!$P306,$R$6:$T$135,2,FALSE)+VLOOKUP('Old Data'!$F306,$R$6:$T$135,3,FALSE)+$B$2</f>
        <v>161.332045037385</v>
      </c>
      <c r="D310" s="74">
        <f>('Old Data'!$I306-$B310)^2+('Old Data'!$S306-$C310)^2</f>
        <v>12656.135927221603</v>
      </c>
      <c r="E310" s="75">
        <f>'Old Data'!$K306-'Old Data'!$U306</f>
        <v>-20</v>
      </c>
      <c r="F310" s="72">
        <f>VLOOKUP('Old Data'!$F306,$V$6:$X$135,2,FALSE)+VLOOKUP('Old Data'!$P306,$V$6:$X$135,3,FALSE)+$C$2</f>
        <v>245.3959651798655</v>
      </c>
      <c r="G310" s="72">
        <f>VLOOKUP('Old Data'!$P306,$V$6:$X$135,2,FALSE)+VLOOKUP('Old Data'!$F306,$V$6:$X$135,3,FALSE)+$C$2</f>
        <v>208.68361961858932</v>
      </c>
      <c r="H310" s="74">
        <f>('Old Data'!$K306-$F310)^2+('Old Data'!$U306-$G310)^2</f>
        <v>17464.314330525831</v>
      </c>
      <c r="I310" s="75">
        <f>('Old Data'!$L306+'Old Data'!$M306)-('Old Data'!$V306+'Old Data'!$W306)</f>
        <v>-14</v>
      </c>
      <c r="J310" s="72">
        <f>VLOOKUP('Old Data'!$F306,$Z$6:$AB$135,2,FALSE)+VLOOKUP('Old Data'!$P306,$Z$6:$AB$135,3,FALSE)+$D$2</f>
        <v>67.80062109590699</v>
      </c>
      <c r="K310" s="72">
        <f>VLOOKUP('Old Data'!$P306,$Z$6:$AB$135,2,FALSE)+VLOOKUP('Old Data'!$F306,$Z$6:$AB$135,3,FALSE)+$D$2</f>
        <v>66.342609562334232</v>
      </c>
      <c r="L310" s="74">
        <f>('Old Data'!$L306+'Old Data'!$M306-$J310)^2+('Old Data'!$V306+'Old Data'!$W306-$K310)^2</f>
        <v>1278.360389392343</v>
      </c>
      <c r="M310" s="75">
        <f>'Old Data'!$N306-'Old Data'!$X306</f>
        <v>0</v>
      </c>
      <c r="N310" s="72">
        <f>VLOOKUP('Old Data'!$F306,$AD$6:$AF$135,2,FALSE)+VLOOKUP('Old Data'!$P306,$AD$6:$AF$135,3,FALSE)+$E$2</f>
        <v>1.7117449636052804</v>
      </c>
      <c r="O310" s="72">
        <f>VLOOKUP('Old Data'!$P306,$AD$6:$AF$135,2,FALSE)+VLOOKUP('Old Data'!$F306,$AD$6:$AF$135,3,FALSE)+$E$2</f>
        <v>1.3274420048209081</v>
      </c>
      <c r="P310" s="73">
        <f>('Old Data'!$N306-$N310)^2+('Old Data'!$X306-$O310)^2</f>
        <v>4.6921730965909942</v>
      </c>
      <c r="Q310" s="62"/>
      <c r="R310" s="3"/>
      <c r="S310" s="3"/>
      <c r="T310" s="3"/>
      <c r="V310" s="3"/>
      <c r="W310" s="3"/>
      <c r="X310" s="3"/>
      <c r="Z310" s="3"/>
      <c r="AA310" s="3"/>
      <c r="AB310" s="3"/>
      <c r="AC310" s="3"/>
      <c r="AD310" s="3"/>
      <c r="AE310" s="3"/>
      <c r="AF310" s="3"/>
      <c r="AG310" s="3"/>
      <c r="AH310" s="37"/>
      <c r="AI310" s="1"/>
      <c r="AK310" s="10"/>
      <c r="AL310" s="10"/>
      <c r="AM310" s="10"/>
      <c r="AN310" s="11"/>
      <c r="AO310" s="11"/>
      <c r="AP310" s="11"/>
      <c r="AQ310" s="36"/>
      <c r="AR310" s="11"/>
      <c r="AS310" s="11"/>
      <c r="AT310" s="11"/>
      <c r="AU310" s="12"/>
      <c r="AV310" s="11"/>
      <c r="AW310" s="11"/>
      <c r="AX310" s="15"/>
      <c r="AY310" s="15"/>
      <c r="AZ310" s="15"/>
      <c r="BA310" s="15"/>
      <c r="BB310" s="15"/>
      <c r="BC310" s="15"/>
      <c r="BD310" s="15"/>
      <c r="BE310" s="12"/>
      <c r="BF310" s="11"/>
      <c r="BG310" s="11"/>
      <c r="BH310" s="10"/>
      <c r="BI310" s="10"/>
      <c r="BJ310" s="10"/>
      <c r="BK310" s="23"/>
      <c r="BL310" s="23"/>
      <c r="BM310" s="23"/>
      <c r="BN310" s="23"/>
      <c r="BO310" s="23"/>
      <c r="BP310" s="23"/>
      <c r="BQ310" s="23"/>
      <c r="BR310" s="10"/>
      <c r="BS310" s="16"/>
      <c r="BT310" s="16"/>
      <c r="BU310" s="16"/>
      <c r="BV310" s="16"/>
      <c r="BW310" s="11"/>
      <c r="BX310" s="16"/>
      <c r="BY310" s="16"/>
      <c r="BZ310" s="17"/>
      <c r="CA310" s="18"/>
      <c r="CB310" s="18"/>
      <c r="CC310" s="18"/>
      <c r="CD310" s="18"/>
      <c r="CE310" s="18"/>
      <c r="CF310" s="18"/>
      <c r="CG310" s="19"/>
      <c r="CH310" s="15"/>
      <c r="CI310" s="17"/>
      <c r="CJ310" s="10"/>
      <c r="CK310" s="10"/>
      <c r="CL310" s="10"/>
      <c r="CM310" s="17"/>
      <c r="CN310" s="17"/>
      <c r="CO310" s="10"/>
      <c r="CP310" s="10"/>
      <c r="CQ310" s="10"/>
      <c r="CR310" s="10"/>
      <c r="CS310" s="10"/>
      <c r="CT310" s="10"/>
      <c r="CU310" s="10"/>
      <c r="CV310" s="10"/>
      <c r="CW310" s="10"/>
      <c r="CX310" s="10"/>
      <c r="CY310" s="10"/>
      <c r="CZ310" s="10"/>
      <c r="DA310" s="34"/>
      <c r="DB310" s="34"/>
      <c r="DC310" s="34"/>
      <c r="DD310" s="34"/>
      <c r="DE310" s="34"/>
      <c r="DF310" s="34"/>
      <c r="DG310" s="34"/>
      <c r="DH310" s="34"/>
      <c r="DI310" s="34"/>
      <c r="DJ310" s="34"/>
      <c r="DK310" s="34"/>
      <c r="DL310" s="34"/>
      <c r="DM310" s="34"/>
      <c r="DN310" s="34"/>
      <c r="DO310" s="34"/>
      <c r="DP310" s="34"/>
      <c r="DQ310" s="34"/>
      <c r="DR310" s="34"/>
      <c r="DS310" s="34"/>
      <c r="DT310" s="34"/>
      <c r="DU310" s="34"/>
      <c r="DV310" s="34"/>
      <c r="DW310" s="34"/>
      <c r="DX310" s="34"/>
      <c r="DY310" s="34"/>
      <c r="DZ310" s="34"/>
      <c r="EA310" s="34"/>
      <c r="EB310" s="34"/>
      <c r="EC310" s="34"/>
      <c r="ED310" s="34"/>
      <c r="EE310" s="34"/>
    </row>
    <row r="311" spans="1:135" customFormat="1">
      <c r="A311" s="71">
        <f>'Old Data'!$I307-'Old Data'!$S307</f>
        <v>30</v>
      </c>
      <c r="B311" s="72">
        <f>VLOOKUP('Old Data'!$F307,$R$6:$T$135,2,FALSE)+VLOOKUP('Old Data'!$P307,$R$6:$T$135,3,FALSE)+$B$2</f>
        <v>133.14781978219057</v>
      </c>
      <c r="C311" s="72">
        <f>VLOOKUP('Old Data'!$P307,$R$6:$T$135,2,FALSE)+VLOOKUP('Old Data'!$F307,$R$6:$T$135,3,FALSE)+$B$2</f>
        <v>226.91852458157729</v>
      </c>
      <c r="D311" s="74">
        <f>('Old Data'!$I307-$B311)^2+('Old Data'!$S307-$C311)^2</f>
        <v>10696.421023681874</v>
      </c>
      <c r="E311" s="75">
        <f>'Old Data'!$K307-'Old Data'!$U307</f>
        <v>93</v>
      </c>
      <c r="F311" s="72">
        <f>VLOOKUP('Old Data'!$F307,$V$6:$X$135,2,FALSE)+VLOOKUP('Old Data'!$P307,$V$6:$X$135,3,FALSE)+$C$2</f>
        <v>261.07625659747686</v>
      </c>
      <c r="G311" s="72">
        <f>VLOOKUP('Old Data'!$P307,$V$6:$X$135,2,FALSE)+VLOOKUP('Old Data'!$F307,$V$6:$X$135,3,FALSE)+$C$2</f>
        <v>178.82404177536569</v>
      </c>
      <c r="H311" s="74">
        <f>('Old Data'!$K307-$F311)^2+('Old Data'!$U307-$G311)^2</f>
        <v>7882.7251167169343</v>
      </c>
      <c r="I311" s="75">
        <f>('Old Data'!$L307+'Old Data'!$M307)-('Old Data'!$V307+'Old Data'!$W307)</f>
        <v>31</v>
      </c>
      <c r="J311" s="72">
        <f>VLOOKUP('Old Data'!$F307,$Z$6:$AB$135,2,FALSE)+VLOOKUP('Old Data'!$P307,$Z$6:$AB$135,3,FALSE)+$D$2</f>
        <v>38.539846083815604</v>
      </c>
      <c r="K311" s="72">
        <f>VLOOKUP('Old Data'!$P307,$Z$6:$AB$135,2,FALSE)+VLOOKUP('Old Data'!$F307,$Z$6:$AB$135,3,FALSE)+$D$2</f>
        <v>11.1816067828454</v>
      </c>
      <c r="L311" s="74">
        <f>('Old Data'!$L307+'Old Data'!$M307-$J311)^2+('Old Data'!$V307+'Old Data'!$W307-$K311)^2</f>
        <v>181.87760921380374</v>
      </c>
      <c r="M311" s="75">
        <f>'Old Data'!$N307-'Old Data'!$X307</f>
        <v>-1</v>
      </c>
      <c r="N311" s="72">
        <f>VLOOKUP('Old Data'!$F307,$AD$6:$AF$135,2,FALSE)+VLOOKUP('Old Data'!$P307,$AD$6:$AF$135,3,FALSE)+$E$2</f>
        <v>1.2210673119840589</v>
      </c>
      <c r="O311" s="72">
        <f>VLOOKUP('Old Data'!$P307,$AD$6:$AF$135,2,FALSE)+VLOOKUP('Old Data'!$F307,$AD$6:$AF$135,3,FALSE)+$E$2</f>
        <v>0.93887909171129313</v>
      </c>
      <c r="P311" s="73">
        <f>('Old Data'!$N307-$N311)^2+('Old Data'!$X307-$O311)^2</f>
        <v>1.1748483384353072</v>
      </c>
      <c r="Q311" s="62"/>
      <c r="R311" s="3"/>
      <c r="S311" s="3"/>
      <c r="T311" s="3"/>
      <c r="V311" s="3"/>
      <c r="W311" s="3"/>
      <c r="X311" s="3"/>
      <c r="Z311" s="3"/>
      <c r="AA311" s="3"/>
      <c r="AB311" s="3"/>
      <c r="AC311" s="3"/>
      <c r="AD311" s="3"/>
      <c r="AE311" s="3"/>
      <c r="AF311" s="3"/>
      <c r="AG311" s="3"/>
      <c r="AH311" s="37"/>
      <c r="AI311" s="1"/>
      <c r="AK311" s="10"/>
      <c r="AL311" s="10"/>
      <c r="AM311" s="10"/>
      <c r="AN311" s="11"/>
      <c r="AO311" s="11"/>
      <c r="AP311" s="11"/>
      <c r="AQ311" s="36"/>
      <c r="AR311" s="11"/>
      <c r="AS311" s="11"/>
      <c r="AT311" s="11"/>
      <c r="AU311" s="12"/>
      <c r="AV311" s="11"/>
      <c r="AW311" s="11"/>
      <c r="AX311" s="15"/>
      <c r="AY311" s="15"/>
      <c r="AZ311" s="15"/>
      <c r="BA311" s="15"/>
      <c r="BB311" s="15"/>
      <c r="BC311" s="15"/>
      <c r="BD311" s="15"/>
      <c r="BE311" s="12"/>
      <c r="BF311" s="11"/>
      <c r="BG311" s="11"/>
      <c r="BH311" s="10"/>
      <c r="BI311" s="10"/>
      <c r="BJ311" s="10"/>
      <c r="BK311" s="23"/>
      <c r="BL311" s="23"/>
      <c r="BM311" s="23"/>
      <c r="BN311" s="23"/>
      <c r="BO311" s="23"/>
      <c r="BP311" s="23"/>
      <c r="BQ311" s="23"/>
      <c r="BR311" s="10"/>
      <c r="BS311" s="16"/>
      <c r="BT311" s="16"/>
      <c r="BU311" s="16"/>
      <c r="BV311" s="16"/>
      <c r="BW311" s="11"/>
      <c r="BX311" s="16"/>
      <c r="BY311" s="16"/>
      <c r="BZ311" s="17"/>
      <c r="CA311" s="18"/>
      <c r="CB311" s="18"/>
      <c r="CC311" s="18"/>
      <c r="CD311" s="18"/>
      <c r="CE311" s="18"/>
      <c r="CF311" s="18"/>
      <c r="CG311" s="19"/>
      <c r="CH311" s="15"/>
      <c r="CI311" s="17"/>
      <c r="CJ311" s="10"/>
      <c r="CK311" s="10"/>
      <c r="CL311" s="10"/>
      <c r="CM311" s="17"/>
      <c r="CN311" s="17"/>
      <c r="CO311" s="10"/>
      <c r="CP311" s="10"/>
      <c r="CQ311" s="10"/>
      <c r="CR311" s="10"/>
      <c r="CS311" s="10"/>
      <c r="CT311" s="10"/>
      <c r="CU311" s="10"/>
      <c r="CV311" s="10"/>
      <c r="CW311" s="10"/>
      <c r="CX311" s="10"/>
      <c r="CY311" s="10"/>
      <c r="CZ311" s="10"/>
      <c r="DA311" s="34"/>
      <c r="DB311" s="34"/>
      <c r="DC311" s="34"/>
      <c r="DD311" s="34"/>
      <c r="DE311" s="34"/>
      <c r="DF311" s="34"/>
      <c r="DG311" s="34"/>
      <c r="DH311" s="34"/>
      <c r="DI311" s="34"/>
      <c r="DJ311" s="34"/>
      <c r="DK311" s="34"/>
      <c r="DL311" s="34"/>
      <c r="DM311" s="34"/>
      <c r="DN311" s="34"/>
      <c r="DO311" s="34"/>
      <c r="DP311" s="34"/>
      <c r="DQ311" s="34"/>
      <c r="DR311" s="34"/>
      <c r="DS311" s="34"/>
      <c r="DT311" s="34"/>
      <c r="DU311" s="34"/>
      <c r="DV311" s="34"/>
      <c r="DW311" s="34"/>
      <c r="DX311" s="34"/>
      <c r="DY311" s="34"/>
      <c r="DZ311" s="34"/>
      <c r="EA311" s="34"/>
      <c r="EB311" s="34"/>
      <c r="EC311" s="34"/>
      <c r="ED311" s="34"/>
      <c r="EE311" s="34"/>
    </row>
    <row r="312" spans="1:135" customFormat="1">
      <c r="A312" s="71">
        <f>'Old Data'!$I308-'Old Data'!$S308</f>
        <v>153</v>
      </c>
      <c r="B312" s="72">
        <f>VLOOKUP('Old Data'!$F308,$R$6:$T$135,2,FALSE)+VLOOKUP('Old Data'!$P308,$R$6:$T$135,3,FALSE)+$B$2</f>
        <v>198.89577657701156</v>
      </c>
      <c r="C312" s="72">
        <f>VLOOKUP('Old Data'!$P308,$R$6:$T$135,2,FALSE)+VLOOKUP('Old Data'!$F308,$R$6:$T$135,3,FALSE)+$B$2</f>
        <v>73.413771842698779</v>
      </c>
      <c r="D312" s="74">
        <f>('Old Data'!$I308-$B312)^2+('Old Data'!$S308-$C312)^2</f>
        <v>1468.6191661068788</v>
      </c>
      <c r="E312" s="75">
        <f>'Old Data'!$K308-'Old Data'!$U308</f>
        <v>85</v>
      </c>
      <c r="F312" s="72">
        <f>VLOOKUP('Old Data'!$F308,$V$6:$X$135,2,FALSE)+VLOOKUP('Old Data'!$P308,$V$6:$X$135,3,FALSE)+$C$2</f>
        <v>188.217109819234</v>
      </c>
      <c r="G312" s="72">
        <f>VLOOKUP('Old Data'!$P308,$V$6:$X$135,2,FALSE)+VLOOKUP('Old Data'!$F308,$V$6:$X$135,3,FALSE)+$C$2</f>
        <v>175.44566972553574</v>
      </c>
      <c r="H312" s="74">
        <f>('Old Data'!$K308-$F312)^2+('Old Data'!$U308-$G312)^2</f>
        <v>3141.9110168642237</v>
      </c>
      <c r="I312" s="75">
        <f>('Old Data'!$L308+'Old Data'!$M308)-('Old Data'!$V308+'Old Data'!$W308)</f>
        <v>-143</v>
      </c>
      <c r="J312" s="72">
        <f>VLOOKUP('Old Data'!$F308,$Z$6:$AB$135,2,FALSE)+VLOOKUP('Old Data'!$P308,$Z$6:$AB$135,3,FALSE)+$D$2</f>
        <v>54.223971529185548</v>
      </c>
      <c r="K312" s="72">
        <f>VLOOKUP('Old Data'!$P308,$Z$6:$AB$135,2,FALSE)+VLOOKUP('Old Data'!$F308,$Z$6:$AB$135,3,FALSE)+$D$2</f>
        <v>92.18154940642529</v>
      </c>
      <c r="L312" s="74">
        <f>('Old Data'!$L308+'Old Data'!$M308-$J312)^2+('Old Data'!$V308+'Old Data'!$W308-$K312)^2</f>
        <v>9095.0681667957651</v>
      </c>
      <c r="M312" s="75">
        <f>'Old Data'!$N308-'Old Data'!$X308</f>
        <v>0</v>
      </c>
      <c r="N312" s="72">
        <f>VLOOKUP('Old Data'!$F308,$AD$6:$AF$135,2,FALSE)+VLOOKUP('Old Data'!$P308,$AD$6:$AF$135,3,FALSE)+$E$2</f>
        <v>1.6986353574704218</v>
      </c>
      <c r="O312" s="72">
        <f>VLOOKUP('Old Data'!$P308,$AD$6:$AF$135,2,FALSE)+VLOOKUP('Old Data'!$F308,$AD$6:$AF$135,3,FALSE)+$E$2</f>
        <v>0.99460465015823429</v>
      </c>
      <c r="P312" s="73">
        <f>('Old Data'!$N308-$N312)^2+('Old Data'!$X308-$O312)^2</f>
        <v>3.8746004877650515</v>
      </c>
      <c r="Q312" s="62"/>
      <c r="R312" s="3"/>
      <c r="S312" s="3"/>
      <c r="T312" s="3"/>
      <c r="V312" s="3"/>
      <c r="W312" s="3"/>
      <c r="X312" s="3"/>
      <c r="Z312" s="3"/>
      <c r="AA312" s="3"/>
      <c r="AB312" s="3"/>
      <c r="AC312" s="3"/>
      <c r="AD312" s="3"/>
      <c r="AE312" s="3"/>
      <c r="AF312" s="3"/>
      <c r="AG312" s="3"/>
      <c r="AH312" s="37"/>
      <c r="AI312" s="1"/>
      <c r="AK312" s="10"/>
      <c r="AL312" s="10"/>
      <c r="AM312" s="10"/>
      <c r="AN312" s="11"/>
      <c r="AO312" s="11"/>
      <c r="AP312" s="11"/>
      <c r="AQ312" s="36"/>
      <c r="AR312" s="11"/>
      <c r="AS312" s="11"/>
      <c r="AT312" s="11"/>
      <c r="AU312" s="12"/>
      <c r="AV312" s="11"/>
      <c r="AW312" s="11"/>
      <c r="AX312" s="15"/>
      <c r="AY312" s="15"/>
      <c r="AZ312" s="15"/>
      <c r="BA312" s="15"/>
      <c r="BB312" s="15"/>
      <c r="BC312" s="15"/>
      <c r="BD312" s="15"/>
      <c r="BE312" s="12"/>
      <c r="BF312" s="11"/>
      <c r="BG312" s="11"/>
      <c r="BH312" s="10"/>
      <c r="BI312" s="10"/>
      <c r="BJ312" s="10"/>
      <c r="BK312" s="23"/>
      <c r="BL312" s="23"/>
      <c r="BM312" s="23"/>
      <c r="BN312" s="23"/>
      <c r="BO312" s="23"/>
      <c r="BP312" s="23"/>
      <c r="BQ312" s="23"/>
      <c r="BR312" s="10"/>
      <c r="BS312" s="16"/>
      <c r="BT312" s="16"/>
      <c r="BU312" s="16"/>
      <c r="BV312" s="16"/>
      <c r="BW312" s="11"/>
      <c r="BX312" s="16"/>
      <c r="BY312" s="16"/>
      <c r="BZ312" s="17"/>
      <c r="CA312" s="18"/>
      <c r="CB312" s="18"/>
      <c r="CC312" s="18"/>
      <c r="CD312" s="18"/>
      <c r="CE312" s="18"/>
      <c r="CF312" s="18"/>
      <c r="CG312" s="19"/>
      <c r="CH312" s="15"/>
      <c r="CI312" s="17"/>
      <c r="CJ312" s="10"/>
      <c r="CK312" s="10"/>
      <c r="CL312" s="10"/>
      <c r="CM312" s="17"/>
      <c r="CN312" s="17"/>
      <c r="CO312" s="10"/>
      <c r="CP312" s="10"/>
      <c r="CQ312" s="10"/>
      <c r="CR312" s="10"/>
      <c r="CS312" s="10"/>
      <c r="CT312" s="10"/>
      <c r="CU312" s="10"/>
      <c r="CV312" s="10"/>
      <c r="CW312" s="10"/>
      <c r="CX312" s="10"/>
      <c r="CY312" s="10"/>
      <c r="CZ312" s="10"/>
      <c r="DA312" s="34"/>
      <c r="DB312" s="34"/>
      <c r="DC312" s="34"/>
      <c r="DD312" s="34"/>
      <c r="DE312" s="34"/>
      <c r="DF312" s="34"/>
      <c r="DG312" s="34"/>
      <c r="DH312" s="34"/>
      <c r="DI312" s="34"/>
      <c r="DJ312" s="34"/>
      <c r="DK312" s="34"/>
      <c r="DL312" s="34"/>
      <c r="DM312" s="34"/>
      <c r="DN312" s="34"/>
      <c r="DO312" s="34"/>
      <c r="DP312" s="34"/>
      <c r="DQ312" s="34"/>
      <c r="DR312" s="34"/>
      <c r="DS312" s="34"/>
      <c r="DT312" s="34"/>
      <c r="DU312" s="34"/>
      <c r="DV312" s="34"/>
      <c r="DW312" s="34"/>
      <c r="DX312" s="34"/>
      <c r="DY312" s="34"/>
      <c r="DZ312" s="34"/>
      <c r="EA312" s="34"/>
      <c r="EB312" s="34"/>
      <c r="EC312" s="34"/>
      <c r="ED312" s="34"/>
      <c r="EE312" s="34"/>
    </row>
    <row r="313" spans="1:135" customFormat="1">
      <c r="A313" s="71">
        <f>'Old Data'!$I309-'Old Data'!$S309</f>
        <v>155</v>
      </c>
      <c r="B313" s="72">
        <f>VLOOKUP('Old Data'!$F309,$R$6:$T$135,2,FALSE)+VLOOKUP('Old Data'!$P309,$R$6:$T$135,3,FALSE)+$B$2</f>
        <v>173.66993965627199</v>
      </c>
      <c r="C313" s="72">
        <f>VLOOKUP('Old Data'!$P309,$R$6:$T$135,2,FALSE)+VLOOKUP('Old Data'!$F309,$R$6:$T$135,3,FALSE)+$B$2</f>
        <v>84.429353901339809</v>
      </c>
      <c r="D313" s="74">
        <f>('Old Data'!$I309-$B313)^2+('Old Data'!$S309-$C313)^2</f>
        <v>2778.1304850489187</v>
      </c>
      <c r="E313" s="75">
        <f>'Old Data'!$K309-'Old Data'!$U309</f>
        <v>-53</v>
      </c>
      <c r="F313" s="72">
        <f>VLOOKUP('Old Data'!$F309,$V$6:$X$135,2,FALSE)+VLOOKUP('Old Data'!$P309,$V$6:$X$135,3,FALSE)+$C$2</f>
        <v>238.32331755708202</v>
      </c>
      <c r="G313" s="72">
        <f>VLOOKUP('Old Data'!$P309,$V$6:$X$135,2,FALSE)+VLOOKUP('Old Data'!$F309,$V$6:$X$135,3,FALSE)+$C$2</f>
        <v>382.0108164616114</v>
      </c>
      <c r="H313" s="74">
        <f>('Old Data'!$K309-$F313)^2+('Old Data'!$U309-$G313)^2</f>
        <v>13450.890690989734</v>
      </c>
      <c r="I313" s="75">
        <f>('Old Data'!$L309+'Old Data'!$M309)-('Old Data'!$V309+'Old Data'!$W309)</f>
        <v>73</v>
      </c>
      <c r="J313" s="72">
        <f>VLOOKUP('Old Data'!$F309,$Z$6:$AB$135,2,FALSE)+VLOOKUP('Old Data'!$P309,$Z$6:$AB$135,3,FALSE)+$D$2</f>
        <v>83.214122717563015</v>
      </c>
      <c r="K313" s="72">
        <f>VLOOKUP('Old Data'!$P309,$Z$6:$AB$135,2,FALSE)+VLOOKUP('Old Data'!$F309,$Z$6:$AB$135,3,FALSE)+$D$2</f>
        <v>33.203652195795406</v>
      </c>
      <c r="L313" s="74">
        <f>('Old Data'!$L309+'Old Data'!$M309-$J313)^2+('Old Data'!$V309+'Old Data'!$W309-$K313)^2</f>
        <v>617.56657809369653</v>
      </c>
      <c r="M313" s="75">
        <f>'Old Data'!$N309-'Old Data'!$X309</f>
        <v>-1</v>
      </c>
      <c r="N313" s="72">
        <f>VLOOKUP('Old Data'!$F309,$AD$6:$AF$135,2,FALSE)+VLOOKUP('Old Data'!$P309,$AD$6:$AF$135,3,FALSE)+$E$2</f>
        <v>1.1509263586954082</v>
      </c>
      <c r="O313" s="72">
        <f>VLOOKUP('Old Data'!$P309,$AD$6:$AF$135,2,FALSE)+VLOOKUP('Old Data'!$F309,$AD$6:$AF$135,3,FALSE)+$E$2</f>
        <v>2.2277526561657224</v>
      </c>
      <c r="P313" s="73">
        <f>('Old Data'!$N309-$N313)^2+('Old Data'!$X309-$O313)^2</f>
        <v>1.3172920084173358</v>
      </c>
      <c r="Q313" s="62"/>
      <c r="R313" s="3"/>
      <c r="S313" s="3"/>
      <c r="T313" s="3"/>
      <c r="V313" s="3"/>
      <c r="W313" s="3"/>
      <c r="X313" s="3"/>
      <c r="Z313" s="3"/>
      <c r="AA313" s="3"/>
      <c r="AB313" s="3"/>
      <c r="AC313" s="3"/>
      <c r="AD313" s="3"/>
      <c r="AE313" s="3"/>
      <c r="AF313" s="3"/>
      <c r="AG313" s="3"/>
      <c r="AH313" s="37"/>
      <c r="AI313" s="1"/>
      <c r="AK313" s="10"/>
      <c r="AL313" s="10"/>
      <c r="AM313" s="10"/>
      <c r="AN313" s="11"/>
      <c r="AO313" s="11"/>
      <c r="AP313" s="11"/>
      <c r="AQ313" s="36"/>
      <c r="AR313" s="11"/>
      <c r="AS313" s="11"/>
      <c r="AT313" s="11"/>
      <c r="AU313" s="12"/>
      <c r="AV313" s="11"/>
      <c r="AW313" s="11"/>
      <c r="AX313" s="15"/>
      <c r="AY313" s="15"/>
      <c r="AZ313" s="15"/>
      <c r="BA313" s="15"/>
      <c r="BB313" s="15"/>
      <c r="BC313" s="15"/>
      <c r="BD313" s="15"/>
      <c r="BE313" s="12"/>
      <c r="BF313" s="11"/>
      <c r="BG313" s="11"/>
      <c r="BH313" s="10"/>
      <c r="BI313" s="10"/>
      <c r="BJ313" s="10"/>
      <c r="BK313" s="23"/>
      <c r="BL313" s="23"/>
      <c r="BM313" s="23"/>
      <c r="BN313" s="23"/>
      <c r="BO313" s="23"/>
      <c r="BP313" s="23"/>
      <c r="BQ313" s="23"/>
      <c r="BR313" s="10"/>
      <c r="BS313" s="16"/>
      <c r="BT313" s="16"/>
      <c r="BU313" s="16"/>
      <c r="BV313" s="16"/>
      <c r="BW313" s="11"/>
      <c r="BX313" s="16"/>
      <c r="BY313" s="16"/>
      <c r="BZ313" s="17"/>
      <c r="CA313" s="18"/>
      <c r="CB313" s="18"/>
      <c r="CC313" s="18"/>
      <c r="CD313" s="18"/>
      <c r="CE313" s="18"/>
      <c r="CF313" s="18"/>
      <c r="CG313" s="19"/>
      <c r="CH313" s="15"/>
      <c r="CI313" s="17"/>
      <c r="CJ313" s="10"/>
      <c r="CK313" s="10"/>
      <c r="CL313" s="10"/>
      <c r="CM313" s="17"/>
      <c r="CN313" s="17"/>
      <c r="CO313" s="10"/>
      <c r="CP313" s="10"/>
      <c r="CQ313" s="10"/>
      <c r="CR313" s="10"/>
      <c r="CS313" s="10"/>
      <c r="CT313" s="10"/>
      <c r="CU313" s="10"/>
      <c r="CV313" s="10"/>
      <c r="CW313" s="10"/>
      <c r="CX313" s="10"/>
      <c r="CY313" s="10"/>
      <c r="CZ313" s="10"/>
      <c r="DA313" s="34"/>
      <c r="DB313" s="34"/>
      <c r="DC313" s="34"/>
      <c r="DD313" s="34"/>
      <c r="DE313" s="34"/>
      <c r="DF313" s="34"/>
      <c r="DG313" s="34"/>
      <c r="DH313" s="34"/>
      <c r="DI313" s="34"/>
      <c r="DJ313" s="34"/>
      <c r="DK313" s="34"/>
      <c r="DL313" s="34"/>
      <c r="DM313" s="34"/>
      <c r="DN313" s="34"/>
      <c r="DO313" s="34"/>
      <c r="DP313" s="34"/>
      <c r="DQ313" s="34"/>
      <c r="DR313" s="34"/>
      <c r="DS313" s="34"/>
      <c r="DT313" s="34"/>
      <c r="DU313" s="34"/>
      <c r="DV313" s="34"/>
      <c r="DW313" s="34"/>
      <c r="DX313" s="34"/>
      <c r="DY313" s="34"/>
      <c r="DZ313" s="34"/>
      <c r="EA313" s="34"/>
      <c r="EB313" s="34"/>
      <c r="EC313" s="34"/>
      <c r="ED313" s="34"/>
      <c r="EE313" s="34"/>
    </row>
    <row r="314" spans="1:135" customFormat="1">
      <c r="A314" s="71">
        <f>'Old Data'!$I310-'Old Data'!$S310</f>
        <v>137</v>
      </c>
      <c r="B314" s="72">
        <f>VLOOKUP('Old Data'!$F310,$R$6:$T$135,2,FALSE)+VLOOKUP('Old Data'!$P310,$R$6:$T$135,3,FALSE)+$B$2</f>
        <v>178.90213293975938</v>
      </c>
      <c r="C314" s="72">
        <f>VLOOKUP('Old Data'!$P310,$R$6:$T$135,2,FALSE)+VLOOKUP('Old Data'!$F310,$R$6:$T$135,3,FALSE)+$B$2</f>
        <v>115.1307333629853</v>
      </c>
      <c r="D314" s="74">
        <f>('Old Data'!$I310-$B314)^2+('Old Data'!$S310-$C314)^2</f>
        <v>19787.634234061403</v>
      </c>
      <c r="E314" s="75">
        <f>'Old Data'!$K310-'Old Data'!$U310</f>
        <v>-90</v>
      </c>
      <c r="F314" s="72">
        <f>VLOOKUP('Old Data'!$F310,$V$6:$X$135,2,FALSE)+VLOOKUP('Old Data'!$P310,$V$6:$X$135,3,FALSE)+$C$2</f>
        <v>260.99963219581997</v>
      </c>
      <c r="G314" s="72">
        <f>VLOOKUP('Old Data'!$P310,$V$6:$X$135,2,FALSE)+VLOOKUP('Old Data'!$F310,$V$6:$X$135,3,FALSE)+$C$2</f>
        <v>290.24811229514177</v>
      </c>
      <c r="H314" s="74">
        <f>('Old Data'!$K310-$F314)^2+('Old Data'!$U310-$G314)^2</f>
        <v>10458.358802103638</v>
      </c>
      <c r="I314" s="75">
        <f>('Old Data'!$L310+'Old Data'!$M310)-('Old Data'!$V310+'Old Data'!$W310)</f>
        <v>-36</v>
      </c>
      <c r="J314" s="72">
        <f>VLOOKUP('Old Data'!$F310,$Z$6:$AB$135,2,FALSE)+VLOOKUP('Old Data'!$P310,$Z$6:$AB$135,3,FALSE)+$D$2</f>
        <v>89.546118144664462</v>
      </c>
      <c r="K314" s="72">
        <f>VLOOKUP('Old Data'!$P310,$Z$6:$AB$135,2,FALSE)+VLOOKUP('Old Data'!$F310,$Z$6:$AB$135,3,FALSE)+$D$2</f>
        <v>59.683054350198695</v>
      </c>
      <c r="L314" s="74">
        <f>('Old Data'!$L310+'Old Data'!$M310-$J314)^2+('Old Data'!$V310+'Old Data'!$W310-$K314)^2</f>
        <v>2317.3937786258084</v>
      </c>
      <c r="M314" s="75">
        <f>'Old Data'!$N310-'Old Data'!$X310</f>
        <v>0</v>
      </c>
      <c r="N314" s="72">
        <f>VLOOKUP('Old Data'!$F310,$AD$6:$AF$135,2,FALSE)+VLOOKUP('Old Data'!$P310,$AD$6:$AF$135,3,FALSE)+$E$2</f>
        <v>2.1471140917757512</v>
      </c>
      <c r="O314" s="72">
        <f>VLOOKUP('Old Data'!$P310,$AD$6:$AF$135,2,FALSE)+VLOOKUP('Old Data'!$F310,$AD$6:$AF$135,3,FALSE)+$E$2</f>
        <v>1.0298261084516385</v>
      </c>
      <c r="P314" s="73">
        <f>('Old Data'!$N310-$N314)^2+('Old Data'!$X310-$O314)^2</f>
        <v>5.6706407367506548</v>
      </c>
      <c r="Q314" s="62"/>
      <c r="R314" s="3"/>
      <c r="S314" s="3"/>
      <c r="T314" s="3"/>
      <c r="V314" s="3"/>
      <c r="W314" s="3"/>
      <c r="X314" s="3"/>
      <c r="Z314" s="3"/>
      <c r="AA314" s="3"/>
      <c r="AB314" s="3"/>
      <c r="AC314" s="3"/>
      <c r="AD314" s="3"/>
      <c r="AE314" s="3"/>
      <c r="AF314" s="3"/>
      <c r="AG314" s="3"/>
      <c r="AH314" s="37"/>
      <c r="AI314" s="1"/>
      <c r="AK314" s="10"/>
      <c r="AL314" s="10"/>
      <c r="AM314" s="10"/>
      <c r="AN314" s="11"/>
      <c r="AO314" s="11"/>
      <c r="AP314" s="11"/>
      <c r="AQ314" s="36"/>
      <c r="AR314" s="11"/>
      <c r="AS314" s="11"/>
      <c r="AT314" s="11"/>
      <c r="AU314" s="12"/>
      <c r="AV314" s="11"/>
      <c r="AW314" s="11"/>
      <c r="AX314" s="15"/>
      <c r="AY314" s="15"/>
      <c r="AZ314" s="15"/>
      <c r="BA314" s="15"/>
      <c r="BB314" s="15"/>
      <c r="BC314" s="15"/>
      <c r="BD314" s="15"/>
      <c r="BE314" s="12"/>
      <c r="BF314" s="11"/>
      <c r="BG314" s="11"/>
      <c r="BH314" s="10"/>
      <c r="BI314" s="10"/>
      <c r="BJ314" s="10"/>
      <c r="BK314" s="23"/>
      <c r="BL314" s="23"/>
      <c r="BM314" s="23"/>
      <c r="BN314" s="23"/>
      <c r="BO314" s="23"/>
      <c r="BP314" s="23"/>
      <c r="BQ314" s="23"/>
      <c r="BR314" s="10"/>
      <c r="BS314" s="16"/>
      <c r="BT314" s="16"/>
      <c r="BU314" s="16"/>
      <c r="BV314" s="16"/>
      <c r="BW314" s="11"/>
      <c r="BX314" s="16"/>
      <c r="BY314" s="16"/>
      <c r="BZ314" s="17"/>
      <c r="CA314" s="18"/>
      <c r="CB314" s="18"/>
      <c r="CC314" s="18"/>
      <c r="CD314" s="18"/>
      <c r="CE314" s="18"/>
      <c r="CF314" s="18"/>
      <c r="CG314" s="19"/>
      <c r="CH314" s="15"/>
      <c r="CI314" s="17"/>
      <c r="CJ314" s="10"/>
      <c r="CK314" s="10"/>
      <c r="CL314" s="10"/>
      <c r="CM314" s="17"/>
      <c r="CN314" s="17"/>
      <c r="CO314" s="10"/>
      <c r="CP314" s="10"/>
      <c r="CQ314" s="10"/>
      <c r="CR314" s="10"/>
      <c r="CS314" s="10"/>
      <c r="CT314" s="10"/>
      <c r="CU314" s="10"/>
      <c r="CV314" s="10"/>
      <c r="CW314" s="10"/>
      <c r="CX314" s="10"/>
      <c r="CY314" s="10"/>
      <c r="CZ314" s="10"/>
      <c r="DA314" s="34"/>
      <c r="DB314" s="34"/>
      <c r="DC314" s="34"/>
      <c r="DD314" s="34"/>
      <c r="DE314" s="34"/>
      <c r="DF314" s="34"/>
      <c r="DG314" s="34"/>
      <c r="DH314" s="34"/>
      <c r="DI314" s="34"/>
      <c r="DJ314" s="34"/>
      <c r="DK314" s="34"/>
      <c r="DL314" s="34"/>
      <c r="DM314" s="34"/>
      <c r="DN314" s="34"/>
      <c r="DO314" s="34"/>
      <c r="DP314" s="34"/>
      <c r="DQ314" s="34"/>
      <c r="DR314" s="34"/>
      <c r="DS314" s="34"/>
      <c r="DT314" s="34"/>
      <c r="DU314" s="34"/>
      <c r="DV314" s="34"/>
      <c r="DW314" s="34"/>
      <c r="DX314" s="34"/>
      <c r="DY314" s="34"/>
      <c r="DZ314" s="34"/>
      <c r="EA314" s="34"/>
      <c r="EB314" s="34"/>
      <c r="EC314" s="34"/>
      <c r="ED314" s="34"/>
      <c r="EE314" s="34"/>
    </row>
    <row r="315" spans="1:135" customFormat="1">
      <c r="A315" s="71">
        <f>'Old Data'!$I311-'Old Data'!$S311</f>
        <v>9</v>
      </c>
      <c r="B315" s="72">
        <f>VLOOKUP('Old Data'!$F311,$R$6:$T$135,2,FALSE)+VLOOKUP('Old Data'!$P311,$R$6:$T$135,3,FALSE)+$B$2</f>
        <v>228.50478336472719</v>
      </c>
      <c r="C315" s="72">
        <f>VLOOKUP('Old Data'!$P311,$R$6:$T$135,2,FALSE)+VLOOKUP('Old Data'!$F311,$R$6:$T$135,3,FALSE)+$B$2</f>
        <v>150.85885641725511</v>
      </c>
      <c r="D315" s="74">
        <f>('Old Data'!$I311-$B315)^2+('Old Data'!$S311-$C315)^2</f>
        <v>2879.8342332077905</v>
      </c>
      <c r="E315" s="75">
        <f>'Old Data'!$K311-'Old Data'!$U311</f>
        <v>-81</v>
      </c>
      <c r="F315" s="72">
        <f>VLOOKUP('Old Data'!$F311,$V$6:$X$135,2,FALSE)+VLOOKUP('Old Data'!$P311,$V$6:$X$135,3,FALSE)+$C$2</f>
        <v>212.53099952817831</v>
      </c>
      <c r="G315" s="72">
        <f>VLOOKUP('Old Data'!$P311,$V$6:$X$135,2,FALSE)+VLOOKUP('Old Data'!$F311,$V$6:$X$135,3,FALSE)+$C$2</f>
        <v>237.82861670935139</v>
      </c>
      <c r="H315" s="74">
        <f>('Old Data'!$K311-$F315)^2+('Old Data'!$U311-$G315)^2</f>
        <v>12897.640335899734</v>
      </c>
      <c r="I315" s="75">
        <f>('Old Data'!$L311+'Old Data'!$M311)-('Old Data'!$V311+'Old Data'!$W311)</f>
        <v>151</v>
      </c>
      <c r="J315" s="72">
        <f>VLOOKUP('Old Data'!$F311,$Z$6:$AB$135,2,FALSE)+VLOOKUP('Old Data'!$P311,$Z$6:$AB$135,3,FALSE)+$D$2</f>
        <v>78.059515338389815</v>
      </c>
      <c r="K315" s="72">
        <f>VLOOKUP('Old Data'!$P311,$Z$6:$AB$135,2,FALSE)+VLOOKUP('Old Data'!$F311,$Z$6:$AB$135,3,FALSE)+$D$2</f>
        <v>-0.61374760372480353</v>
      </c>
      <c r="L315" s="74">
        <f>('Old Data'!$L311+'Old Data'!$M311-$J315)^2+('Old Data'!$V311+'Old Data'!$W311-$K315)^2</f>
        <v>9762.1856729970768</v>
      </c>
      <c r="M315" s="75">
        <f>'Old Data'!$N311-'Old Data'!$X311</f>
        <v>1</v>
      </c>
      <c r="N315" s="72">
        <f>VLOOKUP('Old Data'!$F311,$AD$6:$AF$135,2,FALSE)+VLOOKUP('Old Data'!$P311,$AD$6:$AF$135,3,FALSE)+$E$2</f>
        <v>1.3294730649797042</v>
      </c>
      <c r="O315" s="72">
        <f>VLOOKUP('Old Data'!$P311,$AD$6:$AF$135,2,FALSE)+VLOOKUP('Old Data'!$F311,$AD$6:$AF$135,3,FALSE)+$E$2</f>
        <v>0.95346882417679168</v>
      </c>
      <c r="P315" s="73">
        <f>('Old Data'!$N311-$N315)^2+('Old Data'!$X311-$O315)^2</f>
        <v>1.0176552992241941</v>
      </c>
      <c r="Q315" s="62"/>
      <c r="R315" s="3"/>
      <c r="S315" s="3"/>
      <c r="T315" s="3"/>
      <c r="V315" s="3"/>
      <c r="W315" s="3"/>
      <c r="X315" s="3"/>
      <c r="Z315" s="3"/>
      <c r="AA315" s="3"/>
      <c r="AB315" s="3"/>
      <c r="AC315" s="3"/>
      <c r="AD315" s="3"/>
      <c r="AE315" s="3"/>
      <c r="AF315" s="3"/>
      <c r="AG315" s="3"/>
      <c r="AH315" s="37"/>
      <c r="AI315" s="1"/>
      <c r="AK315" s="10"/>
      <c r="AL315" s="10"/>
      <c r="AM315" s="10"/>
      <c r="AN315" s="11"/>
      <c r="AO315" s="11"/>
      <c r="AP315" s="11"/>
      <c r="AQ315" s="36"/>
      <c r="AR315" s="11"/>
      <c r="AS315" s="11"/>
      <c r="AT315" s="11"/>
      <c r="AU315" s="12"/>
      <c r="AV315" s="11"/>
      <c r="AW315" s="11"/>
      <c r="AX315" s="15"/>
      <c r="AY315" s="15"/>
      <c r="AZ315" s="15"/>
      <c r="BA315" s="15"/>
      <c r="BB315" s="15"/>
      <c r="BC315" s="15"/>
      <c r="BD315" s="15"/>
      <c r="BE315" s="12"/>
      <c r="BF315" s="11"/>
      <c r="BG315" s="11"/>
      <c r="BH315" s="10"/>
      <c r="BI315" s="10"/>
      <c r="BJ315" s="10"/>
      <c r="BK315" s="23"/>
      <c r="BL315" s="23"/>
      <c r="BM315" s="23"/>
      <c r="BN315" s="23"/>
      <c r="BO315" s="23"/>
      <c r="BP315" s="23"/>
      <c r="BQ315" s="23"/>
      <c r="BR315" s="10"/>
      <c r="BS315" s="16"/>
      <c r="BT315" s="16"/>
      <c r="BU315" s="16"/>
      <c r="BV315" s="16"/>
      <c r="BW315" s="11"/>
      <c r="BX315" s="16"/>
      <c r="BY315" s="16"/>
      <c r="BZ315" s="17"/>
      <c r="CA315" s="18"/>
      <c r="CB315" s="18"/>
      <c r="CC315" s="18"/>
      <c r="CD315" s="18"/>
      <c r="CE315" s="18"/>
      <c r="CF315" s="18"/>
      <c r="CG315" s="19"/>
      <c r="CH315" s="15"/>
      <c r="CI315" s="17"/>
      <c r="CJ315" s="10"/>
      <c r="CK315" s="10"/>
      <c r="CL315" s="10"/>
      <c r="CM315" s="17"/>
      <c r="CN315" s="17"/>
      <c r="CO315" s="10"/>
      <c r="CP315" s="10"/>
      <c r="CQ315" s="10"/>
      <c r="CR315" s="10"/>
      <c r="CS315" s="10"/>
      <c r="CT315" s="10"/>
      <c r="CU315" s="10"/>
      <c r="CV315" s="10"/>
      <c r="CW315" s="10"/>
      <c r="CX315" s="10"/>
      <c r="CY315" s="10"/>
      <c r="CZ315" s="10"/>
      <c r="DA315" s="34"/>
      <c r="DB315" s="34"/>
      <c r="DC315" s="34"/>
      <c r="DD315" s="34"/>
      <c r="DE315" s="34"/>
      <c r="DF315" s="34"/>
      <c r="DG315" s="34"/>
      <c r="DH315" s="34"/>
      <c r="DI315" s="34"/>
      <c r="DJ315" s="34"/>
      <c r="DK315" s="34"/>
      <c r="DL315" s="34"/>
      <c r="DM315" s="34"/>
      <c r="DN315" s="34"/>
      <c r="DO315" s="34"/>
      <c r="DP315" s="34"/>
      <c r="DQ315" s="34"/>
      <c r="DR315" s="34"/>
      <c r="DS315" s="34"/>
      <c r="DT315" s="34"/>
      <c r="DU315" s="34"/>
      <c r="DV315" s="34"/>
      <c r="DW315" s="34"/>
      <c r="DX315" s="34"/>
      <c r="DY315" s="34"/>
      <c r="DZ315" s="34"/>
      <c r="EA315" s="34"/>
      <c r="EB315" s="34"/>
      <c r="EC315" s="34"/>
      <c r="ED315" s="34"/>
      <c r="EE315" s="34"/>
    </row>
    <row r="316" spans="1:135" customFormat="1">
      <c r="A316" s="71">
        <f>'Old Data'!$I312-'Old Data'!$S312</f>
        <v>-208</v>
      </c>
      <c r="B316" s="72">
        <f>VLOOKUP('Old Data'!$F312,$R$6:$T$135,2,FALSE)+VLOOKUP('Old Data'!$P312,$R$6:$T$135,3,FALSE)+$B$2</f>
        <v>81.468094024960166</v>
      </c>
      <c r="C316" s="72">
        <f>VLOOKUP('Old Data'!$P312,$R$6:$T$135,2,FALSE)+VLOOKUP('Old Data'!$F312,$R$6:$T$135,3,FALSE)+$B$2</f>
        <v>224.45483636349013</v>
      </c>
      <c r="D316" s="74">
        <f>('Old Data'!$I312-$B316)^2+('Old Data'!$S312-$C316)^2</f>
        <v>2115.2106665177589</v>
      </c>
      <c r="E316" s="75">
        <f>'Old Data'!$K312-'Old Data'!$U312</f>
        <v>-78</v>
      </c>
      <c r="F316" s="72">
        <f>VLOOKUP('Old Data'!$F312,$V$6:$X$135,2,FALSE)+VLOOKUP('Old Data'!$P312,$V$6:$X$135,3,FALSE)+$C$2</f>
        <v>165.69828951166249</v>
      </c>
      <c r="G316" s="72">
        <f>VLOOKUP('Old Data'!$P312,$V$6:$X$135,2,FALSE)+VLOOKUP('Old Data'!$F312,$V$6:$X$135,3,FALSE)+$C$2</f>
        <v>245.39057707508209</v>
      </c>
      <c r="H316" s="74">
        <f>('Old Data'!$K312-$F316)^2+('Old Data'!$U312-$G316)^2</f>
        <v>13.491534300049203</v>
      </c>
      <c r="I316" s="75">
        <f>('Old Data'!$L312+'Old Data'!$M312)-('Old Data'!$V312+'Old Data'!$W312)</f>
        <v>66</v>
      </c>
      <c r="J316" s="72">
        <f>VLOOKUP('Old Data'!$F312,$Z$6:$AB$135,2,FALSE)+VLOOKUP('Old Data'!$P312,$Z$6:$AB$135,3,FALSE)+$D$2</f>
        <v>66.832804213732331</v>
      </c>
      <c r="K316" s="72">
        <f>VLOOKUP('Old Data'!$P312,$Z$6:$AB$135,2,FALSE)+VLOOKUP('Old Data'!$F312,$Z$6:$AB$135,3,FALSE)+$D$2</f>
        <v>63.272537451761096</v>
      </c>
      <c r="L316" s="74">
        <f>('Old Data'!$L312+'Old Data'!$M312-$J316)^2+('Old Data'!$V312+'Old Data'!$W312-$K316)^2</f>
        <v>1982.208425175289</v>
      </c>
      <c r="M316" s="75">
        <f>'Old Data'!$N312-'Old Data'!$X312</f>
        <v>0</v>
      </c>
      <c r="N316" s="72">
        <f>VLOOKUP('Old Data'!$F312,$AD$6:$AF$135,2,FALSE)+VLOOKUP('Old Data'!$P312,$AD$6:$AF$135,3,FALSE)+$E$2</f>
        <v>0.6614528806173583</v>
      </c>
      <c r="O316" s="72">
        <f>VLOOKUP('Old Data'!$P312,$AD$6:$AF$135,2,FALSE)+VLOOKUP('Old Data'!$F312,$AD$6:$AF$135,3,FALSE)+$E$2</f>
        <v>0.65883385590539301</v>
      </c>
      <c r="P316" s="73">
        <f>('Old Data'!$N312-$N316)^2+('Old Data'!$X312-$O316)^2</f>
        <v>0.23100848991866679</v>
      </c>
      <c r="Q316" s="62"/>
      <c r="R316" s="3"/>
      <c r="S316" s="3"/>
      <c r="T316" s="3"/>
      <c r="V316" s="3"/>
      <c r="W316" s="3"/>
      <c r="X316" s="3"/>
      <c r="Z316" s="3"/>
      <c r="AA316" s="3"/>
      <c r="AB316" s="3"/>
      <c r="AC316" s="3"/>
      <c r="AD316" s="3"/>
      <c r="AE316" s="3"/>
      <c r="AF316" s="3"/>
      <c r="AG316" s="3"/>
      <c r="AH316" s="37"/>
      <c r="AI316" s="1"/>
      <c r="AK316" s="10"/>
      <c r="AL316" s="10"/>
      <c r="AM316" s="10"/>
      <c r="AN316" s="11"/>
      <c r="AO316" s="11"/>
      <c r="AP316" s="11"/>
      <c r="AQ316" s="36"/>
      <c r="AR316" s="11"/>
      <c r="AS316" s="11"/>
      <c r="AT316" s="11"/>
      <c r="AU316" s="12"/>
      <c r="AV316" s="11"/>
      <c r="AW316" s="11"/>
      <c r="AX316" s="15"/>
      <c r="AY316" s="15"/>
      <c r="AZ316" s="15"/>
      <c r="BA316" s="15"/>
      <c r="BB316" s="15"/>
      <c r="BC316" s="15"/>
      <c r="BD316" s="15"/>
      <c r="BE316" s="12"/>
      <c r="BF316" s="11"/>
      <c r="BG316" s="11"/>
      <c r="BH316" s="10"/>
      <c r="BI316" s="10"/>
      <c r="BJ316" s="10"/>
      <c r="BK316" s="23"/>
      <c r="BL316" s="23"/>
      <c r="BM316" s="23"/>
      <c r="BN316" s="23"/>
      <c r="BO316" s="23"/>
      <c r="BP316" s="23"/>
      <c r="BQ316" s="23"/>
      <c r="BR316" s="10"/>
      <c r="BS316" s="16"/>
      <c r="BT316" s="16"/>
      <c r="BU316" s="16"/>
      <c r="BV316" s="16"/>
      <c r="BW316" s="11"/>
      <c r="BX316" s="16"/>
      <c r="BY316" s="16"/>
      <c r="BZ316" s="17"/>
      <c r="CA316" s="18"/>
      <c r="CB316" s="18"/>
      <c r="CC316" s="18"/>
      <c r="CD316" s="18"/>
      <c r="CE316" s="18"/>
      <c r="CF316" s="18"/>
      <c r="CG316" s="19"/>
      <c r="CH316" s="15"/>
      <c r="CI316" s="17"/>
      <c r="CJ316" s="10"/>
      <c r="CK316" s="10"/>
      <c r="CL316" s="10"/>
      <c r="CM316" s="17"/>
      <c r="CN316" s="17"/>
      <c r="CO316" s="10"/>
      <c r="CP316" s="10"/>
      <c r="CQ316" s="10"/>
      <c r="CR316" s="10"/>
      <c r="CS316" s="10"/>
      <c r="CT316" s="10"/>
      <c r="CU316" s="10"/>
      <c r="CV316" s="10"/>
      <c r="CW316" s="10"/>
      <c r="CX316" s="10"/>
      <c r="CY316" s="10"/>
      <c r="CZ316" s="10"/>
      <c r="DA316" s="34"/>
      <c r="DB316" s="34"/>
      <c r="DC316" s="34"/>
      <c r="DD316" s="34"/>
      <c r="DE316" s="34"/>
      <c r="DF316" s="34"/>
      <c r="DG316" s="34"/>
      <c r="DH316" s="34"/>
      <c r="DI316" s="34"/>
      <c r="DJ316" s="34"/>
      <c r="DK316" s="34"/>
      <c r="DL316" s="34"/>
      <c r="DM316" s="34"/>
      <c r="DN316" s="34"/>
      <c r="DO316" s="34"/>
      <c r="DP316" s="34"/>
      <c r="DQ316" s="34"/>
      <c r="DR316" s="34"/>
      <c r="DS316" s="34"/>
      <c r="DT316" s="34"/>
      <c r="DU316" s="34"/>
      <c r="DV316" s="34"/>
      <c r="DW316" s="34"/>
      <c r="DX316" s="34"/>
      <c r="DY316" s="34"/>
      <c r="DZ316" s="34"/>
      <c r="EA316" s="34"/>
      <c r="EB316" s="34"/>
      <c r="EC316" s="34"/>
      <c r="ED316" s="34"/>
      <c r="EE316" s="34"/>
    </row>
    <row r="317" spans="1:135" customFormat="1">
      <c r="A317" s="71">
        <f>'Old Data'!$I313-'Old Data'!$S313</f>
        <v>-58</v>
      </c>
      <c r="B317" s="72">
        <f>VLOOKUP('Old Data'!$F313,$R$6:$T$135,2,FALSE)+VLOOKUP('Old Data'!$P313,$R$6:$T$135,3,FALSE)+$B$2</f>
        <v>124.38181170872321</v>
      </c>
      <c r="C317" s="72">
        <f>VLOOKUP('Old Data'!$P313,$R$6:$T$135,2,FALSE)+VLOOKUP('Old Data'!$F313,$R$6:$T$135,3,FALSE)+$B$2</f>
        <v>191.6870731258295</v>
      </c>
      <c r="D317" s="74">
        <f>('Old Data'!$I313-$B317)^2+('Old Data'!$S313-$C317)^2</f>
        <v>51.57185691877001</v>
      </c>
      <c r="E317" s="75">
        <f>'Old Data'!$K313-'Old Data'!$U313</f>
        <v>202</v>
      </c>
      <c r="F317" s="72">
        <f>VLOOKUP('Old Data'!$F313,$V$6:$X$135,2,FALSE)+VLOOKUP('Old Data'!$P313,$V$6:$X$135,3,FALSE)+$C$2</f>
        <v>365.10877972612468</v>
      </c>
      <c r="G317" s="72">
        <f>VLOOKUP('Old Data'!$P313,$V$6:$X$135,2,FALSE)+VLOOKUP('Old Data'!$F313,$V$6:$X$135,3,FALSE)+$C$2</f>
        <v>198.09509736890709</v>
      </c>
      <c r="H317" s="74">
        <f>('Old Data'!$K313-$F317)^2+('Old Data'!$U313-$G317)^2</f>
        <v>3409.2512119083904</v>
      </c>
      <c r="I317" s="75">
        <f>('Old Data'!$L313+'Old Data'!$M313)-('Old Data'!$V313+'Old Data'!$W313)</f>
        <v>-68</v>
      </c>
      <c r="J317" s="72">
        <f>VLOOKUP('Old Data'!$F313,$Z$6:$AB$135,2,FALSE)+VLOOKUP('Old Data'!$P313,$Z$6:$AB$135,3,FALSE)+$D$2</f>
        <v>79.904354458031179</v>
      </c>
      <c r="K317" s="72">
        <f>VLOOKUP('Old Data'!$P313,$Z$6:$AB$135,2,FALSE)+VLOOKUP('Old Data'!$F313,$Z$6:$AB$135,3,FALSE)+$D$2</f>
        <v>77.592772221928897</v>
      </c>
      <c r="L317" s="74">
        <f>('Old Data'!$L313+'Old Data'!$M313-$J317)^2+('Old Data'!$V313+'Old Data'!$W313-$K317)^2</f>
        <v>4124.8190864977751</v>
      </c>
      <c r="M317" s="75">
        <f>'Old Data'!$N313-'Old Data'!$X313</f>
        <v>1</v>
      </c>
      <c r="N317" s="72">
        <f>VLOOKUP('Old Data'!$F313,$AD$6:$AF$135,2,FALSE)+VLOOKUP('Old Data'!$P313,$AD$6:$AF$135,3,FALSE)+$E$2</f>
        <v>1.5916027644317501</v>
      </c>
      <c r="O317" s="72">
        <f>VLOOKUP('Old Data'!$P313,$AD$6:$AF$135,2,FALSE)+VLOOKUP('Old Data'!$F313,$AD$6:$AF$135,3,FALSE)+$E$2</f>
        <v>1.6592710604976533</v>
      </c>
      <c r="P317" s="73">
        <f>('Old Data'!$N313-$N317)^2+('Old Data'!$X313-$O317)^2</f>
        <v>0.60142663322948908</v>
      </c>
      <c r="Q317" s="62"/>
      <c r="R317" s="3"/>
      <c r="S317" s="3"/>
      <c r="T317" s="3"/>
      <c r="V317" s="3"/>
      <c r="W317" s="3"/>
      <c r="X317" s="3"/>
      <c r="Z317" s="3"/>
      <c r="AA317" s="3"/>
      <c r="AB317" s="3"/>
      <c r="AC317" s="3"/>
      <c r="AD317" s="3"/>
      <c r="AE317" s="3"/>
      <c r="AF317" s="3"/>
      <c r="AG317" s="3"/>
      <c r="AH317" s="37"/>
      <c r="AI317" s="1"/>
      <c r="AK317" s="10"/>
      <c r="AL317" s="10"/>
      <c r="AM317" s="10"/>
      <c r="AN317" s="11"/>
      <c r="AO317" s="11"/>
      <c r="AP317" s="11"/>
      <c r="AQ317" s="36"/>
      <c r="AR317" s="11"/>
      <c r="AS317" s="11"/>
      <c r="AT317" s="11"/>
      <c r="AU317" s="12"/>
      <c r="AV317" s="11"/>
      <c r="AW317" s="11"/>
      <c r="AX317" s="15"/>
      <c r="AY317" s="15"/>
      <c r="AZ317" s="15"/>
      <c r="BA317" s="15"/>
      <c r="BB317" s="15"/>
      <c r="BC317" s="15"/>
      <c r="BD317" s="15"/>
      <c r="BE317" s="12"/>
      <c r="BF317" s="11"/>
      <c r="BG317" s="11"/>
      <c r="BH317" s="10"/>
      <c r="BI317" s="10"/>
      <c r="BJ317" s="10"/>
      <c r="BK317" s="23"/>
      <c r="BL317" s="23"/>
      <c r="BM317" s="23"/>
      <c r="BN317" s="23"/>
      <c r="BO317" s="23"/>
      <c r="BP317" s="23"/>
      <c r="BQ317" s="23"/>
      <c r="BR317" s="10"/>
      <c r="BS317" s="16"/>
      <c r="BT317" s="16"/>
      <c r="BU317" s="16"/>
      <c r="BV317" s="16"/>
      <c r="BW317" s="11"/>
      <c r="BX317" s="16"/>
      <c r="BY317" s="16"/>
      <c r="BZ317" s="17"/>
      <c r="CA317" s="18"/>
      <c r="CB317" s="18"/>
      <c r="CC317" s="18"/>
      <c r="CD317" s="18"/>
      <c r="CE317" s="18"/>
      <c r="CF317" s="18"/>
      <c r="CG317" s="19"/>
      <c r="CH317" s="15"/>
      <c r="CI317" s="17"/>
      <c r="CJ317" s="10"/>
      <c r="CK317" s="10"/>
      <c r="CL317" s="10"/>
      <c r="CM317" s="17"/>
      <c r="CN317" s="17"/>
      <c r="CO317" s="10"/>
      <c r="CP317" s="10"/>
      <c r="CQ317" s="10"/>
      <c r="CR317" s="10"/>
      <c r="CS317" s="10"/>
      <c r="CT317" s="10"/>
      <c r="CU317" s="10"/>
      <c r="CV317" s="10"/>
      <c r="CW317" s="10"/>
      <c r="CX317" s="10"/>
      <c r="CY317" s="10"/>
      <c r="CZ317" s="10"/>
      <c r="DA317" s="34"/>
      <c r="DB317" s="34"/>
      <c r="DC317" s="34"/>
      <c r="DD317" s="34"/>
      <c r="DE317" s="34"/>
      <c r="DF317" s="34"/>
      <c r="DG317" s="34"/>
      <c r="DH317" s="34"/>
      <c r="DI317" s="34"/>
      <c r="DJ317" s="34"/>
      <c r="DK317" s="34"/>
      <c r="DL317" s="34"/>
      <c r="DM317" s="34"/>
      <c r="DN317" s="34"/>
      <c r="DO317" s="34"/>
      <c r="DP317" s="34"/>
      <c r="DQ317" s="34"/>
      <c r="DR317" s="34"/>
      <c r="DS317" s="34"/>
      <c r="DT317" s="34"/>
      <c r="DU317" s="34"/>
      <c r="DV317" s="34"/>
      <c r="DW317" s="34"/>
      <c r="DX317" s="34"/>
      <c r="DY317" s="34"/>
      <c r="DZ317" s="34"/>
      <c r="EA317" s="34"/>
      <c r="EB317" s="34"/>
      <c r="EC317" s="34"/>
      <c r="ED317" s="34"/>
      <c r="EE317" s="34"/>
    </row>
    <row r="318" spans="1:135" customFormat="1">
      <c r="A318" s="71">
        <f>'Old Data'!$I314-'Old Data'!$S314</f>
        <v>-37</v>
      </c>
      <c r="B318" s="72">
        <f>VLOOKUP('Old Data'!$F314,$R$6:$T$135,2,FALSE)+VLOOKUP('Old Data'!$P314,$R$6:$T$135,3,FALSE)+$B$2</f>
        <v>66.644342268428801</v>
      </c>
      <c r="C318" s="72">
        <f>VLOOKUP('Old Data'!$P314,$R$6:$T$135,2,FALSE)+VLOOKUP('Old Data'!$F314,$R$6:$T$135,3,FALSE)+$B$2</f>
        <v>149.3463977711431</v>
      </c>
      <c r="D318" s="74">
        <f>('Old Data'!$I314-$B318)^2+('Old Data'!$S314-$C318)^2</f>
        <v>2905.4038390461365</v>
      </c>
      <c r="E318" s="75">
        <f>'Old Data'!$K314-'Old Data'!$U314</f>
        <v>100</v>
      </c>
      <c r="F318" s="72">
        <f>VLOOKUP('Old Data'!$F314,$V$6:$X$135,2,FALSE)+VLOOKUP('Old Data'!$P314,$V$6:$X$135,3,FALSE)+$C$2</f>
        <v>242.3119323674689</v>
      </c>
      <c r="G318" s="72">
        <f>VLOOKUP('Old Data'!$P314,$V$6:$X$135,2,FALSE)+VLOOKUP('Old Data'!$F314,$V$6:$X$135,3,FALSE)+$C$2</f>
        <v>101.6675230513718</v>
      </c>
      <c r="H318" s="74">
        <f>('Old Data'!$K314-$F318)^2+('Old Data'!$U314-$G318)^2</f>
        <v>1163.4500562569858</v>
      </c>
      <c r="I318" s="75">
        <f>('Old Data'!$L314+'Old Data'!$M314)-('Old Data'!$V314+'Old Data'!$W314)</f>
        <v>56</v>
      </c>
      <c r="J318" s="72">
        <f>VLOOKUP('Old Data'!$F314,$Z$6:$AB$135,2,FALSE)+VLOOKUP('Old Data'!$P314,$Z$6:$AB$135,3,FALSE)+$D$2</f>
        <v>42.179960537608189</v>
      </c>
      <c r="K318" s="72">
        <f>VLOOKUP('Old Data'!$P314,$Z$6:$AB$135,2,FALSE)+VLOOKUP('Old Data'!$F314,$Z$6:$AB$135,3,FALSE)+$D$2</f>
        <v>18.609457011020496</v>
      </c>
      <c r="L318" s="74">
        <f>('Old Data'!$L314+'Old Data'!$M314-$J318)^2+('Old Data'!$V314+'Old Data'!$W314-$K318)^2</f>
        <v>1837.0979982638805</v>
      </c>
      <c r="M318" s="75">
        <f>'Old Data'!$N314-'Old Data'!$X314</f>
        <v>0</v>
      </c>
      <c r="N318" s="72">
        <f>VLOOKUP('Old Data'!$F314,$AD$6:$AF$135,2,FALSE)+VLOOKUP('Old Data'!$P314,$AD$6:$AF$135,3,FALSE)+$E$2</f>
        <v>1.4750916808430472</v>
      </c>
      <c r="O318" s="72">
        <f>VLOOKUP('Old Data'!$P314,$AD$6:$AF$135,2,FALSE)+VLOOKUP('Old Data'!$F314,$AD$6:$AF$135,3,FALSE)+$E$2</f>
        <v>0.96140943354993713</v>
      </c>
      <c r="P318" s="73">
        <f>('Old Data'!$N314-$N318)^2+('Old Data'!$X314-$O318)^2</f>
        <v>0.22720133702520856</v>
      </c>
      <c r="Q318" s="62"/>
      <c r="R318" s="3"/>
      <c r="S318" s="3"/>
      <c r="T318" s="3"/>
      <c r="V318" s="3"/>
      <c r="W318" s="3"/>
      <c r="X318" s="3"/>
      <c r="Z318" s="3"/>
      <c r="AA318" s="3"/>
      <c r="AB318" s="3"/>
      <c r="AC318" s="3"/>
      <c r="AD318" s="3"/>
      <c r="AE318" s="3"/>
      <c r="AF318" s="3"/>
      <c r="AG318" s="3"/>
      <c r="AH318" s="37"/>
      <c r="AI318" s="1"/>
      <c r="AK318" s="10"/>
      <c r="AL318" s="10"/>
      <c r="AM318" s="10"/>
      <c r="AN318" s="11"/>
      <c r="AO318" s="11"/>
      <c r="AP318" s="11"/>
      <c r="AQ318" s="36"/>
      <c r="AR318" s="11"/>
      <c r="AS318" s="11"/>
      <c r="AT318" s="11"/>
      <c r="AU318" s="12"/>
      <c r="AV318" s="11"/>
      <c r="AW318" s="11"/>
      <c r="AX318" s="15"/>
      <c r="AY318" s="15"/>
      <c r="AZ318" s="15"/>
      <c r="BA318" s="15"/>
      <c r="BB318" s="15"/>
      <c r="BC318" s="15"/>
      <c r="BD318" s="15"/>
      <c r="BE318" s="12"/>
      <c r="BF318" s="11"/>
      <c r="BG318" s="11"/>
      <c r="BH318" s="10"/>
      <c r="BI318" s="10"/>
      <c r="BJ318" s="10"/>
      <c r="BK318" s="23"/>
      <c r="BL318" s="23"/>
      <c r="BM318" s="23"/>
      <c r="BN318" s="23"/>
      <c r="BO318" s="23"/>
      <c r="BP318" s="23"/>
      <c r="BQ318" s="23"/>
      <c r="BR318" s="10"/>
      <c r="BS318" s="16"/>
      <c r="BT318" s="16"/>
      <c r="BU318" s="16"/>
      <c r="BV318" s="16"/>
      <c r="BW318" s="11"/>
      <c r="BX318" s="16"/>
      <c r="BY318" s="16"/>
      <c r="BZ318" s="17"/>
      <c r="CA318" s="18"/>
      <c r="CB318" s="18"/>
      <c r="CC318" s="18"/>
      <c r="CD318" s="18"/>
      <c r="CE318" s="18"/>
      <c r="CF318" s="18"/>
      <c r="CG318" s="19"/>
      <c r="CH318" s="15"/>
      <c r="CI318" s="17"/>
      <c r="CJ318" s="10"/>
      <c r="CK318" s="10"/>
      <c r="CL318" s="10"/>
      <c r="CM318" s="17"/>
      <c r="CN318" s="17"/>
      <c r="CO318" s="10"/>
      <c r="CP318" s="10"/>
      <c r="CQ318" s="10"/>
      <c r="CR318" s="10"/>
      <c r="CS318" s="10"/>
      <c r="CT318" s="10"/>
      <c r="CU318" s="10"/>
      <c r="CV318" s="10"/>
      <c r="CW318" s="10"/>
      <c r="CX318" s="10"/>
      <c r="CY318" s="10"/>
      <c r="CZ318" s="10"/>
      <c r="DA318" s="34"/>
      <c r="DB318" s="34"/>
      <c r="DC318" s="34"/>
      <c r="DD318" s="34"/>
      <c r="DE318" s="34"/>
      <c r="DF318" s="34"/>
      <c r="DG318" s="34"/>
      <c r="DH318" s="34"/>
      <c r="DI318" s="34"/>
      <c r="DJ318" s="34"/>
      <c r="DK318" s="34"/>
      <c r="DL318" s="34"/>
      <c r="DM318" s="34"/>
      <c r="DN318" s="34"/>
      <c r="DO318" s="34"/>
      <c r="DP318" s="34"/>
      <c r="DQ318" s="34"/>
      <c r="DR318" s="34"/>
      <c r="DS318" s="34"/>
      <c r="DT318" s="34"/>
      <c r="DU318" s="34"/>
      <c r="DV318" s="34"/>
      <c r="DW318" s="34"/>
      <c r="DX318" s="34"/>
      <c r="DY318" s="34"/>
      <c r="DZ318" s="34"/>
      <c r="EA318" s="34"/>
      <c r="EB318" s="34"/>
      <c r="EC318" s="34"/>
      <c r="ED318" s="34"/>
      <c r="EE318" s="34"/>
    </row>
    <row r="319" spans="1:135" customFormat="1">
      <c r="A319" s="71">
        <f>'Old Data'!$I315-'Old Data'!$S315</f>
        <v>10</v>
      </c>
      <c r="B319" s="72">
        <f>VLOOKUP('Old Data'!$F315,$R$6:$T$135,2,FALSE)+VLOOKUP('Old Data'!$P315,$R$6:$T$135,3,FALSE)+$B$2</f>
        <v>198.31024594803239</v>
      </c>
      <c r="C319" s="72">
        <f>VLOOKUP('Old Data'!$P315,$R$6:$T$135,2,FALSE)+VLOOKUP('Old Data'!$F315,$R$6:$T$135,3,FALSE)+$B$2</f>
        <v>166.12292986635131</v>
      </c>
      <c r="D319" s="74">
        <f>('Old Data'!$I315-$B319)^2+('Old Data'!$S315-$C319)^2</f>
        <v>6469.7166268863202</v>
      </c>
      <c r="E319" s="75">
        <f>'Old Data'!$K315-'Old Data'!$U315</f>
        <v>-149</v>
      </c>
      <c r="F319" s="72">
        <f>VLOOKUP('Old Data'!$F315,$V$6:$X$135,2,FALSE)+VLOOKUP('Old Data'!$P315,$V$6:$X$135,3,FALSE)+$C$2</f>
        <v>137.55233796038641</v>
      </c>
      <c r="G319" s="72">
        <f>VLOOKUP('Old Data'!$P315,$V$6:$X$135,2,FALSE)+VLOOKUP('Old Data'!$F315,$V$6:$X$135,3,FALSE)+$C$2</f>
        <v>258.50374600371811</v>
      </c>
      <c r="H319" s="74">
        <f>('Old Data'!$K315-$F319)^2+('Old Data'!$U315-$G319)^2</f>
        <v>5703.6399763841182</v>
      </c>
      <c r="I319" s="75">
        <f>('Old Data'!$L315+'Old Data'!$M315)-('Old Data'!$V315+'Old Data'!$W315)</f>
        <v>77</v>
      </c>
      <c r="J319" s="72">
        <f>VLOOKUP('Old Data'!$F315,$Z$6:$AB$135,2,FALSE)+VLOOKUP('Old Data'!$P315,$Z$6:$AB$135,3,FALSE)+$D$2</f>
        <v>75.88389173967073</v>
      </c>
      <c r="K319" s="72">
        <f>VLOOKUP('Old Data'!$P315,$Z$6:$AB$135,2,FALSE)+VLOOKUP('Old Data'!$F315,$Z$6:$AB$135,3,FALSE)+$D$2</f>
        <v>69.528187693619799</v>
      </c>
      <c r="L319" s="74">
        <f>('Old Data'!$L315+'Old Data'!$M315-$J319)^2+('Old Data'!$V315+'Old Data'!$W315-$K319)^2</f>
        <v>10132.295330416218</v>
      </c>
      <c r="M319" s="75">
        <f>'Old Data'!$N315-'Old Data'!$X315</f>
        <v>-2</v>
      </c>
      <c r="N319" s="72">
        <f>VLOOKUP('Old Data'!$F315,$AD$6:$AF$135,2,FALSE)+VLOOKUP('Old Data'!$P315,$AD$6:$AF$135,3,FALSE)+$E$2</f>
        <v>1.1519356324149213</v>
      </c>
      <c r="O319" s="72">
        <f>VLOOKUP('Old Data'!$P315,$AD$6:$AF$135,2,FALSE)+VLOOKUP('Old Data'!$F315,$AD$6:$AF$135,3,FALSE)+$E$2</f>
        <v>2.0771730754637243</v>
      </c>
      <c r="P319" s="73">
        <f>('Old Data'!$N315-$N319)^2+('Old Data'!$X315-$O319)^2</f>
        <v>1.3329113848036944</v>
      </c>
      <c r="Q319" s="62"/>
      <c r="R319" s="3"/>
      <c r="S319" s="3"/>
      <c r="T319" s="3"/>
      <c r="V319" s="3"/>
      <c r="W319" s="3"/>
      <c r="X319" s="3"/>
      <c r="Z319" s="3"/>
      <c r="AA319" s="3"/>
      <c r="AB319" s="3"/>
      <c r="AC319" s="3"/>
      <c r="AD319" s="3"/>
      <c r="AE319" s="3"/>
      <c r="AF319" s="3"/>
      <c r="AG319" s="3"/>
      <c r="AH319" s="37"/>
      <c r="AI319" s="1"/>
      <c r="AK319" s="10"/>
      <c r="AL319" s="10"/>
      <c r="AM319" s="10"/>
      <c r="AN319" s="11"/>
      <c r="AO319" s="11"/>
      <c r="AP319" s="11"/>
      <c r="AQ319" s="36"/>
      <c r="AR319" s="11"/>
      <c r="AS319" s="11"/>
      <c r="AT319" s="11"/>
      <c r="AU319" s="12"/>
      <c r="AV319" s="11"/>
      <c r="AW319" s="11"/>
      <c r="AX319" s="15"/>
      <c r="AY319" s="15"/>
      <c r="AZ319" s="15"/>
      <c r="BA319" s="15"/>
      <c r="BB319" s="15"/>
      <c r="BC319" s="15"/>
      <c r="BD319" s="15"/>
      <c r="BE319" s="12"/>
      <c r="BF319" s="11"/>
      <c r="BG319" s="11"/>
      <c r="BH319" s="10"/>
      <c r="BI319" s="10"/>
      <c r="BJ319" s="10"/>
      <c r="BK319" s="23"/>
      <c r="BL319" s="23"/>
      <c r="BM319" s="23"/>
      <c r="BN319" s="23"/>
      <c r="BO319" s="23"/>
      <c r="BP319" s="23"/>
      <c r="BQ319" s="23"/>
      <c r="BR319" s="10"/>
      <c r="BS319" s="16"/>
      <c r="BT319" s="16"/>
      <c r="BU319" s="16"/>
      <c r="BV319" s="16"/>
      <c r="BW319" s="11"/>
      <c r="BX319" s="16"/>
      <c r="BY319" s="16"/>
      <c r="BZ319" s="17"/>
      <c r="CA319" s="18"/>
      <c r="CB319" s="18"/>
      <c r="CC319" s="18"/>
      <c r="CD319" s="18"/>
      <c r="CE319" s="18"/>
      <c r="CF319" s="18"/>
      <c r="CG319" s="19"/>
      <c r="CH319" s="15"/>
      <c r="CI319" s="17"/>
      <c r="CJ319" s="10"/>
      <c r="CK319" s="10"/>
      <c r="CL319" s="10"/>
      <c r="CM319" s="17"/>
      <c r="CN319" s="17"/>
      <c r="CO319" s="10"/>
      <c r="CP319" s="10"/>
      <c r="CQ319" s="10"/>
      <c r="CR319" s="10"/>
      <c r="CS319" s="10"/>
      <c r="CT319" s="10"/>
      <c r="CU319" s="10"/>
      <c r="CV319" s="10"/>
      <c r="CW319" s="10"/>
      <c r="CX319" s="10"/>
      <c r="CY319" s="10"/>
      <c r="CZ319" s="10"/>
      <c r="DA319" s="34"/>
      <c r="DB319" s="34"/>
      <c r="DC319" s="34"/>
      <c r="DD319" s="34"/>
      <c r="DE319" s="34"/>
      <c r="DF319" s="34"/>
      <c r="DG319" s="34"/>
      <c r="DH319" s="34"/>
      <c r="DI319" s="34"/>
      <c r="DJ319" s="34"/>
      <c r="DK319" s="34"/>
      <c r="DL319" s="34"/>
      <c r="DM319" s="34"/>
      <c r="DN319" s="34"/>
      <c r="DO319" s="34"/>
      <c r="DP319" s="34"/>
      <c r="DQ319" s="34"/>
      <c r="DR319" s="34"/>
      <c r="DS319" s="34"/>
      <c r="DT319" s="34"/>
      <c r="DU319" s="34"/>
      <c r="DV319" s="34"/>
      <c r="DW319" s="34"/>
      <c r="DX319" s="34"/>
      <c r="DY319" s="34"/>
      <c r="DZ319" s="34"/>
      <c r="EA319" s="34"/>
      <c r="EB319" s="34"/>
      <c r="EC319" s="34"/>
      <c r="ED319" s="34"/>
      <c r="EE319" s="34"/>
    </row>
    <row r="320" spans="1:135" customFormat="1">
      <c r="A320" s="71">
        <f>'Old Data'!$I316-'Old Data'!$S316</f>
        <v>20</v>
      </c>
      <c r="B320" s="72">
        <f>VLOOKUP('Old Data'!$F316,$R$6:$T$135,2,FALSE)+VLOOKUP('Old Data'!$P316,$R$6:$T$135,3,FALSE)+$B$2</f>
        <v>155.44605565136359</v>
      </c>
      <c r="C320" s="72">
        <f>VLOOKUP('Old Data'!$P316,$R$6:$T$135,2,FALSE)+VLOOKUP('Old Data'!$F316,$R$6:$T$135,3,FALSE)+$B$2</f>
        <v>85.809446112042806</v>
      </c>
      <c r="D320" s="74">
        <f>('Old Data'!$I316-$B320)^2+('Old Data'!$S316-$C320)^2</f>
        <v>1490.5526032967002</v>
      </c>
      <c r="E320" s="75">
        <f>'Old Data'!$K316-'Old Data'!$U316</f>
        <v>165</v>
      </c>
      <c r="F320" s="72">
        <f>VLOOKUP('Old Data'!$F316,$V$6:$X$135,2,FALSE)+VLOOKUP('Old Data'!$P316,$V$6:$X$135,3,FALSE)+$C$2</f>
        <v>276.51476085377266</v>
      </c>
      <c r="G320" s="72">
        <f>VLOOKUP('Old Data'!$P316,$V$6:$X$135,2,FALSE)+VLOOKUP('Old Data'!$F316,$V$6:$X$135,3,FALSE)+$C$2</f>
        <v>266.72878907142012</v>
      </c>
      <c r="H320" s="74">
        <f>('Old Data'!$K316-$F320)^2+('Old Data'!$U316-$G320)^2</f>
        <v>20991.091246081531</v>
      </c>
      <c r="I320" s="75">
        <f>('Old Data'!$L316+'Old Data'!$M316)-('Old Data'!$V316+'Old Data'!$W316)</f>
        <v>-108</v>
      </c>
      <c r="J320" s="72">
        <f>VLOOKUP('Old Data'!$F316,$Z$6:$AB$135,2,FALSE)+VLOOKUP('Old Data'!$P316,$Z$6:$AB$135,3,FALSE)+$D$2</f>
        <v>81.349580735188823</v>
      </c>
      <c r="K320" s="72">
        <f>VLOOKUP('Old Data'!$P316,$Z$6:$AB$135,2,FALSE)+VLOOKUP('Old Data'!$F316,$Z$6:$AB$135,3,FALSE)+$D$2</f>
        <v>106.56591983337029</v>
      </c>
      <c r="L320" s="74">
        <f>('Old Data'!$L316+'Old Data'!$M316-$J320)^2+('Old Data'!$V316+'Old Data'!$W316-$K320)^2</f>
        <v>6012.4868671668528</v>
      </c>
      <c r="M320" s="75">
        <f>'Old Data'!$N316-'Old Data'!$X316</f>
        <v>2</v>
      </c>
      <c r="N320" s="72">
        <f>VLOOKUP('Old Data'!$F316,$AD$6:$AF$135,2,FALSE)+VLOOKUP('Old Data'!$P316,$AD$6:$AF$135,3,FALSE)+$E$2</f>
        <v>1.3204918536051111</v>
      </c>
      <c r="O320" s="72">
        <f>VLOOKUP('Old Data'!$P316,$AD$6:$AF$135,2,FALSE)+VLOOKUP('Old Data'!$F316,$AD$6:$AF$135,3,FALSE)+$E$2</f>
        <v>1.5658287108161693</v>
      </c>
      <c r="P320" s="73">
        <f>('Old Data'!$N316-$N320)^2+('Old Data'!$X316-$O320)^2</f>
        <v>2.9135508726332442</v>
      </c>
      <c r="Q320" s="62"/>
      <c r="R320" s="3"/>
      <c r="S320" s="3"/>
      <c r="T320" s="3"/>
      <c r="V320" s="3"/>
      <c r="W320" s="3"/>
      <c r="X320" s="3"/>
      <c r="Z320" s="3"/>
      <c r="AA320" s="3"/>
      <c r="AB320" s="3"/>
      <c r="AC320" s="3"/>
      <c r="AD320" s="3"/>
      <c r="AE320" s="3"/>
      <c r="AF320" s="3"/>
      <c r="AG320" s="3"/>
      <c r="AH320" s="37"/>
      <c r="AI320" s="1"/>
      <c r="AK320" s="10"/>
      <c r="AL320" s="10"/>
      <c r="AM320" s="10"/>
      <c r="AN320" s="11"/>
      <c r="AO320" s="11"/>
      <c r="AP320" s="11"/>
      <c r="AQ320" s="36"/>
      <c r="AR320" s="11"/>
      <c r="AS320" s="11"/>
      <c r="AT320" s="11"/>
      <c r="AU320" s="12"/>
      <c r="AV320" s="11"/>
      <c r="AW320" s="11"/>
      <c r="AX320" s="15"/>
      <c r="AY320" s="15"/>
      <c r="AZ320" s="15"/>
      <c r="BA320" s="15"/>
      <c r="BB320" s="15"/>
      <c r="BC320" s="15"/>
      <c r="BD320" s="15"/>
      <c r="BE320" s="12"/>
      <c r="BF320" s="11"/>
      <c r="BG320" s="11"/>
      <c r="BH320" s="10"/>
      <c r="BI320" s="10"/>
      <c r="BJ320" s="10"/>
      <c r="BK320" s="23"/>
      <c r="BL320" s="23"/>
      <c r="BM320" s="23"/>
      <c r="BN320" s="23"/>
      <c r="BO320" s="23"/>
      <c r="BP320" s="23"/>
      <c r="BQ320" s="23"/>
      <c r="BR320" s="10"/>
      <c r="BS320" s="16"/>
      <c r="BT320" s="16"/>
      <c r="BU320" s="16"/>
      <c r="BV320" s="16"/>
      <c r="BW320" s="11"/>
      <c r="BX320" s="16"/>
      <c r="BY320" s="16"/>
      <c r="BZ320" s="17"/>
      <c r="CA320" s="18"/>
      <c r="CB320" s="18"/>
      <c r="CC320" s="18"/>
      <c r="CD320" s="18"/>
      <c r="CE320" s="18"/>
      <c r="CF320" s="18"/>
      <c r="CG320" s="19"/>
      <c r="CH320" s="15"/>
      <c r="CI320" s="17"/>
      <c r="CJ320" s="10"/>
      <c r="CK320" s="10"/>
      <c r="CL320" s="10"/>
      <c r="CM320" s="17"/>
      <c r="CN320" s="17"/>
      <c r="CO320" s="10"/>
      <c r="CP320" s="10"/>
      <c r="CQ320" s="10"/>
      <c r="CR320" s="10"/>
      <c r="CS320" s="10"/>
      <c r="CT320" s="10"/>
      <c r="CU320" s="10"/>
      <c r="CV320" s="10"/>
      <c r="CW320" s="10"/>
      <c r="CX320" s="10"/>
      <c r="CY320" s="10"/>
      <c r="CZ320" s="10"/>
      <c r="DA320" s="34"/>
      <c r="DB320" s="34"/>
      <c r="DC320" s="34"/>
      <c r="DD320" s="34"/>
      <c r="DE320" s="34"/>
      <c r="DF320" s="34"/>
      <c r="DG320" s="34"/>
      <c r="DH320" s="34"/>
      <c r="DI320" s="34"/>
      <c r="DJ320" s="34"/>
      <c r="DK320" s="34"/>
      <c r="DL320" s="34"/>
      <c r="DM320" s="34"/>
      <c r="DN320" s="34"/>
      <c r="DO320" s="34"/>
      <c r="DP320" s="34"/>
      <c r="DQ320" s="34"/>
      <c r="DR320" s="34"/>
      <c r="DS320" s="34"/>
      <c r="DT320" s="34"/>
      <c r="DU320" s="34"/>
      <c r="DV320" s="34"/>
      <c r="DW320" s="34"/>
      <c r="DX320" s="34"/>
      <c r="DY320" s="34"/>
      <c r="DZ320" s="34"/>
      <c r="EA320" s="34"/>
      <c r="EB320" s="34"/>
      <c r="EC320" s="34"/>
      <c r="ED320" s="34"/>
      <c r="EE320" s="34"/>
    </row>
    <row r="321" spans="1:135" customFormat="1">
      <c r="A321" s="71">
        <f>'Old Data'!$I317-'Old Data'!$S317</f>
        <v>64</v>
      </c>
      <c r="B321" s="72">
        <f>VLOOKUP('Old Data'!$F317,$R$6:$T$135,2,FALSE)+VLOOKUP('Old Data'!$P317,$R$6:$T$135,3,FALSE)+$B$2</f>
        <v>114.62175587369268</v>
      </c>
      <c r="C321" s="72">
        <f>VLOOKUP('Old Data'!$P317,$R$6:$T$135,2,FALSE)+VLOOKUP('Old Data'!$F317,$R$6:$T$135,3,FALSE)+$B$2</f>
        <v>188.78230386001323</v>
      </c>
      <c r="D321" s="74">
        <f>('Old Data'!$I317-$B321)^2+('Old Data'!$S317-$C321)^2</f>
        <v>9717.0730071339804</v>
      </c>
      <c r="E321" s="75">
        <f>'Old Data'!$K317-'Old Data'!$U317</f>
        <v>-100</v>
      </c>
      <c r="F321" s="72">
        <f>VLOOKUP('Old Data'!$F317,$V$6:$X$135,2,FALSE)+VLOOKUP('Old Data'!$P317,$V$6:$X$135,3,FALSE)+$C$2</f>
        <v>224.01441010075504</v>
      </c>
      <c r="G321" s="72">
        <f>VLOOKUP('Old Data'!$P317,$V$6:$X$135,2,FALSE)+VLOOKUP('Old Data'!$F317,$V$6:$X$135,3,FALSE)+$C$2</f>
        <v>281.505384339925</v>
      </c>
      <c r="H321" s="74">
        <f>('Old Data'!$K317-$F321)^2+('Old Data'!$U317-$G321)^2</f>
        <v>8161.2486013754515</v>
      </c>
      <c r="I321" s="75">
        <f>('Old Data'!$L317+'Old Data'!$M317)-('Old Data'!$V317+'Old Data'!$W317)</f>
        <v>61</v>
      </c>
      <c r="J321" s="72">
        <f>VLOOKUP('Old Data'!$F317,$Z$6:$AB$135,2,FALSE)+VLOOKUP('Old Data'!$P317,$Z$6:$AB$135,3,FALSE)+$D$2</f>
        <v>46.232361407590631</v>
      </c>
      <c r="K321" s="72">
        <f>VLOOKUP('Old Data'!$P317,$Z$6:$AB$135,2,FALSE)+VLOOKUP('Old Data'!$F317,$Z$6:$AB$135,3,FALSE)+$D$2</f>
        <v>59.9682521170784</v>
      </c>
      <c r="L321" s="74">
        <f>('Old Data'!$L317+'Old Data'!$M317-$J321)^2+('Old Data'!$V317+'Old Data'!$W317-$K321)^2</f>
        <v>3814.2744115734968</v>
      </c>
      <c r="M321" s="75">
        <f>'Old Data'!$N317-'Old Data'!$X317</f>
        <v>2</v>
      </c>
      <c r="N321" s="72">
        <f>VLOOKUP('Old Data'!$F317,$AD$6:$AF$135,2,FALSE)+VLOOKUP('Old Data'!$P317,$AD$6:$AF$135,3,FALSE)+$E$2</f>
        <v>1.6175607934641121</v>
      </c>
      <c r="O321" s="72">
        <f>VLOOKUP('Old Data'!$P317,$AD$6:$AF$135,2,FALSE)+VLOOKUP('Old Data'!$F317,$AD$6:$AF$135,3,FALSE)+$E$2</f>
        <v>1.5739849899463882</v>
      </c>
      <c r="P321" s="73">
        <f>('Old Data'!$N317-$N321)^2+('Old Data'!$X317-$O321)^2</f>
        <v>5.857505361630329</v>
      </c>
      <c r="Q321" s="62"/>
      <c r="R321" s="3"/>
      <c r="S321" s="3"/>
      <c r="T321" s="3"/>
      <c r="V321" s="3"/>
      <c r="W321" s="3"/>
      <c r="X321" s="3"/>
      <c r="Z321" s="3"/>
      <c r="AA321" s="3"/>
      <c r="AB321" s="3"/>
      <c r="AC321" s="3"/>
      <c r="AD321" s="3"/>
      <c r="AE321" s="3"/>
      <c r="AF321" s="3"/>
      <c r="AG321" s="3"/>
      <c r="AH321" s="37"/>
      <c r="AI321" s="1"/>
      <c r="AK321" s="10"/>
      <c r="AL321" s="10"/>
      <c r="AM321" s="10"/>
      <c r="AN321" s="11"/>
      <c r="AO321" s="11"/>
      <c r="AP321" s="11"/>
      <c r="AQ321" s="36"/>
      <c r="AR321" s="11"/>
      <c r="AS321" s="11"/>
      <c r="AT321" s="11"/>
      <c r="AU321" s="12"/>
      <c r="AV321" s="11"/>
      <c r="AW321" s="11"/>
      <c r="AX321" s="15"/>
      <c r="AY321" s="15"/>
      <c r="AZ321" s="15"/>
      <c r="BA321" s="15"/>
      <c r="BB321" s="15"/>
      <c r="BC321" s="15"/>
      <c r="BD321" s="15"/>
      <c r="BE321" s="12"/>
      <c r="BF321" s="11"/>
      <c r="BG321" s="11"/>
      <c r="BH321" s="10"/>
      <c r="BI321" s="10"/>
      <c r="BJ321" s="10"/>
      <c r="BK321" s="23"/>
      <c r="BL321" s="23"/>
      <c r="BM321" s="23"/>
      <c r="BN321" s="23"/>
      <c r="BO321" s="23"/>
      <c r="BP321" s="23"/>
      <c r="BQ321" s="23"/>
      <c r="BR321" s="10"/>
      <c r="BS321" s="16"/>
      <c r="BT321" s="16"/>
      <c r="BU321" s="16"/>
      <c r="BV321" s="16"/>
      <c r="BW321" s="11"/>
      <c r="BX321" s="16"/>
      <c r="BY321" s="16"/>
      <c r="BZ321" s="17"/>
      <c r="CA321" s="18"/>
      <c r="CB321" s="18"/>
      <c r="CC321" s="18"/>
      <c r="CD321" s="18"/>
      <c r="CE321" s="18"/>
      <c r="CF321" s="18"/>
      <c r="CG321" s="19"/>
      <c r="CH321" s="15"/>
      <c r="CI321" s="17"/>
      <c r="CJ321" s="10"/>
      <c r="CK321" s="10"/>
      <c r="CL321" s="10"/>
      <c r="CM321" s="17"/>
      <c r="CN321" s="17"/>
      <c r="CO321" s="10"/>
      <c r="CP321" s="10"/>
      <c r="CQ321" s="10"/>
      <c r="CR321" s="10"/>
      <c r="CS321" s="10"/>
      <c r="CT321" s="10"/>
      <c r="CU321" s="10"/>
      <c r="CV321" s="10"/>
      <c r="CW321" s="10"/>
      <c r="CX321" s="10"/>
      <c r="CY321" s="10"/>
      <c r="CZ321" s="10"/>
      <c r="DA321" s="34"/>
      <c r="DB321" s="34"/>
      <c r="DC321" s="34"/>
      <c r="DD321" s="34"/>
      <c r="DE321" s="34"/>
      <c r="DF321" s="34"/>
      <c r="DG321" s="34"/>
      <c r="DH321" s="34"/>
      <c r="DI321" s="34"/>
      <c r="DJ321" s="34"/>
      <c r="DK321" s="34"/>
      <c r="DL321" s="34"/>
      <c r="DM321" s="34"/>
      <c r="DN321" s="34"/>
      <c r="DO321" s="34"/>
      <c r="DP321" s="34"/>
      <c r="DQ321" s="34"/>
      <c r="DR321" s="34"/>
      <c r="DS321" s="34"/>
      <c r="DT321" s="34"/>
      <c r="DU321" s="34"/>
      <c r="DV321" s="34"/>
      <c r="DW321" s="34"/>
      <c r="DX321" s="34"/>
      <c r="DY321" s="34"/>
      <c r="DZ321" s="34"/>
      <c r="EA321" s="34"/>
      <c r="EB321" s="34"/>
      <c r="EC321" s="34"/>
      <c r="ED321" s="34"/>
      <c r="EE321" s="34"/>
    </row>
    <row r="322" spans="1:135" customFormat="1">
      <c r="A322" s="71">
        <f>'Old Data'!$I318-'Old Data'!$S318</f>
        <v>69</v>
      </c>
      <c r="B322" s="72">
        <f>VLOOKUP('Old Data'!$F318,$R$6:$T$135,2,FALSE)+VLOOKUP('Old Data'!$P318,$R$6:$T$135,3,FALSE)+$B$2</f>
        <v>117.92445186043551</v>
      </c>
      <c r="C322" s="72">
        <f>VLOOKUP('Old Data'!$P318,$R$6:$T$135,2,FALSE)+VLOOKUP('Old Data'!$F318,$R$6:$T$135,3,FALSE)+$B$2</f>
        <v>189.52346123756419</v>
      </c>
      <c r="D322" s="74">
        <f>('Old Data'!$I318-$B322)^2+('Old Data'!$S318-$C322)^2</f>
        <v>9890.3493795946415</v>
      </c>
      <c r="E322" s="75">
        <f>'Old Data'!$K318-'Old Data'!$U318</f>
        <v>21</v>
      </c>
      <c r="F322" s="72">
        <f>VLOOKUP('Old Data'!$F318,$V$6:$X$135,2,FALSE)+VLOOKUP('Old Data'!$P318,$V$6:$X$135,3,FALSE)+$C$2</f>
        <v>247.09212967472416</v>
      </c>
      <c r="G322" s="72">
        <f>VLOOKUP('Old Data'!$P318,$V$6:$X$135,2,FALSE)+VLOOKUP('Old Data'!$F318,$V$6:$X$135,3,FALSE)+$C$2</f>
        <v>159.2166623284694</v>
      </c>
      <c r="H322" s="74">
        <f>('Old Data'!$K318-$F322)^2+('Old Data'!$U318-$G322)^2</f>
        <v>6589.4293989376129</v>
      </c>
      <c r="I322" s="75">
        <f>('Old Data'!$L318+'Old Data'!$M318)-('Old Data'!$V318+'Old Data'!$W318)</f>
        <v>18</v>
      </c>
      <c r="J322" s="72">
        <f>VLOOKUP('Old Data'!$F318,$Z$6:$AB$135,2,FALSE)+VLOOKUP('Old Data'!$P318,$Z$6:$AB$135,3,FALSE)+$D$2</f>
        <v>55.894174427780328</v>
      </c>
      <c r="K322" s="72">
        <f>VLOOKUP('Old Data'!$P318,$Z$6:$AB$135,2,FALSE)+VLOOKUP('Old Data'!$F318,$Z$6:$AB$135,3,FALSE)+$D$2</f>
        <v>19.034051743649997</v>
      </c>
      <c r="L322" s="74">
        <f>('Old Data'!$L318+'Old Data'!$M318-$J322)^2+('Old Data'!$V318+'Old Data'!$W318-$K322)^2</f>
        <v>935.55551025724026</v>
      </c>
      <c r="M322" s="75">
        <f>'Old Data'!$N318-'Old Data'!$X318</f>
        <v>1</v>
      </c>
      <c r="N322" s="72">
        <f>VLOOKUP('Old Data'!$F318,$AD$6:$AF$135,2,FALSE)+VLOOKUP('Old Data'!$P318,$AD$6:$AF$135,3,FALSE)+$E$2</f>
        <v>1.8603060317236566</v>
      </c>
      <c r="O322" s="72">
        <f>VLOOKUP('Old Data'!$P318,$AD$6:$AF$135,2,FALSE)+VLOOKUP('Old Data'!$F318,$AD$6:$AF$135,3,FALSE)+$E$2</f>
        <v>2.0729415772493862</v>
      </c>
      <c r="P322" s="73">
        <f>('Old Data'!$N318-$N322)^2+('Old Data'!$X318-$O322)^2</f>
        <v>1.3042228150171069</v>
      </c>
      <c r="Q322" s="62"/>
      <c r="R322" s="3"/>
      <c r="S322" s="3"/>
      <c r="T322" s="3"/>
      <c r="V322" s="3"/>
      <c r="W322" s="3"/>
      <c r="X322" s="3"/>
      <c r="Z322" s="3"/>
      <c r="AA322" s="3"/>
      <c r="AB322" s="3"/>
      <c r="AC322" s="3"/>
      <c r="AD322" s="3"/>
      <c r="AE322" s="3"/>
      <c r="AF322" s="3"/>
      <c r="AG322" s="3"/>
      <c r="AH322" s="37"/>
      <c r="AI322" s="1"/>
      <c r="AK322" s="10"/>
      <c r="AL322" s="10"/>
      <c r="AM322" s="10"/>
      <c r="AN322" s="11"/>
      <c r="AO322" s="11"/>
      <c r="AP322" s="11"/>
      <c r="AQ322" s="36"/>
      <c r="AR322" s="11"/>
      <c r="AS322" s="11"/>
      <c r="AT322" s="11"/>
      <c r="AU322" s="12"/>
      <c r="AV322" s="11"/>
      <c r="AW322" s="11"/>
      <c r="AX322" s="15"/>
      <c r="AY322" s="15"/>
      <c r="AZ322" s="15"/>
      <c r="BA322" s="15"/>
      <c r="BB322" s="15"/>
      <c r="BC322" s="15"/>
      <c r="BD322" s="15"/>
      <c r="BE322" s="12"/>
      <c r="BF322" s="11"/>
      <c r="BG322" s="11"/>
      <c r="BH322" s="10"/>
      <c r="BI322" s="10"/>
      <c r="BJ322" s="10"/>
      <c r="BK322" s="23"/>
      <c r="BL322" s="23"/>
      <c r="BM322" s="23"/>
      <c r="BN322" s="23"/>
      <c r="BO322" s="23"/>
      <c r="BP322" s="23"/>
      <c r="BQ322" s="23"/>
      <c r="BR322" s="10"/>
      <c r="BS322" s="16"/>
      <c r="BT322" s="16"/>
      <c r="BU322" s="16"/>
      <c r="BV322" s="16"/>
      <c r="BW322" s="11"/>
      <c r="BX322" s="16"/>
      <c r="BY322" s="16"/>
      <c r="BZ322" s="17"/>
      <c r="CA322" s="18"/>
      <c r="CB322" s="18"/>
      <c r="CC322" s="18"/>
      <c r="CD322" s="18"/>
      <c r="CE322" s="18"/>
      <c r="CF322" s="18"/>
      <c r="CG322" s="19"/>
      <c r="CH322" s="15"/>
      <c r="CI322" s="17"/>
      <c r="CJ322" s="10"/>
      <c r="CK322" s="10"/>
      <c r="CL322" s="10"/>
      <c r="CM322" s="17"/>
      <c r="CN322" s="17"/>
      <c r="CO322" s="10"/>
      <c r="CP322" s="10"/>
      <c r="CQ322" s="10"/>
      <c r="CR322" s="10"/>
      <c r="CS322" s="10"/>
      <c r="CT322" s="10"/>
      <c r="CU322" s="10"/>
      <c r="CV322" s="10"/>
      <c r="CW322" s="10"/>
      <c r="CX322" s="10"/>
      <c r="CY322" s="10"/>
      <c r="CZ322" s="10"/>
      <c r="DA322" s="34"/>
      <c r="DB322" s="34"/>
      <c r="DC322" s="34"/>
      <c r="DD322" s="34"/>
      <c r="DE322" s="34"/>
      <c r="DF322" s="34"/>
      <c r="DG322" s="34"/>
      <c r="DH322" s="34"/>
      <c r="DI322" s="34"/>
      <c r="DJ322" s="34"/>
      <c r="DK322" s="34"/>
      <c r="DL322" s="34"/>
      <c r="DM322" s="34"/>
      <c r="DN322" s="34"/>
      <c r="DO322" s="34"/>
      <c r="DP322" s="34"/>
      <c r="DQ322" s="34"/>
      <c r="DR322" s="34"/>
      <c r="DS322" s="34"/>
      <c r="DT322" s="34"/>
      <c r="DU322" s="34"/>
      <c r="DV322" s="34"/>
      <c r="DW322" s="34"/>
      <c r="DX322" s="34"/>
      <c r="DY322" s="34"/>
      <c r="DZ322" s="34"/>
      <c r="EA322" s="34"/>
      <c r="EB322" s="34"/>
      <c r="EC322" s="34"/>
      <c r="ED322" s="34"/>
      <c r="EE322" s="34"/>
    </row>
    <row r="323" spans="1:135" customFormat="1">
      <c r="A323" s="71">
        <f>'Old Data'!$I319-'Old Data'!$S319</f>
        <v>211</v>
      </c>
      <c r="B323" s="72">
        <f>VLOOKUP('Old Data'!$F319,$R$6:$T$135,2,FALSE)+VLOOKUP('Old Data'!$P319,$R$6:$T$135,3,FALSE)+$B$2</f>
        <v>298.8582939548977</v>
      </c>
      <c r="C323" s="72">
        <f>VLOOKUP('Old Data'!$P319,$R$6:$T$135,2,FALSE)+VLOOKUP('Old Data'!$F319,$R$6:$T$135,3,FALSE)+$B$2</f>
        <v>87.4089186822833</v>
      </c>
      <c r="D323" s="74">
        <f>('Old Data'!$I319-$B323)^2+('Old Data'!$S319-$C323)^2</f>
        <v>305.95635443502817</v>
      </c>
      <c r="E323" s="75">
        <f>'Old Data'!$K319-'Old Data'!$U319</f>
        <v>189</v>
      </c>
      <c r="F323" s="72">
        <f>VLOOKUP('Old Data'!$F319,$V$6:$X$135,2,FALSE)+VLOOKUP('Old Data'!$P319,$V$6:$X$135,3,FALSE)+$C$2</f>
        <v>251.1428081418361</v>
      </c>
      <c r="G323" s="72">
        <f>VLOOKUP('Old Data'!$P319,$V$6:$X$135,2,FALSE)+VLOOKUP('Old Data'!$F319,$V$6:$X$135,3,FALSE)+$C$2</f>
        <v>216.99531320064312</v>
      </c>
      <c r="H323" s="74">
        <f>('Old Data'!$K319-$F323)^2+('Old Data'!$U319-$G323)^2</f>
        <v>12051.678035013823</v>
      </c>
      <c r="I323" s="75">
        <f>('Old Data'!$L319+'Old Data'!$M319)-('Old Data'!$V319+'Old Data'!$W319)</f>
        <v>-34</v>
      </c>
      <c r="J323" s="72">
        <f>VLOOKUP('Old Data'!$F319,$Z$6:$AB$135,2,FALSE)+VLOOKUP('Old Data'!$P319,$Z$6:$AB$135,3,FALSE)+$D$2</f>
        <v>85.53224228201087</v>
      </c>
      <c r="K323" s="72">
        <f>VLOOKUP('Old Data'!$P319,$Z$6:$AB$135,2,FALSE)+VLOOKUP('Old Data'!$F319,$Z$6:$AB$135,3,FALSE)+$D$2</f>
        <v>75.771899463769387</v>
      </c>
      <c r="L323" s="74">
        <f>('Old Data'!$L319+'Old Data'!$M319-$J323)^2+('Old Data'!$V319+'Old Data'!$W319-$K323)^2</f>
        <v>2715.9744158868075</v>
      </c>
      <c r="M323" s="75">
        <f>'Old Data'!$N319-'Old Data'!$X319</f>
        <v>1</v>
      </c>
      <c r="N323" s="72">
        <f>VLOOKUP('Old Data'!$F319,$AD$6:$AF$135,2,FALSE)+VLOOKUP('Old Data'!$P319,$AD$6:$AF$135,3,FALSE)+$E$2</f>
        <v>1.2607097573624741</v>
      </c>
      <c r="O323" s="72">
        <f>VLOOKUP('Old Data'!$P319,$AD$6:$AF$135,2,FALSE)+VLOOKUP('Old Data'!$F319,$AD$6:$AF$135,3,FALSE)+$E$2</f>
        <v>1.2426051364829349</v>
      </c>
      <c r="P323" s="73">
        <f>('Old Data'!$N319-$N323)^2+('Old Data'!$X319-$O323)^2</f>
        <v>1.6120371027977733</v>
      </c>
      <c r="Q323" s="62"/>
      <c r="R323" s="3"/>
      <c r="S323" s="3"/>
      <c r="T323" s="3"/>
      <c r="V323" s="3"/>
      <c r="W323" s="3"/>
      <c r="X323" s="3"/>
      <c r="Z323" s="3"/>
      <c r="AA323" s="3"/>
      <c r="AB323" s="3"/>
      <c r="AC323" s="3"/>
      <c r="AD323" s="3"/>
      <c r="AE323" s="3"/>
      <c r="AF323" s="3"/>
      <c r="AG323" s="3"/>
      <c r="AH323" s="37"/>
      <c r="AI323" s="1"/>
      <c r="AK323" s="10"/>
      <c r="AL323" s="10"/>
      <c r="AM323" s="10"/>
      <c r="AN323" s="11"/>
      <c r="AO323" s="11"/>
      <c r="AP323" s="11"/>
      <c r="AQ323" s="36"/>
      <c r="AR323" s="11"/>
      <c r="AS323" s="11"/>
      <c r="AT323" s="11"/>
      <c r="AU323" s="12"/>
      <c r="AV323" s="11"/>
      <c r="AW323" s="11"/>
      <c r="AX323" s="15"/>
      <c r="AY323" s="15"/>
      <c r="AZ323" s="15"/>
      <c r="BA323" s="15"/>
      <c r="BB323" s="15"/>
      <c r="BC323" s="15"/>
      <c r="BD323" s="15"/>
      <c r="BE323" s="12"/>
      <c r="BF323" s="11"/>
      <c r="BG323" s="11"/>
      <c r="BH323" s="10"/>
      <c r="BI323" s="10"/>
      <c r="BJ323" s="10"/>
      <c r="BK323" s="23"/>
      <c r="BL323" s="23"/>
      <c r="BM323" s="23"/>
      <c r="BN323" s="23"/>
      <c r="BO323" s="23"/>
      <c r="BP323" s="23"/>
      <c r="BQ323" s="23"/>
      <c r="BR323" s="10"/>
      <c r="BS323" s="16"/>
      <c r="BT323" s="16"/>
      <c r="BU323" s="16"/>
      <c r="BV323" s="16"/>
      <c r="BW323" s="11"/>
      <c r="BX323" s="16"/>
      <c r="BY323" s="16"/>
      <c r="BZ323" s="17"/>
      <c r="CA323" s="18"/>
      <c r="CB323" s="18"/>
      <c r="CC323" s="18"/>
      <c r="CD323" s="18"/>
      <c r="CE323" s="18"/>
      <c r="CF323" s="18"/>
      <c r="CG323" s="19"/>
      <c r="CH323" s="15"/>
      <c r="CI323" s="17"/>
      <c r="CJ323" s="10"/>
      <c r="CK323" s="10"/>
      <c r="CL323" s="10"/>
      <c r="CM323" s="17"/>
      <c r="CN323" s="17"/>
      <c r="CO323" s="10"/>
      <c r="CP323" s="10"/>
      <c r="CQ323" s="10"/>
      <c r="CR323" s="10"/>
      <c r="CS323" s="10"/>
      <c r="CT323" s="10"/>
      <c r="CU323" s="10"/>
      <c r="CV323" s="10"/>
      <c r="CW323" s="10"/>
      <c r="CX323" s="10"/>
      <c r="CY323" s="10"/>
      <c r="CZ323" s="10"/>
      <c r="DA323" s="34"/>
      <c r="DB323" s="34"/>
      <c r="DC323" s="34"/>
      <c r="DD323" s="34"/>
      <c r="DE323" s="34"/>
      <c r="DF323" s="34"/>
      <c r="DG323" s="34"/>
      <c r="DH323" s="34"/>
      <c r="DI323" s="34"/>
      <c r="DJ323" s="34"/>
      <c r="DK323" s="34"/>
      <c r="DL323" s="34"/>
      <c r="DM323" s="34"/>
      <c r="DN323" s="34"/>
      <c r="DO323" s="34"/>
      <c r="DP323" s="34"/>
      <c r="DQ323" s="34"/>
      <c r="DR323" s="34"/>
      <c r="DS323" s="34"/>
      <c r="DT323" s="34"/>
      <c r="DU323" s="34"/>
      <c r="DV323" s="34"/>
      <c r="DW323" s="34"/>
      <c r="DX323" s="34"/>
      <c r="DY323" s="34"/>
      <c r="DZ323" s="34"/>
      <c r="EA323" s="34"/>
      <c r="EB323" s="34"/>
      <c r="EC323" s="34"/>
      <c r="ED323" s="34"/>
      <c r="EE323" s="34"/>
    </row>
    <row r="324" spans="1:135" customFormat="1">
      <c r="A324" s="71">
        <f>'Old Data'!$I320-'Old Data'!$S320</f>
        <v>-319</v>
      </c>
      <c r="B324" s="72">
        <f>VLOOKUP('Old Data'!$F320,$R$6:$T$135,2,FALSE)+VLOOKUP('Old Data'!$P320,$R$6:$T$135,3,FALSE)+$B$2</f>
        <v>105.97189210616662</v>
      </c>
      <c r="C324" s="72">
        <f>VLOOKUP('Old Data'!$P320,$R$6:$T$135,2,FALSE)+VLOOKUP('Old Data'!$F320,$R$6:$T$135,3,FALSE)+$B$2</f>
        <v>320.88633400421071</v>
      </c>
      <c r="D324" s="74">
        <f>('Old Data'!$I320-$B324)^2+('Old Data'!$S320-$C324)^2</f>
        <v>5871.1649693043892</v>
      </c>
      <c r="E324" s="75">
        <f>'Old Data'!$K320-'Old Data'!$U320</f>
        <v>219</v>
      </c>
      <c r="F324" s="72">
        <f>VLOOKUP('Old Data'!$F320,$V$6:$X$135,2,FALSE)+VLOOKUP('Old Data'!$P320,$V$6:$X$135,3,FALSE)+$C$2</f>
        <v>259.04235593394077</v>
      </c>
      <c r="G324" s="72">
        <f>VLOOKUP('Old Data'!$P320,$V$6:$X$135,2,FALSE)+VLOOKUP('Old Data'!$F320,$V$6:$X$135,3,FALSE)+$C$2</f>
        <v>69.229254117516604</v>
      </c>
      <c r="H324" s="74">
        <f>('Old Data'!$K320-$F324)^2+('Old Data'!$U320-$G324)^2</f>
        <v>1197.0671908060749</v>
      </c>
      <c r="I324" s="75">
        <f>('Old Data'!$L320+'Old Data'!$M320)-('Old Data'!$V320+'Old Data'!$W320)</f>
        <v>6</v>
      </c>
      <c r="J324" s="72">
        <f>VLOOKUP('Old Data'!$F320,$Z$6:$AB$135,2,FALSE)+VLOOKUP('Old Data'!$P320,$Z$6:$AB$135,3,FALSE)+$D$2</f>
        <v>63.560138981358598</v>
      </c>
      <c r="K324" s="72">
        <f>VLOOKUP('Old Data'!$P320,$Z$6:$AB$135,2,FALSE)+VLOOKUP('Old Data'!$F320,$Z$6:$AB$135,3,FALSE)+$D$2</f>
        <v>64.957655727354791</v>
      </c>
      <c r="L324" s="74">
        <f>('Old Data'!$L320+'Old Data'!$M320-$J324)^2+('Old Data'!$V320+'Old Data'!$W320-$K324)^2</f>
        <v>82.673629770966727</v>
      </c>
      <c r="M324" s="75">
        <f>'Old Data'!$N320-'Old Data'!$X320</f>
        <v>1</v>
      </c>
      <c r="N324" s="72">
        <f>VLOOKUP('Old Data'!$F320,$AD$6:$AF$135,2,FALSE)+VLOOKUP('Old Data'!$P320,$AD$6:$AF$135,3,FALSE)+$E$2</f>
        <v>1.4271121621960745</v>
      </c>
      <c r="O324" s="72">
        <f>VLOOKUP('Old Data'!$P320,$AD$6:$AF$135,2,FALSE)+VLOOKUP('Old Data'!$F320,$AD$6:$AF$135,3,FALSE)+$E$2</f>
        <v>1.7317544417930022</v>
      </c>
      <c r="P324" s="73">
        <f>('Old Data'!$N320-$N324)^2+('Old Data'!$X320-$O324)^2</f>
        <v>3.1813982457655983</v>
      </c>
      <c r="Q324" s="62"/>
      <c r="R324" s="3"/>
      <c r="S324" s="3"/>
      <c r="T324" s="3"/>
      <c r="V324" s="3"/>
      <c r="W324" s="3"/>
      <c r="X324" s="3"/>
      <c r="Z324" s="3"/>
      <c r="AA324" s="3"/>
      <c r="AB324" s="3"/>
      <c r="AC324" s="3"/>
      <c r="AD324" s="3"/>
      <c r="AE324" s="3"/>
      <c r="AF324" s="3"/>
      <c r="AG324" s="3"/>
      <c r="AH324" s="37"/>
      <c r="AI324" s="1"/>
      <c r="AK324" s="10"/>
      <c r="AL324" s="10"/>
      <c r="AM324" s="10"/>
      <c r="AN324" s="11"/>
      <c r="AO324" s="11"/>
      <c r="AP324" s="11"/>
      <c r="AQ324" s="36"/>
      <c r="AR324" s="11"/>
      <c r="AS324" s="11"/>
      <c r="AT324" s="11"/>
      <c r="AU324" s="12"/>
      <c r="AV324" s="11"/>
      <c r="AW324" s="11"/>
      <c r="AX324" s="15"/>
      <c r="AY324" s="15"/>
      <c r="AZ324" s="15"/>
      <c r="BA324" s="15"/>
      <c r="BB324" s="15"/>
      <c r="BC324" s="15"/>
      <c r="BD324" s="15"/>
      <c r="BE324" s="12"/>
      <c r="BF324" s="11"/>
      <c r="BG324" s="11"/>
      <c r="BH324" s="10"/>
      <c r="BI324" s="10"/>
      <c r="BJ324" s="10"/>
      <c r="BK324" s="23"/>
      <c r="BL324" s="23"/>
      <c r="BM324" s="23"/>
      <c r="BN324" s="23"/>
      <c r="BO324" s="23"/>
      <c r="BP324" s="23"/>
      <c r="BQ324" s="23"/>
      <c r="BR324" s="10"/>
      <c r="BS324" s="16"/>
      <c r="BT324" s="16"/>
      <c r="BU324" s="16"/>
      <c r="BV324" s="16"/>
      <c r="BW324" s="11"/>
      <c r="BX324" s="16"/>
      <c r="BY324" s="16"/>
      <c r="BZ324" s="17"/>
      <c r="CA324" s="18"/>
      <c r="CB324" s="18"/>
      <c r="CC324" s="18"/>
      <c r="CD324" s="18"/>
      <c r="CE324" s="18"/>
      <c r="CF324" s="18"/>
      <c r="CG324" s="19"/>
      <c r="CH324" s="15"/>
      <c r="CI324" s="17"/>
      <c r="CJ324" s="10"/>
      <c r="CK324" s="10"/>
      <c r="CL324" s="10"/>
      <c r="CM324" s="17"/>
      <c r="CN324" s="17"/>
      <c r="CO324" s="10"/>
      <c r="CP324" s="10"/>
      <c r="CQ324" s="10"/>
      <c r="CR324" s="10"/>
      <c r="CS324" s="10"/>
      <c r="CT324" s="10"/>
      <c r="CU324" s="10"/>
      <c r="CV324" s="10"/>
      <c r="CW324" s="10"/>
      <c r="CX324" s="10"/>
      <c r="CY324" s="10"/>
      <c r="CZ324" s="10"/>
      <c r="DA324" s="34"/>
      <c r="DB324" s="34"/>
      <c r="DC324" s="34"/>
      <c r="DD324" s="34"/>
      <c r="DE324" s="34"/>
      <c r="DF324" s="34"/>
      <c r="DG324" s="34"/>
      <c r="DH324" s="34"/>
      <c r="DI324" s="34"/>
      <c r="DJ324" s="34"/>
      <c r="DK324" s="34"/>
      <c r="DL324" s="34"/>
      <c r="DM324" s="34"/>
      <c r="DN324" s="34"/>
      <c r="DO324" s="34"/>
      <c r="DP324" s="34"/>
      <c r="DQ324" s="34"/>
      <c r="DR324" s="34"/>
      <c r="DS324" s="34"/>
      <c r="DT324" s="34"/>
      <c r="DU324" s="34"/>
      <c r="DV324" s="34"/>
      <c r="DW324" s="34"/>
      <c r="DX324" s="34"/>
      <c r="DY324" s="34"/>
      <c r="DZ324" s="34"/>
      <c r="EA324" s="34"/>
      <c r="EB324" s="34"/>
      <c r="EC324" s="34"/>
      <c r="ED324" s="34"/>
      <c r="EE324" s="34"/>
    </row>
    <row r="325" spans="1:135" customFormat="1">
      <c r="A325" s="71">
        <f>'Old Data'!$I321-'Old Data'!$S321</f>
        <v>-30</v>
      </c>
      <c r="B325" s="72">
        <f>VLOOKUP('Old Data'!$F321,$R$6:$T$135,2,FALSE)+VLOOKUP('Old Data'!$P321,$R$6:$T$135,3,FALSE)+$B$2</f>
        <v>157.5943276061866</v>
      </c>
      <c r="C325" s="72">
        <f>VLOOKUP('Old Data'!$P321,$R$6:$T$135,2,FALSE)+VLOOKUP('Old Data'!$F321,$R$6:$T$135,3,FALSE)+$B$2</f>
        <v>118.33472211529451</v>
      </c>
      <c r="D325" s="74">
        <f>('Old Data'!$I321-$B325)^2+('Old Data'!$S321-$C325)^2</f>
        <v>2406.7327944620911</v>
      </c>
      <c r="E325" s="75">
        <f>'Old Data'!$K321-'Old Data'!$U321</f>
        <v>-29</v>
      </c>
      <c r="F325" s="72">
        <f>VLOOKUP('Old Data'!$F321,$V$6:$X$135,2,FALSE)+VLOOKUP('Old Data'!$P321,$V$6:$X$135,3,FALSE)+$C$2</f>
        <v>209.62365360491918</v>
      </c>
      <c r="G325" s="72">
        <f>VLOOKUP('Old Data'!$P321,$V$6:$X$135,2,FALSE)+VLOOKUP('Old Data'!$F321,$V$6:$X$135,3,FALSE)+$C$2</f>
        <v>304.55840696200653</v>
      </c>
      <c r="H325" s="74">
        <f>('Old Data'!$K321-$F325)^2+('Old Data'!$U321-$G325)^2</f>
        <v>3090.3838187771798</v>
      </c>
      <c r="I325" s="75">
        <f>('Old Data'!$L321+'Old Data'!$M321)-('Old Data'!$V321+'Old Data'!$W321)</f>
        <v>-287</v>
      </c>
      <c r="J325" s="72">
        <f>VLOOKUP('Old Data'!$F321,$Z$6:$AB$135,2,FALSE)+VLOOKUP('Old Data'!$P321,$Z$6:$AB$135,3,FALSE)+$D$2</f>
        <v>46.608119974501165</v>
      </c>
      <c r="K325" s="72">
        <f>VLOOKUP('Old Data'!$P321,$Z$6:$AB$135,2,FALSE)+VLOOKUP('Old Data'!$F321,$Z$6:$AB$135,3,FALSE)+$D$2</f>
        <v>117.9663179984712</v>
      </c>
      <c r="L325" s="74">
        <f>('Old Data'!$L321+'Old Data'!$M321-$J325)^2+('Old Data'!$V321+'Old Data'!$W321-$K325)^2</f>
        <v>37773.129475848786</v>
      </c>
      <c r="M325" s="75">
        <f>'Old Data'!$N321-'Old Data'!$X321</f>
        <v>0</v>
      </c>
      <c r="N325" s="72">
        <f>VLOOKUP('Old Data'!$F321,$AD$6:$AF$135,2,FALSE)+VLOOKUP('Old Data'!$P321,$AD$6:$AF$135,3,FALSE)+$E$2</f>
        <v>0.64329287608230612</v>
      </c>
      <c r="O325" s="72">
        <f>VLOOKUP('Old Data'!$P321,$AD$6:$AF$135,2,FALSE)+VLOOKUP('Old Data'!$F321,$AD$6:$AF$135,3,FALSE)+$E$2</f>
        <v>1.5376166664832531</v>
      </c>
      <c r="P325" s="73">
        <f>('Old Data'!$N321-$N325)^2+('Old Data'!$X321-$O325)^2</f>
        <v>0.41627165233419838</v>
      </c>
      <c r="Q325" s="62"/>
      <c r="R325" s="3"/>
      <c r="S325" s="3"/>
      <c r="T325" s="3"/>
      <c r="V325" s="3"/>
      <c r="W325" s="3"/>
      <c r="X325" s="3"/>
      <c r="Z325" s="3"/>
      <c r="AA325" s="3"/>
      <c r="AB325" s="3"/>
      <c r="AC325" s="3"/>
      <c r="AD325" s="3"/>
      <c r="AE325" s="3"/>
      <c r="AF325" s="3"/>
      <c r="AG325" s="3"/>
      <c r="AH325" s="37"/>
      <c r="AI325" s="1"/>
      <c r="AK325" s="10"/>
      <c r="AL325" s="10"/>
      <c r="AM325" s="10"/>
      <c r="AN325" s="11"/>
      <c r="AO325" s="11"/>
      <c r="AP325" s="11"/>
      <c r="AQ325" s="36"/>
      <c r="AR325" s="11"/>
      <c r="AS325" s="11"/>
      <c r="AT325" s="11"/>
      <c r="AU325" s="12"/>
      <c r="AV325" s="11"/>
      <c r="AW325" s="11"/>
      <c r="AX325" s="15"/>
      <c r="AY325" s="15"/>
      <c r="AZ325" s="15"/>
      <c r="BA325" s="15"/>
      <c r="BB325" s="15"/>
      <c r="BC325" s="15"/>
      <c r="BD325" s="15"/>
      <c r="BE325" s="12"/>
      <c r="BF325" s="11"/>
      <c r="BG325" s="11"/>
      <c r="BH325" s="10"/>
      <c r="BI325" s="10"/>
      <c r="BJ325" s="10"/>
      <c r="BK325" s="23"/>
      <c r="BL325" s="23"/>
      <c r="BM325" s="23"/>
      <c r="BN325" s="23"/>
      <c r="BO325" s="23"/>
      <c r="BP325" s="23"/>
      <c r="BQ325" s="23"/>
      <c r="BR325" s="10"/>
      <c r="BS325" s="16"/>
      <c r="BT325" s="16"/>
      <c r="BU325" s="16"/>
      <c r="BV325" s="16"/>
      <c r="BW325" s="11"/>
      <c r="BX325" s="16"/>
      <c r="BY325" s="16"/>
      <c r="BZ325" s="17"/>
      <c r="CA325" s="18"/>
      <c r="CB325" s="18"/>
      <c r="CC325" s="18"/>
      <c r="CD325" s="18"/>
      <c r="CE325" s="18"/>
      <c r="CF325" s="18"/>
      <c r="CG325" s="19"/>
      <c r="CH325" s="15"/>
      <c r="CI325" s="17"/>
      <c r="CJ325" s="10"/>
      <c r="CK325" s="10"/>
      <c r="CL325" s="10"/>
      <c r="CM325" s="17"/>
      <c r="CN325" s="17"/>
      <c r="CO325" s="10"/>
      <c r="CP325" s="10"/>
      <c r="CQ325" s="10"/>
      <c r="CR325" s="10"/>
      <c r="CS325" s="10"/>
      <c r="CT325" s="10"/>
      <c r="CU325" s="10"/>
      <c r="CV325" s="10"/>
      <c r="CW325" s="10"/>
      <c r="CX325" s="10"/>
      <c r="CY325" s="10"/>
      <c r="CZ325" s="10"/>
      <c r="DA325" s="34"/>
      <c r="DB325" s="34"/>
      <c r="DC325" s="34"/>
      <c r="DD325" s="34"/>
      <c r="DE325" s="34"/>
      <c r="DF325" s="34"/>
      <c r="DG325" s="34"/>
      <c r="DH325" s="34"/>
      <c r="DI325" s="34"/>
      <c r="DJ325" s="34"/>
      <c r="DK325" s="34"/>
      <c r="DL325" s="34"/>
      <c r="DM325" s="34"/>
      <c r="DN325" s="34"/>
      <c r="DO325" s="34"/>
      <c r="DP325" s="34"/>
      <c r="DQ325" s="34"/>
      <c r="DR325" s="34"/>
      <c r="DS325" s="34"/>
      <c r="DT325" s="34"/>
      <c r="DU325" s="34"/>
      <c r="DV325" s="34"/>
      <c r="DW325" s="34"/>
      <c r="DX325" s="34"/>
      <c r="DY325" s="34"/>
      <c r="DZ325" s="34"/>
      <c r="EA325" s="34"/>
      <c r="EB325" s="34"/>
      <c r="EC325" s="34"/>
      <c r="ED325" s="34"/>
      <c r="EE325" s="34"/>
    </row>
    <row r="326" spans="1:135" customFormat="1">
      <c r="A326" s="71">
        <f>'Old Data'!$I322-'Old Data'!$S322</f>
        <v>-40</v>
      </c>
      <c r="B326" s="72">
        <f>VLOOKUP('Old Data'!$F322,$R$6:$T$135,2,FALSE)+VLOOKUP('Old Data'!$P322,$R$6:$T$135,3,FALSE)+$B$2</f>
        <v>205.02990411795201</v>
      </c>
      <c r="C326" s="72">
        <f>VLOOKUP('Old Data'!$P322,$R$6:$T$135,2,FALSE)+VLOOKUP('Old Data'!$F322,$R$6:$T$135,3,FALSE)+$B$2</f>
        <v>195.13326308525501</v>
      </c>
      <c r="D326" s="74">
        <f>('Old Data'!$I322-$B326)^2+('Old Data'!$S322-$C326)^2</f>
        <v>1641.419386630809</v>
      </c>
      <c r="E326" s="75">
        <f>'Old Data'!$K322-'Old Data'!$U322</f>
        <v>-32</v>
      </c>
      <c r="F326" s="72">
        <f>VLOOKUP('Old Data'!$F322,$V$6:$X$135,2,FALSE)+VLOOKUP('Old Data'!$P322,$V$6:$X$135,3,FALSE)+$C$2</f>
        <v>202.01315203435101</v>
      </c>
      <c r="G326" s="72">
        <f>VLOOKUP('Old Data'!$P322,$V$6:$X$135,2,FALSE)+VLOOKUP('Old Data'!$F322,$V$6:$X$135,3,FALSE)+$C$2</f>
        <v>180.64498279288421</v>
      </c>
      <c r="H326" s="74">
        <f>('Old Data'!$K322-$F326)^2+('Old Data'!$U322-$G326)^2</f>
        <v>3920.3667527247967</v>
      </c>
      <c r="I326" s="75">
        <f>('Old Data'!$L322+'Old Data'!$M322)-('Old Data'!$V322+'Old Data'!$W322)</f>
        <v>132</v>
      </c>
      <c r="J326" s="72">
        <f>VLOOKUP('Old Data'!$F322,$Z$6:$AB$135,2,FALSE)+VLOOKUP('Old Data'!$P322,$Z$6:$AB$135,3,FALSE)+$D$2</f>
        <v>96.264482533866911</v>
      </c>
      <c r="K326" s="72">
        <f>VLOOKUP('Old Data'!$P322,$Z$6:$AB$135,2,FALSE)+VLOOKUP('Old Data'!$F322,$Z$6:$AB$135,3,FALSE)+$D$2</f>
        <v>36.966157761201345</v>
      </c>
      <c r="L326" s="74">
        <f>('Old Data'!$L322+'Old Data'!$M322-$J326)^2+('Old Data'!$V322+'Old Data'!$W322-$K326)^2</f>
        <v>3473.8371358054628</v>
      </c>
      <c r="M326" s="75">
        <f>'Old Data'!$N322-'Old Data'!$X322</f>
        <v>-1</v>
      </c>
      <c r="N326" s="72">
        <f>VLOOKUP('Old Data'!$F322,$AD$6:$AF$135,2,FALSE)+VLOOKUP('Old Data'!$P322,$AD$6:$AF$135,3,FALSE)+$E$2</f>
        <v>1.2133290655037277</v>
      </c>
      <c r="O326" s="72">
        <f>VLOOKUP('Old Data'!$P322,$AD$6:$AF$135,2,FALSE)+VLOOKUP('Old Data'!$F322,$AD$6:$AF$135,3,FALSE)+$E$2</f>
        <v>0.79570877697921305</v>
      </c>
      <c r="P326" s="73">
        <f>('Old Data'!$N322-$N326)^2+('Old Data'!$X322-$O326)^2</f>
        <v>1.4958266400335967</v>
      </c>
      <c r="Q326" s="62"/>
      <c r="R326" s="3"/>
      <c r="S326" s="3"/>
      <c r="T326" s="3"/>
      <c r="V326" s="3"/>
      <c r="W326" s="3"/>
      <c r="X326" s="3"/>
      <c r="Z326" s="3"/>
      <c r="AA326" s="3"/>
      <c r="AB326" s="3"/>
      <c r="AC326" s="3"/>
      <c r="AD326" s="3"/>
      <c r="AE326" s="3"/>
      <c r="AF326" s="3"/>
      <c r="AG326" s="3"/>
      <c r="AH326" s="37"/>
      <c r="AI326" s="1"/>
      <c r="AK326" s="10"/>
      <c r="AL326" s="10"/>
      <c r="AM326" s="10"/>
      <c r="AN326" s="11"/>
      <c r="AO326" s="11"/>
      <c r="AP326" s="11"/>
      <c r="AQ326" s="36"/>
      <c r="AR326" s="11"/>
      <c r="AS326" s="11"/>
      <c r="AT326" s="11"/>
      <c r="AU326" s="12"/>
      <c r="AV326" s="11"/>
      <c r="AW326" s="11"/>
      <c r="AX326" s="15"/>
      <c r="AY326" s="15"/>
      <c r="AZ326" s="15"/>
      <c r="BA326" s="15"/>
      <c r="BB326" s="15"/>
      <c r="BC326" s="15"/>
      <c r="BD326" s="15"/>
      <c r="BE326" s="12"/>
      <c r="BF326" s="11"/>
      <c r="BG326" s="11"/>
      <c r="BH326" s="10"/>
      <c r="BI326" s="10"/>
      <c r="BJ326" s="10"/>
      <c r="BK326" s="23"/>
      <c r="BL326" s="23"/>
      <c r="BM326" s="23"/>
      <c r="BN326" s="23"/>
      <c r="BO326" s="23"/>
      <c r="BP326" s="23"/>
      <c r="BQ326" s="23"/>
      <c r="BR326" s="10"/>
      <c r="BS326" s="16"/>
      <c r="BT326" s="16"/>
      <c r="BU326" s="16"/>
      <c r="BV326" s="16"/>
      <c r="BW326" s="11"/>
      <c r="BX326" s="16"/>
      <c r="BY326" s="16"/>
      <c r="BZ326" s="17"/>
      <c r="CA326" s="18"/>
      <c r="CB326" s="18"/>
      <c r="CC326" s="18"/>
      <c r="CD326" s="18"/>
      <c r="CE326" s="18"/>
      <c r="CF326" s="18"/>
      <c r="CG326" s="19"/>
      <c r="CH326" s="15"/>
      <c r="CI326" s="17"/>
      <c r="CJ326" s="10"/>
      <c r="CK326" s="10"/>
      <c r="CL326" s="10"/>
      <c r="CM326" s="17"/>
      <c r="CN326" s="17"/>
      <c r="CO326" s="10"/>
      <c r="CP326" s="10"/>
      <c r="CQ326" s="10"/>
      <c r="CR326" s="10"/>
      <c r="CS326" s="10"/>
      <c r="CT326" s="10"/>
      <c r="CU326" s="10"/>
      <c r="CV326" s="10"/>
      <c r="CW326" s="10"/>
      <c r="CX326" s="10"/>
      <c r="CY326" s="10"/>
      <c r="CZ326" s="10"/>
      <c r="DA326" s="34"/>
      <c r="DB326" s="34"/>
      <c r="DC326" s="34"/>
      <c r="DD326" s="34"/>
      <c r="DE326" s="34"/>
      <c r="DF326" s="34"/>
      <c r="DG326" s="34"/>
      <c r="DH326" s="34"/>
      <c r="DI326" s="34"/>
      <c r="DJ326" s="34"/>
      <c r="DK326" s="34"/>
      <c r="DL326" s="34"/>
      <c r="DM326" s="34"/>
      <c r="DN326" s="34"/>
      <c r="DO326" s="34"/>
      <c r="DP326" s="34"/>
      <c r="DQ326" s="34"/>
      <c r="DR326" s="34"/>
      <c r="DS326" s="34"/>
      <c r="DT326" s="34"/>
      <c r="DU326" s="34"/>
      <c r="DV326" s="34"/>
      <c r="DW326" s="34"/>
      <c r="DX326" s="34"/>
      <c r="DY326" s="34"/>
      <c r="DZ326" s="34"/>
      <c r="EA326" s="34"/>
      <c r="EB326" s="34"/>
      <c r="EC326" s="34"/>
      <c r="ED326" s="34"/>
      <c r="EE326" s="34"/>
    </row>
    <row r="327" spans="1:135" customFormat="1">
      <c r="A327" s="71">
        <f>'Old Data'!$I323-'Old Data'!$S323</f>
        <v>20</v>
      </c>
      <c r="B327" s="72">
        <f>VLOOKUP('Old Data'!$F323,$R$6:$T$135,2,FALSE)+VLOOKUP('Old Data'!$P323,$R$6:$T$135,3,FALSE)+$B$2</f>
        <v>220.8284475258036</v>
      </c>
      <c r="C327" s="72">
        <f>VLOOKUP('Old Data'!$P323,$R$6:$T$135,2,FALSE)+VLOOKUP('Old Data'!$F323,$R$6:$T$135,3,FALSE)+$B$2</f>
        <v>206.93043689289973</v>
      </c>
      <c r="D327" s="74">
        <f>('Old Data'!$I323-$B327)^2+('Old Data'!$S323-$C327)^2</f>
        <v>910.7730598943092</v>
      </c>
      <c r="E327" s="75">
        <f>'Old Data'!$K323-'Old Data'!$U323</f>
        <v>128</v>
      </c>
      <c r="F327" s="72">
        <f>VLOOKUP('Old Data'!$F323,$V$6:$X$135,2,FALSE)+VLOOKUP('Old Data'!$P323,$V$6:$X$135,3,FALSE)+$C$2</f>
        <v>301.05009369771017</v>
      </c>
      <c r="G327" s="72">
        <f>VLOOKUP('Old Data'!$P323,$V$6:$X$135,2,FALSE)+VLOOKUP('Old Data'!$F323,$V$6:$X$135,3,FALSE)+$C$2</f>
        <v>281.352008257965</v>
      </c>
      <c r="H327" s="74">
        <f>('Old Data'!$K323-$F327)^2+('Old Data'!$U323-$G327)^2</f>
        <v>15058.047325727925</v>
      </c>
      <c r="I327" s="75">
        <f>('Old Data'!$L323+'Old Data'!$M323)-('Old Data'!$V323+'Old Data'!$W323)</f>
        <v>-160</v>
      </c>
      <c r="J327" s="72">
        <f>VLOOKUP('Old Data'!$F323,$Z$6:$AB$135,2,FALSE)+VLOOKUP('Old Data'!$P323,$Z$6:$AB$135,3,FALSE)+$D$2</f>
        <v>85.473867900576892</v>
      </c>
      <c r="K327" s="72">
        <f>VLOOKUP('Old Data'!$P323,$Z$6:$AB$135,2,FALSE)+VLOOKUP('Old Data'!$F323,$Z$6:$AB$135,3,FALSE)+$D$2</f>
        <v>152.0977996962562</v>
      </c>
      <c r="L327" s="74">
        <f>('Old Data'!$L323+'Old Data'!$M323-$J327)^2+('Old Data'!$V323+'Old Data'!$W323-$K327)^2</f>
        <v>17551.026640285814</v>
      </c>
      <c r="M327" s="75">
        <f>'Old Data'!$N323-'Old Data'!$X323</f>
        <v>-1</v>
      </c>
      <c r="N327" s="72">
        <f>VLOOKUP('Old Data'!$F323,$AD$6:$AF$135,2,FALSE)+VLOOKUP('Old Data'!$P323,$AD$6:$AF$135,3,FALSE)+$E$2</f>
        <v>1.8736784702624631</v>
      </c>
      <c r="O327" s="72">
        <f>VLOOKUP('Old Data'!$P323,$AD$6:$AF$135,2,FALSE)+VLOOKUP('Old Data'!$F323,$AD$6:$AF$135,3,FALSE)+$E$2</f>
        <v>1.4523300648252171</v>
      </c>
      <c r="P327" s="73">
        <f>('Old Data'!$N323-$N327)^2+('Old Data'!$X323-$O327)^2</f>
        <v>2.4112393571191482</v>
      </c>
      <c r="Q327" s="62"/>
      <c r="R327" s="3"/>
      <c r="S327" s="3"/>
      <c r="T327" s="3"/>
      <c r="V327" s="3"/>
      <c r="W327" s="3"/>
      <c r="X327" s="3"/>
      <c r="Z327" s="3"/>
      <c r="AA327" s="3"/>
      <c r="AB327" s="3"/>
      <c r="AC327" s="3"/>
      <c r="AD327" s="3"/>
      <c r="AE327" s="3"/>
      <c r="AF327" s="3"/>
      <c r="AG327" s="3"/>
      <c r="AH327" s="37"/>
      <c r="AI327" s="1"/>
      <c r="AK327" s="10"/>
      <c r="AL327" s="10"/>
      <c r="AM327" s="10"/>
      <c r="AN327" s="11"/>
      <c r="AO327" s="11"/>
      <c r="AP327" s="11"/>
      <c r="AQ327" s="36"/>
      <c r="AR327" s="11"/>
      <c r="AS327" s="11"/>
      <c r="AT327" s="11"/>
      <c r="AU327" s="12"/>
      <c r="AV327" s="11"/>
      <c r="AW327" s="11"/>
      <c r="AX327" s="15"/>
      <c r="AY327" s="15"/>
      <c r="AZ327" s="15"/>
      <c r="BA327" s="15"/>
      <c r="BB327" s="15"/>
      <c r="BC327" s="15"/>
      <c r="BD327" s="15"/>
      <c r="BE327" s="12"/>
      <c r="BF327" s="11"/>
      <c r="BG327" s="11"/>
      <c r="BH327" s="10"/>
      <c r="BI327" s="10"/>
      <c r="BJ327" s="10"/>
      <c r="BK327" s="23"/>
      <c r="BL327" s="23"/>
      <c r="BM327" s="23"/>
      <c r="BN327" s="23"/>
      <c r="BO327" s="23"/>
      <c r="BP327" s="23"/>
      <c r="BQ327" s="23"/>
      <c r="BR327" s="10"/>
      <c r="BS327" s="16"/>
      <c r="BT327" s="16"/>
      <c r="BU327" s="16"/>
      <c r="BV327" s="16"/>
      <c r="BW327" s="11"/>
      <c r="BX327" s="16"/>
      <c r="BY327" s="16"/>
      <c r="BZ327" s="17"/>
      <c r="CA327" s="18"/>
      <c r="CB327" s="18"/>
      <c r="CC327" s="18"/>
      <c r="CD327" s="18"/>
      <c r="CE327" s="18"/>
      <c r="CF327" s="18"/>
      <c r="CG327" s="19"/>
      <c r="CH327" s="15"/>
      <c r="CI327" s="17"/>
      <c r="CJ327" s="10"/>
      <c r="CK327" s="10"/>
      <c r="CL327" s="10"/>
      <c r="CM327" s="17"/>
      <c r="CN327" s="17"/>
      <c r="CO327" s="10"/>
      <c r="CP327" s="10"/>
      <c r="CQ327" s="10"/>
      <c r="CR327" s="10"/>
      <c r="CS327" s="10"/>
      <c r="CT327" s="10"/>
      <c r="CU327" s="10"/>
      <c r="CV327" s="10"/>
      <c r="CW327" s="10"/>
      <c r="CX327" s="10"/>
      <c r="CY327" s="10"/>
      <c r="CZ327" s="10"/>
      <c r="DA327" s="34"/>
      <c r="DB327" s="34"/>
      <c r="DC327" s="34"/>
      <c r="DD327" s="34"/>
      <c r="DE327" s="34"/>
      <c r="DF327" s="34"/>
      <c r="DG327" s="34"/>
      <c r="DH327" s="34"/>
      <c r="DI327" s="34"/>
      <c r="DJ327" s="34"/>
      <c r="DK327" s="34"/>
      <c r="DL327" s="34"/>
      <c r="DM327" s="34"/>
      <c r="DN327" s="34"/>
      <c r="DO327" s="34"/>
      <c r="DP327" s="34"/>
      <c r="DQ327" s="34"/>
      <c r="DR327" s="34"/>
      <c r="DS327" s="34"/>
      <c r="DT327" s="34"/>
      <c r="DU327" s="34"/>
      <c r="DV327" s="34"/>
      <c r="DW327" s="34"/>
      <c r="DX327" s="34"/>
      <c r="DY327" s="34"/>
      <c r="DZ327" s="34"/>
      <c r="EA327" s="34"/>
      <c r="EB327" s="34"/>
      <c r="EC327" s="34"/>
      <c r="ED327" s="34"/>
      <c r="EE327" s="34"/>
    </row>
    <row r="328" spans="1:135" customFormat="1">
      <c r="A328" s="71">
        <f>'Old Data'!$I324-'Old Data'!$S324</f>
        <v>193</v>
      </c>
      <c r="B328" s="72">
        <f>VLOOKUP('Old Data'!$F324,$R$6:$T$135,2,FALSE)+VLOOKUP('Old Data'!$P324,$R$6:$T$135,3,FALSE)+$B$2</f>
        <v>193.5677784861403</v>
      </c>
      <c r="C328" s="72">
        <f>VLOOKUP('Old Data'!$P324,$R$6:$T$135,2,FALSE)+VLOOKUP('Old Data'!$F324,$R$6:$T$135,3,FALSE)+$B$2</f>
        <v>66.078478173970709</v>
      </c>
      <c r="D328" s="74">
        <f>('Old Data'!$I324-$B328)^2+('Old Data'!$S324-$C328)^2</f>
        <v>2167.9122505905866</v>
      </c>
      <c r="E328" s="75">
        <f>'Old Data'!$K324-'Old Data'!$U324</f>
        <v>61</v>
      </c>
      <c r="F328" s="72">
        <f>VLOOKUP('Old Data'!$F324,$V$6:$X$135,2,FALSE)+VLOOKUP('Old Data'!$P324,$V$6:$X$135,3,FALSE)+$C$2</f>
        <v>210.28095669458918</v>
      </c>
      <c r="G328" s="72">
        <f>VLOOKUP('Old Data'!$P324,$V$6:$X$135,2,FALSE)+VLOOKUP('Old Data'!$F324,$V$6:$X$135,3,FALSE)+$C$2</f>
        <v>198.2394051251799</v>
      </c>
      <c r="H328" s="74">
        <f>('Old Data'!$K324-$F328)^2+('Old Data'!$U324-$G328)^2</f>
        <v>7195.8196629319718</v>
      </c>
      <c r="I328" s="75">
        <f>('Old Data'!$L324+'Old Data'!$M324)-('Old Data'!$V324+'Old Data'!$W324)</f>
        <v>28</v>
      </c>
      <c r="J328" s="72">
        <f>VLOOKUP('Old Data'!$F324,$Z$6:$AB$135,2,FALSE)+VLOOKUP('Old Data'!$P324,$Z$6:$AB$135,3,FALSE)+$D$2</f>
        <v>92.356164018460504</v>
      </c>
      <c r="K328" s="72">
        <f>VLOOKUP('Old Data'!$P324,$Z$6:$AB$135,2,FALSE)+VLOOKUP('Old Data'!$F324,$Z$6:$AB$135,3,FALSE)+$D$2</f>
        <v>14.687411791765996</v>
      </c>
      <c r="L328" s="74">
        <f>('Old Data'!$L324+'Old Data'!$M324-$J328)^2+('Old Data'!$V324+'Old Data'!$W324-$K328)^2</f>
        <v>2075.7800315232903</v>
      </c>
      <c r="M328" s="75">
        <f>'Old Data'!$N324-'Old Data'!$X324</f>
        <v>2</v>
      </c>
      <c r="N328" s="72">
        <f>VLOOKUP('Old Data'!$F324,$AD$6:$AF$135,2,FALSE)+VLOOKUP('Old Data'!$P324,$AD$6:$AF$135,3,FALSE)+$E$2</f>
        <v>1.7755691875142441</v>
      </c>
      <c r="O328" s="72">
        <f>VLOOKUP('Old Data'!$P324,$AD$6:$AF$135,2,FALSE)+VLOOKUP('Old Data'!$F324,$AD$6:$AF$135,3,FALSE)+$E$2</f>
        <v>1.7842896257963634</v>
      </c>
      <c r="P328" s="73">
        <f>('Old Data'!$N324-$N328)^2+('Old Data'!$X324-$O328)^2</f>
        <v>3.2340586583175432</v>
      </c>
      <c r="Q328" s="62"/>
      <c r="R328" s="3"/>
      <c r="S328" s="3"/>
      <c r="T328" s="3"/>
      <c r="V328" s="3"/>
      <c r="W328" s="3"/>
      <c r="X328" s="3"/>
      <c r="Z328" s="3"/>
      <c r="AA328" s="3"/>
      <c r="AB328" s="3"/>
      <c r="AC328" s="3"/>
      <c r="AD328" s="3"/>
      <c r="AE328" s="3"/>
      <c r="AF328" s="3"/>
      <c r="AG328" s="3"/>
      <c r="AH328" s="37"/>
      <c r="AI328" s="1"/>
      <c r="AK328" s="10"/>
      <c r="AL328" s="10"/>
      <c r="AM328" s="10"/>
      <c r="AN328" s="11"/>
      <c r="AO328" s="11"/>
      <c r="AP328" s="11"/>
      <c r="AQ328" s="36"/>
      <c r="AR328" s="11"/>
      <c r="AS328" s="11"/>
      <c r="AT328" s="11"/>
      <c r="AU328" s="12"/>
      <c r="AV328" s="11"/>
      <c r="AW328" s="11"/>
      <c r="AX328" s="15"/>
      <c r="AY328" s="15"/>
      <c r="AZ328" s="15"/>
      <c r="BA328" s="15"/>
      <c r="BB328" s="15"/>
      <c r="BC328" s="15"/>
      <c r="BD328" s="15"/>
      <c r="BE328" s="12"/>
      <c r="BF328" s="11"/>
      <c r="BG328" s="11"/>
      <c r="BH328" s="10"/>
      <c r="BI328" s="10"/>
      <c r="BJ328" s="10"/>
      <c r="BK328" s="23"/>
      <c r="BL328" s="23"/>
      <c r="BM328" s="23"/>
      <c r="BN328" s="23"/>
      <c r="BO328" s="23"/>
      <c r="BP328" s="23"/>
      <c r="BQ328" s="23"/>
      <c r="BR328" s="10"/>
      <c r="BS328" s="16"/>
      <c r="BT328" s="16"/>
      <c r="BU328" s="16"/>
      <c r="BV328" s="16"/>
      <c r="BW328" s="11"/>
      <c r="BX328" s="16"/>
      <c r="BY328" s="16"/>
      <c r="BZ328" s="17"/>
      <c r="CA328" s="18"/>
      <c r="CB328" s="18"/>
      <c r="CC328" s="18"/>
      <c r="CD328" s="18"/>
      <c r="CE328" s="18"/>
      <c r="CF328" s="18"/>
      <c r="CG328" s="19"/>
      <c r="CH328" s="15"/>
      <c r="CI328" s="17"/>
      <c r="CJ328" s="10"/>
      <c r="CK328" s="10"/>
      <c r="CL328" s="10"/>
      <c r="CM328" s="17"/>
      <c r="CN328" s="17"/>
      <c r="CO328" s="10"/>
      <c r="CP328" s="10"/>
      <c r="CQ328" s="10"/>
      <c r="CR328" s="10"/>
      <c r="CS328" s="10"/>
      <c r="CT328" s="10"/>
      <c r="CU328" s="10"/>
      <c r="CV328" s="10"/>
      <c r="CW328" s="10"/>
      <c r="CX328" s="10"/>
      <c r="CY328" s="10"/>
      <c r="CZ328" s="10"/>
      <c r="DA328" s="34"/>
      <c r="DB328" s="34"/>
      <c r="DC328" s="34"/>
      <c r="DD328" s="34"/>
      <c r="DE328" s="34"/>
      <c r="DF328" s="34"/>
      <c r="DG328" s="34"/>
      <c r="DH328" s="34"/>
      <c r="DI328" s="34"/>
      <c r="DJ328" s="34"/>
      <c r="DK328" s="34"/>
      <c r="DL328" s="34"/>
      <c r="DM328" s="34"/>
      <c r="DN328" s="34"/>
      <c r="DO328" s="34"/>
      <c r="DP328" s="34"/>
      <c r="DQ328" s="34"/>
      <c r="DR328" s="34"/>
      <c r="DS328" s="34"/>
      <c r="DT328" s="34"/>
      <c r="DU328" s="34"/>
      <c r="DV328" s="34"/>
      <c r="DW328" s="34"/>
      <c r="DX328" s="34"/>
      <c r="DY328" s="34"/>
      <c r="DZ328" s="34"/>
      <c r="EA328" s="34"/>
      <c r="EB328" s="34"/>
      <c r="EC328" s="34"/>
      <c r="ED328" s="34"/>
      <c r="EE328" s="34"/>
    </row>
    <row r="329" spans="1:135" customFormat="1">
      <c r="A329" s="71">
        <f>'Old Data'!$I325-'Old Data'!$S325</f>
        <v>88</v>
      </c>
      <c r="B329" s="72">
        <f>VLOOKUP('Old Data'!$F325,$R$6:$T$135,2,FALSE)+VLOOKUP('Old Data'!$P325,$R$6:$T$135,3,FALSE)+$B$2</f>
        <v>110.12757286161258</v>
      </c>
      <c r="C329" s="72">
        <f>VLOOKUP('Old Data'!$P325,$R$6:$T$135,2,FALSE)+VLOOKUP('Old Data'!$F325,$R$6:$T$135,3,FALSE)+$B$2</f>
        <v>211.6797361386306</v>
      </c>
      <c r="D329" s="74">
        <f>('Old Data'!$I325-$B329)^2+('Old Data'!$S325-$C329)^2</f>
        <v>18772.737506399615</v>
      </c>
      <c r="E329" s="75">
        <f>'Old Data'!$K325-'Old Data'!$U325</f>
        <v>69</v>
      </c>
      <c r="F329" s="72">
        <f>VLOOKUP('Old Data'!$F325,$V$6:$X$135,2,FALSE)+VLOOKUP('Old Data'!$P325,$V$6:$X$135,3,FALSE)+$C$2</f>
        <v>186.13849877424872</v>
      </c>
      <c r="G329" s="72">
        <f>VLOOKUP('Old Data'!$P325,$V$6:$X$135,2,FALSE)+VLOOKUP('Old Data'!$F325,$V$6:$X$135,3,FALSE)+$C$2</f>
        <v>57.061833301812669</v>
      </c>
      <c r="H329" s="74">
        <f>('Old Data'!$K325-$F329)^2+('Old Data'!$U325-$G329)^2</f>
        <v>2323.0335600478084</v>
      </c>
      <c r="I329" s="75">
        <f>('Old Data'!$L325+'Old Data'!$M325)-('Old Data'!$V325+'Old Data'!$W325)</f>
        <v>18</v>
      </c>
      <c r="J329" s="72">
        <f>VLOOKUP('Old Data'!$F325,$Z$6:$AB$135,2,FALSE)+VLOOKUP('Old Data'!$P325,$Z$6:$AB$135,3,FALSE)+$D$2</f>
        <v>60.527069346747389</v>
      </c>
      <c r="K329" s="72">
        <f>VLOOKUP('Old Data'!$P325,$Z$6:$AB$135,2,FALSE)+VLOOKUP('Old Data'!$F325,$Z$6:$AB$135,3,FALSE)+$D$2</f>
        <v>22.197933685659656</v>
      </c>
      <c r="L329" s="74">
        <f>('Old Data'!$L325+'Old Data'!$M325-$J329)^2+('Old Data'!$V325+'Old Data'!$W325-$K329)^2</f>
        <v>1704.0498568119347</v>
      </c>
      <c r="M329" s="75">
        <f>'Old Data'!$N325-'Old Data'!$X325</f>
        <v>0</v>
      </c>
      <c r="N329" s="72">
        <f>VLOOKUP('Old Data'!$F325,$AD$6:$AF$135,2,FALSE)+VLOOKUP('Old Data'!$P325,$AD$6:$AF$135,3,FALSE)+$E$2</f>
        <v>1.3289463560678856</v>
      </c>
      <c r="O329" s="72">
        <f>VLOOKUP('Old Data'!$P325,$AD$6:$AF$135,2,FALSE)+VLOOKUP('Old Data'!$F325,$AD$6:$AF$135,3,FALSE)+$E$2</f>
        <v>0.77693684662403917</v>
      </c>
      <c r="P329" s="73">
        <f>('Old Data'!$N325-$N329)^2+('Old Data'!$X325-$O329)^2</f>
        <v>2.3697292809482171</v>
      </c>
      <c r="Q329" s="62"/>
      <c r="R329" s="3"/>
      <c r="S329" s="3"/>
      <c r="T329" s="3"/>
      <c r="V329" s="3"/>
      <c r="W329" s="3"/>
      <c r="X329" s="3"/>
      <c r="Z329" s="3"/>
      <c r="AA329" s="3"/>
      <c r="AB329" s="3"/>
      <c r="AC329" s="3"/>
      <c r="AD329" s="3"/>
      <c r="AE329" s="3"/>
      <c r="AF329" s="3"/>
      <c r="AG329" s="3"/>
      <c r="AH329" s="37"/>
      <c r="AI329" s="1"/>
      <c r="AK329" s="10"/>
      <c r="AL329" s="10"/>
      <c r="AM329" s="10"/>
      <c r="AN329" s="11"/>
      <c r="AO329" s="11"/>
      <c r="AP329" s="11"/>
      <c r="AQ329" s="36"/>
      <c r="AR329" s="11"/>
      <c r="AS329" s="11"/>
      <c r="AT329" s="11"/>
      <c r="AU329" s="12"/>
      <c r="AV329" s="11"/>
      <c r="AW329" s="11"/>
      <c r="AX329" s="15"/>
      <c r="AY329" s="15"/>
      <c r="AZ329" s="15"/>
      <c r="BA329" s="15"/>
      <c r="BB329" s="15"/>
      <c r="BC329" s="15"/>
      <c r="BD329" s="15"/>
      <c r="BE329" s="12"/>
      <c r="BF329" s="11"/>
      <c r="BG329" s="11"/>
      <c r="BH329" s="10"/>
      <c r="BI329" s="10"/>
      <c r="BJ329" s="10"/>
      <c r="BK329" s="23"/>
      <c r="BL329" s="23"/>
      <c r="BM329" s="23"/>
      <c r="BN329" s="23"/>
      <c r="BO329" s="23"/>
      <c r="BP329" s="23"/>
      <c r="BQ329" s="23"/>
      <c r="BR329" s="10"/>
      <c r="BS329" s="16"/>
      <c r="BT329" s="16"/>
      <c r="BU329" s="16"/>
      <c r="BV329" s="16"/>
      <c r="BW329" s="11"/>
      <c r="BX329" s="16"/>
      <c r="BY329" s="16"/>
      <c r="BZ329" s="17"/>
      <c r="CA329" s="18"/>
      <c r="CB329" s="18"/>
      <c r="CC329" s="18"/>
      <c r="CD329" s="18"/>
      <c r="CE329" s="18"/>
      <c r="CF329" s="18"/>
      <c r="CG329" s="19"/>
      <c r="CH329" s="15"/>
      <c r="CI329" s="17"/>
      <c r="CJ329" s="10"/>
      <c r="CK329" s="10"/>
      <c r="CL329" s="10"/>
      <c r="CM329" s="17"/>
      <c r="CN329" s="17"/>
      <c r="CO329" s="10"/>
      <c r="CP329" s="10"/>
      <c r="CQ329" s="10"/>
      <c r="CR329" s="10"/>
      <c r="CS329" s="10"/>
      <c r="CT329" s="10"/>
      <c r="CU329" s="10"/>
      <c r="CV329" s="10"/>
      <c r="CW329" s="10"/>
      <c r="CX329" s="10"/>
      <c r="CY329" s="10"/>
      <c r="CZ329" s="10"/>
      <c r="DA329" s="34"/>
      <c r="DB329" s="34"/>
      <c r="DC329" s="34"/>
      <c r="DD329" s="34"/>
      <c r="DE329" s="34"/>
      <c r="DF329" s="34"/>
      <c r="DG329" s="34"/>
      <c r="DH329" s="34"/>
      <c r="DI329" s="34"/>
      <c r="DJ329" s="34"/>
      <c r="DK329" s="34"/>
      <c r="DL329" s="34"/>
      <c r="DM329" s="34"/>
      <c r="DN329" s="34"/>
      <c r="DO329" s="34"/>
      <c r="DP329" s="34"/>
      <c r="DQ329" s="34"/>
      <c r="DR329" s="34"/>
      <c r="DS329" s="34"/>
      <c r="DT329" s="34"/>
      <c r="DU329" s="34"/>
      <c r="DV329" s="34"/>
      <c r="DW329" s="34"/>
      <c r="DX329" s="34"/>
      <c r="DY329" s="34"/>
      <c r="DZ329" s="34"/>
      <c r="EA329" s="34"/>
      <c r="EB329" s="34"/>
      <c r="EC329" s="34"/>
      <c r="ED329" s="34"/>
      <c r="EE329" s="34"/>
    </row>
    <row r="330" spans="1:135" customFormat="1">
      <c r="A330" s="71">
        <f>'Old Data'!$I326-'Old Data'!$S326</f>
        <v>68</v>
      </c>
      <c r="B330" s="72">
        <f>VLOOKUP('Old Data'!$F326,$R$6:$T$135,2,FALSE)+VLOOKUP('Old Data'!$P326,$R$6:$T$135,3,FALSE)+$B$2</f>
        <v>179.18741616931155</v>
      </c>
      <c r="C330" s="72">
        <f>VLOOKUP('Old Data'!$P326,$R$6:$T$135,2,FALSE)+VLOOKUP('Old Data'!$F326,$R$6:$T$135,3,FALSE)+$B$2</f>
        <v>144.61038415432</v>
      </c>
      <c r="D330" s="74">
        <f>('Old Data'!$I326-$B330)^2+('Old Data'!$S326-$C330)^2</f>
        <v>1607.2666517050632</v>
      </c>
      <c r="E330" s="75">
        <f>'Old Data'!$K326-'Old Data'!$U326</f>
        <v>-123</v>
      </c>
      <c r="F330" s="72">
        <f>VLOOKUP('Old Data'!$F326,$V$6:$X$135,2,FALSE)+VLOOKUP('Old Data'!$P326,$V$6:$X$135,3,FALSE)+$C$2</f>
        <v>236.76248057993422</v>
      </c>
      <c r="G330" s="72">
        <f>VLOOKUP('Old Data'!$P326,$V$6:$X$135,2,FALSE)+VLOOKUP('Old Data'!$F326,$V$6:$X$135,3,FALSE)+$C$2</f>
        <v>198.12057268995659</v>
      </c>
      <c r="H330" s="74">
        <f>('Old Data'!$K326-$F330)^2+('Old Data'!$U326-$G330)^2</f>
        <v>13781.616055680697</v>
      </c>
      <c r="I330" s="75">
        <f>('Old Data'!$L326+'Old Data'!$M326)-('Old Data'!$V326+'Old Data'!$W326)</f>
        <v>11</v>
      </c>
      <c r="J330" s="72">
        <f>VLOOKUP('Old Data'!$F326,$Z$6:$AB$135,2,FALSE)+VLOOKUP('Old Data'!$P326,$Z$6:$AB$135,3,FALSE)+$D$2</f>
        <v>48.286680821727337</v>
      </c>
      <c r="K330" s="72">
        <f>VLOOKUP('Old Data'!$P326,$Z$6:$AB$135,2,FALSE)+VLOOKUP('Old Data'!$F326,$Z$6:$AB$135,3,FALSE)+$D$2</f>
        <v>94.571171309758199</v>
      </c>
      <c r="L330" s="74">
        <f>('Old Data'!$L326+'Old Data'!$M326-$J330)^2+('Old Data'!$V326+'Old Data'!$W326-$K330)^2</f>
        <v>7243.6988541823775</v>
      </c>
      <c r="M330" s="75">
        <f>'Old Data'!$N326-'Old Data'!$X326</f>
        <v>2</v>
      </c>
      <c r="N330" s="72">
        <f>VLOOKUP('Old Data'!$F326,$AD$6:$AF$135,2,FALSE)+VLOOKUP('Old Data'!$P326,$AD$6:$AF$135,3,FALSE)+$E$2</f>
        <v>1.7092961231558361</v>
      </c>
      <c r="O330" s="72">
        <f>VLOOKUP('Old Data'!$P326,$AD$6:$AF$135,2,FALSE)+VLOOKUP('Old Data'!$F326,$AD$6:$AF$135,3,FALSE)+$E$2</f>
        <v>1.330401168980951</v>
      </c>
      <c r="P330" s="73">
        <f>('Old Data'!$N326-$N330)^2+('Old Data'!$X326-$O330)^2</f>
        <v>1.7750814301645335</v>
      </c>
      <c r="Q330" s="62"/>
      <c r="R330" s="3"/>
      <c r="S330" s="3"/>
      <c r="T330" s="3"/>
      <c r="V330" s="3"/>
      <c r="W330" s="3"/>
      <c r="X330" s="3"/>
      <c r="Z330" s="3"/>
      <c r="AA330" s="3"/>
      <c r="AB330" s="3"/>
      <c r="AC330" s="3"/>
      <c r="AD330" s="3"/>
      <c r="AE330" s="3"/>
      <c r="AF330" s="3"/>
      <c r="AG330" s="3"/>
      <c r="AH330" s="37"/>
      <c r="AI330" s="1"/>
      <c r="AK330" s="10"/>
      <c r="AL330" s="10"/>
      <c r="AM330" s="10"/>
      <c r="AN330" s="11"/>
      <c r="AO330" s="11"/>
      <c r="AP330" s="11"/>
      <c r="AQ330" s="36"/>
      <c r="AR330" s="11"/>
      <c r="AS330" s="11"/>
      <c r="AT330" s="11"/>
      <c r="AU330" s="12"/>
      <c r="AV330" s="11"/>
      <c r="AW330" s="11"/>
      <c r="AX330" s="15"/>
      <c r="AY330" s="15"/>
      <c r="AZ330" s="15"/>
      <c r="BA330" s="15"/>
      <c r="BB330" s="15"/>
      <c r="BC330" s="15"/>
      <c r="BD330" s="15"/>
      <c r="BE330" s="12"/>
      <c r="BF330" s="11"/>
      <c r="BG330" s="11"/>
      <c r="BH330" s="10"/>
      <c r="BI330" s="10"/>
      <c r="BJ330" s="10"/>
      <c r="BK330" s="23"/>
      <c r="BL330" s="23"/>
      <c r="BM330" s="23"/>
      <c r="BN330" s="23"/>
      <c r="BO330" s="23"/>
      <c r="BP330" s="23"/>
      <c r="BQ330" s="23"/>
      <c r="BR330" s="10"/>
      <c r="BS330" s="16"/>
      <c r="BT330" s="16"/>
      <c r="BU330" s="16"/>
      <c r="BV330" s="16"/>
      <c r="BW330" s="11"/>
      <c r="BX330" s="16"/>
      <c r="BY330" s="16"/>
      <c r="BZ330" s="17"/>
      <c r="CA330" s="18"/>
      <c r="CB330" s="18"/>
      <c r="CC330" s="18"/>
      <c r="CD330" s="18"/>
      <c r="CE330" s="18"/>
      <c r="CF330" s="18"/>
      <c r="CG330" s="19"/>
      <c r="CH330" s="15"/>
      <c r="CI330" s="17"/>
      <c r="CJ330" s="10"/>
      <c r="CK330" s="10"/>
      <c r="CL330" s="10"/>
      <c r="CM330" s="17"/>
      <c r="CN330" s="17"/>
      <c r="CO330" s="10"/>
      <c r="CP330" s="10"/>
      <c r="CQ330" s="10"/>
      <c r="CR330" s="10"/>
      <c r="CS330" s="10"/>
      <c r="CT330" s="10"/>
      <c r="CU330" s="10"/>
      <c r="CV330" s="10"/>
      <c r="CW330" s="10"/>
      <c r="CX330" s="10"/>
      <c r="CY330" s="10"/>
      <c r="CZ330" s="10"/>
      <c r="DA330" s="34"/>
      <c r="DB330" s="34"/>
      <c r="DC330" s="34"/>
      <c r="DD330" s="34"/>
      <c r="DE330" s="34"/>
      <c r="DF330" s="34"/>
      <c r="DG330" s="34"/>
      <c r="DH330" s="34"/>
      <c r="DI330" s="34"/>
      <c r="DJ330" s="34"/>
      <c r="DK330" s="34"/>
      <c r="DL330" s="34"/>
      <c r="DM330" s="34"/>
      <c r="DN330" s="34"/>
      <c r="DO330" s="34"/>
      <c r="DP330" s="34"/>
      <c r="DQ330" s="34"/>
      <c r="DR330" s="34"/>
      <c r="DS330" s="34"/>
      <c r="DT330" s="34"/>
      <c r="DU330" s="34"/>
      <c r="DV330" s="34"/>
      <c r="DW330" s="34"/>
      <c r="DX330" s="34"/>
      <c r="DY330" s="34"/>
      <c r="DZ330" s="34"/>
      <c r="EA330" s="34"/>
      <c r="EB330" s="34"/>
      <c r="EC330" s="34"/>
      <c r="ED330" s="34"/>
      <c r="EE330" s="34"/>
    </row>
    <row r="331" spans="1:135" customFormat="1">
      <c r="A331" s="71">
        <f>'Old Data'!$I327-'Old Data'!$S327</f>
        <v>-105</v>
      </c>
      <c r="B331" s="72">
        <f>VLOOKUP('Old Data'!$F327,$R$6:$T$135,2,FALSE)+VLOOKUP('Old Data'!$P327,$R$6:$T$135,3,FALSE)+$B$2</f>
        <v>57.300490439524907</v>
      </c>
      <c r="C331" s="72">
        <f>VLOOKUP('Old Data'!$P327,$R$6:$T$135,2,FALSE)+VLOOKUP('Old Data'!$F327,$R$6:$T$135,3,FALSE)+$B$2</f>
        <v>129.33899728922091</v>
      </c>
      <c r="D331" s="74">
        <f>('Old Data'!$I327-$B331)^2+('Old Data'!$S327-$C331)^2</f>
        <v>543.29499989763099</v>
      </c>
      <c r="E331" s="75">
        <f>'Old Data'!$K327-'Old Data'!$U327</f>
        <v>-80</v>
      </c>
      <c r="F331" s="72">
        <f>VLOOKUP('Old Data'!$F327,$V$6:$X$135,2,FALSE)+VLOOKUP('Old Data'!$P327,$V$6:$X$135,3,FALSE)+$C$2</f>
        <v>228.24974894212249</v>
      </c>
      <c r="G331" s="72">
        <f>VLOOKUP('Old Data'!$P327,$V$6:$X$135,2,FALSE)+VLOOKUP('Old Data'!$F327,$V$6:$X$135,3,FALSE)+$C$2</f>
        <v>320.46238972733539</v>
      </c>
      <c r="H331" s="74">
        <f>('Old Data'!$K327-$F331)^2+('Old Data'!$U327-$G331)^2</f>
        <v>14645.891442024433</v>
      </c>
      <c r="I331" s="75">
        <f>('Old Data'!$L327+'Old Data'!$M327)-('Old Data'!$V327+'Old Data'!$W327)</f>
        <v>110</v>
      </c>
      <c r="J331" s="72">
        <f>VLOOKUP('Old Data'!$F327,$Z$6:$AB$135,2,FALSE)+VLOOKUP('Old Data'!$P327,$Z$6:$AB$135,3,FALSE)+$D$2</f>
        <v>98.970986070109973</v>
      </c>
      <c r="K331" s="72">
        <f>VLOOKUP('Old Data'!$P327,$Z$6:$AB$135,2,FALSE)+VLOOKUP('Old Data'!$F327,$Z$6:$AB$135,3,FALSE)+$D$2</f>
        <v>31.027658341060977</v>
      </c>
      <c r="L331" s="74">
        <f>('Old Data'!$L327+'Old Data'!$M327-$J331)^2+('Old Data'!$V327+'Old Data'!$W327-$K331)^2</f>
        <v>1084.3547303953192</v>
      </c>
      <c r="M331" s="75">
        <f>'Old Data'!$N327-'Old Data'!$X327</f>
        <v>-2</v>
      </c>
      <c r="N331" s="72">
        <f>VLOOKUP('Old Data'!$F327,$AD$6:$AF$135,2,FALSE)+VLOOKUP('Old Data'!$P327,$AD$6:$AF$135,3,FALSE)+$E$2</f>
        <v>0.67768671782477108</v>
      </c>
      <c r="O331" s="72">
        <f>VLOOKUP('Old Data'!$P327,$AD$6:$AF$135,2,FALSE)+VLOOKUP('Old Data'!$F327,$AD$6:$AF$135,3,FALSE)+$E$2</f>
        <v>1.7589568324991551</v>
      </c>
      <c r="P331" s="73">
        <f>('Old Data'!$N327-$N331)^2+('Old Data'!$X327-$O331)^2</f>
        <v>1.6440739954670986</v>
      </c>
      <c r="Q331" s="62"/>
      <c r="R331" s="3"/>
      <c r="S331" s="3"/>
      <c r="T331" s="3"/>
      <c r="V331" s="3"/>
      <c r="W331" s="3"/>
      <c r="X331" s="3"/>
      <c r="Z331" s="3"/>
      <c r="AA331" s="3"/>
      <c r="AB331" s="3"/>
      <c r="AC331" s="3"/>
      <c r="AD331" s="3"/>
      <c r="AE331" s="3"/>
      <c r="AF331" s="3"/>
      <c r="AG331" s="3"/>
      <c r="AH331" s="37"/>
      <c r="AI331" s="1"/>
      <c r="AK331" s="10"/>
      <c r="AL331" s="10"/>
      <c r="AM331" s="10"/>
      <c r="AN331" s="11"/>
      <c r="AO331" s="11"/>
      <c r="AP331" s="11"/>
      <c r="AQ331" s="36"/>
      <c r="AR331" s="11"/>
      <c r="AS331" s="11"/>
      <c r="AT331" s="11"/>
      <c r="AU331" s="12"/>
      <c r="AV331" s="11"/>
      <c r="AW331" s="11"/>
      <c r="AX331" s="15"/>
      <c r="AY331" s="15"/>
      <c r="AZ331" s="15"/>
      <c r="BA331" s="15"/>
      <c r="BB331" s="15"/>
      <c r="BC331" s="15"/>
      <c r="BD331" s="15"/>
      <c r="BE331" s="12"/>
      <c r="BF331" s="11"/>
      <c r="BG331" s="11"/>
      <c r="BH331" s="10"/>
      <c r="BI331" s="10"/>
      <c r="BJ331" s="10"/>
      <c r="BK331" s="23"/>
      <c r="BL331" s="23"/>
      <c r="BM331" s="23"/>
      <c r="BN331" s="23"/>
      <c r="BO331" s="23"/>
      <c r="BP331" s="23"/>
      <c r="BQ331" s="23"/>
      <c r="BR331" s="10"/>
      <c r="BS331" s="16"/>
      <c r="BT331" s="16"/>
      <c r="BU331" s="16"/>
      <c r="BV331" s="16"/>
      <c r="BW331" s="11"/>
      <c r="BX331" s="16"/>
      <c r="BY331" s="16"/>
      <c r="BZ331" s="17"/>
      <c r="CA331" s="18"/>
      <c r="CB331" s="18"/>
      <c r="CC331" s="18"/>
      <c r="CD331" s="18"/>
      <c r="CE331" s="18"/>
      <c r="CF331" s="18"/>
      <c r="CG331" s="19"/>
      <c r="CH331" s="15"/>
      <c r="CI331" s="17"/>
      <c r="CJ331" s="10"/>
      <c r="CK331" s="10"/>
      <c r="CL331" s="10"/>
      <c r="CM331" s="17"/>
      <c r="CN331" s="17"/>
      <c r="CO331" s="10"/>
      <c r="CP331" s="10"/>
      <c r="CQ331" s="10"/>
      <c r="CR331" s="10"/>
      <c r="CS331" s="10"/>
      <c r="CT331" s="10"/>
      <c r="CU331" s="10"/>
      <c r="CV331" s="10"/>
      <c r="CW331" s="10"/>
      <c r="CX331" s="10"/>
      <c r="CY331" s="10"/>
      <c r="CZ331" s="10"/>
      <c r="DA331" s="34"/>
      <c r="DB331" s="34"/>
      <c r="DC331" s="34"/>
      <c r="DD331" s="34"/>
      <c r="DE331" s="34"/>
      <c r="DF331" s="34"/>
      <c r="DG331" s="34"/>
      <c r="DH331" s="34"/>
      <c r="DI331" s="34"/>
      <c r="DJ331" s="34"/>
      <c r="DK331" s="34"/>
      <c r="DL331" s="34"/>
      <c r="DM331" s="34"/>
      <c r="DN331" s="34"/>
      <c r="DO331" s="34"/>
      <c r="DP331" s="34"/>
      <c r="DQ331" s="34"/>
      <c r="DR331" s="34"/>
      <c r="DS331" s="34"/>
      <c r="DT331" s="34"/>
      <c r="DU331" s="34"/>
      <c r="DV331" s="34"/>
      <c r="DW331" s="34"/>
      <c r="DX331" s="34"/>
      <c r="DY331" s="34"/>
      <c r="DZ331" s="34"/>
      <c r="EA331" s="34"/>
      <c r="EB331" s="34"/>
      <c r="EC331" s="34"/>
      <c r="ED331" s="34"/>
      <c r="EE331" s="34"/>
    </row>
    <row r="332" spans="1:135" customFormat="1">
      <c r="A332" s="71">
        <f>'Old Data'!$I328-'Old Data'!$S328</f>
        <v>-72</v>
      </c>
      <c r="B332" s="72">
        <f>VLOOKUP('Old Data'!$F328,$R$6:$T$135,2,FALSE)+VLOOKUP('Old Data'!$P328,$R$6:$T$135,3,FALSE)+$B$2</f>
        <v>140.76846664883013</v>
      </c>
      <c r="C332" s="72">
        <f>VLOOKUP('Old Data'!$P328,$R$6:$T$135,2,FALSE)+VLOOKUP('Old Data'!$F328,$R$6:$T$135,3,FALSE)+$B$2</f>
        <v>222.74852921359522</v>
      </c>
      <c r="D332" s="74">
        <f>('Old Data'!$I328-$B332)^2+('Old Data'!$S328-$C332)^2</f>
        <v>546.46133849438104</v>
      </c>
      <c r="E332" s="75">
        <f>'Old Data'!$K328-'Old Data'!$U328</f>
        <v>-200</v>
      </c>
      <c r="F332" s="72">
        <f>VLOOKUP('Old Data'!$F328,$V$6:$X$135,2,FALSE)+VLOOKUP('Old Data'!$P328,$V$6:$X$135,3,FALSE)+$C$2</f>
        <v>173.20287527412839</v>
      </c>
      <c r="G332" s="72">
        <f>VLOOKUP('Old Data'!$P328,$V$6:$X$135,2,FALSE)+VLOOKUP('Old Data'!$F328,$V$6:$X$135,3,FALSE)+$C$2</f>
        <v>218.2917102878061</v>
      </c>
      <c r="H332" s="74">
        <f>('Old Data'!$K328-$F332)^2+('Old Data'!$U328-$G332)^2</f>
        <v>12004.840582834622</v>
      </c>
      <c r="I332" s="75">
        <f>('Old Data'!$L328+'Old Data'!$M328)-('Old Data'!$V328+'Old Data'!$W328)</f>
        <v>48</v>
      </c>
      <c r="J332" s="72">
        <f>VLOOKUP('Old Data'!$F328,$Z$6:$AB$135,2,FALSE)+VLOOKUP('Old Data'!$P328,$Z$6:$AB$135,3,FALSE)+$D$2</f>
        <v>30.871164607661157</v>
      </c>
      <c r="K332" s="72">
        <f>VLOOKUP('Old Data'!$P328,$Z$6:$AB$135,2,FALSE)+VLOOKUP('Old Data'!$F328,$Z$6:$AB$135,3,FALSE)+$D$2</f>
        <v>22.822642727394644</v>
      </c>
      <c r="L332" s="74">
        <f>('Old Data'!$L328+'Old Data'!$M328-$J332)^2+('Old Data'!$V328+'Old Data'!$W328-$K332)^2</f>
        <v>4022.6025921453406</v>
      </c>
      <c r="M332" s="75">
        <f>'Old Data'!$N328-'Old Data'!$X328</f>
        <v>0</v>
      </c>
      <c r="N332" s="72">
        <f>VLOOKUP('Old Data'!$F328,$AD$6:$AF$135,2,FALSE)+VLOOKUP('Old Data'!$P328,$AD$6:$AF$135,3,FALSE)+$E$2</f>
        <v>1.6143540680570911</v>
      </c>
      <c r="O332" s="72">
        <f>VLOOKUP('Old Data'!$P328,$AD$6:$AF$135,2,FALSE)+VLOOKUP('Old Data'!$F328,$AD$6:$AF$135,3,FALSE)+$E$2</f>
        <v>2.2165106647413584</v>
      </c>
      <c r="P332" s="73">
        <f>('Old Data'!$N328-$N332)^2+('Old Data'!$X328-$O332)^2</f>
        <v>0.19559965277085958</v>
      </c>
      <c r="Q332" s="62"/>
      <c r="R332" s="3"/>
      <c r="S332" s="3"/>
      <c r="T332" s="3"/>
      <c r="V332" s="3"/>
      <c r="W332" s="3"/>
      <c r="X332" s="3"/>
      <c r="Z332" s="3"/>
      <c r="AA332" s="3"/>
      <c r="AB332" s="3"/>
      <c r="AC332" s="3"/>
      <c r="AD332" s="3"/>
      <c r="AE332" s="3"/>
      <c r="AF332" s="3"/>
      <c r="AG332" s="3"/>
      <c r="AH332" s="37"/>
      <c r="AI332" s="1"/>
      <c r="AK332" s="10"/>
      <c r="AL332" s="10"/>
      <c r="AM332" s="10"/>
      <c r="AN332" s="11"/>
      <c r="AO332" s="11"/>
      <c r="AP332" s="11"/>
      <c r="AQ332" s="36"/>
      <c r="AR332" s="11"/>
      <c r="AS332" s="11"/>
      <c r="AT332" s="11"/>
      <c r="AU332" s="12"/>
      <c r="AV332" s="11"/>
      <c r="AW332" s="11"/>
      <c r="AX332" s="15"/>
      <c r="AY332" s="15"/>
      <c r="AZ332" s="15"/>
      <c r="BA332" s="15"/>
      <c r="BB332" s="15"/>
      <c r="BC332" s="15"/>
      <c r="BD332" s="15"/>
      <c r="BE332" s="12"/>
      <c r="BF332" s="11"/>
      <c r="BG332" s="11"/>
      <c r="BH332" s="10"/>
      <c r="BI332" s="10"/>
      <c r="BJ332" s="10"/>
      <c r="BK332" s="23"/>
      <c r="BL332" s="23"/>
      <c r="BM332" s="23"/>
      <c r="BN332" s="23"/>
      <c r="BO332" s="23"/>
      <c r="BP332" s="23"/>
      <c r="BQ332" s="23"/>
      <c r="BR332" s="10"/>
      <c r="BS332" s="16"/>
      <c r="BT332" s="16"/>
      <c r="BU332" s="16"/>
      <c r="BV332" s="16"/>
      <c r="BW332" s="11"/>
      <c r="BX332" s="16"/>
      <c r="BY332" s="16"/>
      <c r="BZ332" s="17"/>
      <c r="CA332" s="18"/>
      <c r="CB332" s="18"/>
      <c r="CC332" s="18"/>
      <c r="CD332" s="18"/>
      <c r="CE332" s="18"/>
      <c r="CF332" s="18"/>
      <c r="CG332" s="19"/>
      <c r="CH332" s="15"/>
      <c r="CI332" s="17"/>
      <c r="CJ332" s="10"/>
      <c r="CK332" s="10"/>
      <c r="CL332" s="10"/>
      <c r="CM332" s="17"/>
      <c r="CN332" s="17"/>
      <c r="CO332" s="10"/>
      <c r="CP332" s="10"/>
      <c r="CQ332" s="10"/>
      <c r="CR332" s="10"/>
      <c r="CS332" s="10"/>
      <c r="CT332" s="10"/>
      <c r="CU332" s="10"/>
      <c r="CV332" s="10"/>
      <c r="CW332" s="10"/>
      <c r="CX332" s="10"/>
      <c r="CY332" s="10"/>
      <c r="CZ332" s="10"/>
      <c r="DA332" s="34"/>
      <c r="DB332" s="34"/>
      <c r="DC332" s="34"/>
      <c r="DD332" s="34"/>
      <c r="DE332" s="34"/>
      <c r="DF332" s="34"/>
      <c r="DG332" s="34"/>
      <c r="DH332" s="34"/>
      <c r="DI332" s="34"/>
      <c r="DJ332" s="34"/>
      <c r="DK332" s="34"/>
      <c r="DL332" s="34"/>
      <c r="DM332" s="34"/>
      <c r="DN332" s="34"/>
      <c r="DO332" s="34"/>
      <c r="DP332" s="34"/>
      <c r="DQ332" s="34"/>
      <c r="DR332" s="34"/>
      <c r="DS332" s="34"/>
      <c r="DT332" s="34"/>
      <c r="DU332" s="34"/>
      <c r="DV332" s="34"/>
      <c r="DW332" s="34"/>
      <c r="DX332" s="34"/>
      <c r="DY332" s="34"/>
      <c r="DZ332" s="34"/>
      <c r="EA332" s="34"/>
      <c r="EB332" s="34"/>
      <c r="EC332" s="34"/>
      <c r="ED332" s="34"/>
      <c r="EE332" s="34"/>
    </row>
    <row r="333" spans="1:135" customFormat="1">
      <c r="A333" s="71">
        <f>'Old Data'!$I329-'Old Data'!$S329</f>
        <v>-259</v>
      </c>
      <c r="B333" s="72">
        <f>VLOOKUP('Old Data'!$F329,$R$6:$T$135,2,FALSE)+VLOOKUP('Old Data'!$P329,$R$6:$T$135,3,FALSE)+$B$2</f>
        <v>96.407023367911052</v>
      </c>
      <c r="C333" s="72">
        <f>VLOOKUP('Old Data'!$P329,$R$6:$T$135,2,FALSE)+VLOOKUP('Old Data'!$F329,$R$6:$T$135,3,FALSE)+$B$2</f>
        <v>300.39729726568169</v>
      </c>
      <c r="D333" s="74">
        <f>('Old Data'!$I329-$B333)^2+('Old Data'!$S329-$C333)^2</f>
        <v>8033.3615758987944</v>
      </c>
      <c r="E333" s="75">
        <f>'Old Data'!$K329-'Old Data'!$U329</f>
        <v>-83</v>
      </c>
      <c r="F333" s="72">
        <f>VLOOKUP('Old Data'!$F329,$V$6:$X$135,2,FALSE)+VLOOKUP('Old Data'!$P329,$V$6:$X$135,3,FALSE)+$C$2</f>
        <v>203.96115812788889</v>
      </c>
      <c r="G333" s="72">
        <f>VLOOKUP('Old Data'!$P329,$V$6:$X$135,2,FALSE)+VLOOKUP('Old Data'!$F329,$V$6:$X$135,3,FALSE)+$C$2</f>
        <v>337.12250859535129</v>
      </c>
      <c r="H333" s="74">
        <f>('Old Data'!$K329-$F333)^2+('Old Data'!$U329-$G333)^2</f>
        <v>1387.4227079919269</v>
      </c>
      <c r="I333" s="75">
        <f>('Old Data'!$L329+'Old Data'!$M329)-('Old Data'!$V329+'Old Data'!$W329)</f>
        <v>97</v>
      </c>
      <c r="J333" s="72">
        <f>VLOOKUP('Old Data'!$F329,$Z$6:$AB$135,2,FALSE)+VLOOKUP('Old Data'!$P329,$Z$6:$AB$135,3,FALSE)+$D$2</f>
        <v>174.05574173635148</v>
      </c>
      <c r="K333" s="72">
        <f>VLOOKUP('Old Data'!$P329,$Z$6:$AB$135,2,FALSE)+VLOOKUP('Old Data'!$F329,$Z$6:$AB$135,3,FALSE)+$D$2</f>
        <v>81.804298455256941</v>
      </c>
      <c r="L333" s="74">
        <f>('Old Data'!$L329+'Old Data'!$M329-$J333)^2+('Old Data'!$V329+'Old Data'!$W329-$K333)^2</f>
        <v>1030.0823812079348</v>
      </c>
      <c r="M333" s="75">
        <f>'Old Data'!$N329-'Old Data'!$X329</f>
        <v>1</v>
      </c>
      <c r="N333" s="72">
        <f>VLOOKUP('Old Data'!$F329,$AD$6:$AF$135,2,FALSE)+VLOOKUP('Old Data'!$P329,$AD$6:$AF$135,3,FALSE)+$E$2</f>
        <v>2.27620170529788</v>
      </c>
      <c r="O333" s="72">
        <f>VLOOKUP('Old Data'!$P329,$AD$6:$AF$135,2,FALSE)+VLOOKUP('Old Data'!$F329,$AD$6:$AF$135,3,FALSE)+$E$2</f>
        <v>1.9114752198479661</v>
      </c>
      <c r="P333" s="73">
        <f>('Old Data'!$N329-$N333)^2+('Old Data'!$X329-$O333)^2</f>
        <v>0.53172060811466282</v>
      </c>
      <c r="Q333" s="62"/>
      <c r="R333" s="3"/>
      <c r="S333" s="3"/>
      <c r="T333" s="3"/>
      <c r="V333" s="3"/>
      <c r="W333" s="3"/>
      <c r="X333" s="3"/>
      <c r="Z333" s="3"/>
      <c r="AA333" s="3"/>
      <c r="AB333" s="3"/>
      <c r="AC333" s="3"/>
      <c r="AD333" s="3"/>
      <c r="AE333" s="3"/>
      <c r="AF333" s="3"/>
      <c r="AG333" s="3"/>
      <c r="AH333" s="37"/>
      <c r="AI333" s="1"/>
      <c r="AK333" s="10"/>
      <c r="AL333" s="10"/>
      <c r="AM333" s="10"/>
      <c r="AN333" s="11"/>
      <c r="AO333" s="11"/>
      <c r="AP333" s="11"/>
      <c r="AQ333" s="36"/>
      <c r="AR333" s="11"/>
      <c r="AS333" s="11"/>
      <c r="AT333" s="11"/>
      <c r="AU333" s="12"/>
      <c r="AV333" s="11"/>
      <c r="AW333" s="11"/>
      <c r="AX333" s="15"/>
      <c r="AY333" s="15"/>
      <c r="AZ333" s="15"/>
      <c r="BA333" s="15"/>
      <c r="BB333" s="15"/>
      <c r="BC333" s="15"/>
      <c r="BD333" s="15"/>
      <c r="BE333" s="12"/>
      <c r="BF333" s="11"/>
      <c r="BG333" s="11"/>
      <c r="BH333" s="10"/>
      <c r="BI333" s="10"/>
      <c r="BJ333" s="10"/>
      <c r="BK333" s="23"/>
      <c r="BL333" s="23"/>
      <c r="BM333" s="23"/>
      <c r="BN333" s="23"/>
      <c r="BO333" s="23"/>
      <c r="BP333" s="23"/>
      <c r="BQ333" s="23"/>
      <c r="BR333" s="10"/>
      <c r="BS333" s="16"/>
      <c r="BT333" s="16"/>
      <c r="BU333" s="16"/>
      <c r="BV333" s="16"/>
      <c r="BW333" s="11"/>
      <c r="BX333" s="16"/>
      <c r="BY333" s="16"/>
      <c r="BZ333" s="17"/>
      <c r="CA333" s="18"/>
      <c r="CB333" s="18"/>
      <c r="CC333" s="18"/>
      <c r="CD333" s="18"/>
      <c r="CE333" s="18"/>
      <c r="CF333" s="18"/>
      <c r="CG333" s="19"/>
      <c r="CH333" s="15"/>
      <c r="CI333" s="17"/>
      <c r="CJ333" s="10"/>
      <c r="CK333" s="10"/>
      <c r="CL333" s="10"/>
      <c r="CM333" s="17"/>
      <c r="CN333" s="17"/>
      <c r="CO333" s="10"/>
      <c r="CP333" s="10"/>
      <c r="CQ333" s="10"/>
      <c r="CR333" s="10"/>
      <c r="CS333" s="10"/>
      <c r="CT333" s="10"/>
      <c r="CU333" s="10"/>
      <c r="CV333" s="10"/>
      <c r="CW333" s="10"/>
      <c r="CX333" s="10"/>
      <c r="CY333" s="10"/>
      <c r="CZ333" s="10"/>
      <c r="DA333" s="34"/>
      <c r="DB333" s="34"/>
      <c r="DC333" s="34"/>
      <c r="DD333" s="34"/>
      <c r="DE333" s="34"/>
      <c r="DF333" s="34"/>
      <c r="DG333" s="34"/>
      <c r="DH333" s="34"/>
      <c r="DI333" s="34"/>
      <c r="DJ333" s="34"/>
      <c r="DK333" s="34"/>
      <c r="DL333" s="34"/>
      <c r="DM333" s="34"/>
      <c r="DN333" s="34"/>
      <c r="DO333" s="34"/>
      <c r="DP333" s="34"/>
      <c r="DQ333" s="34"/>
      <c r="DR333" s="34"/>
      <c r="DS333" s="34"/>
      <c r="DT333" s="34"/>
      <c r="DU333" s="34"/>
      <c r="DV333" s="34"/>
      <c r="DW333" s="34"/>
      <c r="DX333" s="34"/>
      <c r="DY333" s="34"/>
      <c r="DZ333" s="34"/>
      <c r="EA333" s="34"/>
      <c r="EB333" s="34"/>
      <c r="EC333" s="34"/>
      <c r="ED333" s="34"/>
      <c r="EE333" s="34"/>
    </row>
    <row r="334" spans="1:135" customFormat="1">
      <c r="A334" s="71">
        <f>'Old Data'!$I330-'Old Data'!$S330</f>
        <v>129</v>
      </c>
      <c r="B334" s="72">
        <f>VLOOKUP('Old Data'!$F330,$R$6:$T$135,2,FALSE)+VLOOKUP('Old Data'!$P330,$R$6:$T$135,3,FALSE)+$B$2</f>
        <v>144.17843571853871</v>
      </c>
      <c r="C334" s="72">
        <f>VLOOKUP('Old Data'!$P330,$R$6:$T$135,2,FALSE)+VLOOKUP('Old Data'!$F330,$R$6:$T$135,3,FALSE)+$B$2</f>
        <v>151.23074084778949</v>
      </c>
      <c r="D334" s="74">
        <f>('Old Data'!$I330-$B334)^2+('Old Data'!$S330-$C334)^2</f>
        <v>9376.6517531613445</v>
      </c>
      <c r="E334" s="75">
        <f>'Old Data'!$K330-'Old Data'!$U330</f>
        <v>29</v>
      </c>
      <c r="F334" s="72">
        <f>VLOOKUP('Old Data'!$F330,$V$6:$X$135,2,FALSE)+VLOOKUP('Old Data'!$P330,$V$6:$X$135,3,FALSE)+$C$2</f>
        <v>313.73725616436366</v>
      </c>
      <c r="G334" s="72">
        <f>VLOOKUP('Old Data'!$P330,$V$6:$X$135,2,FALSE)+VLOOKUP('Old Data'!$F330,$V$6:$X$135,3,FALSE)+$C$2</f>
        <v>245.43960130821432</v>
      </c>
      <c r="H334" s="74">
        <f>('Old Data'!$K330-$F334)^2+('Old Data'!$U330-$G334)^2</f>
        <v>14249.173103382111</v>
      </c>
      <c r="I334" s="75">
        <f>('Old Data'!$L330+'Old Data'!$M330)-('Old Data'!$V330+'Old Data'!$W330)</f>
        <v>-25</v>
      </c>
      <c r="J334" s="72">
        <f>VLOOKUP('Old Data'!$F330,$Z$6:$AB$135,2,FALSE)+VLOOKUP('Old Data'!$P330,$Z$6:$AB$135,3,FALSE)+$D$2</f>
        <v>99.398026571022697</v>
      </c>
      <c r="K334" s="72">
        <f>VLOOKUP('Old Data'!$P330,$Z$6:$AB$135,2,FALSE)+VLOOKUP('Old Data'!$F330,$Z$6:$AB$135,3,FALSE)+$D$2</f>
        <v>65.499022098615683</v>
      </c>
      <c r="L334" s="74">
        <f>('Old Data'!$L330+'Old Data'!$M330-$J334)^2+('Old Data'!$V330+'Old Data'!$W330-$K334)^2</f>
        <v>2181.4631234976737</v>
      </c>
      <c r="M334" s="75">
        <f>'Old Data'!$N330-'Old Data'!$X330</f>
        <v>0</v>
      </c>
      <c r="N334" s="72">
        <f>VLOOKUP('Old Data'!$F330,$AD$6:$AF$135,2,FALSE)+VLOOKUP('Old Data'!$P330,$AD$6:$AF$135,3,FALSE)+$E$2</f>
        <v>1.576214237360781</v>
      </c>
      <c r="O334" s="72">
        <f>VLOOKUP('Old Data'!$P330,$AD$6:$AF$135,2,FALSE)+VLOOKUP('Old Data'!$F330,$AD$6:$AF$135,3,FALSE)+$E$2</f>
        <v>1.4251074883448451</v>
      </c>
      <c r="P334" s="73">
        <f>('Old Data'!$N330-$N334)^2+('Old Data'!$X330-$O334)^2</f>
        <v>4.5074523211616242</v>
      </c>
      <c r="Q334" s="62"/>
      <c r="R334" s="3"/>
      <c r="S334" s="3"/>
      <c r="T334" s="3"/>
      <c r="V334" s="3"/>
      <c r="W334" s="3"/>
      <c r="X334" s="3"/>
      <c r="Z334" s="3"/>
      <c r="AA334" s="3"/>
      <c r="AB334" s="3"/>
      <c r="AC334" s="3"/>
      <c r="AD334" s="3"/>
      <c r="AE334" s="3"/>
      <c r="AF334" s="3"/>
      <c r="AG334" s="3"/>
      <c r="AH334" s="37"/>
      <c r="AI334" s="1"/>
      <c r="AK334" s="10"/>
      <c r="AL334" s="10"/>
      <c r="AM334" s="10"/>
      <c r="AN334" s="11"/>
      <c r="AO334" s="11"/>
      <c r="AP334" s="11"/>
      <c r="AQ334" s="36"/>
      <c r="AR334" s="11"/>
      <c r="AS334" s="11"/>
      <c r="AT334" s="11"/>
      <c r="AU334" s="12"/>
      <c r="AV334" s="11"/>
      <c r="AW334" s="11"/>
      <c r="AX334" s="15"/>
      <c r="AY334" s="15"/>
      <c r="AZ334" s="15"/>
      <c r="BA334" s="15"/>
      <c r="BB334" s="15"/>
      <c r="BC334" s="15"/>
      <c r="BD334" s="15"/>
      <c r="BE334" s="12"/>
      <c r="BF334" s="11"/>
      <c r="BG334" s="11"/>
      <c r="BH334" s="10"/>
      <c r="BI334" s="10"/>
      <c r="BJ334" s="10"/>
      <c r="BK334" s="23"/>
      <c r="BL334" s="23"/>
      <c r="BM334" s="23"/>
      <c r="BN334" s="23"/>
      <c r="BO334" s="23"/>
      <c r="BP334" s="23"/>
      <c r="BQ334" s="23"/>
      <c r="BR334" s="10"/>
      <c r="BS334" s="16"/>
      <c r="BT334" s="16"/>
      <c r="BU334" s="16"/>
      <c r="BV334" s="16"/>
      <c r="BW334" s="11"/>
      <c r="BX334" s="16"/>
      <c r="BY334" s="16"/>
      <c r="BZ334" s="17"/>
      <c r="CA334" s="18"/>
      <c r="CB334" s="18"/>
      <c r="CC334" s="18"/>
      <c r="CD334" s="18"/>
      <c r="CE334" s="18"/>
      <c r="CF334" s="18"/>
      <c r="CG334" s="19"/>
      <c r="CH334" s="15"/>
      <c r="CI334" s="17"/>
      <c r="CJ334" s="10"/>
      <c r="CK334" s="10"/>
      <c r="CL334" s="10"/>
      <c r="CM334" s="17"/>
      <c r="CN334" s="17"/>
      <c r="CO334" s="10"/>
      <c r="CP334" s="10"/>
      <c r="CQ334" s="10"/>
      <c r="CR334" s="10"/>
      <c r="CS334" s="10"/>
      <c r="CT334" s="10"/>
      <c r="CU334" s="10"/>
      <c r="CV334" s="10"/>
      <c r="CW334" s="10"/>
      <c r="CX334" s="10"/>
      <c r="CY334" s="10"/>
      <c r="CZ334" s="10"/>
      <c r="DA334" s="34"/>
      <c r="DB334" s="34"/>
      <c r="DC334" s="34"/>
      <c r="DD334" s="34"/>
      <c r="DE334" s="34"/>
      <c r="DF334" s="34"/>
      <c r="DG334" s="34"/>
      <c r="DH334" s="34"/>
      <c r="DI334" s="34"/>
      <c r="DJ334" s="34"/>
      <c r="DK334" s="34"/>
      <c r="DL334" s="34"/>
      <c r="DM334" s="34"/>
      <c r="DN334" s="34"/>
      <c r="DO334" s="34"/>
      <c r="DP334" s="34"/>
      <c r="DQ334" s="34"/>
      <c r="DR334" s="34"/>
      <c r="DS334" s="34"/>
      <c r="DT334" s="34"/>
      <c r="DU334" s="34"/>
      <c r="DV334" s="34"/>
      <c r="DW334" s="34"/>
      <c r="DX334" s="34"/>
      <c r="DY334" s="34"/>
      <c r="DZ334" s="34"/>
      <c r="EA334" s="34"/>
      <c r="EB334" s="34"/>
      <c r="EC334" s="34"/>
      <c r="ED334" s="34"/>
      <c r="EE334" s="34"/>
    </row>
    <row r="335" spans="1:135" customFormat="1">
      <c r="A335" s="71">
        <f>'Old Data'!$I331-'Old Data'!$S331</f>
        <v>-145</v>
      </c>
      <c r="B335" s="72">
        <f>VLOOKUP('Old Data'!$F331,$R$6:$T$135,2,FALSE)+VLOOKUP('Old Data'!$P331,$R$6:$T$135,3,FALSE)+$B$2</f>
        <v>135.9885422886851</v>
      </c>
      <c r="C335" s="72">
        <f>VLOOKUP('Old Data'!$P331,$R$6:$T$135,2,FALSE)+VLOOKUP('Old Data'!$F331,$R$6:$T$135,3,FALSE)+$B$2</f>
        <v>279.92827353097414</v>
      </c>
      <c r="D335" s="74">
        <f>('Old Data'!$I331-$B335)^2+('Old Data'!$S331-$C335)^2</f>
        <v>2386.8052531667313</v>
      </c>
      <c r="E335" s="75">
        <f>'Old Data'!$K331-'Old Data'!$U331</f>
        <v>122</v>
      </c>
      <c r="F335" s="72">
        <f>VLOOKUP('Old Data'!$F331,$V$6:$X$135,2,FALSE)+VLOOKUP('Old Data'!$P331,$V$6:$X$135,3,FALSE)+$C$2</f>
        <v>286.4316831529934</v>
      </c>
      <c r="G335" s="72">
        <f>VLOOKUP('Old Data'!$P331,$V$6:$X$135,2,FALSE)+VLOOKUP('Old Data'!$F331,$V$6:$X$135,3,FALSE)+$C$2</f>
        <v>268.0020838242051</v>
      </c>
      <c r="H335" s="74">
        <f>('Old Data'!$K331-$F335)^2+('Old Data'!$U331-$G335)^2</f>
        <v>7843.8717128968128</v>
      </c>
      <c r="I335" s="75">
        <f>('Old Data'!$L331+'Old Data'!$M331)-('Old Data'!$V331+'Old Data'!$W331)</f>
        <v>-11</v>
      </c>
      <c r="J335" s="72">
        <f>VLOOKUP('Old Data'!$F331,$Z$6:$AB$135,2,FALSE)+VLOOKUP('Old Data'!$P331,$Z$6:$AB$135,3,FALSE)+$D$2</f>
        <v>81.435454447573917</v>
      </c>
      <c r="K335" s="72">
        <f>VLOOKUP('Old Data'!$P331,$Z$6:$AB$135,2,FALSE)+VLOOKUP('Old Data'!$F331,$Z$6:$AB$135,3,FALSE)+$D$2</f>
        <v>86.998851153417192</v>
      </c>
      <c r="L335" s="74">
        <f>('Old Data'!$L331+'Old Data'!$M331-$J335)^2+('Old Data'!$V331+'Old Data'!$W331-$K335)^2</f>
        <v>14.938332765552893</v>
      </c>
      <c r="M335" s="75">
        <f>'Old Data'!$N331-'Old Data'!$X331</f>
        <v>0</v>
      </c>
      <c r="N335" s="72">
        <f>VLOOKUP('Old Data'!$F331,$AD$6:$AF$135,2,FALSE)+VLOOKUP('Old Data'!$P331,$AD$6:$AF$135,3,FALSE)+$E$2</f>
        <v>1.2021082767684215</v>
      </c>
      <c r="O335" s="72">
        <f>VLOOKUP('Old Data'!$P331,$AD$6:$AF$135,2,FALSE)+VLOOKUP('Old Data'!$F331,$AD$6:$AF$135,3,FALSE)+$E$2</f>
        <v>1.914894112226929</v>
      </c>
      <c r="P335" s="73">
        <f>('Old Data'!$N331-$N335)^2+('Old Data'!$X331-$O335)^2</f>
        <v>0.87787899212580134</v>
      </c>
      <c r="Q335" s="62"/>
      <c r="R335" s="3"/>
      <c r="S335" s="3"/>
      <c r="T335" s="3"/>
      <c r="V335" s="3"/>
      <c r="W335" s="3"/>
      <c r="X335" s="3"/>
      <c r="Z335" s="3"/>
      <c r="AA335" s="3"/>
      <c r="AB335" s="3"/>
      <c r="AC335" s="3"/>
      <c r="AD335" s="3"/>
      <c r="AE335" s="3"/>
      <c r="AF335" s="3"/>
      <c r="AG335" s="3"/>
      <c r="AH335" s="37"/>
      <c r="AI335" s="1"/>
      <c r="AK335" s="10"/>
      <c r="AL335" s="10"/>
      <c r="AM335" s="10"/>
      <c r="AN335" s="11"/>
      <c r="AO335" s="11"/>
      <c r="AP335" s="11"/>
      <c r="AQ335" s="36"/>
      <c r="AR335" s="11"/>
      <c r="AS335" s="11"/>
      <c r="AT335" s="11"/>
      <c r="AU335" s="12"/>
      <c r="AV335" s="11"/>
      <c r="AW335" s="11"/>
      <c r="AX335" s="15"/>
      <c r="AY335" s="15"/>
      <c r="AZ335" s="15"/>
      <c r="BA335" s="15"/>
      <c r="BB335" s="15"/>
      <c r="BC335" s="15"/>
      <c r="BD335" s="15"/>
      <c r="BE335" s="12"/>
      <c r="BF335" s="11"/>
      <c r="BG335" s="11"/>
      <c r="BH335" s="10"/>
      <c r="BI335" s="10"/>
      <c r="BJ335" s="10"/>
      <c r="BK335" s="23"/>
      <c r="BL335" s="23"/>
      <c r="BM335" s="23"/>
      <c r="BN335" s="23"/>
      <c r="BO335" s="23"/>
      <c r="BP335" s="23"/>
      <c r="BQ335" s="23"/>
      <c r="BR335" s="10"/>
      <c r="BS335" s="16"/>
      <c r="BT335" s="16"/>
      <c r="BU335" s="16"/>
      <c r="BV335" s="16"/>
      <c r="BW335" s="11"/>
      <c r="BX335" s="16"/>
      <c r="BY335" s="16"/>
      <c r="BZ335" s="17"/>
      <c r="CA335" s="18"/>
      <c r="CB335" s="18"/>
      <c r="CC335" s="18"/>
      <c r="CD335" s="18"/>
      <c r="CE335" s="18"/>
      <c r="CF335" s="18"/>
      <c r="CG335" s="19"/>
      <c r="CH335" s="15"/>
      <c r="CI335" s="17"/>
      <c r="CJ335" s="10"/>
      <c r="CK335" s="10"/>
      <c r="CL335" s="10"/>
      <c r="CM335" s="17"/>
      <c r="CN335" s="17"/>
      <c r="CO335" s="10"/>
      <c r="CP335" s="10"/>
      <c r="CQ335" s="10"/>
      <c r="CR335" s="10"/>
      <c r="CS335" s="10"/>
      <c r="CT335" s="10"/>
      <c r="CU335" s="10"/>
      <c r="CV335" s="10"/>
      <c r="CW335" s="10"/>
      <c r="CX335" s="10"/>
      <c r="CY335" s="10"/>
      <c r="CZ335" s="10"/>
      <c r="DA335" s="34"/>
      <c r="DB335" s="34"/>
      <c r="DC335" s="34"/>
      <c r="DD335" s="34"/>
      <c r="DE335" s="34"/>
      <c r="DF335" s="34"/>
      <c r="DG335" s="34"/>
      <c r="DH335" s="34"/>
      <c r="DI335" s="34"/>
      <c r="DJ335" s="34"/>
      <c r="DK335" s="34"/>
      <c r="DL335" s="34"/>
      <c r="DM335" s="34"/>
      <c r="DN335" s="34"/>
      <c r="DO335" s="34"/>
      <c r="DP335" s="34"/>
      <c r="DQ335" s="34"/>
      <c r="DR335" s="34"/>
      <c r="DS335" s="34"/>
      <c r="DT335" s="34"/>
      <c r="DU335" s="34"/>
      <c r="DV335" s="34"/>
      <c r="DW335" s="34"/>
      <c r="DX335" s="34"/>
      <c r="DY335" s="34"/>
      <c r="DZ335" s="34"/>
      <c r="EA335" s="34"/>
      <c r="EB335" s="34"/>
      <c r="EC335" s="34"/>
      <c r="ED335" s="34"/>
      <c r="EE335" s="34"/>
    </row>
    <row r="336" spans="1:135" customFormat="1">
      <c r="A336" s="71">
        <f>'Old Data'!$I332-'Old Data'!$S332</f>
        <v>-208</v>
      </c>
      <c r="B336" s="72">
        <f>VLOOKUP('Old Data'!$F332,$R$6:$T$135,2,FALSE)+VLOOKUP('Old Data'!$P332,$R$6:$T$135,3,FALSE)+$B$2</f>
        <v>103.34825517176861</v>
      </c>
      <c r="C336" s="72">
        <f>VLOOKUP('Old Data'!$P332,$R$6:$T$135,2,FALSE)+VLOOKUP('Old Data'!$F332,$R$6:$T$135,3,FALSE)+$B$2</f>
        <v>164.3093777410196</v>
      </c>
      <c r="D336" s="74">
        <f>('Old Data'!$I332-$B336)^2+('Old Data'!$S332-$C336)^2</f>
        <v>12077.392700019207</v>
      </c>
      <c r="E336" s="75">
        <f>'Old Data'!$K332-'Old Data'!$U332</f>
        <v>-49</v>
      </c>
      <c r="F336" s="72">
        <f>VLOOKUP('Old Data'!$F332,$V$6:$X$135,2,FALSE)+VLOOKUP('Old Data'!$P332,$V$6:$X$135,3,FALSE)+$C$2</f>
        <v>310.8915841758897</v>
      </c>
      <c r="G336" s="72">
        <f>VLOOKUP('Old Data'!$P332,$V$6:$X$135,2,FALSE)+VLOOKUP('Old Data'!$F332,$V$6:$X$135,3,FALSE)+$C$2</f>
        <v>272.74794611270011</v>
      </c>
      <c r="H336" s="74">
        <f>('Old Data'!$K332-$F336)^2+('Old Data'!$U332-$G336)^2</f>
        <v>34707.814838509381</v>
      </c>
      <c r="I336" s="75">
        <f>('Old Data'!$L332+'Old Data'!$M332)-('Old Data'!$V332+'Old Data'!$W332)</f>
        <v>34</v>
      </c>
      <c r="J336" s="72">
        <f>VLOOKUP('Old Data'!$F332,$Z$6:$AB$135,2,FALSE)+VLOOKUP('Old Data'!$P332,$Z$6:$AB$135,3,FALSE)+$D$2</f>
        <v>40.036240922526197</v>
      </c>
      <c r="K336" s="72">
        <f>VLOOKUP('Old Data'!$P332,$Z$6:$AB$135,2,FALSE)+VLOOKUP('Old Data'!$F332,$Z$6:$AB$135,3,FALSE)+$D$2</f>
        <v>44.756500882638171</v>
      </c>
      <c r="L336" s="74">
        <f>('Old Data'!$L332+'Old Data'!$M332-$J336)^2+('Old Data'!$V332+'Old Data'!$W332-$K336)^2</f>
        <v>749.94348547415291</v>
      </c>
      <c r="M336" s="75">
        <f>'Old Data'!$N332-'Old Data'!$X332</f>
        <v>0</v>
      </c>
      <c r="N336" s="72">
        <f>VLOOKUP('Old Data'!$F332,$AD$6:$AF$135,2,FALSE)+VLOOKUP('Old Data'!$P332,$AD$6:$AF$135,3,FALSE)+$E$2</f>
        <v>1.4194709542140431</v>
      </c>
      <c r="O336" s="72">
        <f>VLOOKUP('Old Data'!$P332,$AD$6:$AF$135,2,FALSE)+VLOOKUP('Old Data'!$F332,$AD$6:$AF$135,3,FALSE)+$E$2</f>
        <v>1.013711677174078</v>
      </c>
      <c r="P336" s="73">
        <f>('Old Data'!$N332-$N336)^2+('Old Data'!$X332-$O336)^2</f>
        <v>0.17614389152016602</v>
      </c>
      <c r="Q336" s="62"/>
      <c r="R336" s="3"/>
      <c r="S336" s="3"/>
      <c r="T336" s="3"/>
      <c r="V336" s="3"/>
      <c r="W336" s="3"/>
      <c r="X336" s="3"/>
      <c r="Z336" s="3"/>
      <c r="AA336" s="3"/>
      <c r="AB336" s="3"/>
      <c r="AC336" s="3"/>
      <c r="AD336" s="3"/>
      <c r="AE336" s="3"/>
      <c r="AF336" s="3"/>
      <c r="AG336" s="3"/>
      <c r="AH336" s="37"/>
      <c r="AI336" s="1"/>
      <c r="AK336" s="10"/>
      <c r="AL336" s="10"/>
      <c r="AM336" s="10"/>
      <c r="AN336" s="11"/>
      <c r="AO336" s="11"/>
      <c r="AP336" s="11"/>
      <c r="AQ336" s="36"/>
      <c r="AR336" s="11"/>
      <c r="AS336" s="11"/>
      <c r="AT336" s="11"/>
      <c r="AU336" s="12"/>
      <c r="AV336" s="11"/>
      <c r="AW336" s="11"/>
      <c r="AX336" s="15"/>
      <c r="AY336" s="15"/>
      <c r="AZ336" s="15"/>
      <c r="BA336" s="15"/>
      <c r="BB336" s="15"/>
      <c r="BC336" s="15"/>
      <c r="BD336" s="15"/>
      <c r="BE336" s="12"/>
      <c r="BF336" s="11"/>
      <c r="BG336" s="11"/>
      <c r="BH336" s="10"/>
      <c r="BI336" s="10"/>
      <c r="BJ336" s="10"/>
      <c r="BK336" s="23"/>
      <c r="BL336" s="23"/>
      <c r="BM336" s="23"/>
      <c r="BN336" s="23"/>
      <c r="BO336" s="23"/>
      <c r="BP336" s="23"/>
      <c r="BQ336" s="23"/>
      <c r="BR336" s="10"/>
      <c r="BS336" s="16"/>
      <c r="BT336" s="16"/>
      <c r="BU336" s="16"/>
      <c r="BV336" s="16"/>
      <c r="BW336" s="11"/>
      <c r="BX336" s="16"/>
      <c r="BY336" s="16"/>
      <c r="BZ336" s="17"/>
      <c r="CA336" s="18"/>
      <c r="CB336" s="18"/>
      <c r="CC336" s="18"/>
      <c r="CD336" s="18"/>
      <c r="CE336" s="18"/>
      <c r="CF336" s="18"/>
      <c r="CG336" s="19"/>
      <c r="CH336" s="15"/>
      <c r="CI336" s="17"/>
      <c r="CJ336" s="10"/>
      <c r="CK336" s="10"/>
      <c r="CL336" s="10"/>
      <c r="CM336" s="17"/>
      <c r="CN336" s="17"/>
      <c r="CO336" s="10"/>
      <c r="CP336" s="10"/>
      <c r="CQ336" s="10"/>
      <c r="CR336" s="10"/>
      <c r="CS336" s="10"/>
      <c r="CT336" s="10"/>
      <c r="CU336" s="10"/>
      <c r="CV336" s="10"/>
      <c r="CW336" s="10"/>
      <c r="CX336" s="10"/>
      <c r="CY336" s="10"/>
      <c r="CZ336" s="10"/>
      <c r="DA336" s="34"/>
      <c r="DB336" s="34"/>
      <c r="DC336" s="34"/>
      <c r="DD336" s="34"/>
      <c r="DE336" s="34"/>
      <c r="DF336" s="34"/>
      <c r="DG336" s="34"/>
      <c r="DH336" s="34"/>
      <c r="DI336" s="34"/>
      <c r="DJ336" s="34"/>
      <c r="DK336" s="34"/>
      <c r="DL336" s="34"/>
      <c r="DM336" s="34"/>
      <c r="DN336" s="34"/>
      <c r="DO336" s="34"/>
      <c r="DP336" s="34"/>
      <c r="DQ336" s="34"/>
      <c r="DR336" s="34"/>
      <c r="DS336" s="34"/>
      <c r="DT336" s="34"/>
      <c r="DU336" s="34"/>
      <c r="DV336" s="34"/>
      <c r="DW336" s="34"/>
      <c r="DX336" s="34"/>
      <c r="DY336" s="34"/>
      <c r="DZ336" s="34"/>
      <c r="EA336" s="34"/>
      <c r="EB336" s="34"/>
      <c r="EC336" s="34"/>
      <c r="ED336" s="34"/>
      <c r="EE336" s="34"/>
    </row>
    <row r="337" spans="1:135" customFormat="1">
      <c r="A337" s="71">
        <f>'Old Data'!$I333-'Old Data'!$S333</f>
        <v>-198</v>
      </c>
      <c r="B337" s="72">
        <f>VLOOKUP('Old Data'!$F333,$R$6:$T$135,2,FALSE)+VLOOKUP('Old Data'!$P333,$R$6:$T$135,3,FALSE)+$B$2</f>
        <v>157.00777481899945</v>
      </c>
      <c r="C337" s="72">
        <f>VLOOKUP('Old Data'!$P333,$R$6:$T$135,2,FALSE)+VLOOKUP('Old Data'!$F333,$R$6:$T$135,3,FALSE)+$B$2</f>
        <v>176.35543541026931</v>
      </c>
      <c r="D337" s="74">
        <f>('Old Data'!$I333-$B337)^2+('Old Data'!$S333-$C337)^2</f>
        <v>16186.522563756022</v>
      </c>
      <c r="E337" s="75">
        <f>'Old Data'!$K333-'Old Data'!$U333</f>
        <v>156</v>
      </c>
      <c r="F337" s="72">
        <f>VLOOKUP('Old Data'!$F333,$V$6:$X$135,2,FALSE)+VLOOKUP('Old Data'!$P333,$V$6:$X$135,3,FALSE)+$C$2</f>
        <v>277.49088331535643</v>
      </c>
      <c r="G337" s="72">
        <f>VLOOKUP('Old Data'!$P333,$V$6:$X$135,2,FALSE)+VLOOKUP('Old Data'!$F333,$V$6:$X$135,3,FALSE)+$C$2</f>
        <v>203.7592785359974</v>
      </c>
      <c r="H337" s="74">
        <f>('Old Data'!$K333-$F337)^2+('Old Data'!$U333-$G337)^2</f>
        <v>7146.8116354979447</v>
      </c>
      <c r="I337" s="75">
        <f>('Old Data'!$L333+'Old Data'!$M333)-('Old Data'!$V333+'Old Data'!$W333)</f>
        <v>8</v>
      </c>
      <c r="J337" s="72">
        <f>VLOOKUP('Old Data'!$F333,$Z$6:$AB$135,2,FALSE)+VLOOKUP('Old Data'!$P333,$Z$6:$AB$135,3,FALSE)+$D$2</f>
        <v>48.802329561578901</v>
      </c>
      <c r="K337" s="72">
        <f>VLOOKUP('Old Data'!$P333,$Z$6:$AB$135,2,FALSE)+VLOOKUP('Old Data'!$F333,$Z$6:$AB$135,3,FALSE)+$D$2</f>
        <v>65.113991952338793</v>
      </c>
      <c r="L337" s="74">
        <f>('Old Data'!$L333+'Old Data'!$M333-$J337)^2+('Old Data'!$V333+'Old Data'!$W333-$K337)^2</f>
        <v>422.1931093683441</v>
      </c>
      <c r="M337" s="75">
        <f>'Old Data'!$N333-'Old Data'!$X333</f>
        <v>0</v>
      </c>
      <c r="N337" s="72">
        <f>VLOOKUP('Old Data'!$F333,$AD$6:$AF$135,2,FALSE)+VLOOKUP('Old Data'!$P333,$AD$6:$AF$135,3,FALSE)+$E$2</f>
        <v>2.0349171993797723</v>
      </c>
      <c r="O337" s="72">
        <f>VLOOKUP('Old Data'!$P333,$AD$6:$AF$135,2,FALSE)+VLOOKUP('Old Data'!$F333,$AD$6:$AF$135,3,FALSE)+$E$2</f>
        <v>1.115664818708924</v>
      </c>
      <c r="P337" s="73">
        <f>('Old Data'!$N333-$N337)^2+('Old Data'!$X333-$O337)^2</f>
        <v>1.0844319598590397</v>
      </c>
      <c r="Q337" s="62"/>
      <c r="R337" s="3"/>
      <c r="S337" s="3"/>
      <c r="T337" s="3"/>
      <c r="V337" s="3"/>
      <c r="W337" s="3"/>
      <c r="X337" s="3"/>
      <c r="Z337" s="3"/>
      <c r="AA337" s="3"/>
      <c r="AB337" s="3"/>
      <c r="AC337" s="3"/>
      <c r="AD337" s="3"/>
      <c r="AE337" s="3"/>
      <c r="AF337" s="3"/>
      <c r="AG337" s="3"/>
      <c r="AH337" s="37"/>
      <c r="AI337" s="1"/>
      <c r="AK337" s="10"/>
      <c r="AL337" s="10"/>
      <c r="AM337" s="10"/>
      <c r="AN337" s="11"/>
      <c r="AO337" s="11"/>
      <c r="AP337" s="11"/>
      <c r="AQ337" s="36"/>
      <c r="AR337" s="11"/>
      <c r="AS337" s="11"/>
      <c r="AT337" s="11"/>
      <c r="AU337" s="12"/>
      <c r="AV337" s="11"/>
      <c r="AW337" s="11"/>
      <c r="AX337" s="15"/>
      <c r="AY337" s="15"/>
      <c r="AZ337" s="15"/>
      <c r="BA337" s="15"/>
      <c r="BB337" s="15"/>
      <c r="BC337" s="15"/>
      <c r="BD337" s="15"/>
      <c r="BE337" s="12"/>
      <c r="BF337" s="11"/>
      <c r="BG337" s="11"/>
      <c r="BH337" s="10"/>
      <c r="BI337" s="10"/>
      <c r="BJ337" s="10"/>
      <c r="BK337" s="23"/>
      <c r="BL337" s="23"/>
      <c r="BM337" s="23"/>
      <c r="BN337" s="23"/>
      <c r="BO337" s="23"/>
      <c r="BP337" s="23"/>
      <c r="BQ337" s="23"/>
      <c r="BR337" s="10"/>
      <c r="BS337" s="16"/>
      <c r="BT337" s="16"/>
      <c r="BU337" s="16"/>
      <c r="BV337" s="16"/>
      <c r="BW337" s="11"/>
      <c r="BX337" s="16"/>
      <c r="BY337" s="16"/>
      <c r="BZ337" s="17"/>
      <c r="CA337" s="18"/>
      <c r="CB337" s="18"/>
      <c r="CC337" s="18"/>
      <c r="CD337" s="18"/>
      <c r="CE337" s="18"/>
      <c r="CF337" s="18"/>
      <c r="CG337" s="19"/>
      <c r="CH337" s="15"/>
      <c r="CI337" s="17"/>
      <c r="CJ337" s="10"/>
      <c r="CK337" s="10"/>
      <c r="CL337" s="10"/>
      <c r="CM337" s="17"/>
      <c r="CN337" s="17"/>
      <c r="CO337" s="10"/>
      <c r="CP337" s="10"/>
      <c r="CQ337" s="10"/>
      <c r="CR337" s="10"/>
      <c r="CS337" s="10"/>
      <c r="CT337" s="10"/>
      <c r="CU337" s="10"/>
      <c r="CV337" s="10"/>
      <c r="CW337" s="10"/>
      <c r="CX337" s="10"/>
      <c r="CY337" s="10"/>
      <c r="CZ337" s="10"/>
      <c r="DA337" s="34"/>
      <c r="DB337" s="34"/>
      <c r="DC337" s="34"/>
      <c r="DD337" s="34"/>
      <c r="DE337" s="34"/>
      <c r="DF337" s="34"/>
      <c r="DG337" s="34"/>
      <c r="DH337" s="34"/>
      <c r="DI337" s="34"/>
      <c r="DJ337" s="34"/>
      <c r="DK337" s="34"/>
      <c r="DL337" s="34"/>
      <c r="DM337" s="34"/>
      <c r="DN337" s="34"/>
      <c r="DO337" s="34"/>
      <c r="DP337" s="34"/>
      <c r="DQ337" s="34"/>
      <c r="DR337" s="34"/>
      <c r="DS337" s="34"/>
      <c r="DT337" s="34"/>
      <c r="DU337" s="34"/>
      <c r="DV337" s="34"/>
      <c r="DW337" s="34"/>
      <c r="DX337" s="34"/>
      <c r="DY337" s="34"/>
      <c r="DZ337" s="34"/>
      <c r="EA337" s="34"/>
      <c r="EB337" s="34"/>
      <c r="EC337" s="34"/>
      <c r="ED337" s="34"/>
      <c r="EE337" s="34"/>
    </row>
    <row r="338" spans="1:135" customFormat="1">
      <c r="A338" s="71">
        <f>'Old Data'!$I334-'Old Data'!$S334</f>
        <v>103</v>
      </c>
      <c r="B338" s="72">
        <f>VLOOKUP('Old Data'!$F334,$R$6:$T$135,2,FALSE)+VLOOKUP('Old Data'!$P334,$R$6:$T$135,3,FALSE)+$B$2</f>
        <v>208.31357970044331</v>
      </c>
      <c r="C338" s="72">
        <f>VLOOKUP('Old Data'!$P334,$R$6:$T$135,2,FALSE)+VLOOKUP('Old Data'!$F334,$R$6:$T$135,3,FALSE)+$B$2</f>
        <v>178.51143245124891</v>
      </c>
      <c r="D338" s="74">
        <f>('Old Data'!$I334-$B338)^2+('Old Data'!$S334-$C338)^2</f>
        <v>3134.22776948707</v>
      </c>
      <c r="E338" s="75">
        <f>'Old Data'!$K334-'Old Data'!$U334</f>
        <v>-28</v>
      </c>
      <c r="F338" s="72">
        <f>VLOOKUP('Old Data'!$F334,$V$6:$X$135,2,FALSE)+VLOOKUP('Old Data'!$P334,$V$6:$X$135,3,FALSE)+$C$2</f>
        <v>235.36525534971341</v>
      </c>
      <c r="G338" s="72">
        <f>VLOOKUP('Old Data'!$P334,$V$6:$X$135,2,FALSE)+VLOOKUP('Old Data'!$F334,$V$6:$X$135,3,FALSE)+$C$2</f>
        <v>198.82666314255943</v>
      </c>
      <c r="H338" s="74">
        <f>('Old Data'!$K334-$F338)^2+('Old Data'!$U334-$G338)^2</f>
        <v>3424.6535967963091</v>
      </c>
      <c r="I338" s="75">
        <f>('Old Data'!$L334+'Old Data'!$M334)-('Old Data'!$V334+'Old Data'!$W334)</f>
        <v>-62</v>
      </c>
      <c r="J338" s="72">
        <f>VLOOKUP('Old Data'!$F334,$Z$6:$AB$135,2,FALSE)+VLOOKUP('Old Data'!$P334,$Z$6:$AB$135,3,FALSE)+$D$2</f>
        <v>84.055070829064221</v>
      </c>
      <c r="K338" s="72">
        <f>VLOOKUP('Old Data'!$P334,$Z$6:$AB$135,2,FALSE)+VLOOKUP('Old Data'!$F334,$Z$6:$AB$135,3,FALSE)+$D$2</f>
        <v>68.055901066161397</v>
      </c>
      <c r="L338" s="74">
        <f>('Old Data'!$L334+'Old Data'!$M334-$J338)^2+('Old Data'!$V334+'Old Data'!$W334-$K338)^2</f>
        <v>9079.734490757015</v>
      </c>
      <c r="M338" s="75">
        <f>'Old Data'!$N334-'Old Data'!$X334</f>
        <v>5</v>
      </c>
      <c r="N338" s="72">
        <f>VLOOKUP('Old Data'!$F334,$AD$6:$AF$135,2,FALSE)+VLOOKUP('Old Data'!$P334,$AD$6:$AF$135,3,FALSE)+$E$2</f>
        <v>1.2576328387230697</v>
      </c>
      <c r="O338" s="72">
        <f>VLOOKUP('Old Data'!$P334,$AD$6:$AF$135,2,FALSE)+VLOOKUP('Old Data'!$F334,$AD$6:$AF$135,3,FALSE)+$E$2</f>
        <v>0.93780063896353316</v>
      </c>
      <c r="P338" s="73">
        <f>('Old Data'!$N334-$N338)^2+('Old Data'!$X334-$O338)^2</f>
        <v>14.884782008244361</v>
      </c>
      <c r="Q338" s="62"/>
      <c r="R338" s="3"/>
      <c r="S338" s="3"/>
      <c r="T338" s="3"/>
      <c r="V338" s="3"/>
      <c r="W338" s="3"/>
      <c r="X338" s="3"/>
      <c r="Z338" s="3"/>
      <c r="AA338" s="3"/>
      <c r="AB338" s="3"/>
      <c r="AC338" s="3"/>
      <c r="AD338" s="3"/>
      <c r="AE338" s="3"/>
      <c r="AF338" s="3"/>
      <c r="AG338" s="3"/>
      <c r="AH338" s="37"/>
      <c r="AI338" s="1"/>
      <c r="AK338" s="10"/>
      <c r="AL338" s="10"/>
      <c r="AM338" s="10"/>
      <c r="AN338" s="11"/>
      <c r="AO338" s="11"/>
      <c r="AP338" s="11"/>
      <c r="AQ338" s="36"/>
      <c r="AR338" s="11"/>
      <c r="AS338" s="11"/>
      <c r="AT338" s="11"/>
      <c r="AU338" s="12"/>
      <c r="AV338" s="11"/>
      <c r="AW338" s="11"/>
      <c r="AX338" s="15"/>
      <c r="AY338" s="15"/>
      <c r="AZ338" s="15"/>
      <c r="BA338" s="15"/>
      <c r="BB338" s="15"/>
      <c r="BC338" s="15"/>
      <c r="BD338" s="15"/>
      <c r="BE338" s="12"/>
      <c r="BF338" s="11"/>
      <c r="BG338" s="11"/>
      <c r="BH338" s="10"/>
      <c r="BI338" s="10"/>
      <c r="BJ338" s="10"/>
      <c r="BK338" s="23"/>
      <c r="BL338" s="23"/>
      <c r="BM338" s="23"/>
      <c r="BN338" s="23"/>
      <c r="BO338" s="23"/>
      <c r="BP338" s="23"/>
      <c r="BQ338" s="23"/>
      <c r="BR338" s="10"/>
      <c r="BS338" s="16"/>
      <c r="BT338" s="16"/>
      <c r="BU338" s="16"/>
      <c r="BV338" s="16"/>
      <c r="BW338" s="11"/>
      <c r="BX338" s="16"/>
      <c r="BY338" s="16"/>
      <c r="BZ338" s="17"/>
      <c r="CA338" s="18"/>
      <c r="CB338" s="18"/>
      <c r="CC338" s="18"/>
      <c r="CD338" s="18"/>
      <c r="CE338" s="18"/>
      <c r="CF338" s="18"/>
      <c r="CG338" s="19"/>
      <c r="CH338" s="15"/>
      <c r="CI338" s="17"/>
      <c r="CJ338" s="10"/>
      <c r="CK338" s="10"/>
      <c r="CL338" s="10"/>
      <c r="CM338" s="17"/>
      <c r="CN338" s="17"/>
      <c r="CO338" s="10"/>
      <c r="CP338" s="10"/>
      <c r="CQ338" s="10"/>
      <c r="CR338" s="10"/>
      <c r="CS338" s="10"/>
      <c r="CT338" s="10"/>
      <c r="CU338" s="10"/>
      <c r="CV338" s="10"/>
      <c r="CW338" s="10"/>
      <c r="CX338" s="10"/>
      <c r="CY338" s="10"/>
      <c r="CZ338" s="10"/>
      <c r="DA338" s="34"/>
      <c r="DB338" s="34"/>
      <c r="DC338" s="34"/>
      <c r="DD338" s="34"/>
      <c r="DE338" s="34"/>
      <c r="DF338" s="34"/>
      <c r="DG338" s="34"/>
      <c r="DH338" s="34"/>
      <c r="DI338" s="34"/>
      <c r="DJ338" s="34"/>
      <c r="DK338" s="34"/>
      <c r="DL338" s="34"/>
      <c r="DM338" s="34"/>
      <c r="DN338" s="34"/>
      <c r="DO338" s="34"/>
      <c r="DP338" s="34"/>
      <c r="DQ338" s="34"/>
      <c r="DR338" s="34"/>
      <c r="DS338" s="34"/>
      <c r="DT338" s="34"/>
      <c r="DU338" s="34"/>
      <c r="DV338" s="34"/>
      <c r="DW338" s="34"/>
      <c r="DX338" s="34"/>
      <c r="DY338" s="34"/>
      <c r="DZ338" s="34"/>
      <c r="EA338" s="34"/>
      <c r="EB338" s="34"/>
      <c r="EC338" s="34"/>
      <c r="ED338" s="34"/>
      <c r="EE338" s="34"/>
    </row>
    <row r="339" spans="1:135" customFormat="1">
      <c r="A339" s="71">
        <f>'Old Data'!$I335-'Old Data'!$S335</f>
        <v>-122</v>
      </c>
      <c r="B339" s="72">
        <f>VLOOKUP('Old Data'!$F335,$R$6:$T$135,2,FALSE)+VLOOKUP('Old Data'!$P335,$R$6:$T$135,3,FALSE)+$B$2</f>
        <v>100.1417450242712</v>
      </c>
      <c r="C339" s="72">
        <f>VLOOKUP('Old Data'!$P335,$R$6:$T$135,2,FALSE)+VLOOKUP('Old Data'!$F335,$R$6:$T$135,3,FALSE)+$B$2</f>
        <v>271.19561648355449</v>
      </c>
      <c r="D339" s="74">
        <f>('Old Data'!$I335-$B339)^2+('Old Data'!$S335-$C339)^2</f>
        <v>3293.769560956755</v>
      </c>
      <c r="E339" s="75">
        <f>'Old Data'!$K335-'Old Data'!$U335</f>
        <v>-159</v>
      </c>
      <c r="F339" s="72">
        <f>VLOOKUP('Old Data'!$F335,$V$6:$X$135,2,FALSE)+VLOOKUP('Old Data'!$P335,$V$6:$X$135,3,FALSE)+$C$2</f>
        <v>67.272177392243606</v>
      </c>
      <c r="G339" s="72">
        <f>VLOOKUP('Old Data'!$P335,$V$6:$X$135,2,FALSE)+VLOOKUP('Old Data'!$F335,$V$6:$X$135,3,FALSE)+$C$2</f>
        <v>231.54786997772788</v>
      </c>
      <c r="H339" s="74">
        <f>('Old Data'!$K335-$F339)^2+('Old Data'!$U335-$G339)^2</f>
        <v>1571.8553103211975</v>
      </c>
      <c r="I339" s="75">
        <f>('Old Data'!$L335+'Old Data'!$M335)-('Old Data'!$V335+'Old Data'!$W335)</f>
        <v>28</v>
      </c>
      <c r="J339" s="72">
        <f>VLOOKUP('Old Data'!$F335,$Z$6:$AB$135,2,FALSE)+VLOOKUP('Old Data'!$P335,$Z$6:$AB$135,3,FALSE)+$D$2</f>
        <v>39.945354853341719</v>
      </c>
      <c r="K339" s="72">
        <f>VLOOKUP('Old Data'!$P335,$Z$6:$AB$135,2,FALSE)+VLOOKUP('Old Data'!$F335,$Z$6:$AB$135,3,FALSE)+$D$2</f>
        <v>34.057211818582296</v>
      </c>
      <c r="L339" s="74">
        <f>('Old Data'!$L335+'Old Data'!$M335-$J339)^2+('Old Data'!$V335+'Old Data'!$W335-$K339)^2</f>
        <v>1126.5749127403401</v>
      </c>
      <c r="M339" s="75">
        <f>'Old Data'!$N335-'Old Data'!$X335</f>
        <v>-2</v>
      </c>
      <c r="N339" s="72">
        <f>VLOOKUP('Old Data'!$F335,$AD$6:$AF$135,2,FALSE)+VLOOKUP('Old Data'!$P335,$AD$6:$AF$135,3,FALSE)+$E$2</f>
        <v>0.68938459813555308</v>
      </c>
      <c r="O339" s="72">
        <f>VLOOKUP('Old Data'!$P335,$AD$6:$AF$135,2,FALSE)+VLOOKUP('Old Data'!$F335,$AD$6:$AF$135,3,FALSE)+$E$2</f>
        <v>2.2897943579302291</v>
      </c>
      <c r="P339" s="73">
        <f>('Old Data'!$N335-$N339)^2+('Old Data'!$X335-$O339)^2</f>
        <v>0.55923189403471185</v>
      </c>
      <c r="Q339" s="62"/>
      <c r="R339" s="3"/>
      <c r="S339" s="3"/>
      <c r="T339" s="3"/>
      <c r="V339" s="3"/>
      <c r="W339" s="3"/>
      <c r="X339" s="3"/>
      <c r="Z339" s="3"/>
      <c r="AA339" s="3"/>
      <c r="AB339" s="3"/>
      <c r="AC339" s="3"/>
      <c r="AD339" s="3"/>
      <c r="AE339" s="3"/>
      <c r="AF339" s="3"/>
      <c r="AG339" s="3"/>
      <c r="AH339" s="37"/>
      <c r="AI339" s="1"/>
      <c r="AK339" s="10"/>
      <c r="AL339" s="10"/>
      <c r="AM339" s="10"/>
      <c r="AN339" s="11"/>
      <c r="AO339" s="11"/>
      <c r="AP339" s="11"/>
      <c r="AQ339" s="36"/>
      <c r="AR339" s="11"/>
      <c r="AS339" s="11"/>
      <c r="AT339" s="11"/>
      <c r="AU339" s="12"/>
      <c r="AV339" s="11"/>
      <c r="AW339" s="11"/>
      <c r="AX339" s="15"/>
      <c r="AY339" s="15"/>
      <c r="AZ339" s="15"/>
      <c r="BA339" s="15"/>
      <c r="BB339" s="15"/>
      <c r="BC339" s="15"/>
      <c r="BD339" s="15"/>
      <c r="BE339" s="12"/>
      <c r="BF339" s="11"/>
      <c r="BG339" s="11"/>
      <c r="BH339" s="10"/>
      <c r="BI339" s="10"/>
      <c r="BJ339" s="10"/>
      <c r="BK339" s="23"/>
      <c r="BL339" s="23"/>
      <c r="BM339" s="23"/>
      <c r="BN339" s="23"/>
      <c r="BO339" s="23"/>
      <c r="BP339" s="23"/>
      <c r="BQ339" s="23"/>
      <c r="BR339" s="10"/>
      <c r="BS339" s="16"/>
      <c r="BT339" s="16"/>
      <c r="BU339" s="16"/>
      <c r="BV339" s="16"/>
      <c r="BW339" s="11"/>
      <c r="BX339" s="16"/>
      <c r="BY339" s="16"/>
      <c r="BZ339" s="17"/>
      <c r="CA339" s="18"/>
      <c r="CB339" s="18"/>
      <c r="CC339" s="18"/>
      <c r="CD339" s="18"/>
      <c r="CE339" s="18"/>
      <c r="CF339" s="18"/>
      <c r="CG339" s="19"/>
      <c r="CH339" s="15"/>
      <c r="CI339" s="17"/>
      <c r="CJ339" s="10"/>
      <c r="CK339" s="10"/>
      <c r="CL339" s="10"/>
      <c r="CM339" s="17"/>
      <c r="CN339" s="17"/>
      <c r="CO339" s="10"/>
      <c r="CP339" s="10"/>
      <c r="CQ339" s="10"/>
      <c r="CR339" s="10"/>
      <c r="CS339" s="10"/>
      <c r="CT339" s="10"/>
      <c r="CU339" s="10"/>
      <c r="CV339" s="10"/>
      <c r="CW339" s="10"/>
      <c r="CX339" s="10"/>
      <c r="CY339" s="10"/>
      <c r="CZ339" s="10"/>
      <c r="DA339" s="34"/>
      <c r="DB339" s="34"/>
      <c r="DC339" s="34"/>
      <c r="DD339" s="34"/>
      <c r="DE339" s="34"/>
      <c r="DF339" s="34"/>
      <c r="DG339" s="34"/>
      <c r="DH339" s="34"/>
      <c r="DI339" s="34"/>
      <c r="DJ339" s="34"/>
      <c r="DK339" s="34"/>
      <c r="DL339" s="34"/>
      <c r="DM339" s="34"/>
      <c r="DN339" s="34"/>
      <c r="DO339" s="34"/>
      <c r="DP339" s="34"/>
      <c r="DQ339" s="34"/>
      <c r="DR339" s="34"/>
      <c r="DS339" s="34"/>
      <c r="DT339" s="34"/>
      <c r="DU339" s="34"/>
      <c r="DV339" s="34"/>
      <c r="DW339" s="34"/>
      <c r="DX339" s="34"/>
      <c r="DY339" s="34"/>
      <c r="DZ339" s="34"/>
      <c r="EA339" s="34"/>
      <c r="EB339" s="34"/>
      <c r="EC339" s="34"/>
      <c r="ED339" s="34"/>
      <c r="EE339" s="34"/>
    </row>
    <row r="340" spans="1:135" customFormat="1">
      <c r="A340" s="71">
        <f>'Old Data'!$I336-'Old Data'!$S336</f>
        <v>-94</v>
      </c>
      <c r="B340" s="72">
        <f>VLOOKUP('Old Data'!$F336,$R$6:$T$135,2,FALSE)+VLOOKUP('Old Data'!$P336,$R$6:$T$135,3,FALSE)+$B$2</f>
        <v>95.01201555736381</v>
      </c>
      <c r="C340" s="72">
        <f>VLOOKUP('Old Data'!$P336,$R$6:$T$135,2,FALSE)+VLOOKUP('Old Data'!$F336,$R$6:$T$135,3,FALSE)+$B$2</f>
        <v>172.7266615315491</v>
      </c>
      <c r="D340" s="74">
        <f>('Old Data'!$I336-$B340)^2+('Old Data'!$S336-$C340)^2</f>
        <v>2705.8252731067187</v>
      </c>
      <c r="E340" s="75">
        <f>'Old Data'!$K336-'Old Data'!$U336</f>
        <v>45</v>
      </c>
      <c r="F340" s="72">
        <f>VLOOKUP('Old Data'!$F336,$V$6:$X$135,2,FALSE)+VLOOKUP('Old Data'!$P336,$V$6:$X$135,3,FALSE)+$C$2</f>
        <v>210.16702305043981</v>
      </c>
      <c r="G340" s="72">
        <f>VLOOKUP('Old Data'!$P336,$V$6:$X$135,2,FALSE)+VLOOKUP('Old Data'!$F336,$V$6:$X$135,3,FALSE)+$C$2</f>
        <v>304.81965658473052</v>
      </c>
      <c r="H340" s="74">
        <f>('Old Data'!$K336-$F340)^2+('Old Data'!$U336-$G340)^2</f>
        <v>9769.3491930585315</v>
      </c>
      <c r="I340" s="75">
        <f>('Old Data'!$L336+'Old Data'!$M336)-('Old Data'!$V336+'Old Data'!$W336)</f>
        <v>23</v>
      </c>
      <c r="J340" s="72">
        <f>VLOOKUP('Old Data'!$F336,$Z$6:$AB$135,2,FALSE)+VLOOKUP('Old Data'!$P336,$Z$6:$AB$135,3,FALSE)+$D$2</f>
        <v>52.723954848355795</v>
      </c>
      <c r="K340" s="72">
        <f>VLOOKUP('Old Data'!$P336,$Z$6:$AB$135,2,FALSE)+VLOOKUP('Old Data'!$F336,$Z$6:$AB$135,3,FALSE)+$D$2</f>
        <v>15.4982024364243</v>
      </c>
      <c r="L340" s="74">
        <f>('Old Data'!$L336+'Old Data'!$M336-$J340)^2+('Old Data'!$V336+'Old Data'!$W336-$K340)^2</f>
        <v>217.04305204407925</v>
      </c>
      <c r="M340" s="75">
        <f>'Old Data'!$N336-'Old Data'!$X336</f>
        <v>1</v>
      </c>
      <c r="N340" s="72">
        <f>VLOOKUP('Old Data'!$F336,$AD$6:$AF$135,2,FALSE)+VLOOKUP('Old Data'!$P336,$AD$6:$AF$135,3,FALSE)+$E$2</f>
        <v>2.1078727129819184</v>
      </c>
      <c r="O340" s="72">
        <f>VLOOKUP('Old Data'!$P336,$AD$6:$AF$135,2,FALSE)+VLOOKUP('Old Data'!$F336,$AD$6:$AF$135,3,FALSE)+$E$2</f>
        <v>0.6390795187518441</v>
      </c>
      <c r="P340" s="73">
        <f>('Old Data'!$N336-$N340)^2+('Old Data'!$X336-$O340)^2</f>
        <v>1.6358045794580045</v>
      </c>
      <c r="Q340" s="62"/>
      <c r="R340" s="3"/>
      <c r="S340" s="3"/>
      <c r="T340" s="3"/>
      <c r="V340" s="3"/>
      <c r="W340" s="3"/>
      <c r="X340" s="3"/>
      <c r="Z340" s="3"/>
      <c r="AA340" s="3"/>
      <c r="AB340" s="3"/>
      <c r="AC340" s="3"/>
      <c r="AD340" s="3"/>
      <c r="AE340" s="3"/>
      <c r="AF340" s="3"/>
      <c r="AG340" s="3"/>
      <c r="AH340" s="37"/>
      <c r="AI340" s="1"/>
      <c r="AK340" s="10"/>
      <c r="AL340" s="10"/>
      <c r="AM340" s="10"/>
      <c r="AN340" s="11"/>
      <c r="AO340" s="11"/>
      <c r="AP340" s="11"/>
      <c r="AQ340" s="36"/>
      <c r="AR340" s="11"/>
      <c r="AS340" s="11"/>
      <c r="AT340" s="11"/>
      <c r="AU340" s="12"/>
      <c r="AV340" s="11"/>
      <c r="AW340" s="11"/>
      <c r="AX340" s="15"/>
      <c r="AY340" s="15"/>
      <c r="AZ340" s="15"/>
      <c r="BA340" s="15"/>
      <c r="BB340" s="15"/>
      <c r="BC340" s="15"/>
      <c r="BD340" s="15"/>
      <c r="BE340" s="12"/>
      <c r="BF340" s="11"/>
      <c r="BG340" s="11"/>
      <c r="BH340" s="10"/>
      <c r="BI340" s="10"/>
      <c r="BJ340" s="10"/>
      <c r="BK340" s="23"/>
      <c r="BL340" s="23"/>
      <c r="BM340" s="23"/>
      <c r="BN340" s="23"/>
      <c r="BO340" s="23"/>
      <c r="BP340" s="23"/>
      <c r="BQ340" s="23"/>
      <c r="BR340" s="10"/>
      <c r="BS340" s="16"/>
      <c r="BT340" s="16"/>
      <c r="BU340" s="16"/>
      <c r="BV340" s="16"/>
      <c r="BW340" s="11"/>
      <c r="BX340" s="16"/>
      <c r="BY340" s="16"/>
      <c r="BZ340" s="17"/>
      <c r="CA340" s="18"/>
      <c r="CB340" s="18"/>
      <c r="CC340" s="18"/>
      <c r="CD340" s="18"/>
      <c r="CE340" s="18"/>
      <c r="CF340" s="18"/>
      <c r="CG340" s="19"/>
      <c r="CH340" s="15"/>
      <c r="CI340" s="17"/>
      <c r="CJ340" s="10"/>
      <c r="CK340" s="10"/>
      <c r="CL340" s="10"/>
      <c r="CM340" s="17"/>
      <c r="CN340" s="17"/>
      <c r="CO340" s="10"/>
      <c r="CP340" s="10"/>
      <c r="CQ340" s="10"/>
      <c r="CR340" s="10"/>
      <c r="CS340" s="10"/>
      <c r="CT340" s="10"/>
      <c r="CU340" s="10"/>
      <c r="CV340" s="10"/>
      <c r="CW340" s="10"/>
      <c r="CX340" s="10"/>
      <c r="CY340" s="10"/>
      <c r="CZ340" s="10"/>
      <c r="DA340" s="34"/>
      <c r="DB340" s="34"/>
      <c r="DC340" s="34"/>
      <c r="DD340" s="34"/>
      <c r="DE340" s="34"/>
      <c r="DF340" s="34"/>
      <c r="DG340" s="34"/>
      <c r="DH340" s="34"/>
      <c r="DI340" s="34"/>
      <c r="DJ340" s="34"/>
      <c r="DK340" s="34"/>
      <c r="DL340" s="34"/>
      <c r="DM340" s="34"/>
      <c r="DN340" s="34"/>
      <c r="DO340" s="34"/>
      <c r="DP340" s="34"/>
      <c r="DQ340" s="34"/>
      <c r="DR340" s="34"/>
      <c r="DS340" s="34"/>
      <c r="DT340" s="34"/>
      <c r="DU340" s="34"/>
      <c r="DV340" s="34"/>
      <c r="DW340" s="34"/>
      <c r="DX340" s="34"/>
      <c r="DY340" s="34"/>
      <c r="DZ340" s="34"/>
      <c r="EA340" s="34"/>
      <c r="EB340" s="34"/>
      <c r="EC340" s="34"/>
      <c r="ED340" s="34"/>
      <c r="EE340" s="34"/>
    </row>
    <row r="341" spans="1:135" customFormat="1">
      <c r="A341" s="71">
        <f>'Old Data'!$I337-'Old Data'!$S337</f>
        <v>-187</v>
      </c>
      <c r="B341" s="72">
        <f>VLOOKUP('Old Data'!$F337,$R$6:$T$135,2,FALSE)+VLOOKUP('Old Data'!$P337,$R$6:$T$135,3,FALSE)+$B$2</f>
        <v>-40.779521645264595</v>
      </c>
      <c r="C341" s="72">
        <f>VLOOKUP('Old Data'!$P337,$R$6:$T$135,2,FALSE)+VLOOKUP('Old Data'!$F337,$R$6:$T$135,3,FALSE)+$B$2</f>
        <v>283.31714756923498</v>
      </c>
      <c r="D341" s="74">
        <f>('Old Data'!$I337-$B341)^2+('Old Data'!$S337-$C341)^2</f>
        <v>10725.811797794509</v>
      </c>
      <c r="E341" s="75">
        <f>'Old Data'!$K337-'Old Data'!$U337</f>
        <v>128</v>
      </c>
      <c r="F341" s="72">
        <f>VLOOKUP('Old Data'!$F337,$V$6:$X$135,2,FALSE)+VLOOKUP('Old Data'!$P337,$V$6:$X$135,3,FALSE)+$C$2</f>
        <v>158.53937859625029</v>
      </c>
      <c r="G341" s="72">
        <f>VLOOKUP('Old Data'!$P337,$V$6:$X$135,2,FALSE)+VLOOKUP('Old Data'!$F337,$V$6:$X$135,3,FALSE)+$C$2</f>
        <v>119.71645200873733</v>
      </c>
      <c r="H341" s="74">
        <f>('Old Data'!$K337-$F341)^2+('Old Data'!$U337-$G341)^2</f>
        <v>4181.4245479570291</v>
      </c>
      <c r="I341" s="75">
        <f>('Old Data'!$L337+'Old Data'!$M337)-('Old Data'!$V337+'Old Data'!$W337)</f>
        <v>4</v>
      </c>
      <c r="J341" s="72">
        <f>VLOOKUP('Old Data'!$F337,$Z$6:$AB$135,2,FALSE)+VLOOKUP('Old Data'!$P337,$Z$6:$AB$135,3,FALSE)+$D$2</f>
        <v>89.240548901747388</v>
      </c>
      <c r="K341" s="72">
        <f>VLOOKUP('Old Data'!$P337,$Z$6:$AB$135,2,FALSE)+VLOOKUP('Old Data'!$F337,$Z$6:$AB$135,3,FALSE)+$D$2</f>
        <v>-3.481445018124802</v>
      </c>
      <c r="L341" s="74">
        <f>('Old Data'!$L337+'Old Data'!$M337-$J341)^2+('Old Data'!$V337+'Old Data'!$W337-$K341)^2</f>
        <v>7278.0716364854143</v>
      </c>
      <c r="M341" s="75">
        <f>'Old Data'!$N337-'Old Data'!$X337</f>
        <v>-3</v>
      </c>
      <c r="N341" s="72">
        <f>VLOOKUP('Old Data'!$F337,$AD$6:$AF$135,2,FALSE)+VLOOKUP('Old Data'!$P337,$AD$6:$AF$135,3,FALSE)+$E$2</f>
        <v>0.68477042213729411</v>
      </c>
      <c r="O341" s="72">
        <f>VLOOKUP('Old Data'!$P337,$AD$6:$AF$135,2,FALSE)+VLOOKUP('Old Data'!$F337,$AD$6:$AF$135,3,FALSE)+$E$2</f>
        <v>2.3621163948272423</v>
      </c>
      <c r="P341" s="73">
        <f>('Old Data'!$N337-$N341)^2+('Old Data'!$X337-$O341)^2</f>
        <v>2.7820323908532099</v>
      </c>
      <c r="Q341" s="62"/>
      <c r="R341" s="3"/>
      <c r="S341" s="3"/>
      <c r="T341" s="3"/>
      <c r="V341" s="3"/>
      <c r="W341" s="3"/>
      <c r="X341" s="3"/>
      <c r="Z341" s="3"/>
      <c r="AA341" s="3"/>
      <c r="AB341" s="3"/>
      <c r="AC341" s="3"/>
      <c r="AD341" s="3"/>
      <c r="AE341" s="3"/>
      <c r="AF341" s="3"/>
      <c r="AG341" s="3"/>
      <c r="AH341" s="37"/>
      <c r="AI341" s="1"/>
      <c r="AK341" s="10"/>
      <c r="AL341" s="10"/>
      <c r="AM341" s="10"/>
      <c r="AN341" s="11"/>
      <c r="AO341" s="11"/>
      <c r="AP341" s="11"/>
      <c r="AQ341" s="36"/>
      <c r="AR341" s="11"/>
      <c r="AS341" s="11"/>
      <c r="AT341" s="11"/>
      <c r="AU341" s="12"/>
      <c r="AV341" s="11"/>
      <c r="AW341" s="11"/>
      <c r="AX341" s="15"/>
      <c r="AY341" s="15"/>
      <c r="AZ341" s="15"/>
      <c r="BA341" s="15"/>
      <c r="BB341" s="15"/>
      <c r="BC341" s="15"/>
      <c r="BD341" s="15"/>
      <c r="BE341" s="12"/>
      <c r="BF341" s="11"/>
      <c r="BG341" s="11"/>
      <c r="BH341" s="10"/>
      <c r="BI341" s="10"/>
      <c r="BJ341" s="10"/>
      <c r="BK341" s="23"/>
      <c r="BL341" s="23"/>
      <c r="BM341" s="23"/>
      <c r="BN341" s="23"/>
      <c r="BO341" s="23"/>
      <c r="BP341" s="23"/>
      <c r="BQ341" s="23"/>
      <c r="BR341" s="10"/>
      <c r="BS341" s="16"/>
      <c r="BT341" s="16"/>
      <c r="BU341" s="16"/>
      <c r="BV341" s="16"/>
      <c r="BW341" s="11"/>
      <c r="BX341" s="16"/>
      <c r="BY341" s="16"/>
      <c r="BZ341" s="17"/>
      <c r="CA341" s="18"/>
      <c r="CB341" s="18"/>
      <c r="CC341" s="18"/>
      <c r="CD341" s="18"/>
      <c r="CE341" s="18"/>
      <c r="CF341" s="18"/>
      <c r="CG341" s="19"/>
      <c r="CH341" s="15"/>
      <c r="CI341" s="17"/>
      <c r="CJ341" s="10"/>
      <c r="CK341" s="10"/>
      <c r="CL341" s="10"/>
      <c r="CM341" s="17"/>
      <c r="CN341" s="17"/>
      <c r="CO341" s="10"/>
      <c r="CP341" s="10"/>
      <c r="CQ341" s="10"/>
      <c r="CR341" s="10"/>
      <c r="CS341" s="10"/>
      <c r="CT341" s="10"/>
      <c r="CU341" s="10"/>
      <c r="CV341" s="10"/>
      <c r="CW341" s="10"/>
      <c r="CX341" s="10"/>
      <c r="CY341" s="10"/>
      <c r="CZ341" s="10"/>
      <c r="DA341" s="34"/>
      <c r="DB341" s="34"/>
      <c r="DC341" s="34"/>
      <c r="DD341" s="34"/>
      <c r="DE341" s="34"/>
      <c r="DF341" s="34"/>
      <c r="DG341" s="34"/>
      <c r="DH341" s="34"/>
      <c r="DI341" s="34"/>
      <c r="DJ341" s="34"/>
      <c r="DK341" s="34"/>
      <c r="DL341" s="34"/>
      <c r="DM341" s="34"/>
      <c r="DN341" s="34"/>
      <c r="DO341" s="34"/>
      <c r="DP341" s="34"/>
      <c r="DQ341" s="34"/>
      <c r="DR341" s="34"/>
      <c r="DS341" s="34"/>
      <c r="DT341" s="34"/>
      <c r="DU341" s="34"/>
      <c r="DV341" s="34"/>
      <c r="DW341" s="34"/>
      <c r="DX341" s="34"/>
      <c r="DY341" s="34"/>
      <c r="DZ341" s="34"/>
      <c r="EA341" s="34"/>
      <c r="EB341" s="34"/>
      <c r="EC341" s="34"/>
      <c r="ED341" s="34"/>
      <c r="EE341" s="34"/>
    </row>
    <row r="342" spans="1:135" customFormat="1">
      <c r="A342" s="71">
        <f>'Old Data'!$I338-'Old Data'!$S338</f>
        <v>24</v>
      </c>
      <c r="B342" s="72">
        <f>VLOOKUP('Old Data'!$F338,$R$6:$T$135,2,FALSE)+VLOOKUP('Old Data'!$P338,$R$6:$T$135,3,FALSE)+$B$2</f>
        <v>139.31378532178601</v>
      </c>
      <c r="C342" s="72">
        <f>VLOOKUP('Old Data'!$P338,$R$6:$T$135,2,FALSE)+VLOOKUP('Old Data'!$F338,$R$6:$T$135,3,FALSE)+$B$2</f>
        <v>122.55087046406321</v>
      </c>
      <c r="D342" s="74">
        <f>('Old Data'!$I338-$B342)^2+('Old Data'!$S338-$C342)^2</f>
        <v>43.38479442153205</v>
      </c>
      <c r="E342" s="75">
        <f>'Old Data'!$K338-'Old Data'!$U338</f>
        <v>116</v>
      </c>
      <c r="F342" s="72">
        <f>VLOOKUP('Old Data'!$F338,$V$6:$X$135,2,FALSE)+VLOOKUP('Old Data'!$P338,$V$6:$X$135,3,FALSE)+$C$2</f>
        <v>307.03327791696063</v>
      </c>
      <c r="G342" s="72">
        <f>VLOOKUP('Old Data'!$P338,$V$6:$X$135,2,FALSE)+VLOOKUP('Old Data'!$F338,$V$6:$X$135,3,FALSE)+$C$2</f>
        <v>219.67051689951589</v>
      </c>
      <c r="H342" s="74">
        <f>('Old Data'!$K338-$F342)^2+('Old Data'!$U338-$G342)^2</f>
        <v>16022.161279543707</v>
      </c>
      <c r="I342" s="75">
        <f>('Old Data'!$L338+'Old Data'!$M338)-('Old Data'!$V338+'Old Data'!$W338)</f>
        <v>-23</v>
      </c>
      <c r="J342" s="72">
        <f>VLOOKUP('Old Data'!$F338,$Z$6:$AB$135,2,FALSE)+VLOOKUP('Old Data'!$P338,$Z$6:$AB$135,3,FALSE)+$D$2</f>
        <v>68.8489926837822</v>
      </c>
      <c r="K342" s="72">
        <f>VLOOKUP('Old Data'!$P338,$Z$6:$AB$135,2,FALSE)+VLOOKUP('Old Data'!$F338,$Z$6:$AB$135,3,FALSE)+$D$2</f>
        <v>35.924058238479297</v>
      </c>
      <c r="L342" s="74">
        <f>('Old Data'!$L338+'Old Data'!$M338-$J342)^2+('Old Data'!$V338+'Old Data'!$W338-$K342)^2</f>
        <v>4318.6191310503064</v>
      </c>
      <c r="M342" s="75">
        <f>'Old Data'!$N338-'Old Data'!$X338</f>
        <v>1</v>
      </c>
      <c r="N342" s="72">
        <f>VLOOKUP('Old Data'!$F338,$AD$6:$AF$135,2,FALSE)+VLOOKUP('Old Data'!$P338,$AD$6:$AF$135,3,FALSE)+$E$2</f>
        <v>1.7049391583057352</v>
      </c>
      <c r="O342" s="72">
        <f>VLOOKUP('Old Data'!$P338,$AD$6:$AF$135,2,FALSE)+VLOOKUP('Old Data'!$F338,$AD$6:$AF$135,3,FALSE)+$E$2</f>
        <v>0.80300921073054754</v>
      </c>
      <c r="P342" s="73">
        <f>('Old Data'!$N338-$N342)^2+('Old Data'!$X338-$O342)^2</f>
        <v>0.12586627135832984</v>
      </c>
      <c r="Q342" s="62"/>
      <c r="R342" s="3"/>
      <c r="S342" s="3"/>
      <c r="T342" s="3"/>
      <c r="V342" s="3"/>
      <c r="W342" s="3"/>
      <c r="X342" s="3"/>
      <c r="Z342" s="3"/>
      <c r="AA342" s="3"/>
      <c r="AB342" s="3"/>
      <c r="AC342" s="3"/>
      <c r="AD342" s="3"/>
      <c r="AE342" s="3"/>
      <c r="AF342" s="3"/>
      <c r="AG342" s="3"/>
      <c r="AH342" s="37"/>
      <c r="AI342" s="1"/>
      <c r="AK342" s="10"/>
      <c r="AL342" s="10"/>
      <c r="AM342" s="10"/>
      <c r="AN342" s="11"/>
      <c r="AO342" s="11"/>
      <c r="AP342" s="11"/>
      <c r="AQ342" s="36"/>
      <c r="AR342" s="11"/>
      <c r="AS342" s="11"/>
      <c r="AT342" s="11"/>
      <c r="AU342" s="12"/>
      <c r="AV342" s="11"/>
      <c r="AW342" s="11"/>
      <c r="AX342" s="15"/>
      <c r="AY342" s="15"/>
      <c r="AZ342" s="15"/>
      <c r="BA342" s="15"/>
      <c r="BB342" s="15"/>
      <c r="BC342" s="15"/>
      <c r="BD342" s="15"/>
      <c r="BE342" s="12"/>
      <c r="BF342" s="11"/>
      <c r="BG342" s="11"/>
      <c r="BH342" s="10"/>
      <c r="BI342" s="10"/>
      <c r="BJ342" s="10"/>
      <c r="BK342" s="23"/>
      <c r="BL342" s="23"/>
      <c r="BM342" s="23"/>
      <c r="BN342" s="23"/>
      <c r="BO342" s="23"/>
      <c r="BP342" s="23"/>
      <c r="BQ342" s="23"/>
      <c r="BR342" s="10"/>
      <c r="BS342" s="16"/>
      <c r="BT342" s="16"/>
      <c r="BU342" s="16"/>
      <c r="BV342" s="16"/>
      <c r="BW342" s="11"/>
      <c r="BX342" s="16"/>
      <c r="BY342" s="16"/>
      <c r="BZ342" s="17"/>
      <c r="CA342" s="18"/>
      <c r="CB342" s="18"/>
      <c r="CC342" s="18"/>
      <c r="CD342" s="18"/>
      <c r="CE342" s="18"/>
      <c r="CF342" s="18"/>
      <c r="CG342" s="19"/>
      <c r="CH342" s="15"/>
      <c r="CI342" s="17"/>
      <c r="CJ342" s="10"/>
      <c r="CK342" s="10"/>
      <c r="CL342" s="10"/>
      <c r="CM342" s="17"/>
      <c r="CN342" s="17"/>
      <c r="CO342" s="10"/>
      <c r="CP342" s="10"/>
      <c r="CQ342" s="10"/>
      <c r="CR342" s="10"/>
      <c r="CS342" s="10"/>
      <c r="CT342" s="10"/>
      <c r="CU342" s="10"/>
      <c r="CV342" s="10"/>
      <c r="CW342" s="10"/>
      <c r="CX342" s="10"/>
      <c r="CY342" s="10"/>
      <c r="CZ342" s="10"/>
      <c r="DA342" s="34"/>
      <c r="DB342" s="34"/>
      <c r="DC342" s="34"/>
      <c r="DD342" s="34"/>
      <c r="DE342" s="34"/>
      <c r="DF342" s="34"/>
      <c r="DG342" s="34"/>
      <c r="DH342" s="34"/>
      <c r="DI342" s="34"/>
      <c r="DJ342" s="34"/>
      <c r="DK342" s="34"/>
      <c r="DL342" s="34"/>
      <c r="DM342" s="34"/>
      <c r="DN342" s="34"/>
      <c r="DO342" s="34"/>
      <c r="DP342" s="34"/>
      <c r="DQ342" s="34"/>
      <c r="DR342" s="34"/>
      <c r="DS342" s="34"/>
      <c r="DT342" s="34"/>
      <c r="DU342" s="34"/>
      <c r="DV342" s="34"/>
      <c r="DW342" s="34"/>
      <c r="DX342" s="34"/>
      <c r="DY342" s="34"/>
      <c r="DZ342" s="34"/>
      <c r="EA342" s="34"/>
      <c r="EB342" s="34"/>
      <c r="EC342" s="34"/>
      <c r="ED342" s="34"/>
      <c r="EE342" s="34"/>
    </row>
    <row r="343" spans="1:135" customFormat="1">
      <c r="A343" s="71">
        <f>'Old Data'!$I339-'Old Data'!$S339</f>
        <v>191</v>
      </c>
      <c r="B343" s="72">
        <f>VLOOKUP('Old Data'!$F339,$R$6:$T$135,2,FALSE)+VLOOKUP('Old Data'!$P339,$R$6:$T$135,3,FALSE)+$B$2</f>
        <v>277.43928034436442</v>
      </c>
      <c r="C343" s="72">
        <f>VLOOKUP('Old Data'!$P339,$R$6:$T$135,2,FALSE)+VLOOKUP('Old Data'!$F339,$R$6:$T$135,3,FALSE)+$B$2</f>
        <v>168.6273875077604</v>
      </c>
      <c r="D343" s="74">
        <f>('Old Data'!$I339-$B343)^2+('Old Data'!$S339-$C343)^2</f>
        <v>3924.1447409723037</v>
      </c>
      <c r="E343" s="75">
        <f>'Old Data'!$K339-'Old Data'!$U339</f>
        <v>168</v>
      </c>
      <c r="F343" s="72">
        <f>VLOOKUP('Old Data'!$F339,$V$6:$X$135,2,FALSE)+VLOOKUP('Old Data'!$P339,$V$6:$X$135,3,FALSE)+$C$2</f>
        <v>230.4210199243137</v>
      </c>
      <c r="G343" s="72">
        <f>VLOOKUP('Old Data'!$P339,$V$6:$X$135,2,FALSE)+VLOOKUP('Old Data'!$F339,$V$6:$X$135,3,FALSE)+$C$2</f>
        <v>237.8647474478789</v>
      </c>
      <c r="H343" s="74">
        <f>('Old Data'!$K339-$F343)^2+('Old Data'!$U339-$G343)^2</f>
        <v>20025.72526290749</v>
      </c>
      <c r="I343" s="75">
        <f>('Old Data'!$L339+'Old Data'!$M339)-('Old Data'!$V339+'Old Data'!$W339)</f>
        <v>-55</v>
      </c>
      <c r="J343" s="72">
        <f>VLOOKUP('Old Data'!$F339,$Z$6:$AB$135,2,FALSE)+VLOOKUP('Old Data'!$P339,$Z$6:$AB$135,3,FALSE)+$D$2</f>
        <v>54.33135783564633</v>
      </c>
      <c r="K343" s="72">
        <f>VLOOKUP('Old Data'!$P339,$Z$6:$AB$135,2,FALSE)+VLOOKUP('Old Data'!$F339,$Z$6:$AB$135,3,FALSE)+$D$2</f>
        <v>69.5748995275422</v>
      </c>
      <c r="L343" s="74">
        <f>('Old Data'!$L339+'Old Data'!$M339-$J343)^2+('Old Data'!$V339+'Old Data'!$W339-$K343)^2</f>
        <v>1626.9489343337189</v>
      </c>
      <c r="M343" s="75">
        <f>'Old Data'!$N339-'Old Data'!$X339</f>
        <v>1</v>
      </c>
      <c r="N343" s="72">
        <f>VLOOKUP('Old Data'!$F339,$AD$6:$AF$135,2,FALSE)+VLOOKUP('Old Data'!$P339,$AD$6:$AF$135,3,FALSE)+$E$2</f>
        <v>1.7434981557976992</v>
      </c>
      <c r="O343" s="72">
        <f>VLOOKUP('Old Data'!$P339,$AD$6:$AF$135,2,FALSE)+VLOOKUP('Old Data'!$F339,$AD$6:$AF$135,3,FALSE)+$E$2</f>
        <v>1.1020162487805822</v>
      </c>
      <c r="P343" s="73">
        <f>('Old Data'!$N339-$N343)^2+('Old Data'!$X339-$O343)^2</f>
        <v>2.38517170193788</v>
      </c>
      <c r="Q343" s="62"/>
      <c r="R343" s="3"/>
      <c r="S343" s="3"/>
      <c r="T343" s="3"/>
      <c r="V343" s="3"/>
      <c r="W343" s="3"/>
      <c r="X343" s="3"/>
      <c r="Z343" s="3"/>
      <c r="AA343" s="3"/>
      <c r="AB343" s="3"/>
      <c r="AC343" s="3"/>
      <c r="AD343" s="3"/>
      <c r="AE343" s="3"/>
      <c r="AF343" s="3"/>
      <c r="AG343" s="3"/>
      <c r="AH343" s="37"/>
      <c r="AI343" s="1"/>
      <c r="AK343" s="10"/>
      <c r="AL343" s="10"/>
      <c r="AM343" s="10"/>
      <c r="AN343" s="11"/>
      <c r="AO343" s="11"/>
      <c r="AP343" s="11"/>
      <c r="AQ343" s="36"/>
      <c r="AR343" s="11"/>
      <c r="AS343" s="11"/>
      <c r="AT343" s="11"/>
      <c r="AU343" s="12"/>
      <c r="AV343" s="11"/>
      <c r="AW343" s="11"/>
      <c r="AX343" s="15"/>
      <c r="AY343" s="15"/>
      <c r="AZ343" s="15"/>
      <c r="BA343" s="15"/>
      <c r="BB343" s="15"/>
      <c r="BC343" s="15"/>
      <c r="BD343" s="15"/>
      <c r="BE343" s="12"/>
      <c r="BF343" s="11"/>
      <c r="BG343" s="11"/>
      <c r="BH343" s="10"/>
      <c r="BI343" s="10"/>
      <c r="BJ343" s="10"/>
      <c r="BK343" s="23"/>
      <c r="BL343" s="23"/>
      <c r="BM343" s="23"/>
      <c r="BN343" s="23"/>
      <c r="BO343" s="23"/>
      <c r="BP343" s="23"/>
      <c r="BQ343" s="23"/>
      <c r="BR343" s="10"/>
      <c r="BS343" s="16"/>
      <c r="BT343" s="16"/>
      <c r="BU343" s="16"/>
      <c r="BV343" s="16"/>
      <c r="BW343" s="11"/>
      <c r="BX343" s="16"/>
      <c r="BY343" s="16"/>
      <c r="BZ343" s="17"/>
      <c r="CA343" s="18"/>
      <c r="CB343" s="18"/>
      <c r="CC343" s="18"/>
      <c r="CD343" s="18"/>
      <c r="CE343" s="18"/>
      <c r="CF343" s="18"/>
      <c r="CG343" s="19"/>
      <c r="CH343" s="15"/>
      <c r="CI343" s="17"/>
      <c r="CJ343" s="10"/>
      <c r="CK343" s="10"/>
      <c r="CL343" s="10"/>
      <c r="CM343" s="17"/>
      <c r="CN343" s="17"/>
      <c r="CO343" s="10"/>
      <c r="CP343" s="10"/>
      <c r="CQ343" s="10"/>
      <c r="CR343" s="10"/>
      <c r="CS343" s="10"/>
      <c r="CT343" s="10"/>
      <c r="CU343" s="10"/>
      <c r="CV343" s="10"/>
      <c r="CW343" s="10"/>
      <c r="CX343" s="10"/>
      <c r="CY343" s="10"/>
      <c r="CZ343" s="10"/>
      <c r="DA343" s="34"/>
      <c r="DB343" s="34"/>
      <c r="DC343" s="34"/>
      <c r="DD343" s="34"/>
      <c r="DE343" s="34"/>
      <c r="DF343" s="34"/>
      <c r="DG343" s="34"/>
      <c r="DH343" s="34"/>
      <c r="DI343" s="34"/>
      <c r="DJ343" s="34"/>
      <c r="DK343" s="34"/>
      <c r="DL343" s="34"/>
      <c r="DM343" s="34"/>
      <c r="DN343" s="34"/>
      <c r="DO343" s="34"/>
      <c r="DP343" s="34"/>
      <c r="DQ343" s="34"/>
      <c r="DR343" s="34"/>
      <c r="DS343" s="34"/>
      <c r="DT343" s="34"/>
      <c r="DU343" s="34"/>
      <c r="DV343" s="34"/>
      <c r="DW343" s="34"/>
      <c r="DX343" s="34"/>
      <c r="DY343" s="34"/>
      <c r="DZ343" s="34"/>
      <c r="EA343" s="34"/>
      <c r="EB343" s="34"/>
      <c r="EC343" s="34"/>
      <c r="ED343" s="34"/>
      <c r="EE343" s="34"/>
    </row>
    <row r="344" spans="1:135" customFormat="1">
      <c r="A344" s="71">
        <f>'Old Data'!$I340-'Old Data'!$S340</f>
        <v>-246</v>
      </c>
      <c r="B344" s="72">
        <f>VLOOKUP('Old Data'!$F340,$R$6:$T$135,2,FALSE)+VLOOKUP('Old Data'!$P340,$R$6:$T$135,3,FALSE)+$B$2</f>
        <v>102.32842223539022</v>
      </c>
      <c r="C344" s="72">
        <f>VLOOKUP('Old Data'!$P340,$R$6:$T$135,2,FALSE)+VLOOKUP('Old Data'!$F340,$R$6:$T$135,3,FALSE)+$B$2</f>
        <v>293.24496721496212</v>
      </c>
      <c r="D344" s="74">
        <f>('Old Data'!$I340-$B344)^2+('Old Data'!$S340-$C344)^2</f>
        <v>2555.5604214905056</v>
      </c>
      <c r="E344" s="75">
        <f>'Old Data'!$K340-'Old Data'!$U340</f>
        <v>-11</v>
      </c>
      <c r="F344" s="72">
        <f>VLOOKUP('Old Data'!$F340,$V$6:$X$135,2,FALSE)+VLOOKUP('Old Data'!$P340,$V$6:$X$135,3,FALSE)+$C$2</f>
        <v>173.18013501690689</v>
      </c>
      <c r="G344" s="72">
        <f>VLOOKUP('Old Data'!$P340,$V$6:$X$135,2,FALSE)+VLOOKUP('Old Data'!$F340,$V$6:$X$135,3,FALSE)+$C$2</f>
        <v>199.9121566057276</v>
      </c>
      <c r="H344" s="74">
        <f>('Old Data'!$K340-$F344)^2+('Old Data'!$U340-$G344)^2</f>
        <v>125.56792726209579</v>
      </c>
      <c r="I344" s="75">
        <f>('Old Data'!$L340+'Old Data'!$M340)-('Old Data'!$V340+'Old Data'!$W340)</f>
        <v>7</v>
      </c>
      <c r="J344" s="72">
        <f>VLOOKUP('Old Data'!$F340,$Z$6:$AB$135,2,FALSE)+VLOOKUP('Old Data'!$P340,$Z$6:$AB$135,3,FALSE)+$D$2</f>
        <v>74.919044700007646</v>
      </c>
      <c r="K344" s="72">
        <f>VLOOKUP('Old Data'!$P340,$Z$6:$AB$135,2,FALSE)+VLOOKUP('Old Data'!$F340,$Z$6:$AB$135,3,FALSE)+$D$2</f>
        <v>38.82134825922796</v>
      </c>
      <c r="L344" s="74">
        <f>('Old Data'!$L340+'Old Data'!$M340-$J344)^2+('Old Data'!$V340+'Old Data'!$W340-$K344)^2</f>
        <v>481.01598953928027</v>
      </c>
      <c r="M344" s="75">
        <f>'Old Data'!$N340-'Old Data'!$X340</f>
        <v>-3</v>
      </c>
      <c r="N344" s="72">
        <f>VLOOKUP('Old Data'!$F340,$AD$6:$AF$135,2,FALSE)+VLOOKUP('Old Data'!$P340,$AD$6:$AF$135,3,FALSE)+$E$2</f>
        <v>1.0284140684815171</v>
      </c>
      <c r="O344" s="72">
        <f>VLOOKUP('Old Data'!$P340,$AD$6:$AF$135,2,FALSE)+VLOOKUP('Old Data'!$F340,$AD$6:$AF$135,3,FALSE)+$E$2</f>
        <v>2.4122271165801261</v>
      </c>
      <c r="P344" s="73">
        <f>('Old Data'!$N340-$N344)^2+('Old Data'!$X340-$O344)^2</f>
        <v>2.5218300886111331</v>
      </c>
      <c r="Q344" s="62"/>
      <c r="R344" s="3"/>
      <c r="S344" s="3"/>
      <c r="T344" s="3"/>
      <c r="V344" s="3"/>
      <c r="W344" s="3"/>
      <c r="X344" s="3"/>
      <c r="Z344" s="3"/>
      <c r="AA344" s="3"/>
      <c r="AB344" s="3"/>
      <c r="AC344" s="3"/>
      <c r="AD344" s="3"/>
      <c r="AE344" s="3"/>
      <c r="AF344" s="3"/>
      <c r="AG344" s="3"/>
      <c r="AH344" s="37"/>
      <c r="AI344" s="1"/>
      <c r="AK344" s="10"/>
      <c r="AL344" s="10"/>
      <c r="AM344" s="10"/>
      <c r="AN344" s="11"/>
      <c r="AO344" s="11"/>
      <c r="AP344" s="11"/>
      <c r="AQ344" s="36"/>
      <c r="AR344" s="11"/>
      <c r="AS344" s="11"/>
      <c r="AT344" s="11"/>
      <c r="AU344" s="12"/>
      <c r="AV344" s="11"/>
      <c r="AW344" s="11"/>
      <c r="AX344" s="15"/>
      <c r="AY344" s="15"/>
      <c r="AZ344" s="15"/>
      <c r="BA344" s="15"/>
      <c r="BB344" s="15"/>
      <c r="BC344" s="15"/>
      <c r="BD344" s="15"/>
      <c r="BE344" s="12"/>
      <c r="BF344" s="11"/>
      <c r="BG344" s="11"/>
      <c r="BH344" s="10"/>
      <c r="BI344" s="10"/>
      <c r="BJ344" s="10"/>
      <c r="BK344" s="23"/>
      <c r="BL344" s="23"/>
      <c r="BM344" s="23"/>
      <c r="BN344" s="23"/>
      <c r="BO344" s="23"/>
      <c r="BP344" s="23"/>
      <c r="BQ344" s="23"/>
      <c r="BR344" s="10"/>
      <c r="BS344" s="16"/>
      <c r="BT344" s="16"/>
      <c r="BU344" s="16"/>
      <c r="BV344" s="16"/>
      <c r="BW344" s="11"/>
      <c r="BX344" s="16"/>
      <c r="BY344" s="16"/>
      <c r="BZ344" s="17"/>
      <c r="CA344" s="18"/>
      <c r="CB344" s="18"/>
      <c r="CC344" s="18"/>
      <c r="CD344" s="18"/>
      <c r="CE344" s="18"/>
      <c r="CF344" s="18"/>
      <c r="CG344" s="19"/>
      <c r="CH344" s="15"/>
      <c r="CI344" s="17"/>
      <c r="CJ344" s="10"/>
      <c r="CK344" s="10"/>
      <c r="CL344" s="10"/>
      <c r="CM344" s="17"/>
      <c r="CN344" s="17"/>
      <c r="CO344" s="10"/>
      <c r="CP344" s="10"/>
      <c r="CQ344" s="10"/>
      <c r="CR344" s="10"/>
      <c r="CS344" s="10"/>
      <c r="CT344" s="10"/>
      <c r="CU344" s="10"/>
      <c r="CV344" s="10"/>
      <c r="CW344" s="10"/>
      <c r="CX344" s="10"/>
      <c r="CY344" s="10"/>
      <c r="CZ344" s="10"/>
      <c r="DA344" s="34"/>
      <c r="DB344" s="34"/>
      <c r="DC344" s="34"/>
      <c r="DD344" s="34"/>
      <c r="DE344" s="34"/>
      <c r="DF344" s="34"/>
      <c r="DG344" s="34"/>
      <c r="DH344" s="34"/>
      <c r="DI344" s="34"/>
      <c r="DJ344" s="34"/>
      <c r="DK344" s="34"/>
      <c r="DL344" s="34"/>
      <c r="DM344" s="34"/>
      <c r="DN344" s="34"/>
      <c r="DO344" s="34"/>
      <c r="DP344" s="34"/>
      <c r="DQ344" s="34"/>
      <c r="DR344" s="34"/>
      <c r="DS344" s="34"/>
      <c r="DT344" s="34"/>
      <c r="DU344" s="34"/>
      <c r="DV344" s="34"/>
      <c r="DW344" s="34"/>
      <c r="DX344" s="34"/>
      <c r="DY344" s="34"/>
      <c r="DZ344" s="34"/>
      <c r="EA344" s="34"/>
      <c r="EB344" s="34"/>
      <c r="EC344" s="34"/>
      <c r="ED344" s="34"/>
      <c r="EE344" s="34"/>
    </row>
    <row r="345" spans="1:135" customFormat="1">
      <c r="A345" s="71">
        <f>'Old Data'!$I341-'Old Data'!$S341</f>
        <v>238</v>
      </c>
      <c r="B345" s="72">
        <f>VLOOKUP('Old Data'!$F341,$R$6:$T$135,2,FALSE)+VLOOKUP('Old Data'!$P341,$R$6:$T$135,3,FALSE)+$B$2</f>
        <v>263.9005385640628</v>
      </c>
      <c r="C345" s="72">
        <f>VLOOKUP('Old Data'!$P341,$R$6:$T$135,2,FALSE)+VLOOKUP('Old Data'!$F341,$R$6:$T$135,3,FALSE)+$B$2</f>
        <v>193.67750111022093</v>
      </c>
      <c r="D345" s="74">
        <f>('Old Data'!$I341-$B345)^2+('Old Data'!$S341-$C345)^2</f>
        <v>15666.273384105823</v>
      </c>
      <c r="E345" s="75">
        <f>'Old Data'!$K341-'Old Data'!$U341</f>
        <v>35</v>
      </c>
      <c r="F345" s="72">
        <f>VLOOKUP('Old Data'!$F341,$V$6:$X$135,2,FALSE)+VLOOKUP('Old Data'!$P341,$V$6:$X$135,3,FALSE)+$C$2</f>
        <v>250.30576584491371</v>
      </c>
      <c r="G345" s="72">
        <f>VLOOKUP('Old Data'!$P341,$V$6:$X$135,2,FALSE)+VLOOKUP('Old Data'!$F341,$V$6:$X$135,3,FALSE)+$C$2</f>
        <v>228.23533355689489</v>
      </c>
      <c r="H345" s="74">
        <f>('Old Data'!$K341-$F345)^2+('Old Data'!$U341-$G345)^2</f>
        <v>5238.8842944733397</v>
      </c>
      <c r="I345" s="75">
        <f>('Old Data'!$L341+'Old Data'!$M341)-('Old Data'!$V341+'Old Data'!$W341)</f>
        <v>-124</v>
      </c>
      <c r="J345" s="72">
        <f>VLOOKUP('Old Data'!$F341,$Z$6:$AB$135,2,FALSE)+VLOOKUP('Old Data'!$P341,$Z$6:$AB$135,3,FALSE)+$D$2</f>
        <v>89.035350504554941</v>
      </c>
      <c r="K345" s="72">
        <f>VLOOKUP('Old Data'!$P341,$Z$6:$AB$135,2,FALSE)+VLOOKUP('Old Data'!$F341,$Z$6:$AB$135,3,FALSE)+$D$2</f>
        <v>158.7460975013631</v>
      </c>
      <c r="L345" s="74">
        <f>('Old Data'!$L341+'Old Data'!$M341-$J345)^2+('Old Data'!$V341+'Old Data'!$W341-$K345)^2</f>
        <v>1766.9306261673132</v>
      </c>
      <c r="M345" s="75">
        <f>'Old Data'!$N341-'Old Data'!$X341</f>
        <v>2</v>
      </c>
      <c r="N345" s="72">
        <f>VLOOKUP('Old Data'!$F341,$AD$6:$AF$135,2,FALSE)+VLOOKUP('Old Data'!$P341,$AD$6:$AF$135,3,FALSE)+$E$2</f>
        <v>2.639804394140068</v>
      </c>
      <c r="O345" s="72">
        <f>VLOOKUP('Old Data'!$P341,$AD$6:$AF$135,2,FALSE)+VLOOKUP('Old Data'!$F341,$AD$6:$AF$135,3,FALSE)+$E$2</f>
        <v>0.7889372166343982</v>
      </c>
      <c r="P345" s="73">
        <f>('Old Data'!$N341-$N345)^2+('Old Data'!$X341-$O345)^2</f>
        <v>0.17428837300283848</v>
      </c>
      <c r="Q345" s="62"/>
      <c r="R345" s="3"/>
      <c r="S345" s="3"/>
      <c r="T345" s="3"/>
      <c r="V345" s="3"/>
      <c r="W345" s="3"/>
      <c r="X345" s="3"/>
      <c r="Z345" s="3"/>
      <c r="AA345" s="3"/>
      <c r="AB345" s="3"/>
      <c r="AC345" s="3"/>
      <c r="AD345" s="3"/>
      <c r="AE345" s="3"/>
      <c r="AF345" s="3"/>
      <c r="AG345" s="3"/>
      <c r="AH345" s="37"/>
      <c r="AI345" s="1"/>
      <c r="AK345" s="10"/>
      <c r="AL345" s="10"/>
      <c r="AM345" s="10"/>
      <c r="AN345" s="11"/>
      <c r="AO345" s="11"/>
      <c r="AP345" s="11"/>
      <c r="AQ345" s="36"/>
      <c r="AR345" s="11"/>
      <c r="AS345" s="11"/>
      <c r="AT345" s="11"/>
      <c r="AU345" s="12"/>
      <c r="AV345" s="11"/>
      <c r="AW345" s="11"/>
      <c r="AX345" s="15"/>
      <c r="AY345" s="15"/>
      <c r="AZ345" s="15"/>
      <c r="BA345" s="15"/>
      <c r="BB345" s="15"/>
      <c r="BC345" s="15"/>
      <c r="BD345" s="15"/>
      <c r="BE345" s="12"/>
      <c r="BF345" s="11"/>
      <c r="BG345" s="11"/>
      <c r="BH345" s="10"/>
      <c r="BI345" s="10"/>
      <c r="BJ345" s="10"/>
      <c r="BK345" s="23"/>
      <c r="BL345" s="23"/>
      <c r="BM345" s="23"/>
      <c r="BN345" s="23"/>
      <c r="BO345" s="23"/>
      <c r="BP345" s="23"/>
      <c r="BQ345" s="23"/>
      <c r="BR345" s="10"/>
      <c r="BS345" s="16"/>
      <c r="BT345" s="16"/>
      <c r="BU345" s="16"/>
      <c r="BV345" s="16"/>
      <c r="BW345" s="11"/>
      <c r="BX345" s="16"/>
      <c r="BY345" s="16"/>
      <c r="BZ345" s="17"/>
      <c r="CA345" s="18"/>
      <c r="CB345" s="18"/>
      <c r="CC345" s="18"/>
      <c r="CD345" s="18"/>
      <c r="CE345" s="18"/>
      <c r="CF345" s="18"/>
      <c r="CG345" s="19"/>
      <c r="CH345" s="15"/>
      <c r="CI345" s="17"/>
      <c r="CJ345" s="10"/>
      <c r="CK345" s="10"/>
      <c r="CL345" s="10"/>
      <c r="CM345" s="17"/>
      <c r="CN345" s="17"/>
      <c r="CO345" s="10"/>
      <c r="CP345" s="10"/>
      <c r="CQ345" s="10"/>
      <c r="CR345" s="10"/>
      <c r="CS345" s="10"/>
      <c r="CT345" s="10"/>
      <c r="CU345" s="10"/>
      <c r="CV345" s="10"/>
      <c r="CW345" s="10"/>
      <c r="CX345" s="10"/>
      <c r="CY345" s="10"/>
      <c r="CZ345" s="10"/>
      <c r="DA345" s="34"/>
      <c r="DB345" s="34"/>
      <c r="DC345" s="34"/>
      <c r="DD345" s="34"/>
      <c r="DE345" s="34"/>
      <c r="DF345" s="34"/>
      <c r="DG345" s="34"/>
      <c r="DH345" s="34"/>
      <c r="DI345" s="34"/>
      <c r="DJ345" s="34"/>
      <c r="DK345" s="34"/>
      <c r="DL345" s="34"/>
      <c r="DM345" s="34"/>
      <c r="DN345" s="34"/>
      <c r="DO345" s="34"/>
      <c r="DP345" s="34"/>
      <c r="DQ345" s="34"/>
      <c r="DR345" s="34"/>
      <c r="DS345" s="34"/>
      <c r="DT345" s="34"/>
      <c r="DU345" s="34"/>
      <c r="DV345" s="34"/>
      <c r="DW345" s="34"/>
      <c r="DX345" s="34"/>
      <c r="DY345" s="34"/>
      <c r="DZ345" s="34"/>
      <c r="EA345" s="34"/>
      <c r="EB345" s="34"/>
      <c r="EC345" s="34"/>
      <c r="ED345" s="34"/>
      <c r="EE345" s="34"/>
    </row>
    <row r="346" spans="1:135" customFormat="1">
      <c r="A346" s="71">
        <f>'Old Data'!$I342-'Old Data'!$S342</f>
        <v>373</v>
      </c>
      <c r="B346" s="72">
        <f>VLOOKUP('Old Data'!$F342,$R$6:$T$135,2,FALSE)+VLOOKUP('Old Data'!$P342,$R$6:$T$135,3,FALSE)+$B$2</f>
        <v>230.70054365772592</v>
      </c>
      <c r="C346" s="72">
        <f>VLOOKUP('Old Data'!$P342,$R$6:$T$135,2,FALSE)+VLOOKUP('Old Data'!$F342,$R$6:$T$135,3,FALSE)+$B$2</f>
        <v>146.90268801207131</v>
      </c>
      <c r="D346" s="74">
        <f>('Old Data'!$I342-$B346)^2+('Old Data'!$S342-$C346)^2</f>
        <v>47585.973073461442</v>
      </c>
      <c r="E346" s="75">
        <f>'Old Data'!$K342-'Old Data'!$U342</f>
        <v>-207</v>
      </c>
      <c r="F346" s="72">
        <f>VLOOKUP('Old Data'!$F342,$V$6:$X$135,2,FALSE)+VLOOKUP('Old Data'!$P342,$V$6:$X$135,3,FALSE)+$C$2</f>
        <v>198.2927126803022</v>
      </c>
      <c r="G346" s="72">
        <f>VLOOKUP('Old Data'!$P342,$V$6:$X$135,2,FALSE)+VLOOKUP('Old Data'!$F342,$V$6:$X$135,3,FALSE)+$C$2</f>
        <v>275.02585773842009</v>
      </c>
      <c r="H346" s="74">
        <f>('Old Data'!$K342-$F346)^2+('Old Data'!$U342-$G346)^2</f>
        <v>10303.891716903858</v>
      </c>
      <c r="I346" s="75">
        <f>('Old Data'!$L342+'Old Data'!$M342)-('Old Data'!$V342+'Old Data'!$W342)</f>
        <v>86</v>
      </c>
      <c r="J346" s="72">
        <f>VLOOKUP('Old Data'!$F342,$Z$6:$AB$135,2,FALSE)+VLOOKUP('Old Data'!$P342,$Z$6:$AB$135,3,FALSE)+$D$2</f>
        <v>83.471530859026444</v>
      </c>
      <c r="K346" s="72">
        <f>VLOOKUP('Old Data'!$P342,$Z$6:$AB$135,2,FALSE)+VLOOKUP('Old Data'!$F342,$Z$6:$AB$135,3,FALSE)+$D$2</f>
        <v>40.586589357702579</v>
      </c>
      <c r="L346" s="74">
        <f>('Old Data'!$L342+'Old Data'!$M342-$J346)^2+('Old Data'!$V342+'Old Data'!$W342-$K346)^2</f>
        <v>931.57206408538696</v>
      </c>
      <c r="M346" s="75">
        <f>'Old Data'!$N342-'Old Data'!$X342</f>
        <v>1</v>
      </c>
      <c r="N346" s="72">
        <f>VLOOKUP('Old Data'!$F342,$AD$6:$AF$135,2,FALSE)+VLOOKUP('Old Data'!$P342,$AD$6:$AF$135,3,FALSE)+$E$2</f>
        <v>1.6072854390752922</v>
      </c>
      <c r="O346" s="72">
        <f>VLOOKUP('Old Data'!$P342,$AD$6:$AF$135,2,FALSE)+VLOOKUP('Old Data'!$F342,$AD$6:$AF$135,3,FALSE)+$E$2</f>
        <v>0.23265760803315616</v>
      </c>
      <c r="P346" s="73">
        <f>('Old Data'!$N342-$N346)^2+('Old Data'!$X342-$O346)^2</f>
        <v>0.42292516708858013</v>
      </c>
      <c r="Q346" s="62"/>
      <c r="R346" s="3"/>
      <c r="S346" s="3"/>
      <c r="T346" s="3"/>
      <c r="V346" s="3"/>
      <c r="W346" s="3"/>
      <c r="X346" s="3"/>
      <c r="Z346" s="3"/>
      <c r="AA346" s="3"/>
      <c r="AB346" s="3"/>
      <c r="AC346" s="3"/>
      <c r="AD346" s="3"/>
      <c r="AE346" s="3"/>
      <c r="AF346" s="3"/>
      <c r="AG346" s="3"/>
      <c r="AH346" s="37"/>
      <c r="AI346" s="1"/>
      <c r="AK346" s="10"/>
      <c r="AL346" s="10"/>
      <c r="AM346" s="10"/>
      <c r="AN346" s="11"/>
      <c r="AO346" s="11"/>
      <c r="AP346" s="11"/>
      <c r="AQ346" s="36"/>
      <c r="AR346" s="11"/>
      <c r="AS346" s="11"/>
      <c r="AT346" s="11"/>
      <c r="AU346" s="12"/>
      <c r="AV346" s="11"/>
      <c r="AW346" s="11"/>
      <c r="AX346" s="15"/>
      <c r="AY346" s="15"/>
      <c r="AZ346" s="15"/>
      <c r="BA346" s="15"/>
      <c r="BB346" s="15"/>
      <c r="BC346" s="15"/>
      <c r="BD346" s="15"/>
      <c r="BE346" s="12"/>
      <c r="BF346" s="11"/>
      <c r="BG346" s="11"/>
      <c r="BH346" s="10"/>
      <c r="BI346" s="10"/>
      <c r="BJ346" s="10"/>
      <c r="BK346" s="23"/>
      <c r="BL346" s="23"/>
      <c r="BM346" s="23"/>
      <c r="BN346" s="23"/>
      <c r="BO346" s="23"/>
      <c r="BP346" s="23"/>
      <c r="BQ346" s="23"/>
      <c r="BR346" s="10"/>
      <c r="BS346" s="16"/>
      <c r="BT346" s="16"/>
      <c r="BU346" s="16"/>
      <c r="BV346" s="16"/>
      <c r="BW346" s="11"/>
      <c r="BX346" s="16"/>
      <c r="BY346" s="16"/>
      <c r="BZ346" s="17"/>
      <c r="CA346" s="18"/>
      <c r="CB346" s="18"/>
      <c r="CC346" s="18"/>
      <c r="CD346" s="18"/>
      <c r="CE346" s="18"/>
      <c r="CF346" s="18"/>
      <c r="CG346" s="19"/>
      <c r="CH346" s="15"/>
      <c r="CI346" s="17"/>
      <c r="CJ346" s="10"/>
      <c r="CK346" s="10"/>
      <c r="CL346" s="10"/>
      <c r="CM346" s="17"/>
      <c r="CN346" s="17"/>
      <c r="CO346" s="10"/>
      <c r="CP346" s="10"/>
      <c r="CQ346" s="10"/>
      <c r="CR346" s="10"/>
      <c r="CS346" s="10"/>
      <c r="CT346" s="10"/>
      <c r="CU346" s="10"/>
      <c r="CV346" s="10"/>
      <c r="CW346" s="10"/>
      <c r="CX346" s="10"/>
      <c r="CY346" s="10"/>
      <c r="CZ346" s="10"/>
      <c r="DA346" s="34"/>
      <c r="DB346" s="34"/>
      <c r="DC346" s="34"/>
      <c r="DD346" s="34"/>
      <c r="DE346" s="34"/>
      <c r="DF346" s="34"/>
      <c r="DG346" s="34"/>
      <c r="DH346" s="34"/>
      <c r="DI346" s="34"/>
      <c r="DJ346" s="34"/>
      <c r="DK346" s="34"/>
      <c r="DL346" s="34"/>
      <c r="DM346" s="34"/>
      <c r="DN346" s="34"/>
      <c r="DO346" s="34"/>
      <c r="DP346" s="34"/>
      <c r="DQ346" s="34"/>
      <c r="DR346" s="34"/>
      <c r="DS346" s="34"/>
      <c r="DT346" s="34"/>
      <c r="DU346" s="34"/>
      <c r="DV346" s="34"/>
      <c r="DW346" s="34"/>
      <c r="DX346" s="34"/>
      <c r="DY346" s="34"/>
      <c r="DZ346" s="34"/>
      <c r="EA346" s="34"/>
      <c r="EB346" s="34"/>
      <c r="EC346" s="34"/>
      <c r="ED346" s="34"/>
      <c r="EE346" s="34"/>
    </row>
    <row r="347" spans="1:135" customFormat="1">
      <c r="A347" s="71">
        <f>'Old Data'!$I343-'Old Data'!$S343</f>
        <v>-76</v>
      </c>
      <c r="B347" s="72">
        <f>VLOOKUP('Old Data'!$F343,$R$6:$T$135,2,FALSE)+VLOOKUP('Old Data'!$P343,$R$6:$T$135,3,FALSE)+$B$2</f>
        <v>123.9787548361335</v>
      </c>
      <c r="C347" s="72">
        <f>VLOOKUP('Old Data'!$P343,$R$6:$T$135,2,FALSE)+VLOOKUP('Old Data'!$F343,$R$6:$T$135,3,FALSE)+$B$2</f>
        <v>262.71946642192125</v>
      </c>
      <c r="D347" s="74">
        <f>('Old Data'!$I343-$B347)^2+('Old Data'!$S343-$C347)^2</f>
        <v>2994.3240237375817</v>
      </c>
      <c r="E347" s="75">
        <f>'Old Data'!$K343-'Old Data'!$U343</f>
        <v>-133</v>
      </c>
      <c r="F347" s="72">
        <f>VLOOKUP('Old Data'!$F343,$V$6:$X$135,2,FALSE)+VLOOKUP('Old Data'!$P343,$V$6:$X$135,3,FALSE)+$C$2</f>
        <v>177.03772842169511</v>
      </c>
      <c r="G347" s="72">
        <f>VLOOKUP('Old Data'!$P343,$V$6:$X$135,2,FALSE)+VLOOKUP('Old Data'!$F343,$V$6:$X$135,3,FALSE)+$C$2</f>
        <v>286.91293199884461</v>
      </c>
      <c r="H347" s="74">
        <f>('Old Data'!$K343-$F347)^2+('Old Data'!$U343-$G347)^2</f>
        <v>267.92866157565044</v>
      </c>
      <c r="I347" s="75">
        <f>('Old Data'!$L343+'Old Data'!$M343)-('Old Data'!$V343+'Old Data'!$W343)</f>
        <v>-11</v>
      </c>
      <c r="J347" s="72">
        <f>VLOOKUP('Old Data'!$F343,$Z$6:$AB$135,2,FALSE)+VLOOKUP('Old Data'!$P343,$Z$6:$AB$135,3,FALSE)+$D$2</f>
        <v>92.982362133196489</v>
      </c>
      <c r="K347" s="72">
        <f>VLOOKUP('Old Data'!$P343,$Z$6:$AB$135,2,FALSE)+VLOOKUP('Old Data'!$F343,$Z$6:$AB$135,3,FALSE)+$D$2</f>
        <v>62.976699498121192</v>
      </c>
      <c r="L347" s="74">
        <f>('Old Data'!$L343+'Old Data'!$M343-$J347)^2+('Old Data'!$V343+'Old Data'!$W343-$K347)^2</f>
        <v>1679.5545489298452</v>
      </c>
      <c r="M347" s="75">
        <f>'Old Data'!$N343-'Old Data'!$X343</f>
        <v>-1</v>
      </c>
      <c r="N347" s="72">
        <f>VLOOKUP('Old Data'!$F343,$AD$6:$AF$135,2,FALSE)+VLOOKUP('Old Data'!$P343,$AD$6:$AF$135,3,FALSE)+$E$2</f>
        <v>1.9031100729353132</v>
      </c>
      <c r="O347" s="72">
        <f>VLOOKUP('Old Data'!$P343,$AD$6:$AF$135,2,FALSE)+VLOOKUP('Old Data'!$F343,$AD$6:$AF$135,3,FALSE)+$E$2</f>
        <v>1.8200450458631812</v>
      </c>
      <c r="P347" s="73">
        <f>('Old Data'!$N343-$N347)^2+('Old Data'!$X343-$O347)^2</f>
        <v>1.4016813517586226</v>
      </c>
      <c r="Q347" s="62"/>
      <c r="R347" s="3"/>
      <c r="S347" s="3"/>
      <c r="T347" s="3"/>
      <c r="V347" s="3"/>
      <c r="W347" s="3"/>
      <c r="X347" s="3"/>
      <c r="Z347" s="3"/>
      <c r="AA347" s="3"/>
      <c r="AB347" s="3"/>
      <c r="AC347" s="3"/>
      <c r="AD347" s="3"/>
      <c r="AE347" s="3"/>
      <c r="AF347" s="3"/>
      <c r="AG347" s="3"/>
      <c r="AH347" s="37"/>
      <c r="AI347" s="1"/>
      <c r="AK347" s="10"/>
      <c r="AL347" s="10"/>
      <c r="AM347" s="10"/>
      <c r="AN347" s="11"/>
      <c r="AO347" s="11"/>
      <c r="AP347" s="11"/>
      <c r="AQ347" s="36"/>
      <c r="AR347" s="11"/>
      <c r="AS347" s="11"/>
      <c r="AT347" s="11"/>
      <c r="AU347" s="12"/>
      <c r="AV347" s="11"/>
      <c r="AW347" s="11"/>
      <c r="AX347" s="15"/>
      <c r="AY347" s="15"/>
      <c r="AZ347" s="15"/>
      <c r="BA347" s="15"/>
      <c r="BB347" s="15"/>
      <c r="BC347" s="15"/>
      <c r="BD347" s="15"/>
      <c r="BE347" s="12"/>
      <c r="BF347" s="11"/>
      <c r="BG347" s="11"/>
      <c r="BH347" s="10"/>
      <c r="BI347" s="10"/>
      <c r="BJ347" s="10"/>
      <c r="BK347" s="23"/>
      <c r="BL347" s="23"/>
      <c r="BM347" s="23"/>
      <c r="BN347" s="23"/>
      <c r="BO347" s="23"/>
      <c r="BP347" s="23"/>
      <c r="BQ347" s="23"/>
      <c r="BR347" s="10"/>
      <c r="BS347" s="16"/>
      <c r="BT347" s="16"/>
      <c r="BU347" s="16"/>
      <c r="BV347" s="16"/>
      <c r="BW347" s="11"/>
      <c r="BX347" s="16"/>
      <c r="BY347" s="16"/>
      <c r="BZ347" s="17"/>
      <c r="CA347" s="18"/>
      <c r="CB347" s="18"/>
      <c r="CC347" s="18"/>
      <c r="CD347" s="18"/>
      <c r="CE347" s="18"/>
      <c r="CF347" s="18"/>
      <c r="CG347" s="19"/>
      <c r="CH347" s="15"/>
      <c r="CI347" s="17"/>
      <c r="CJ347" s="10"/>
      <c r="CK347" s="10"/>
      <c r="CL347" s="10"/>
      <c r="CM347" s="17"/>
      <c r="CN347" s="17"/>
      <c r="CO347" s="10"/>
      <c r="CP347" s="10"/>
      <c r="CQ347" s="10"/>
      <c r="CR347" s="10"/>
      <c r="CS347" s="10"/>
      <c r="CT347" s="10"/>
      <c r="CU347" s="10"/>
      <c r="CV347" s="10"/>
      <c r="CW347" s="10"/>
      <c r="CX347" s="10"/>
      <c r="CY347" s="10"/>
      <c r="CZ347" s="10"/>
      <c r="DA347" s="34"/>
      <c r="DB347" s="34"/>
      <c r="DC347" s="34"/>
      <c r="DD347" s="34"/>
      <c r="DE347" s="34"/>
      <c r="DF347" s="34"/>
      <c r="DG347" s="34"/>
      <c r="DH347" s="34"/>
      <c r="DI347" s="34"/>
      <c r="DJ347" s="34"/>
      <c r="DK347" s="34"/>
      <c r="DL347" s="34"/>
      <c r="DM347" s="34"/>
      <c r="DN347" s="34"/>
      <c r="DO347" s="34"/>
      <c r="DP347" s="34"/>
      <c r="DQ347" s="34"/>
      <c r="DR347" s="34"/>
      <c r="DS347" s="34"/>
      <c r="DT347" s="34"/>
      <c r="DU347" s="34"/>
      <c r="DV347" s="34"/>
      <c r="DW347" s="34"/>
      <c r="DX347" s="34"/>
      <c r="DY347" s="34"/>
      <c r="DZ347" s="34"/>
      <c r="EA347" s="34"/>
      <c r="EB347" s="34"/>
      <c r="EC347" s="34"/>
      <c r="ED347" s="34"/>
      <c r="EE347" s="34"/>
    </row>
    <row r="348" spans="1:135" customFormat="1">
      <c r="A348" s="71">
        <f>'Old Data'!$I344-'Old Data'!$S344</f>
        <v>-53</v>
      </c>
      <c r="B348" s="72">
        <f>VLOOKUP('Old Data'!$F344,$R$6:$T$135,2,FALSE)+VLOOKUP('Old Data'!$P344,$R$6:$T$135,3,FALSE)+$B$2</f>
        <v>90.187179131172201</v>
      </c>
      <c r="C348" s="72">
        <f>VLOOKUP('Old Data'!$P344,$R$6:$T$135,2,FALSE)+VLOOKUP('Old Data'!$F344,$R$6:$T$135,3,FALSE)+$B$2</f>
        <v>187.11103108845072</v>
      </c>
      <c r="D348" s="74">
        <f>('Old Data'!$I344-$B348)^2+('Old Data'!$S344-$C348)^2</f>
        <v>1121.3290660967912</v>
      </c>
      <c r="E348" s="75">
        <f>'Old Data'!$K344-'Old Data'!$U344</f>
        <v>36</v>
      </c>
      <c r="F348" s="72">
        <f>VLOOKUP('Old Data'!$F344,$V$6:$X$135,2,FALSE)+VLOOKUP('Old Data'!$P344,$V$6:$X$135,3,FALSE)+$C$2</f>
        <v>303.529962431142</v>
      </c>
      <c r="G348" s="72">
        <f>VLOOKUP('Old Data'!$P344,$V$6:$X$135,2,FALSE)+VLOOKUP('Old Data'!$F344,$V$6:$X$135,3,FALSE)+$C$2</f>
        <v>222.68175859396459</v>
      </c>
      <c r="H348" s="74">
        <f>('Old Data'!$K344-$F348)^2+('Old Data'!$U344-$G348)^2</f>
        <v>8231.1096296195337</v>
      </c>
      <c r="I348" s="75">
        <f>('Old Data'!$L344+'Old Data'!$M344)-('Old Data'!$V344+'Old Data'!$W344)</f>
        <v>-29</v>
      </c>
      <c r="J348" s="72">
        <f>VLOOKUP('Old Data'!$F344,$Z$6:$AB$135,2,FALSE)+VLOOKUP('Old Data'!$P344,$Z$6:$AB$135,3,FALSE)+$D$2</f>
        <v>46.78117649705127</v>
      </c>
      <c r="K348" s="72">
        <f>VLOOKUP('Old Data'!$P344,$Z$6:$AB$135,2,FALSE)+VLOOKUP('Old Data'!$F344,$Z$6:$AB$135,3,FALSE)+$D$2</f>
        <v>83.563574236755983</v>
      </c>
      <c r="L348" s="74">
        <f>('Old Data'!$L344+'Old Data'!$M344-$J348)^2+('Old Data'!$V344+'Old Data'!$W344-$K348)^2</f>
        <v>286.91301694614401</v>
      </c>
      <c r="M348" s="75">
        <f>'Old Data'!$N344-'Old Data'!$X344</f>
        <v>2</v>
      </c>
      <c r="N348" s="72">
        <f>VLOOKUP('Old Data'!$F344,$AD$6:$AF$135,2,FALSE)+VLOOKUP('Old Data'!$P344,$AD$6:$AF$135,3,FALSE)+$E$2</f>
        <v>1.536732004871586</v>
      </c>
      <c r="O348" s="72">
        <f>VLOOKUP('Old Data'!$P344,$AD$6:$AF$135,2,FALSE)+VLOOKUP('Old Data'!$F344,$AD$6:$AF$135,3,FALSE)+$E$2</f>
        <v>1.323019257428373</v>
      </c>
      <c r="P348" s="73">
        <f>('Old Data'!$N344-$N348)^2+('Old Data'!$X344-$O348)^2</f>
        <v>1.9649971908366237</v>
      </c>
      <c r="Q348" s="62"/>
      <c r="R348" s="3"/>
      <c r="S348" s="3"/>
      <c r="T348" s="3"/>
      <c r="V348" s="3"/>
      <c r="W348" s="3"/>
      <c r="X348" s="3"/>
      <c r="Z348" s="3"/>
      <c r="AA348" s="3"/>
      <c r="AB348" s="3"/>
      <c r="AC348" s="3"/>
      <c r="AD348" s="3"/>
      <c r="AE348" s="3"/>
      <c r="AF348" s="3"/>
      <c r="AG348" s="3"/>
      <c r="AH348" s="37"/>
      <c r="AI348" s="1"/>
      <c r="AK348" s="10"/>
      <c r="AL348" s="10"/>
      <c r="AM348" s="10"/>
      <c r="AN348" s="11"/>
      <c r="AO348" s="11"/>
      <c r="AP348" s="11"/>
      <c r="AQ348" s="36"/>
      <c r="AR348" s="11"/>
      <c r="AS348" s="11"/>
      <c r="AT348" s="11"/>
      <c r="AU348" s="12"/>
      <c r="AV348" s="11"/>
      <c r="AW348" s="11"/>
      <c r="AX348" s="15"/>
      <c r="AY348" s="15"/>
      <c r="AZ348" s="15"/>
      <c r="BA348" s="15"/>
      <c r="BB348" s="15"/>
      <c r="BC348" s="15"/>
      <c r="BD348" s="15"/>
      <c r="BE348" s="12"/>
      <c r="BF348" s="11"/>
      <c r="BG348" s="11"/>
      <c r="BH348" s="10"/>
      <c r="BI348" s="10"/>
      <c r="BJ348" s="10"/>
      <c r="BK348" s="23"/>
      <c r="BL348" s="23"/>
      <c r="BM348" s="23"/>
      <c r="BN348" s="23"/>
      <c r="BO348" s="23"/>
      <c r="BP348" s="23"/>
      <c r="BQ348" s="23"/>
      <c r="BR348" s="10"/>
      <c r="BS348" s="16"/>
      <c r="BT348" s="16"/>
      <c r="BU348" s="16"/>
      <c r="BV348" s="16"/>
      <c r="BW348" s="11"/>
      <c r="BX348" s="16"/>
      <c r="BY348" s="16"/>
      <c r="BZ348" s="17"/>
      <c r="CA348" s="18"/>
      <c r="CB348" s="18"/>
      <c r="CC348" s="18"/>
      <c r="CD348" s="18"/>
      <c r="CE348" s="18"/>
      <c r="CF348" s="18"/>
      <c r="CG348" s="19"/>
      <c r="CH348" s="15"/>
      <c r="CI348" s="17"/>
      <c r="CJ348" s="10"/>
      <c r="CK348" s="10"/>
      <c r="CL348" s="10"/>
      <c r="CM348" s="17"/>
      <c r="CN348" s="17"/>
      <c r="CO348" s="10"/>
      <c r="CP348" s="10"/>
      <c r="CQ348" s="10"/>
      <c r="CR348" s="10"/>
      <c r="CS348" s="10"/>
      <c r="CT348" s="10"/>
      <c r="CU348" s="10"/>
      <c r="CV348" s="10"/>
      <c r="CW348" s="10"/>
      <c r="CX348" s="10"/>
      <c r="CY348" s="10"/>
      <c r="CZ348" s="10"/>
      <c r="DA348" s="34"/>
      <c r="DB348" s="34"/>
      <c r="DC348" s="34"/>
      <c r="DD348" s="34"/>
      <c r="DE348" s="34"/>
      <c r="DF348" s="34"/>
      <c r="DG348" s="34"/>
      <c r="DH348" s="34"/>
      <c r="DI348" s="34"/>
      <c r="DJ348" s="34"/>
      <c r="DK348" s="34"/>
      <c r="DL348" s="34"/>
      <c r="DM348" s="34"/>
      <c r="DN348" s="34"/>
      <c r="DO348" s="34"/>
      <c r="DP348" s="34"/>
      <c r="DQ348" s="34"/>
      <c r="DR348" s="34"/>
      <c r="DS348" s="34"/>
      <c r="DT348" s="34"/>
      <c r="DU348" s="34"/>
      <c r="DV348" s="34"/>
      <c r="DW348" s="34"/>
      <c r="DX348" s="34"/>
      <c r="DY348" s="34"/>
      <c r="DZ348" s="34"/>
      <c r="EA348" s="34"/>
      <c r="EB348" s="34"/>
      <c r="EC348" s="34"/>
      <c r="ED348" s="34"/>
      <c r="EE348" s="34"/>
    </row>
    <row r="349" spans="1:135" customFormat="1">
      <c r="A349" s="71">
        <f>'Old Data'!$I345-'Old Data'!$S345</f>
        <v>-1</v>
      </c>
      <c r="B349" s="72">
        <f>VLOOKUP('Old Data'!$F345,$R$6:$T$135,2,FALSE)+VLOOKUP('Old Data'!$P345,$R$6:$T$135,3,FALSE)+$B$2</f>
        <v>139.30170953930732</v>
      </c>
      <c r="C349" s="72">
        <f>VLOOKUP('Old Data'!$P345,$R$6:$T$135,2,FALSE)+VLOOKUP('Old Data'!$F345,$R$6:$T$135,3,FALSE)+$B$2</f>
        <v>130.00568239377267</v>
      </c>
      <c r="D349" s="74">
        <f>('Old Data'!$I345-$B349)^2+('Old Data'!$S345-$C349)^2</f>
        <v>1527.6504967773744</v>
      </c>
      <c r="E349" s="75">
        <f>'Old Data'!$K345-'Old Data'!$U345</f>
        <v>1</v>
      </c>
      <c r="F349" s="72">
        <f>VLOOKUP('Old Data'!$F345,$V$6:$X$135,2,FALSE)+VLOOKUP('Old Data'!$P345,$V$6:$X$135,3,FALSE)+$C$2</f>
        <v>223.73128614438122</v>
      </c>
      <c r="G349" s="72">
        <f>VLOOKUP('Old Data'!$P345,$V$6:$X$135,2,FALSE)+VLOOKUP('Old Data'!$F345,$V$6:$X$135,3,FALSE)+$C$2</f>
        <v>257.51096665528962</v>
      </c>
      <c r="H349" s="74">
        <f>('Old Data'!$K345-$F349)^2+('Old Data'!$U345-$G349)^2</f>
        <v>9348.8198009864554</v>
      </c>
      <c r="I349" s="75">
        <f>('Old Data'!$L345+'Old Data'!$M345)-('Old Data'!$V345+'Old Data'!$W345)</f>
        <v>4</v>
      </c>
      <c r="J349" s="72">
        <f>VLOOKUP('Old Data'!$F345,$Z$6:$AB$135,2,FALSE)+VLOOKUP('Old Data'!$P345,$Z$6:$AB$135,3,FALSE)+$D$2</f>
        <v>70.098641243888395</v>
      </c>
      <c r="K349" s="72">
        <f>VLOOKUP('Old Data'!$P345,$Z$6:$AB$135,2,FALSE)+VLOOKUP('Old Data'!$F345,$Z$6:$AB$135,3,FALSE)+$D$2</f>
        <v>56.386977135983365</v>
      </c>
      <c r="L349" s="74">
        <f>('Old Data'!$L345+'Old Data'!$M345-$J349)^2+('Old Data'!$V345+'Old Data'!$W345-$K349)^2</f>
        <v>138.47746515961541</v>
      </c>
      <c r="M349" s="75">
        <f>'Old Data'!$N345-'Old Data'!$X345</f>
        <v>-1</v>
      </c>
      <c r="N349" s="72">
        <f>VLOOKUP('Old Data'!$F345,$AD$6:$AF$135,2,FALSE)+VLOOKUP('Old Data'!$P345,$AD$6:$AF$135,3,FALSE)+$E$2</f>
        <v>0.21409124614852004</v>
      </c>
      <c r="O349" s="72">
        <f>VLOOKUP('Old Data'!$P345,$AD$6:$AF$135,2,FALSE)+VLOOKUP('Old Data'!$F345,$AD$6:$AF$135,3,FALSE)+$E$2</f>
        <v>0.61586559058814627</v>
      </c>
      <c r="P349" s="73">
        <f>('Old Data'!$N345-$N349)^2+('Old Data'!$X345-$O349)^2</f>
        <v>0.19339430617161985</v>
      </c>
      <c r="Q349" s="62"/>
      <c r="R349" s="3"/>
      <c r="S349" s="3"/>
      <c r="T349" s="3"/>
      <c r="V349" s="3"/>
      <c r="W349" s="3"/>
      <c r="X349" s="3"/>
      <c r="Z349" s="3"/>
      <c r="AA349" s="3"/>
      <c r="AB349" s="3"/>
      <c r="AC349" s="3"/>
      <c r="AD349" s="3"/>
      <c r="AE349" s="3"/>
      <c r="AF349" s="3"/>
      <c r="AG349" s="3"/>
      <c r="AH349" s="37"/>
      <c r="AI349" s="1"/>
      <c r="AK349" s="10"/>
      <c r="AL349" s="10"/>
      <c r="AM349" s="10"/>
      <c r="AN349" s="11"/>
      <c r="AO349" s="11"/>
      <c r="AP349" s="11"/>
      <c r="AQ349" s="36"/>
      <c r="AR349" s="11"/>
      <c r="AS349" s="11"/>
      <c r="AT349" s="11"/>
      <c r="AU349" s="12"/>
      <c r="AV349" s="11"/>
      <c r="AW349" s="11"/>
      <c r="AX349" s="15"/>
      <c r="AY349" s="15"/>
      <c r="AZ349" s="15"/>
      <c r="BA349" s="15"/>
      <c r="BB349" s="15"/>
      <c r="BC349" s="15"/>
      <c r="BD349" s="15"/>
      <c r="BE349" s="12"/>
      <c r="BF349" s="11"/>
      <c r="BG349" s="11"/>
      <c r="BH349" s="10"/>
      <c r="BI349" s="10"/>
      <c r="BJ349" s="10"/>
      <c r="BK349" s="23"/>
      <c r="BL349" s="23"/>
      <c r="BM349" s="23"/>
      <c r="BN349" s="23"/>
      <c r="BO349" s="23"/>
      <c r="BP349" s="23"/>
      <c r="BQ349" s="23"/>
      <c r="BR349" s="10"/>
      <c r="BS349" s="16"/>
      <c r="BT349" s="16"/>
      <c r="BU349" s="16"/>
      <c r="BV349" s="16"/>
      <c r="BW349" s="11"/>
      <c r="BX349" s="16"/>
      <c r="BY349" s="16"/>
      <c r="BZ349" s="17"/>
      <c r="CA349" s="18"/>
      <c r="CB349" s="18"/>
      <c r="CC349" s="18"/>
      <c r="CD349" s="18"/>
      <c r="CE349" s="18"/>
      <c r="CF349" s="18"/>
      <c r="CG349" s="19"/>
      <c r="CH349" s="15"/>
      <c r="CI349" s="17"/>
      <c r="CJ349" s="10"/>
      <c r="CK349" s="10"/>
      <c r="CL349" s="10"/>
      <c r="CM349" s="17"/>
      <c r="CN349" s="17"/>
      <c r="CO349" s="10"/>
      <c r="CP349" s="10"/>
      <c r="CQ349" s="10"/>
      <c r="CR349" s="10"/>
      <c r="CS349" s="10"/>
      <c r="CT349" s="10"/>
      <c r="CU349" s="10"/>
      <c r="CV349" s="10"/>
      <c r="CW349" s="10"/>
      <c r="CX349" s="10"/>
      <c r="CY349" s="10"/>
      <c r="CZ349" s="10"/>
      <c r="DA349" s="34"/>
      <c r="DB349" s="34"/>
      <c r="DC349" s="34"/>
      <c r="DD349" s="34"/>
      <c r="DE349" s="34"/>
      <c r="DF349" s="34"/>
      <c r="DG349" s="34"/>
      <c r="DH349" s="34"/>
      <c r="DI349" s="34"/>
      <c r="DJ349" s="34"/>
      <c r="DK349" s="34"/>
      <c r="DL349" s="34"/>
      <c r="DM349" s="34"/>
      <c r="DN349" s="34"/>
      <c r="DO349" s="34"/>
      <c r="DP349" s="34"/>
      <c r="DQ349" s="34"/>
      <c r="DR349" s="34"/>
      <c r="DS349" s="34"/>
      <c r="DT349" s="34"/>
      <c r="DU349" s="34"/>
      <c r="DV349" s="34"/>
      <c r="DW349" s="34"/>
      <c r="DX349" s="34"/>
      <c r="DY349" s="34"/>
      <c r="DZ349" s="34"/>
      <c r="EA349" s="34"/>
      <c r="EB349" s="34"/>
      <c r="EC349" s="34"/>
      <c r="ED349" s="34"/>
      <c r="EE349" s="34"/>
    </row>
    <row r="350" spans="1:135" customFormat="1">
      <c r="A350" s="71">
        <f>'Old Data'!$I346-'Old Data'!$S346</f>
        <v>27</v>
      </c>
      <c r="B350" s="72">
        <f>VLOOKUP('Old Data'!$F346,$R$6:$T$135,2,FALSE)+VLOOKUP('Old Data'!$P346,$R$6:$T$135,3,FALSE)+$B$2</f>
        <v>272.95194868846852</v>
      </c>
      <c r="C350" s="72">
        <f>VLOOKUP('Old Data'!$P346,$R$6:$T$135,2,FALSE)+VLOOKUP('Old Data'!$F346,$R$6:$T$135,3,FALSE)+$B$2</f>
        <v>124.3700389777263</v>
      </c>
      <c r="D350" s="74">
        <f>('Old Data'!$I346-$B350)^2+('Old Data'!$S346-$C350)^2</f>
        <v>7850.7918524699726</v>
      </c>
      <c r="E350" s="75">
        <f>'Old Data'!$K346-'Old Data'!$U346</f>
        <v>101</v>
      </c>
      <c r="F350" s="72">
        <f>VLOOKUP('Old Data'!$F346,$V$6:$X$135,2,FALSE)+VLOOKUP('Old Data'!$P346,$V$6:$X$135,3,FALSE)+$C$2</f>
        <v>373.90121757202087</v>
      </c>
      <c r="G350" s="72">
        <f>VLOOKUP('Old Data'!$P346,$V$6:$X$135,2,FALSE)+VLOOKUP('Old Data'!$F346,$V$6:$X$135,3,FALSE)+$C$2</f>
        <v>292.43159240941236</v>
      </c>
      <c r="H350" s="74">
        <f>('Old Data'!$K346-$F350)^2+('Old Data'!$U346-$G350)^2</f>
        <v>2030.9717430189512</v>
      </c>
      <c r="I350" s="75">
        <f>('Old Data'!$L346+'Old Data'!$M346)-('Old Data'!$V346+'Old Data'!$W346)</f>
        <v>-45</v>
      </c>
      <c r="J350" s="72">
        <f>VLOOKUP('Old Data'!$F346,$Z$6:$AB$135,2,FALSE)+VLOOKUP('Old Data'!$P346,$Z$6:$AB$135,3,FALSE)+$D$2</f>
        <v>23.362638347999599</v>
      </c>
      <c r="K350" s="72">
        <f>VLOOKUP('Old Data'!$P346,$Z$6:$AB$135,2,FALSE)+VLOOKUP('Old Data'!$F346,$Z$6:$AB$135,3,FALSE)+$D$2</f>
        <v>71.07479684796607</v>
      </c>
      <c r="L350" s="74">
        <f>('Old Data'!$L346+'Old Data'!$M346-$J350)^2+('Old Data'!$V346+'Old Data'!$W346-$K350)^2</f>
        <v>436.95919732280936</v>
      </c>
      <c r="M350" s="75">
        <f>'Old Data'!$N346-'Old Data'!$X346</f>
        <v>1</v>
      </c>
      <c r="N350" s="72">
        <f>VLOOKUP('Old Data'!$F346,$AD$6:$AF$135,2,FALSE)+VLOOKUP('Old Data'!$P346,$AD$6:$AF$135,3,FALSE)+$E$2</f>
        <v>1.5878569265877205</v>
      </c>
      <c r="O350" s="72">
        <f>VLOOKUP('Old Data'!$P346,$AD$6:$AF$135,2,FALSE)+VLOOKUP('Old Data'!$F346,$AD$6:$AF$135,3,FALSE)+$E$2</f>
        <v>1.5431424519994776</v>
      </c>
      <c r="P350" s="73">
        <f>('Old Data'!$N346-$N350)^2+('Old Data'!$X346-$O350)^2</f>
        <v>0.46486563612572451</v>
      </c>
      <c r="Q350" s="62"/>
      <c r="R350" s="3"/>
      <c r="S350" s="3"/>
      <c r="T350" s="3"/>
      <c r="V350" s="3"/>
      <c r="W350" s="3"/>
      <c r="X350" s="3"/>
      <c r="Z350" s="3"/>
      <c r="AA350" s="3"/>
      <c r="AB350" s="3"/>
      <c r="AC350" s="3"/>
      <c r="AD350" s="3"/>
      <c r="AE350" s="3"/>
      <c r="AF350" s="3"/>
      <c r="AG350" s="3"/>
      <c r="AH350" s="37"/>
      <c r="AI350" s="1"/>
      <c r="AK350" s="10"/>
      <c r="AL350" s="10"/>
      <c r="AM350" s="10"/>
      <c r="AN350" s="11"/>
      <c r="AO350" s="11"/>
      <c r="AP350" s="11"/>
      <c r="AQ350" s="36"/>
      <c r="AR350" s="11"/>
      <c r="AS350" s="11"/>
      <c r="AT350" s="11"/>
      <c r="AU350" s="12"/>
      <c r="AV350" s="11"/>
      <c r="AW350" s="11"/>
      <c r="AX350" s="15"/>
      <c r="AY350" s="15"/>
      <c r="AZ350" s="15"/>
      <c r="BA350" s="15"/>
      <c r="BB350" s="15"/>
      <c r="BC350" s="15"/>
      <c r="BD350" s="15"/>
      <c r="BE350" s="12"/>
      <c r="BF350" s="11"/>
      <c r="BG350" s="11"/>
      <c r="BH350" s="10"/>
      <c r="BI350" s="10"/>
      <c r="BJ350" s="10"/>
      <c r="BK350" s="23"/>
      <c r="BL350" s="23"/>
      <c r="BM350" s="23"/>
      <c r="BN350" s="23"/>
      <c r="BO350" s="23"/>
      <c r="BP350" s="23"/>
      <c r="BQ350" s="23"/>
      <c r="BR350" s="10"/>
      <c r="BS350" s="16"/>
      <c r="BT350" s="16"/>
      <c r="BU350" s="16"/>
      <c r="BV350" s="16"/>
      <c r="BW350" s="11"/>
      <c r="BX350" s="16"/>
      <c r="BY350" s="16"/>
      <c r="BZ350" s="17"/>
      <c r="CA350" s="18"/>
      <c r="CB350" s="18"/>
      <c r="CC350" s="18"/>
      <c r="CD350" s="18"/>
      <c r="CE350" s="18"/>
      <c r="CF350" s="18"/>
      <c r="CG350" s="19"/>
      <c r="CH350" s="15"/>
      <c r="CI350" s="17"/>
      <c r="CJ350" s="10"/>
      <c r="CK350" s="10"/>
      <c r="CL350" s="10"/>
      <c r="CM350" s="17"/>
      <c r="CN350" s="17"/>
      <c r="CO350" s="10"/>
      <c r="CP350" s="10"/>
      <c r="CQ350" s="10"/>
      <c r="CR350" s="10"/>
      <c r="CS350" s="10"/>
      <c r="CT350" s="10"/>
      <c r="CU350" s="10"/>
      <c r="CV350" s="10"/>
      <c r="CW350" s="10"/>
      <c r="CX350" s="10"/>
      <c r="CY350" s="10"/>
      <c r="CZ350" s="10"/>
      <c r="DA350" s="34"/>
      <c r="DB350" s="34"/>
      <c r="DC350" s="34"/>
      <c r="DD350" s="34"/>
      <c r="DE350" s="34"/>
      <c r="DF350" s="34"/>
      <c r="DG350" s="34"/>
      <c r="DH350" s="34"/>
      <c r="DI350" s="34"/>
      <c r="DJ350" s="34"/>
      <c r="DK350" s="34"/>
      <c r="DL350" s="34"/>
      <c r="DM350" s="34"/>
      <c r="DN350" s="34"/>
      <c r="DO350" s="34"/>
      <c r="DP350" s="34"/>
      <c r="DQ350" s="34"/>
      <c r="DR350" s="34"/>
      <c r="DS350" s="34"/>
      <c r="DT350" s="34"/>
      <c r="DU350" s="34"/>
      <c r="DV350" s="34"/>
      <c r="DW350" s="34"/>
      <c r="DX350" s="34"/>
      <c r="DY350" s="34"/>
      <c r="DZ350" s="34"/>
      <c r="EA350" s="34"/>
      <c r="EB350" s="34"/>
      <c r="EC350" s="34"/>
      <c r="ED350" s="34"/>
      <c r="EE350" s="34"/>
    </row>
    <row r="351" spans="1:135" customFormat="1">
      <c r="A351" s="71">
        <f>'Old Data'!$I347-'Old Data'!$S347</f>
        <v>11</v>
      </c>
      <c r="B351" s="72">
        <f>VLOOKUP('Old Data'!$F347,$R$6:$T$135,2,FALSE)+VLOOKUP('Old Data'!$P347,$R$6:$T$135,3,FALSE)+$B$2</f>
        <v>194.82832011505931</v>
      </c>
      <c r="C351" s="72">
        <f>VLOOKUP('Old Data'!$P347,$R$6:$T$135,2,FALSE)+VLOOKUP('Old Data'!$F347,$R$6:$T$135,3,FALSE)+$B$2</f>
        <v>118.97847001029062</v>
      </c>
      <c r="D351" s="74">
        <f>('Old Data'!$I347-$B351)^2+('Old Data'!$S347-$C351)^2</f>
        <v>2708.5078487205628</v>
      </c>
      <c r="E351" s="75">
        <f>'Old Data'!$K347-'Old Data'!$U347</f>
        <v>-71</v>
      </c>
      <c r="F351" s="72">
        <f>VLOOKUP('Old Data'!$F347,$V$6:$X$135,2,FALSE)+VLOOKUP('Old Data'!$P347,$V$6:$X$135,3,FALSE)+$C$2</f>
        <v>145.02328206773518</v>
      </c>
      <c r="G351" s="72">
        <f>VLOOKUP('Old Data'!$P347,$V$6:$X$135,2,FALSE)+VLOOKUP('Old Data'!$F347,$V$6:$X$135,3,FALSE)+$C$2</f>
        <v>251.2130853720395</v>
      </c>
      <c r="H351" s="74">
        <f>('Old Data'!$K347-$F351)^2+('Old Data'!$U347-$G351)^2</f>
        <v>795.19808172538751</v>
      </c>
      <c r="I351" s="75">
        <f>('Old Data'!$L347+'Old Data'!$M347)-('Old Data'!$V347+'Old Data'!$W347)</f>
        <v>50</v>
      </c>
      <c r="J351" s="72">
        <f>VLOOKUP('Old Data'!$F347,$Z$6:$AB$135,2,FALSE)+VLOOKUP('Old Data'!$P347,$Z$6:$AB$135,3,FALSE)+$D$2</f>
        <v>106.56033330334188</v>
      </c>
      <c r="K351" s="72">
        <f>VLOOKUP('Old Data'!$P347,$Z$6:$AB$135,2,FALSE)+VLOOKUP('Old Data'!$F347,$Z$6:$AB$135,3,FALSE)+$D$2</f>
        <v>55.335526848317301</v>
      </c>
      <c r="L351" s="74">
        <f>('Old Data'!$L347+'Old Data'!$M347-$J351)^2+('Old Data'!$V347+'Old Data'!$W347-$K351)^2</f>
        <v>100.21345585691267</v>
      </c>
      <c r="M351" s="75">
        <f>'Old Data'!$N347-'Old Data'!$X347</f>
        <v>3</v>
      </c>
      <c r="N351" s="72">
        <f>VLOOKUP('Old Data'!$F347,$AD$6:$AF$135,2,FALSE)+VLOOKUP('Old Data'!$P347,$AD$6:$AF$135,3,FALSE)+$E$2</f>
        <v>1.9571762502256951</v>
      </c>
      <c r="O351" s="72">
        <f>VLOOKUP('Old Data'!$P347,$AD$6:$AF$135,2,FALSE)+VLOOKUP('Old Data'!$F347,$AD$6:$AF$135,3,FALSE)+$E$2</f>
        <v>1.4258583366045077</v>
      </c>
      <c r="P351" s="73">
        <f>('Old Data'!$N347-$N351)^2+('Old Data'!$X347-$O351)^2</f>
        <v>9.5884150218371058</v>
      </c>
      <c r="Q351" s="62"/>
      <c r="R351" s="3"/>
      <c r="S351" s="3"/>
      <c r="T351" s="3"/>
      <c r="V351" s="3"/>
      <c r="W351" s="3"/>
      <c r="X351" s="3"/>
      <c r="Z351" s="3"/>
      <c r="AA351" s="3"/>
      <c r="AB351" s="3"/>
      <c r="AC351" s="3"/>
      <c r="AD351" s="3"/>
      <c r="AE351" s="3"/>
      <c r="AF351" s="3"/>
      <c r="AG351" s="3"/>
      <c r="AH351" s="37"/>
      <c r="AI351" s="1"/>
      <c r="AK351" s="10"/>
      <c r="AL351" s="10"/>
      <c r="AM351" s="10"/>
      <c r="AN351" s="11"/>
      <c r="AO351" s="11"/>
      <c r="AP351" s="11"/>
      <c r="AQ351" s="36"/>
      <c r="AR351" s="11"/>
      <c r="AS351" s="11"/>
      <c r="AT351" s="11"/>
      <c r="AU351" s="12"/>
      <c r="AV351" s="11"/>
      <c r="AW351" s="11"/>
      <c r="AX351" s="15"/>
      <c r="AY351" s="15"/>
      <c r="AZ351" s="15"/>
      <c r="BA351" s="15"/>
      <c r="BB351" s="15"/>
      <c r="BC351" s="15"/>
      <c r="BD351" s="15"/>
      <c r="BE351" s="12"/>
      <c r="BF351" s="11"/>
      <c r="BG351" s="11"/>
      <c r="BH351" s="10"/>
      <c r="BI351" s="10"/>
      <c r="BJ351" s="10"/>
      <c r="BK351" s="23"/>
      <c r="BL351" s="23"/>
      <c r="BM351" s="23"/>
      <c r="BN351" s="23"/>
      <c r="BO351" s="23"/>
      <c r="BP351" s="23"/>
      <c r="BQ351" s="23"/>
      <c r="BR351" s="10"/>
      <c r="BS351" s="16"/>
      <c r="BT351" s="16"/>
      <c r="BU351" s="16"/>
      <c r="BV351" s="16"/>
      <c r="BW351" s="11"/>
      <c r="BX351" s="16"/>
      <c r="BY351" s="16"/>
      <c r="BZ351" s="17"/>
      <c r="CA351" s="18"/>
      <c r="CB351" s="18"/>
      <c r="CC351" s="18"/>
      <c r="CD351" s="18"/>
      <c r="CE351" s="18"/>
      <c r="CF351" s="18"/>
      <c r="CG351" s="19"/>
      <c r="CH351" s="15"/>
      <c r="CI351" s="17"/>
      <c r="CJ351" s="10"/>
      <c r="CK351" s="10"/>
      <c r="CL351" s="10"/>
      <c r="CM351" s="17"/>
      <c r="CN351" s="17"/>
      <c r="CO351" s="10"/>
      <c r="CP351" s="10"/>
      <c r="CQ351" s="10"/>
      <c r="CR351" s="10"/>
      <c r="CS351" s="10"/>
      <c r="CT351" s="10"/>
      <c r="CU351" s="10"/>
      <c r="CV351" s="10"/>
      <c r="CW351" s="10"/>
      <c r="CX351" s="10"/>
      <c r="CY351" s="10"/>
      <c r="CZ351" s="10"/>
      <c r="DA351" s="34"/>
      <c r="DB351" s="34"/>
      <c r="DC351" s="34"/>
      <c r="DD351" s="34"/>
      <c r="DE351" s="34"/>
      <c r="DF351" s="34"/>
      <c r="DG351" s="34"/>
      <c r="DH351" s="34"/>
      <c r="DI351" s="34"/>
      <c r="DJ351" s="34"/>
      <c r="DK351" s="34"/>
      <c r="DL351" s="34"/>
      <c r="DM351" s="34"/>
      <c r="DN351" s="34"/>
      <c r="DO351" s="34"/>
      <c r="DP351" s="34"/>
      <c r="DQ351" s="34"/>
      <c r="DR351" s="34"/>
      <c r="DS351" s="34"/>
      <c r="DT351" s="34"/>
      <c r="DU351" s="34"/>
      <c r="DV351" s="34"/>
      <c r="DW351" s="34"/>
      <c r="DX351" s="34"/>
      <c r="DY351" s="34"/>
      <c r="DZ351" s="34"/>
      <c r="EA351" s="34"/>
      <c r="EB351" s="34"/>
      <c r="EC351" s="34"/>
      <c r="ED351" s="34"/>
      <c r="EE351" s="34"/>
    </row>
    <row r="352" spans="1:135" customFormat="1">
      <c r="A352" s="71">
        <f>'Old Data'!$I348-'Old Data'!$S348</f>
        <v>60</v>
      </c>
      <c r="B352" s="72">
        <f>VLOOKUP('Old Data'!$F348,$R$6:$T$135,2,FALSE)+VLOOKUP('Old Data'!$P348,$R$6:$T$135,3,FALSE)+$B$2</f>
        <v>105.58341718249771</v>
      </c>
      <c r="C352" s="72">
        <f>VLOOKUP('Old Data'!$P348,$R$6:$T$135,2,FALSE)+VLOOKUP('Old Data'!$F348,$R$6:$T$135,3,FALSE)+$B$2</f>
        <v>244.1484214169131</v>
      </c>
      <c r="D352" s="74">
        <f>('Old Data'!$I348-$B352)^2+('Old Data'!$S348-$C352)^2</f>
        <v>22432.222464931485</v>
      </c>
      <c r="E352" s="75">
        <f>'Old Data'!$K348-'Old Data'!$U348</f>
        <v>92</v>
      </c>
      <c r="F352" s="72">
        <f>VLOOKUP('Old Data'!$F348,$V$6:$X$135,2,FALSE)+VLOOKUP('Old Data'!$P348,$V$6:$X$135,3,FALSE)+$C$2</f>
        <v>251.2136214921905</v>
      </c>
      <c r="G352" s="72">
        <f>VLOOKUP('Old Data'!$P348,$V$6:$X$135,2,FALSE)+VLOOKUP('Old Data'!$F348,$V$6:$X$135,3,FALSE)+$C$2</f>
        <v>261.45899353247552</v>
      </c>
      <c r="H352" s="74">
        <f>('Old Data'!$K348-$F352)^2+('Old Data'!$U348-$G352)^2</f>
        <v>7318.3316188924773</v>
      </c>
      <c r="I352" s="75">
        <f>('Old Data'!$L348+'Old Data'!$M348)-('Old Data'!$V348+'Old Data'!$W348)</f>
        <v>30</v>
      </c>
      <c r="J352" s="72">
        <f>VLOOKUP('Old Data'!$F348,$Z$6:$AB$135,2,FALSE)+VLOOKUP('Old Data'!$P348,$Z$6:$AB$135,3,FALSE)+$D$2</f>
        <v>66.109447116600904</v>
      </c>
      <c r="K352" s="72">
        <f>VLOOKUP('Old Data'!$P348,$Z$6:$AB$135,2,FALSE)+VLOOKUP('Old Data'!$F348,$Z$6:$AB$135,3,FALSE)+$D$2</f>
        <v>59.71358049948153</v>
      </c>
      <c r="L352" s="74">
        <f>('Old Data'!$L348+'Old Data'!$M348-$J352)^2+('Old Data'!$V348+'Old Data'!$W348-$K352)^2</f>
        <v>4679.9578119024936</v>
      </c>
      <c r="M352" s="75">
        <f>'Old Data'!$N348-'Old Data'!$X348</f>
        <v>-1</v>
      </c>
      <c r="N352" s="72">
        <f>VLOOKUP('Old Data'!$F348,$AD$6:$AF$135,2,FALSE)+VLOOKUP('Old Data'!$P348,$AD$6:$AF$135,3,FALSE)+$E$2</f>
        <v>1.6033007048017542</v>
      </c>
      <c r="O352" s="72">
        <f>VLOOKUP('Old Data'!$P348,$AD$6:$AF$135,2,FALSE)+VLOOKUP('Old Data'!$F348,$AD$6:$AF$135,3,FALSE)+$E$2</f>
        <v>1.4075202417543411</v>
      </c>
      <c r="P352" s="73">
        <f>('Old Data'!$N348-$N352)^2+('Old Data'!$X348-$O352)^2</f>
        <v>2.7366458974573185</v>
      </c>
      <c r="Q352" s="62"/>
      <c r="R352" s="3"/>
      <c r="S352" s="3"/>
      <c r="T352" s="3"/>
      <c r="V352" s="3"/>
      <c r="W352" s="3"/>
      <c r="X352" s="3"/>
      <c r="Z352" s="3"/>
      <c r="AA352" s="3"/>
      <c r="AB352" s="3"/>
      <c r="AC352" s="3"/>
      <c r="AD352" s="3"/>
      <c r="AE352" s="3"/>
      <c r="AF352" s="3"/>
      <c r="AG352" s="3"/>
      <c r="AH352" s="37"/>
      <c r="AI352" s="1"/>
      <c r="AK352" s="10"/>
      <c r="AL352" s="10"/>
      <c r="AM352" s="10"/>
      <c r="AN352" s="11"/>
      <c r="AO352" s="11"/>
      <c r="AP352" s="11"/>
      <c r="AQ352" s="36"/>
      <c r="AR352" s="11"/>
      <c r="AS352" s="11"/>
      <c r="AT352" s="11"/>
      <c r="AU352" s="12"/>
      <c r="AV352" s="11"/>
      <c r="AW352" s="11"/>
      <c r="AX352" s="15"/>
      <c r="AY352" s="15"/>
      <c r="AZ352" s="15"/>
      <c r="BA352" s="15"/>
      <c r="BB352" s="15"/>
      <c r="BC352" s="15"/>
      <c r="BD352" s="15"/>
      <c r="BE352" s="12"/>
      <c r="BF352" s="11"/>
      <c r="BG352" s="11"/>
      <c r="BH352" s="10"/>
      <c r="BI352" s="10"/>
      <c r="BJ352" s="10"/>
      <c r="BK352" s="23"/>
      <c r="BL352" s="23"/>
      <c r="BM352" s="23"/>
      <c r="BN352" s="23"/>
      <c r="BO352" s="23"/>
      <c r="BP352" s="23"/>
      <c r="BQ352" s="23"/>
      <c r="BR352" s="10"/>
      <c r="BS352" s="16"/>
      <c r="BT352" s="16"/>
      <c r="BU352" s="16"/>
      <c r="BV352" s="16"/>
      <c r="BW352" s="11"/>
      <c r="BX352" s="16"/>
      <c r="BY352" s="16"/>
      <c r="BZ352" s="17"/>
      <c r="CA352" s="18"/>
      <c r="CB352" s="18"/>
      <c r="CC352" s="18"/>
      <c r="CD352" s="18"/>
      <c r="CE352" s="18"/>
      <c r="CF352" s="18"/>
      <c r="CG352" s="19"/>
      <c r="CH352" s="15"/>
      <c r="CI352" s="17"/>
      <c r="CJ352" s="10"/>
      <c r="CK352" s="10"/>
      <c r="CL352" s="10"/>
      <c r="CM352" s="17"/>
      <c r="CN352" s="17"/>
      <c r="CO352" s="10"/>
      <c r="CP352" s="10"/>
      <c r="CQ352" s="10"/>
      <c r="CR352" s="10"/>
      <c r="CS352" s="10"/>
      <c r="CT352" s="10"/>
      <c r="CU352" s="10"/>
      <c r="CV352" s="10"/>
      <c r="CW352" s="10"/>
      <c r="CX352" s="10"/>
      <c r="CY352" s="10"/>
      <c r="CZ352" s="10"/>
      <c r="DA352" s="34"/>
      <c r="DB352" s="34"/>
      <c r="DC352" s="34"/>
      <c r="DD352" s="34"/>
      <c r="DE352" s="34"/>
      <c r="DF352" s="34"/>
      <c r="DG352" s="34"/>
      <c r="DH352" s="34"/>
      <c r="DI352" s="34"/>
      <c r="DJ352" s="34"/>
      <c r="DK352" s="34"/>
      <c r="DL352" s="34"/>
      <c r="DM352" s="34"/>
      <c r="DN352" s="34"/>
      <c r="DO352" s="34"/>
      <c r="DP352" s="34"/>
      <c r="DQ352" s="34"/>
      <c r="DR352" s="34"/>
      <c r="DS352" s="34"/>
      <c r="DT352" s="34"/>
      <c r="DU352" s="34"/>
      <c r="DV352" s="34"/>
      <c r="DW352" s="34"/>
      <c r="DX352" s="34"/>
      <c r="DY352" s="34"/>
      <c r="DZ352" s="34"/>
      <c r="EA352" s="34"/>
      <c r="EB352" s="34"/>
      <c r="EC352" s="34"/>
      <c r="ED352" s="34"/>
      <c r="EE352" s="34"/>
    </row>
    <row r="353" spans="1:135" customFormat="1">
      <c r="A353" s="71">
        <f>'Old Data'!$I349-'Old Data'!$S349</f>
        <v>-27</v>
      </c>
      <c r="B353" s="72">
        <f>VLOOKUP('Old Data'!$F349,$R$6:$T$135,2,FALSE)+VLOOKUP('Old Data'!$P349,$R$6:$T$135,3,FALSE)+$B$2</f>
        <v>134.6237179777697</v>
      </c>
      <c r="C353" s="72">
        <f>VLOOKUP('Old Data'!$P349,$R$6:$T$135,2,FALSE)+VLOOKUP('Old Data'!$F349,$R$6:$T$135,3,FALSE)+$B$2</f>
        <v>218.24004245366118</v>
      </c>
      <c r="D353" s="74">
        <f>('Old Data'!$I349-$B353)^2+('Old Data'!$S349-$C353)^2</f>
        <v>2654.4463590355563</v>
      </c>
      <c r="E353" s="75">
        <f>'Old Data'!$K349-'Old Data'!$U349</f>
        <v>215</v>
      </c>
      <c r="F353" s="72">
        <f>VLOOKUP('Old Data'!$F349,$V$6:$X$135,2,FALSE)+VLOOKUP('Old Data'!$P349,$V$6:$X$135,3,FALSE)+$C$2</f>
        <v>300.867655874104</v>
      </c>
      <c r="G353" s="72">
        <f>VLOOKUP('Old Data'!$P349,$V$6:$X$135,2,FALSE)+VLOOKUP('Old Data'!$F349,$V$6:$X$135,3,FALSE)+$C$2</f>
        <v>271.24659496932668</v>
      </c>
      <c r="H353" s="74">
        <f>('Old Data'!$K349-$F353)^2+('Old Data'!$U349-$G353)^2</f>
        <v>17544.097283890122</v>
      </c>
      <c r="I353" s="75">
        <f>('Old Data'!$L349+'Old Data'!$M349)-('Old Data'!$V349+'Old Data'!$W349)</f>
        <v>-32</v>
      </c>
      <c r="J353" s="72">
        <f>VLOOKUP('Old Data'!$F349,$Z$6:$AB$135,2,FALSE)+VLOOKUP('Old Data'!$P349,$Z$6:$AB$135,3,FALSE)+$D$2</f>
        <v>38.810207293251601</v>
      </c>
      <c r="K353" s="72">
        <f>VLOOKUP('Old Data'!$P349,$Z$6:$AB$135,2,FALSE)+VLOOKUP('Old Data'!$F349,$Z$6:$AB$135,3,FALSE)+$D$2</f>
        <v>58.740790594755566</v>
      </c>
      <c r="L353" s="74">
        <f>('Old Data'!$L349+'Old Data'!$M349-$J353)^2+('Old Data'!$V349+'Old Data'!$W349-$K353)^2</f>
        <v>108.52822806519713</v>
      </c>
      <c r="M353" s="75">
        <f>'Old Data'!$N349-'Old Data'!$X349</f>
        <v>1</v>
      </c>
      <c r="N353" s="72">
        <f>VLOOKUP('Old Data'!$F349,$AD$6:$AF$135,2,FALSE)+VLOOKUP('Old Data'!$P349,$AD$6:$AF$135,3,FALSE)+$E$2</f>
        <v>1.603231499297163</v>
      </c>
      <c r="O353" s="72">
        <f>VLOOKUP('Old Data'!$P349,$AD$6:$AF$135,2,FALSE)+VLOOKUP('Old Data'!$F349,$AD$6:$AF$135,3,FALSE)+$E$2</f>
        <v>1.7067005375272211</v>
      </c>
      <c r="P353" s="73">
        <f>('Old Data'!$N349-$N353)^2+('Old Data'!$X349-$O353)^2</f>
        <v>3.2767149665400082</v>
      </c>
      <c r="Q353" s="62"/>
      <c r="R353" s="3"/>
      <c r="S353" s="3"/>
      <c r="T353" s="3"/>
      <c r="V353" s="3"/>
      <c r="W353" s="3"/>
      <c r="X353" s="3"/>
      <c r="Z353" s="3"/>
      <c r="AA353" s="3"/>
      <c r="AB353" s="3"/>
      <c r="AC353" s="3"/>
      <c r="AD353" s="3"/>
      <c r="AE353" s="3"/>
      <c r="AF353" s="3"/>
      <c r="AG353" s="3"/>
      <c r="AH353" s="37"/>
      <c r="AI353" s="1"/>
      <c r="AK353" s="10"/>
      <c r="AL353" s="10"/>
      <c r="AM353" s="10"/>
      <c r="AN353" s="11"/>
      <c r="AO353" s="11"/>
      <c r="AP353" s="11"/>
      <c r="AQ353" s="36"/>
      <c r="AR353" s="11"/>
      <c r="AS353" s="11"/>
      <c r="AT353" s="11"/>
      <c r="AU353" s="12"/>
      <c r="AV353" s="11"/>
      <c r="AW353" s="11"/>
      <c r="AX353" s="15"/>
      <c r="AY353" s="15"/>
      <c r="AZ353" s="15"/>
      <c r="BA353" s="15"/>
      <c r="BB353" s="15"/>
      <c r="BC353" s="15"/>
      <c r="BD353" s="15"/>
      <c r="BE353" s="12"/>
      <c r="BF353" s="11"/>
      <c r="BG353" s="11"/>
      <c r="BH353" s="10"/>
      <c r="BI353" s="10"/>
      <c r="BJ353" s="10"/>
      <c r="BK353" s="23"/>
      <c r="BL353" s="23"/>
      <c r="BM353" s="23"/>
      <c r="BN353" s="23"/>
      <c r="BO353" s="23"/>
      <c r="BP353" s="23"/>
      <c r="BQ353" s="23"/>
      <c r="BR353" s="10"/>
      <c r="BS353" s="16"/>
      <c r="BT353" s="16"/>
      <c r="BU353" s="16"/>
      <c r="BV353" s="16"/>
      <c r="BW353" s="11"/>
      <c r="BX353" s="16"/>
      <c r="BY353" s="16"/>
      <c r="BZ353" s="17"/>
      <c r="CA353" s="18"/>
      <c r="CB353" s="18"/>
      <c r="CC353" s="18"/>
      <c r="CD353" s="18"/>
      <c r="CE353" s="18"/>
      <c r="CF353" s="18"/>
      <c r="CG353" s="19"/>
      <c r="CH353" s="15"/>
      <c r="CI353" s="17"/>
      <c r="CJ353" s="10"/>
      <c r="CK353" s="10"/>
      <c r="CL353" s="10"/>
      <c r="CM353" s="17"/>
      <c r="CN353" s="17"/>
      <c r="CO353" s="10"/>
      <c r="CP353" s="10"/>
      <c r="CQ353" s="10"/>
      <c r="CR353" s="10"/>
      <c r="CS353" s="10"/>
      <c r="CT353" s="10"/>
      <c r="CU353" s="10"/>
      <c r="CV353" s="10"/>
      <c r="CW353" s="10"/>
      <c r="CX353" s="10"/>
      <c r="CY353" s="10"/>
      <c r="CZ353" s="10"/>
      <c r="DA353" s="34"/>
      <c r="DB353" s="34"/>
      <c r="DC353" s="34"/>
      <c r="DD353" s="34"/>
      <c r="DE353" s="34"/>
      <c r="DF353" s="34"/>
      <c r="DG353" s="34"/>
      <c r="DH353" s="34"/>
      <c r="DI353" s="34"/>
      <c r="DJ353" s="34"/>
      <c r="DK353" s="34"/>
      <c r="DL353" s="34"/>
      <c r="DM353" s="34"/>
      <c r="DN353" s="34"/>
      <c r="DO353" s="34"/>
      <c r="DP353" s="34"/>
      <c r="DQ353" s="34"/>
      <c r="DR353" s="34"/>
      <c r="DS353" s="34"/>
      <c r="DT353" s="34"/>
      <c r="DU353" s="34"/>
      <c r="DV353" s="34"/>
      <c r="DW353" s="34"/>
      <c r="DX353" s="34"/>
      <c r="DY353" s="34"/>
      <c r="DZ353" s="34"/>
      <c r="EA353" s="34"/>
      <c r="EB353" s="34"/>
      <c r="EC353" s="34"/>
      <c r="ED353" s="34"/>
      <c r="EE353" s="34"/>
    </row>
    <row r="354" spans="1:135" customFormat="1">
      <c r="A354" s="71">
        <f>'Old Data'!$I350-'Old Data'!$S350</f>
        <v>20</v>
      </c>
      <c r="B354" s="72">
        <f>VLOOKUP('Old Data'!$F350,$R$6:$T$135,2,FALSE)+VLOOKUP('Old Data'!$P350,$R$6:$T$135,3,FALSE)+$B$2</f>
        <v>186.9047330883144</v>
      </c>
      <c r="C354" s="72">
        <f>VLOOKUP('Old Data'!$P350,$R$6:$T$135,2,FALSE)+VLOOKUP('Old Data'!$F350,$R$6:$T$135,3,FALSE)+$B$2</f>
        <v>170.77228098039672</v>
      </c>
      <c r="D354" s="74">
        <f>('Old Data'!$I350-$B354)^2+('Old Data'!$S350-$C354)^2</f>
        <v>36.947235854369382</v>
      </c>
      <c r="E354" s="75">
        <f>'Old Data'!$K350-'Old Data'!$U350</f>
        <v>-1</v>
      </c>
      <c r="F354" s="72">
        <f>VLOOKUP('Old Data'!$F350,$V$6:$X$135,2,FALSE)+VLOOKUP('Old Data'!$P350,$V$6:$X$135,3,FALSE)+$C$2</f>
        <v>197.51046219296876</v>
      </c>
      <c r="G354" s="72">
        <f>VLOOKUP('Old Data'!$P350,$V$6:$X$135,2,FALSE)+VLOOKUP('Old Data'!$F350,$V$6:$X$135,3,FALSE)+$C$2</f>
        <v>116.96750829444859</v>
      </c>
      <c r="H354" s="74">
        <f>('Old Data'!$K350-$F354)^2+('Old Data'!$U350-$G354)^2</f>
        <v>3415.4545094779392</v>
      </c>
      <c r="I354" s="75">
        <f>('Old Data'!$L350+'Old Data'!$M350)-('Old Data'!$V350+'Old Data'!$W350)</f>
        <v>50</v>
      </c>
      <c r="J354" s="72">
        <f>VLOOKUP('Old Data'!$F350,$Z$6:$AB$135,2,FALSE)+VLOOKUP('Old Data'!$P350,$Z$6:$AB$135,3,FALSE)+$D$2</f>
        <v>23.9910366998337</v>
      </c>
      <c r="K354" s="72">
        <f>VLOOKUP('Old Data'!$P350,$Z$6:$AB$135,2,FALSE)+VLOOKUP('Old Data'!$F350,$Z$6:$AB$135,3,FALSE)+$D$2</f>
        <v>40.497101376994962</v>
      </c>
      <c r="L354" s="74">
        <f>('Old Data'!$L350+'Old Data'!$M350-$J354)^2+('Old Data'!$V350+'Old Data'!$W350-$K354)^2</f>
        <v>4490.4540695880542</v>
      </c>
      <c r="M354" s="75">
        <f>'Old Data'!$N350-'Old Data'!$X350</f>
        <v>1</v>
      </c>
      <c r="N354" s="72">
        <f>VLOOKUP('Old Data'!$F350,$AD$6:$AF$135,2,FALSE)+VLOOKUP('Old Data'!$P350,$AD$6:$AF$135,3,FALSE)+$E$2</f>
        <v>0.93924552172908116</v>
      </c>
      <c r="O354" s="72">
        <f>VLOOKUP('Old Data'!$P350,$AD$6:$AF$135,2,FALSE)+VLOOKUP('Old Data'!$F350,$AD$6:$AF$135,3,FALSE)+$E$2</f>
        <v>0.42262289101279849</v>
      </c>
      <c r="P354" s="73">
        <f>('Old Data'!$N350-$N354)^2+('Old Data'!$X350-$O354)^2</f>
        <v>0.18230121463798729</v>
      </c>
      <c r="Q354" s="62"/>
      <c r="R354" s="3"/>
      <c r="S354" s="3"/>
      <c r="T354" s="3"/>
      <c r="V354" s="3"/>
      <c r="W354" s="3"/>
      <c r="X354" s="3"/>
      <c r="Z354" s="3"/>
      <c r="AA354" s="3"/>
      <c r="AB354" s="3"/>
      <c r="AC354" s="3"/>
      <c r="AD354" s="3"/>
      <c r="AE354" s="3"/>
      <c r="AF354" s="3"/>
      <c r="AG354" s="3"/>
      <c r="AH354" s="37"/>
      <c r="AI354" s="1"/>
      <c r="AK354" s="10"/>
      <c r="AL354" s="10"/>
      <c r="AM354" s="10"/>
      <c r="AN354" s="11"/>
      <c r="AO354" s="11"/>
      <c r="AP354" s="11"/>
      <c r="AQ354" s="36"/>
      <c r="AR354" s="11"/>
      <c r="AS354" s="11"/>
      <c r="AT354" s="11"/>
      <c r="AU354" s="12"/>
      <c r="AV354" s="11"/>
      <c r="AW354" s="11"/>
      <c r="AX354" s="15"/>
      <c r="AY354" s="15"/>
      <c r="AZ354" s="15"/>
      <c r="BA354" s="15"/>
      <c r="BB354" s="15"/>
      <c r="BC354" s="15"/>
      <c r="BD354" s="15"/>
      <c r="BE354" s="12"/>
      <c r="BF354" s="11"/>
      <c r="BG354" s="11"/>
      <c r="BH354" s="10"/>
      <c r="BI354" s="10"/>
      <c r="BJ354" s="10"/>
      <c r="BK354" s="23"/>
      <c r="BL354" s="23"/>
      <c r="BM354" s="23"/>
      <c r="BN354" s="23"/>
      <c r="BO354" s="23"/>
      <c r="BP354" s="23"/>
      <c r="BQ354" s="23"/>
      <c r="BR354" s="10"/>
      <c r="BS354" s="16"/>
      <c r="BT354" s="16"/>
      <c r="BU354" s="16"/>
      <c r="BV354" s="16"/>
      <c r="BW354" s="11"/>
      <c r="BX354" s="16"/>
      <c r="BY354" s="16"/>
      <c r="BZ354" s="17"/>
      <c r="CA354" s="18"/>
      <c r="CB354" s="18"/>
      <c r="CC354" s="18"/>
      <c r="CD354" s="18"/>
      <c r="CE354" s="18"/>
      <c r="CF354" s="18"/>
      <c r="CG354" s="19"/>
      <c r="CH354" s="15"/>
      <c r="CI354" s="17"/>
      <c r="CJ354" s="10"/>
      <c r="CK354" s="10"/>
      <c r="CL354" s="10"/>
      <c r="CM354" s="17"/>
      <c r="CN354" s="17"/>
      <c r="CO354" s="10"/>
      <c r="CP354" s="10"/>
      <c r="CQ354" s="10"/>
      <c r="CR354" s="10"/>
      <c r="CS354" s="10"/>
      <c r="CT354" s="10"/>
      <c r="CU354" s="10"/>
      <c r="CV354" s="10"/>
      <c r="CW354" s="10"/>
      <c r="CX354" s="10"/>
      <c r="CY354" s="10"/>
      <c r="CZ354" s="10"/>
      <c r="DA354" s="34"/>
      <c r="DB354" s="34"/>
      <c r="DC354" s="34"/>
      <c r="DD354" s="34"/>
      <c r="DE354" s="34"/>
      <c r="DF354" s="34"/>
      <c r="DG354" s="34"/>
      <c r="DH354" s="34"/>
      <c r="DI354" s="34"/>
      <c r="DJ354" s="34"/>
      <c r="DK354" s="34"/>
      <c r="DL354" s="34"/>
      <c r="DM354" s="34"/>
      <c r="DN354" s="34"/>
      <c r="DO354" s="34"/>
      <c r="DP354" s="34"/>
      <c r="DQ354" s="34"/>
      <c r="DR354" s="34"/>
      <c r="DS354" s="34"/>
      <c r="DT354" s="34"/>
      <c r="DU354" s="34"/>
      <c r="DV354" s="34"/>
      <c r="DW354" s="34"/>
      <c r="DX354" s="34"/>
      <c r="DY354" s="34"/>
      <c r="DZ354" s="34"/>
      <c r="EA354" s="34"/>
      <c r="EB354" s="34"/>
      <c r="EC354" s="34"/>
      <c r="ED354" s="34"/>
      <c r="EE354" s="34"/>
    </row>
    <row r="355" spans="1:135" customFormat="1">
      <c r="A355" s="71">
        <f>'Old Data'!$I351-'Old Data'!$S351</f>
        <v>-131</v>
      </c>
      <c r="B355" s="72">
        <f>VLOOKUP('Old Data'!$F351,$R$6:$T$135,2,FALSE)+VLOOKUP('Old Data'!$P351,$R$6:$T$135,3,FALSE)+$B$2</f>
        <v>241.93710862400837</v>
      </c>
      <c r="C355" s="72">
        <f>VLOOKUP('Old Data'!$P351,$R$6:$T$135,2,FALSE)+VLOOKUP('Old Data'!$F351,$R$6:$T$135,3,FALSE)+$B$2</f>
        <v>295.32588715343149</v>
      </c>
      <c r="D355" s="74">
        <f>('Old Data'!$I351-$B355)^2+('Old Data'!$S351-$C355)^2</f>
        <v>9313.2409595402078</v>
      </c>
      <c r="E355" s="75">
        <f>'Old Data'!$K351-'Old Data'!$U351</f>
        <v>167</v>
      </c>
      <c r="F355" s="72">
        <f>VLOOKUP('Old Data'!$F351,$V$6:$X$135,2,FALSE)+VLOOKUP('Old Data'!$P351,$V$6:$X$135,3,FALSE)+$C$2</f>
        <v>129.92503406563401</v>
      </c>
      <c r="G355" s="72">
        <f>VLOOKUP('Old Data'!$P351,$V$6:$X$135,2,FALSE)+VLOOKUP('Old Data'!$F351,$V$6:$X$135,3,FALSE)+$C$2</f>
        <v>120.56953507949299</v>
      </c>
      <c r="H355" s="74">
        <f>('Old Data'!$K351-$F355)^2+('Old Data'!$U351-$G355)^2</f>
        <v>13507.271899452981</v>
      </c>
      <c r="I355" s="75">
        <f>('Old Data'!$L351+'Old Data'!$M351)-('Old Data'!$V351+'Old Data'!$W351)</f>
        <v>0</v>
      </c>
      <c r="J355" s="72">
        <f>VLOOKUP('Old Data'!$F351,$Z$6:$AB$135,2,FALSE)+VLOOKUP('Old Data'!$P351,$Z$6:$AB$135,3,FALSE)+$D$2</f>
        <v>13.266175491822395</v>
      </c>
      <c r="K355" s="72">
        <f>VLOOKUP('Old Data'!$P351,$Z$6:$AB$135,2,FALSE)+VLOOKUP('Old Data'!$F351,$Z$6:$AB$135,3,FALSE)+$D$2</f>
        <v>33.419395376091799</v>
      </c>
      <c r="L355" s="74">
        <f>('Old Data'!$L351+'Old Data'!$M351-$J355)^2+('Old Data'!$V351+'Old Data'!$W351-$K355)^2</f>
        <v>1292.8473994833751</v>
      </c>
      <c r="M355" s="75">
        <f>'Old Data'!$N351-'Old Data'!$X351</f>
        <v>1</v>
      </c>
      <c r="N355" s="72">
        <f>VLOOKUP('Old Data'!$F351,$AD$6:$AF$135,2,FALSE)+VLOOKUP('Old Data'!$P351,$AD$6:$AF$135,3,FALSE)+$E$2</f>
        <v>1.4441289183124981</v>
      </c>
      <c r="O355" s="72">
        <f>VLOOKUP('Old Data'!$P351,$AD$6:$AF$135,2,FALSE)+VLOOKUP('Old Data'!$F351,$AD$6:$AF$135,3,FALSE)+$E$2</f>
        <v>0.7374245230575831</v>
      </c>
      <c r="P355" s="73">
        <f>('Old Data'!$N351-$N355)^2+('Old Data'!$X351-$O355)^2</f>
        <v>0.3779385405479711</v>
      </c>
      <c r="Q355" s="62"/>
      <c r="R355" s="3"/>
      <c r="S355" s="3"/>
      <c r="T355" s="3"/>
      <c r="V355" s="3"/>
      <c r="W355" s="3"/>
      <c r="X355" s="3"/>
      <c r="Z355" s="3"/>
      <c r="AA355" s="3"/>
      <c r="AB355" s="3"/>
      <c r="AC355" s="3"/>
      <c r="AD355" s="3"/>
      <c r="AE355" s="3"/>
      <c r="AF355" s="3"/>
      <c r="AG355" s="3"/>
      <c r="AH355" s="37"/>
      <c r="AI355" s="1"/>
      <c r="AK355" s="10"/>
      <c r="AL355" s="10"/>
      <c r="AM355" s="10"/>
      <c r="AN355" s="11"/>
      <c r="AO355" s="11"/>
      <c r="AP355" s="11"/>
      <c r="AQ355" s="36"/>
      <c r="AR355" s="11"/>
      <c r="AS355" s="11"/>
      <c r="AT355" s="11"/>
      <c r="AU355" s="12"/>
      <c r="AV355" s="11"/>
      <c r="AW355" s="11"/>
      <c r="AX355" s="15"/>
      <c r="AY355" s="15"/>
      <c r="AZ355" s="15"/>
      <c r="BA355" s="15"/>
      <c r="BB355" s="15"/>
      <c r="BC355" s="15"/>
      <c r="BD355" s="15"/>
      <c r="BE355" s="12"/>
      <c r="BF355" s="11"/>
      <c r="BG355" s="11"/>
      <c r="BH355" s="10"/>
      <c r="BI355" s="10"/>
      <c r="BJ355" s="10"/>
      <c r="BK355" s="23"/>
      <c r="BL355" s="23"/>
      <c r="BM355" s="23"/>
      <c r="BN355" s="23"/>
      <c r="BO355" s="23"/>
      <c r="BP355" s="23"/>
      <c r="BQ355" s="23"/>
      <c r="BR355" s="10"/>
      <c r="BS355" s="16"/>
      <c r="BT355" s="16"/>
      <c r="BU355" s="16"/>
      <c r="BV355" s="16"/>
      <c r="BW355" s="11"/>
      <c r="BX355" s="16"/>
      <c r="BY355" s="16"/>
      <c r="BZ355" s="17"/>
      <c r="CA355" s="18"/>
      <c r="CB355" s="18"/>
      <c r="CC355" s="18"/>
      <c r="CD355" s="18"/>
      <c r="CE355" s="18"/>
      <c r="CF355" s="18"/>
      <c r="CG355" s="19"/>
      <c r="CH355" s="15"/>
      <c r="CI355" s="17"/>
      <c r="CJ355" s="10"/>
      <c r="CK355" s="10"/>
      <c r="CL355" s="10"/>
      <c r="CM355" s="17"/>
      <c r="CN355" s="17"/>
      <c r="CO355" s="10"/>
      <c r="CP355" s="10"/>
      <c r="CQ355" s="10"/>
      <c r="CR355" s="10"/>
      <c r="CS355" s="10"/>
      <c r="CT355" s="10"/>
      <c r="CU355" s="10"/>
      <c r="CV355" s="10"/>
      <c r="CW355" s="10"/>
      <c r="CX355" s="10"/>
      <c r="CY355" s="10"/>
      <c r="CZ355" s="10"/>
      <c r="DA355" s="34"/>
      <c r="DB355" s="34"/>
      <c r="DC355" s="34"/>
      <c r="DD355" s="34"/>
      <c r="DE355" s="34"/>
      <c r="DF355" s="34"/>
      <c r="DG355" s="34"/>
      <c r="DH355" s="34"/>
      <c r="DI355" s="34"/>
      <c r="DJ355" s="34"/>
      <c r="DK355" s="34"/>
      <c r="DL355" s="34"/>
      <c r="DM355" s="34"/>
      <c r="DN355" s="34"/>
      <c r="DO355" s="34"/>
      <c r="DP355" s="34"/>
      <c r="DQ355" s="34"/>
      <c r="DR355" s="34"/>
      <c r="DS355" s="34"/>
      <c r="DT355" s="34"/>
      <c r="DU355" s="34"/>
      <c r="DV355" s="34"/>
      <c r="DW355" s="34"/>
      <c r="DX355" s="34"/>
      <c r="DY355" s="34"/>
      <c r="DZ355" s="34"/>
      <c r="EA355" s="34"/>
      <c r="EB355" s="34"/>
      <c r="EC355" s="34"/>
      <c r="ED355" s="34"/>
      <c r="EE355" s="34"/>
    </row>
    <row r="356" spans="1:135" customFormat="1">
      <c r="A356" s="71">
        <f>'Old Data'!$I352-'Old Data'!$S352</f>
        <v>81</v>
      </c>
      <c r="B356" s="72">
        <f>VLOOKUP('Old Data'!$F352,$R$6:$T$135,2,FALSE)+VLOOKUP('Old Data'!$P352,$R$6:$T$135,3,FALSE)+$B$2</f>
        <v>215.31576492591321</v>
      </c>
      <c r="C356" s="72">
        <f>VLOOKUP('Old Data'!$P352,$R$6:$T$135,2,FALSE)+VLOOKUP('Old Data'!$F352,$R$6:$T$135,3,FALSE)+$B$2</f>
        <v>163.84937499798161</v>
      </c>
      <c r="D356" s="74">
        <f>('Old Data'!$I352-$B356)^2+('Old Data'!$S352-$C356)^2</f>
        <v>823.50677967266688</v>
      </c>
      <c r="E356" s="75">
        <f>'Old Data'!$K352-'Old Data'!$U352</f>
        <v>18</v>
      </c>
      <c r="F356" s="72">
        <f>VLOOKUP('Old Data'!$F352,$V$6:$X$135,2,FALSE)+VLOOKUP('Old Data'!$P352,$V$6:$X$135,3,FALSE)+$C$2</f>
        <v>160.10115116349087</v>
      </c>
      <c r="G356" s="72">
        <f>VLOOKUP('Old Data'!$P352,$V$6:$X$135,2,FALSE)+VLOOKUP('Old Data'!$F352,$V$6:$X$135,3,FALSE)+$C$2</f>
        <v>81.8651377114372</v>
      </c>
      <c r="H356" s="74">
        <f>('Old Data'!$K352-$F356)^2+('Old Data'!$U352-$G356)^2</f>
        <v>19857.784112754303</v>
      </c>
      <c r="I356" s="75">
        <f>('Old Data'!$L352+'Old Data'!$M352)-('Old Data'!$V352+'Old Data'!$W352)</f>
        <v>-81</v>
      </c>
      <c r="J356" s="72">
        <f>VLOOKUP('Old Data'!$F352,$Z$6:$AB$135,2,FALSE)+VLOOKUP('Old Data'!$P352,$Z$6:$AB$135,3,FALSE)+$D$2</f>
        <v>-1.3226986946405077</v>
      </c>
      <c r="K356" s="72">
        <f>VLOOKUP('Old Data'!$P352,$Z$6:$AB$135,2,FALSE)+VLOOKUP('Old Data'!$F352,$Z$6:$AB$135,3,FALSE)+$D$2</f>
        <v>24.620338549364838</v>
      </c>
      <c r="L356" s="74">
        <f>('Old Data'!$L352+'Old Data'!$M352-$J356)^2+('Old Data'!$V352+'Old Data'!$W352-$K356)^2</f>
        <v>4086.2487991588991</v>
      </c>
      <c r="M356" s="75">
        <f>'Old Data'!$N352-'Old Data'!$X352</f>
        <v>1</v>
      </c>
      <c r="N356" s="72">
        <f>VLOOKUP('Old Data'!$F352,$AD$6:$AF$135,2,FALSE)+VLOOKUP('Old Data'!$P352,$AD$6:$AF$135,3,FALSE)+$E$2</f>
        <v>1.1696645495766156</v>
      </c>
      <c r="O356" s="72">
        <f>VLOOKUP('Old Data'!$P352,$AD$6:$AF$135,2,FALSE)+VLOOKUP('Old Data'!$F352,$AD$6:$AF$135,3,FALSE)+$E$2</f>
        <v>0.78191403735416998</v>
      </c>
      <c r="P356" s="73">
        <f>('Old Data'!$N352-$N356)^2+('Old Data'!$X352-$O356)^2</f>
        <v>0.64017562119453408</v>
      </c>
      <c r="Q356" s="62"/>
      <c r="R356" s="3"/>
      <c r="S356" s="3"/>
      <c r="T356" s="3"/>
      <c r="V356" s="3"/>
      <c r="W356" s="3"/>
      <c r="X356" s="3"/>
      <c r="Z356" s="3"/>
      <c r="AA356" s="3"/>
      <c r="AB356" s="3"/>
      <c r="AC356" s="3"/>
      <c r="AD356" s="3"/>
      <c r="AE356" s="3"/>
      <c r="AF356" s="3"/>
      <c r="AG356" s="3"/>
      <c r="AH356" s="37"/>
      <c r="AI356" s="1"/>
      <c r="AK356" s="10"/>
      <c r="AL356" s="10"/>
      <c r="AM356" s="10"/>
      <c r="AN356" s="11"/>
      <c r="AO356" s="11"/>
      <c r="AP356" s="11"/>
      <c r="AQ356" s="36"/>
      <c r="AR356" s="11"/>
      <c r="AS356" s="11"/>
      <c r="AT356" s="11"/>
      <c r="AU356" s="12"/>
      <c r="AV356" s="11"/>
      <c r="AW356" s="11"/>
      <c r="AX356" s="15"/>
      <c r="AY356" s="15"/>
      <c r="AZ356" s="15"/>
      <c r="BA356" s="15"/>
      <c r="BB356" s="15"/>
      <c r="BC356" s="15"/>
      <c r="BD356" s="15"/>
      <c r="BE356" s="12"/>
      <c r="BF356" s="11"/>
      <c r="BG356" s="11"/>
      <c r="BH356" s="10"/>
      <c r="BI356" s="10"/>
      <c r="BJ356" s="10"/>
      <c r="BK356" s="23"/>
      <c r="BL356" s="23"/>
      <c r="BM356" s="23"/>
      <c r="BN356" s="23"/>
      <c r="BO356" s="23"/>
      <c r="BP356" s="23"/>
      <c r="BQ356" s="23"/>
      <c r="BR356" s="10"/>
      <c r="BS356" s="16"/>
      <c r="BT356" s="16"/>
      <c r="BU356" s="16"/>
      <c r="BV356" s="16"/>
      <c r="BW356" s="11"/>
      <c r="BX356" s="16"/>
      <c r="BY356" s="16"/>
      <c r="BZ356" s="17"/>
      <c r="CA356" s="18"/>
      <c r="CB356" s="18"/>
      <c r="CC356" s="18"/>
      <c r="CD356" s="18"/>
      <c r="CE356" s="18"/>
      <c r="CF356" s="18"/>
      <c r="CG356" s="19"/>
      <c r="CH356" s="15"/>
      <c r="CI356" s="17"/>
      <c r="CJ356" s="10"/>
      <c r="CK356" s="10"/>
      <c r="CL356" s="10"/>
      <c r="CM356" s="17"/>
      <c r="CN356" s="17"/>
      <c r="CO356" s="10"/>
      <c r="CP356" s="10"/>
      <c r="CQ356" s="10"/>
      <c r="CR356" s="10"/>
      <c r="CS356" s="10"/>
      <c r="CT356" s="10"/>
      <c r="CU356" s="10"/>
      <c r="CV356" s="10"/>
      <c r="CW356" s="10"/>
      <c r="CX356" s="10"/>
      <c r="CY356" s="10"/>
      <c r="CZ356" s="10"/>
      <c r="DA356" s="34"/>
      <c r="DB356" s="34"/>
      <c r="DC356" s="34"/>
      <c r="DD356" s="34"/>
      <c r="DE356" s="34"/>
      <c r="DF356" s="34"/>
      <c r="DG356" s="34"/>
      <c r="DH356" s="34"/>
      <c r="DI356" s="34"/>
      <c r="DJ356" s="34"/>
      <c r="DK356" s="34"/>
      <c r="DL356" s="34"/>
      <c r="DM356" s="34"/>
      <c r="DN356" s="34"/>
      <c r="DO356" s="34"/>
      <c r="DP356" s="34"/>
      <c r="DQ356" s="34"/>
      <c r="DR356" s="34"/>
      <c r="DS356" s="34"/>
      <c r="DT356" s="34"/>
      <c r="DU356" s="34"/>
      <c r="DV356" s="34"/>
      <c r="DW356" s="34"/>
      <c r="DX356" s="34"/>
      <c r="DY356" s="34"/>
      <c r="DZ356" s="34"/>
      <c r="EA356" s="34"/>
      <c r="EB356" s="34"/>
      <c r="EC356" s="34"/>
      <c r="ED356" s="34"/>
      <c r="EE356" s="34"/>
    </row>
    <row r="357" spans="1:135" customFormat="1">
      <c r="A357" s="71">
        <f>'Old Data'!$I353-'Old Data'!$S353</f>
        <v>168</v>
      </c>
      <c r="B357" s="72">
        <f>VLOOKUP('Old Data'!$F353,$R$6:$T$135,2,FALSE)+VLOOKUP('Old Data'!$P353,$R$6:$T$135,3,FALSE)+$B$2</f>
        <v>233.88602671394341</v>
      </c>
      <c r="C357" s="72">
        <f>VLOOKUP('Old Data'!$P353,$R$6:$T$135,2,FALSE)+VLOOKUP('Old Data'!$F353,$R$6:$T$135,3,FALSE)+$B$2</f>
        <v>112.05691461939121</v>
      </c>
      <c r="D357" s="74">
        <f>('Old Data'!$I353-$B357)^2+('Old Data'!$S353-$C357)^2</f>
        <v>4768.7841181676567</v>
      </c>
      <c r="E357" s="75">
        <f>'Old Data'!$K353-'Old Data'!$U353</f>
        <v>-35</v>
      </c>
      <c r="F357" s="72">
        <f>VLOOKUP('Old Data'!$F353,$V$6:$X$135,2,FALSE)+VLOOKUP('Old Data'!$P353,$V$6:$X$135,3,FALSE)+$C$2</f>
        <v>79.141596029178572</v>
      </c>
      <c r="G357" s="72">
        <f>VLOOKUP('Old Data'!$P353,$V$6:$X$135,2,FALSE)+VLOOKUP('Old Data'!$F353,$V$6:$X$135,3,FALSE)+$C$2</f>
        <v>172.10119726893689</v>
      </c>
      <c r="H357" s="74">
        <f>('Old Data'!$K353-$F357)^2+('Old Data'!$U353-$G357)^2</f>
        <v>6120.5097322515549</v>
      </c>
      <c r="I357" s="75">
        <f>('Old Data'!$L353+'Old Data'!$M353)-('Old Data'!$V353+'Old Data'!$W353)</f>
        <v>26</v>
      </c>
      <c r="J357" s="72">
        <f>VLOOKUP('Old Data'!$F353,$Z$6:$AB$135,2,FALSE)+VLOOKUP('Old Data'!$P353,$Z$6:$AB$135,3,FALSE)+$D$2</f>
        <v>57.641432165294795</v>
      </c>
      <c r="K357" s="72">
        <f>VLOOKUP('Old Data'!$P353,$Z$6:$AB$135,2,FALSE)+VLOOKUP('Old Data'!$F353,$Z$6:$AB$135,3,FALSE)+$D$2</f>
        <v>4.0482076704658994</v>
      </c>
      <c r="L357" s="74">
        <f>('Old Data'!$L353+'Old Data'!$M353-$J357)^2+('Old Data'!$V353+'Old Data'!$W353-$K357)^2</f>
        <v>1017.568214814171</v>
      </c>
      <c r="M357" s="75">
        <f>'Old Data'!$N353-'Old Data'!$X353</f>
        <v>0</v>
      </c>
      <c r="N357" s="72">
        <f>VLOOKUP('Old Data'!$F353,$AD$6:$AF$135,2,FALSE)+VLOOKUP('Old Data'!$P353,$AD$6:$AF$135,3,FALSE)+$E$2</f>
        <v>1.5211284213220848</v>
      </c>
      <c r="O357" s="72">
        <f>VLOOKUP('Old Data'!$P353,$AD$6:$AF$135,2,FALSE)+VLOOKUP('Old Data'!$F353,$AD$6:$AF$135,3,FALSE)+$E$2</f>
        <v>0.74754863104492908</v>
      </c>
      <c r="P357" s="73">
        <f>('Old Data'!$N353-$N357)^2+('Old Data'!$X353-$O357)^2</f>
        <v>0.33530652519693771</v>
      </c>
      <c r="Q357" s="62"/>
      <c r="R357" s="3"/>
      <c r="S357" s="3"/>
      <c r="T357" s="3"/>
      <c r="V357" s="3"/>
      <c r="W357" s="3"/>
      <c r="X357" s="3"/>
      <c r="Z357" s="3"/>
      <c r="AA357" s="3"/>
      <c r="AB357" s="3"/>
      <c r="AC357" s="3"/>
      <c r="AD357" s="3"/>
      <c r="AE357" s="3"/>
      <c r="AF357" s="3"/>
      <c r="AG357" s="3"/>
      <c r="AH357" s="37"/>
      <c r="AI357" s="1"/>
      <c r="AK357" s="10"/>
      <c r="AL357" s="10"/>
      <c r="AM357" s="10"/>
      <c r="AN357" s="11"/>
      <c r="AO357" s="11"/>
      <c r="AP357" s="11"/>
      <c r="AQ357" s="36"/>
      <c r="AR357" s="11"/>
      <c r="AS357" s="11"/>
      <c r="AT357" s="11"/>
      <c r="AU357" s="12"/>
      <c r="AV357" s="11"/>
      <c r="AW357" s="11"/>
      <c r="AX357" s="15"/>
      <c r="AY357" s="15"/>
      <c r="AZ357" s="15"/>
      <c r="BA357" s="15"/>
      <c r="BB357" s="15"/>
      <c r="BC357" s="15"/>
      <c r="BD357" s="15"/>
      <c r="BE357" s="12"/>
      <c r="BF357" s="11"/>
      <c r="BG357" s="11"/>
      <c r="BH357" s="10"/>
      <c r="BI357" s="10"/>
      <c r="BJ357" s="10"/>
      <c r="BK357" s="23"/>
      <c r="BL357" s="23"/>
      <c r="BM357" s="23"/>
      <c r="BN357" s="23"/>
      <c r="BO357" s="23"/>
      <c r="BP357" s="23"/>
      <c r="BQ357" s="23"/>
      <c r="BR357" s="10"/>
      <c r="BS357" s="16"/>
      <c r="BT357" s="16"/>
      <c r="BU357" s="16"/>
      <c r="BV357" s="16"/>
      <c r="BW357" s="11"/>
      <c r="BX357" s="16"/>
      <c r="BY357" s="16"/>
      <c r="BZ357" s="17"/>
      <c r="CA357" s="18"/>
      <c r="CB357" s="18"/>
      <c r="CC357" s="18"/>
      <c r="CD357" s="18"/>
      <c r="CE357" s="18"/>
      <c r="CF357" s="18"/>
      <c r="CG357" s="19"/>
      <c r="CH357" s="15"/>
      <c r="CI357" s="17"/>
      <c r="CJ357" s="10"/>
      <c r="CK357" s="10"/>
      <c r="CL357" s="10"/>
      <c r="CM357" s="17"/>
      <c r="CN357" s="17"/>
      <c r="CO357" s="10"/>
      <c r="CP357" s="10"/>
      <c r="CQ357" s="10"/>
      <c r="CR357" s="10"/>
      <c r="CS357" s="10"/>
      <c r="CT357" s="10"/>
      <c r="CU357" s="10"/>
      <c r="CV357" s="10"/>
      <c r="CW357" s="10"/>
      <c r="CX357" s="10"/>
      <c r="CY357" s="10"/>
      <c r="CZ357" s="10"/>
      <c r="DA357" s="34"/>
      <c r="DB357" s="34"/>
      <c r="DC357" s="34"/>
      <c r="DD357" s="34"/>
      <c r="DE357" s="34"/>
      <c r="DF357" s="34"/>
      <c r="DG357" s="34"/>
      <c r="DH357" s="34"/>
      <c r="DI357" s="34"/>
      <c r="DJ357" s="34"/>
      <c r="DK357" s="34"/>
      <c r="DL357" s="34"/>
      <c r="DM357" s="34"/>
      <c r="DN357" s="34"/>
      <c r="DO357" s="34"/>
      <c r="DP357" s="34"/>
      <c r="DQ357" s="34"/>
      <c r="DR357" s="34"/>
      <c r="DS357" s="34"/>
      <c r="DT357" s="34"/>
      <c r="DU357" s="34"/>
      <c r="DV357" s="34"/>
      <c r="DW357" s="34"/>
      <c r="DX357" s="34"/>
      <c r="DY357" s="34"/>
      <c r="DZ357" s="34"/>
      <c r="EA357" s="34"/>
      <c r="EB357" s="34"/>
      <c r="EC357" s="34"/>
      <c r="ED357" s="34"/>
      <c r="EE357" s="34"/>
    </row>
    <row r="358" spans="1:135" customFormat="1">
      <c r="A358" s="71">
        <f>'Old Data'!$I354-'Old Data'!$S354</f>
        <v>-272</v>
      </c>
      <c r="B358" s="72">
        <f>VLOOKUP('Old Data'!$F354,$R$6:$T$135,2,FALSE)+VLOOKUP('Old Data'!$P354,$R$6:$T$135,3,FALSE)+$B$2</f>
        <v>107.3752267666685</v>
      </c>
      <c r="C358" s="72">
        <f>VLOOKUP('Old Data'!$P354,$R$6:$T$135,2,FALSE)+VLOOKUP('Old Data'!$F354,$R$6:$T$135,3,FALSE)+$B$2</f>
        <v>290.13737547510181</v>
      </c>
      <c r="D358" s="74">
        <f>('Old Data'!$I354-$B358)^2+('Old Data'!$S354-$C358)^2</f>
        <v>4722.3369446679781</v>
      </c>
      <c r="E358" s="75">
        <f>'Old Data'!$K354-'Old Data'!$U354</f>
        <v>235</v>
      </c>
      <c r="F358" s="72">
        <f>VLOOKUP('Old Data'!$F354,$V$6:$X$135,2,FALSE)+VLOOKUP('Old Data'!$P354,$V$6:$X$135,3,FALSE)+$C$2</f>
        <v>293.32599271701827</v>
      </c>
      <c r="G358" s="72">
        <f>VLOOKUP('Old Data'!$P354,$V$6:$X$135,2,FALSE)+VLOOKUP('Old Data'!$F354,$V$6:$X$135,3,FALSE)+$C$2</f>
        <v>162.4748110178451</v>
      </c>
      <c r="H358" s="74">
        <f>('Old Data'!$K354-$F358)^2+('Old Data'!$U354-$G358)^2</f>
        <v>12291.313979326329</v>
      </c>
      <c r="I358" s="75">
        <f>('Old Data'!$L354+'Old Data'!$M354)-('Old Data'!$V354+'Old Data'!$W354)</f>
        <v>135</v>
      </c>
      <c r="J358" s="72">
        <f>VLOOKUP('Old Data'!$F354,$Z$6:$AB$135,2,FALSE)+VLOOKUP('Old Data'!$P354,$Z$6:$AB$135,3,FALSE)+$D$2</f>
        <v>89.757313506468194</v>
      </c>
      <c r="K358" s="72">
        <f>VLOOKUP('Old Data'!$P354,$Z$6:$AB$135,2,FALSE)+VLOOKUP('Old Data'!$F354,$Z$6:$AB$135,3,FALSE)+$D$2</f>
        <v>6.6680669837718014</v>
      </c>
      <c r="L358" s="74">
        <f>('Old Data'!$L354+'Old Data'!$M354-$J358)^2+('Old Data'!$V354+'Old Data'!$W354-$K358)^2</f>
        <v>2170.5130374715932</v>
      </c>
      <c r="M358" s="75">
        <f>'Old Data'!$N354-'Old Data'!$X354</f>
        <v>-2</v>
      </c>
      <c r="N358" s="72">
        <f>VLOOKUP('Old Data'!$F354,$AD$6:$AF$135,2,FALSE)+VLOOKUP('Old Data'!$P354,$AD$6:$AF$135,3,FALSE)+$E$2</f>
        <v>1.3035162172257386</v>
      </c>
      <c r="O358" s="72">
        <f>VLOOKUP('Old Data'!$P354,$AD$6:$AF$135,2,FALSE)+VLOOKUP('Old Data'!$F354,$AD$6:$AF$135,3,FALSE)+$E$2</f>
        <v>1.5245376797337382</v>
      </c>
      <c r="P358" s="73">
        <f>('Old Data'!$N354-$N358)^2+('Old Data'!$X354-$O358)^2</f>
        <v>1.9252189465634764</v>
      </c>
      <c r="Q358" s="62"/>
      <c r="R358" s="3"/>
      <c r="S358" s="3"/>
      <c r="T358" s="3"/>
      <c r="V358" s="3"/>
      <c r="W358" s="3"/>
      <c r="X358" s="3"/>
      <c r="Z358" s="3"/>
      <c r="AA358" s="3"/>
      <c r="AB358" s="3"/>
      <c r="AC358" s="3"/>
      <c r="AD358" s="3"/>
      <c r="AE358" s="3"/>
      <c r="AF358" s="3"/>
      <c r="AG358" s="3"/>
      <c r="AH358" s="37"/>
      <c r="AI358" s="1"/>
      <c r="AK358" s="10"/>
      <c r="AL358" s="10"/>
      <c r="AM358" s="10"/>
      <c r="AN358" s="11"/>
      <c r="AO358" s="11"/>
      <c r="AP358" s="11"/>
      <c r="AQ358" s="36"/>
      <c r="AR358" s="11"/>
      <c r="AS358" s="11"/>
      <c r="AT358" s="11"/>
      <c r="AU358" s="12"/>
      <c r="AV358" s="11"/>
      <c r="AW358" s="11"/>
      <c r="AX358" s="15"/>
      <c r="AY358" s="15"/>
      <c r="AZ358" s="15"/>
      <c r="BA358" s="15"/>
      <c r="BB358" s="15"/>
      <c r="BC358" s="15"/>
      <c r="BD358" s="15"/>
      <c r="BE358" s="12"/>
      <c r="BF358" s="11"/>
      <c r="BG358" s="11"/>
      <c r="BH358" s="10"/>
      <c r="BI358" s="10"/>
      <c r="BJ358" s="10"/>
      <c r="BK358" s="23"/>
      <c r="BL358" s="23"/>
      <c r="BM358" s="23"/>
      <c r="BN358" s="23"/>
      <c r="BO358" s="23"/>
      <c r="BP358" s="23"/>
      <c r="BQ358" s="23"/>
      <c r="BR358" s="10"/>
      <c r="BS358" s="16"/>
      <c r="BT358" s="16"/>
      <c r="BU358" s="16"/>
      <c r="BV358" s="16"/>
      <c r="BW358" s="11"/>
      <c r="BX358" s="16"/>
      <c r="BY358" s="16"/>
      <c r="BZ358" s="17"/>
      <c r="CA358" s="18"/>
      <c r="CB358" s="18"/>
      <c r="CC358" s="18"/>
      <c r="CD358" s="18"/>
      <c r="CE358" s="18"/>
      <c r="CF358" s="18"/>
      <c r="CG358" s="19"/>
      <c r="CH358" s="15"/>
      <c r="CI358" s="17"/>
      <c r="CJ358" s="10"/>
      <c r="CK358" s="10"/>
      <c r="CL358" s="10"/>
      <c r="CM358" s="17"/>
      <c r="CN358" s="17"/>
      <c r="CO358" s="10"/>
      <c r="CP358" s="10"/>
      <c r="CQ358" s="10"/>
      <c r="CR358" s="10"/>
      <c r="CS358" s="10"/>
      <c r="CT358" s="10"/>
      <c r="CU358" s="10"/>
      <c r="CV358" s="10"/>
      <c r="CW358" s="10"/>
      <c r="CX358" s="10"/>
      <c r="CY358" s="10"/>
      <c r="CZ358" s="10"/>
      <c r="DA358" s="34"/>
      <c r="DB358" s="34"/>
      <c r="DC358" s="34"/>
      <c r="DD358" s="34"/>
      <c r="DE358" s="34"/>
      <c r="DF358" s="34"/>
      <c r="DG358" s="34"/>
      <c r="DH358" s="34"/>
      <c r="DI358" s="34"/>
      <c r="DJ358" s="34"/>
      <c r="DK358" s="34"/>
      <c r="DL358" s="34"/>
      <c r="DM358" s="34"/>
      <c r="DN358" s="34"/>
      <c r="DO358" s="34"/>
      <c r="DP358" s="34"/>
      <c r="DQ358" s="34"/>
      <c r="DR358" s="34"/>
      <c r="DS358" s="34"/>
      <c r="DT358" s="34"/>
      <c r="DU358" s="34"/>
      <c r="DV358" s="34"/>
      <c r="DW358" s="34"/>
      <c r="DX358" s="34"/>
      <c r="DY358" s="34"/>
      <c r="DZ358" s="34"/>
      <c r="EA358" s="34"/>
      <c r="EB358" s="34"/>
      <c r="EC358" s="34"/>
      <c r="ED358" s="34"/>
      <c r="EE358" s="34"/>
    </row>
    <row r="359" spans="1:135" customFormat="1">
      <c r="A359" s="71">
        <f>'Old Data'!$I355-'Old Data'!$S355</f>
        <v>-17</v>
      </c>
      <c r="B359" s="72">
        <f>VLOOKUP('Old Data'!$F355,$R$6:$T$135,2,FALSE)+VLOOKUP('Old Data'!$P355,$R$6:$T$135,3,FALSE)+$B$2</f>
        <v>69.867217767798991</v>
      </c>
      <c r="C359" s="72">
        <f>VLOOKUP('Old Data'!$P355,$R$6:$T$135,2,FALSE)+VLOOKUP('Old Data'!$F355,$R$6:$T$135,3,FALSE)+$B$2</f>
        <v>302.92220361409386</v>
      </c>
      <c r="D359" s="74">
        <f>('Old Data'!$I355-$B359)^2+('Old Data'!$S355-$C359)^2</f>
        <v>26062.317808458611</v>
      </c>
      <c r="E359" s="75">
        <f>'Old Data'!$K355-'Old Data'!$U355</f>
        <v>-90</v>
      </c>
      <c r="F359" s="72">
        <f>VLOOKUP('Old Data'!$F355,$V$6:$X$135,2,FALSE)+VLOOKUP('Old Data'!$P355,$V$6:$X$135,3,FALSE)+$C$2</f>
        <v>137.62142022319219</v>
      </c>
      <c r="G359" s="72">
        <f>VLOOKUP('Old Data'!$P355,$V$6:$X$135,2,FALSE)+VLOOKUP('Old Data'!$F355,$V$6:$X$135,3,FALSE)+$C$2</f>
        <v>216.83417770842408</v>
      </c>
      <c r="H359" s="74">
        <f>('Old Data'!$K355-$F359)^2+('Old Data'!$U355-$G359)^2</f>
        <v>3548.0158590180899</v>
      </c>
      <c r="I359" s="75">
        <f>('Old Data'!$L355+'Old Data'!$M355)-('Old Data'!$V355+'Old Data'!$W355)</f>
        <v>-28</v>
      </c>
      <c r="J359" s="72">
        <f>VLOOKUP('Old Data'!$F355,$Z$6:$AB$135,2,FALSE)+VLOOKUP('Old Data'!$P355,$Z$6:$AB$135,3,FALSE)+$D$2</f>
        <v>40.944935175453303</v>
      </c>
      <c r="K359" s="72">
        <f>VLOOKUP('Old Data'!$P355,$Z$6:$AB$135,2,FALSE)+VLOOKUP('Old Data'!$F355,$Z$6:$AB$135,3,FALSE)+$D$2</f>
        <v>54.580365300974499</v>
      </c>
      <c r="L359" s="74">
        <f>('Old Data'!$L355+'Old Data'!$M355-$J359)^2+('Old Data'!$V355+'Old Data'!$W355-$K359)^2</f>
        <v>1757.7505312910444</v>
      </c>
      <c r="M359" s="75">
        <f>'Old Data'!$N355-'Old Data'!$X355</f>
        <v>2</v>
      </c>
      <c r="N359" s="72">
        <f>VLOOKUP('Old Data'!$F355,$AD$6:$AF$135,2,FALSE)+VLOOKUP('Old Data'!$P355,$AD$6:$AF$135,3,FALSE)+$E$2</f>
        <v>2.2462346054719795</v>
      </c>
      <c r="O359" s="72">
        <f>VLOOKUP('Old Data'!$P355,$AD$6:$AF$135,2,FALSE)+VLOOKUP('Old Data'!$F355,$AD$6:$AF$135,3,FALSE)+$E$2</f>
        <v>1.348657942144468</v>
      </c>
      <c r="P359" s="73">
        <f>('Old Data'!$N355-$N359)^2+('Old Data'!$X355-$O359)^2</f>
        <v>0.6897246306083975</v>
      </c>
      <c r="Q359" s="62"/>
      <c r="R359" s="3"/>
      <c r="S359" s="3"/>
      <c r="T359" s="3"/>
      <c r="V359" s="3"/>
      <c r="W359" s="3"/>
      <c r="X359" s="3"/>
      <c r="Z359" s="3"/>
      <c r="AA359" s="3"/>
      <c r="AB359" s="3"/>
      <c r="AC359" s="3"/>
      <c r="AD359" s="3"/>
      <c r="AE359" s="3"/>
      <c r="AF359" s="3"/>
      <c r="AG359" s="3"/>
      <c r="AH359" s="37"/>
      <c r="AI359" s="1"/>
      <c r="AK359" s="10"/>
      <c r="AL359" s="10"/>
      <c r="AM359" s="10"/>
      <c r="AN359" s="11"/>
      <c r="AO359" s="11"/>
      <c r="AP359" s="11"/>
      <c r="AQ359" s="36"/>
      <c r="AR359" s="11"/>
      <c r="AS359" s="11"/>
      <c r="AT359" s="11"/>
      <c r="AU359" s="12"/>
      <c r="AV359" s="11"/>
      <c r="AW359" s="11"/>
      <c r="AX359" s="15"/>
      <c r="AY359" s="15"/>
      <c r="AZ359" s="15"/>
      <c r="BA359" s="15"/>
      <c r="BB359" s="15"/>
      <c r="BC359" s="15"/>
      <c r="BD359" s="15"/>
      <c r="BE359" s="12"/>
      <c r="BF359" s="11"/>
      <c r="BG359" s="11"/>
      <c r="BH359" s="10"/>
      <c r="BI359" s="10"/>
      <c r="BJ359" s="10"/>
      <c r="BK359" s="23"/>
      <c r="BL359" s="23"/>
      <c r="BM359" s="23"/>
      <c r="BN359" s="23"/>
      <c r="BO359" s="23"/>
      <c r="BP359" s="23"/>
      <c r="BQ359" s="23"/>
      <c r="BR359" s="10"/>
      <c r="BS359" s="16"/>
      <c r="BT359" s="16"/>
      <c r="BU359" s="16"/>
      <c r="BV359" s="16"/>
      <c r="BW359" s="11"/>
      <c r="BX359" s="16"/>
      <c r="BY359" s="16"/>
      <c r="BZ359" s="17"/>
      <c r="CA359" s="18"/>
      <c r="CB359" s="18"/>
      <c r="CC359" s="18"/>
      <c r="CD359" s="18"/>
      <c r="CE359" s="18"/>
      <c r="CF359" s="18"/>
      <c r="CG359" s="19"/>
      <c r="CH359" s="15"/>
      <c r="CI359" s="17"/>
      <c r="CJ359" s="10"/>
      <c r="CK359" s="10"/>
      <c r="CL359" s="10"/>
      <c r="CM359" s="17"/>
      <c r="CN359" s="17"/>
      <c r="CO359" s="10"/>
      <c r="CP359" s="10"/>
      <c r="CQ359" s="10"/>
      <c r="CR359" s="10"/>
      <c r="CS359" s="10"/>
      <c r="CT359" s="10"/>
      <c r="CU359" s="10"/>
      <c r="CV359" s="10"/>
      <c r="CW359" s="10"/>
      <c r="CX359" s="10"/>
      <c r="CY359" s="10"/>
      <c r="CZ359" s="10"/>
      <c r="DA359" s="34"/>
      <c r="DB359" s="34"/>
      <c r="DC359" s="34"/>
      <c r="DD359" s="34"/>
      <c r="DE359" s="34"/>
      <c r="DF359" s="34"/>
      <c r="DG359" s="34"/>
      <c r="DH359" s="34"/>
      <c r="DI359" s="34"/>
      <c r="DJ359" s="34"/>
      <c r="DK359" s="34"/>
      <c r="DL359" s="34"/>
      <c r="DM359" s="34"/>
      <c r="DN359" s="34"/>
      <c r="DO359" s="34"/>
      <c r="DP359" s="34"/>
      <c r="DQ359" s="34"/>
      <c r="DR359" s="34"/>
      <c r="DS359" s="34"/>
      <c r="DT359" s="34"/>
      <c r="DU359" s="34"/>
      <c r="DV359" s="34"/>
      <c r="DW359" s="34"/>
      <c r="DX359" s="34"/>
      <c r="DY359" s="34"/>
      <c r="DZ359" s="34"/>
      <c r="EA359" s="34"/>
      <c r="EB359" s="34"/>
      <c r="EC359" s="34"/>
      <c r="ED359" s="34"/>
      <c r="EE359" s="34"/>
    </row>
    <row r="360" spans="1:135" customFormat="1">
      <c r="A360" s="71">
        <f>'Old Data'!$I356-'Old Data'!$S356</f>
        <v>69</v>
      </c>
      <c r="B360" s="72">
        <f>VLOOKUP('Old Data'!$F356,$R$6:$T$135,2,FALSE)+VLOOKUP('Old Data'!$P356,$R$6:$T$135,3,FALSE)+$B$2</f>
        <v>166.29573833728475</v>
      </c>
      <c r="C360" s="72">
        <f>VLOOKUP('Old Data'!$P356,$R$6:$T$135,2,FALSE)+VLOOKUP('Old Data'!$F356,$R$6:$T$135,3,FALSE)+$B$2</f>
        <v>47.319036901269698</v>
      </c>
      <c r="D360" s="74">
        <f>('Old Data'!$I356-$B360)^2+('Old Data'!$S356-$C360)^2</f>
        <v>4338.976786116511</v>
      </c>
      <c r="E360" s="75">
        <f>'Old Data'!$K356-'Old Data'!$U356</f>
        <v>-67</v>
      </c>
      <c r="F360" s="72">
        <f>VLOOKUP('Old Data'!$F356,$V$6:$X$135,2,FALSE)+VLOOKUP('Old Data'!$P356,$V$6:$X$135,3,FALSE)+$C$2</f>
        <v>267.34719237749243</v>
      </c>
      <c r="G360" s="72">
        <f>VLOOKUP('Old Data'!$P356,$V$6:$X$135,2,FALSE)+VLOOKUP('Old Data'!$F356,$V$6:$X$135,3,FALSE)+$C$2</f>
        <v>282.96859384056933</v>
      </c>
      <c r="H360" s="74">
        <f>('Old Data'!$K356-$F360)^2+('Old Data'!$U356-$G360)^2</f>
        <v>1992.7459642086324</v>
      </c>
      <c r="I360" s="75">
        <f>('Old Data'!$L356+'Old Data'!$M356)-('Old Data'!$V356+'Old Data'!$W356)</f>
        <v>-76</v>
      </c>
      <c r="J360" s="72">
        <f>VLOOKUP('Old Data'!$F356,$Z$6:$AB$135,2,FALSE)+VLOOKUP('Old Data'!$P356,$Z$6:$AB$135,3,FALSE)+$D$2</f>
        <v>25.132500556364427</v>
      </c>
      <c r="K360" s="72">
        <f>VLOOKUP('Old Data'!$P356,$Z$6:$AB$135,2,FALSE)+VLOOKUP('Old Data'!$F356,$Z$6:$AB$135,3,FALSE)+$D$2</f>
        <v>39.870762622944781</v>
      </c>
      <c r="L360" s="74">
        <f>('Old Data'!$L356+'Old Data'!$M356-$J360)^2+('Old Data'!$V356+'Old Data'!$W356-$K360)^2</f>
        <v>4396.76858690471</v>
      </c>
      <c r="M360" s="75">
        <f>'Old Data'!$N356-'Old Data'!$X356</f>
        <v>1</v>
      </c>
      <c r="N360" s="72">
        <f>VLOOKUP('Old Data'!$F356,$AD$6:$AF$135,2,FALSE)+VLOOKUP('Old Data'!$P356,$AD$6:$AF$135,3,FALSE)+$E$2</f>
        <v>1.7518115419673801</v>
      </c>
      <c r="O360" s="72">
        <f>VLOOKUP('Old Data'!$P356,$AD$6:$AF$135,2,FALSE)+VLOOKUP('Old Data'!$F356,$AD$6:$AF$135,3,FALSE)+$E$2</f>
        <v>0.69775511907789312</v>
      </c>
      <c r="P360" s="73">
        <f>('Old Data'!$N356-$N360)^2+('Old Data'!$X356-$O360)^2</f>
        <v>0.1529494787442281</v>
      </c>
      <c r="Q360" s="62"/>
      <c r="R360" s="3"/>
      <c r="S360" s="3"/>
      <c r="T360" s="3"/>
      <c r="V360" s="3"/>
      <c r="W360" s="3"/>
      <c r="X360" s="3"/>
      <c r="Z360" s="3"/>
      <c r="AA360" s="3"/>
      <c r="AB360" s="3"/>
      <c r="AC360" s="3"/>
      <c r="AD360" s="3"/>
      <c r="AE360" s="3"/>
      <c r="AF360" s="3"/>
      <c r="AG360" s="3"/>
      <c r="AH360" s="37"/>
      <c r="AI360" s="1"/>
      <c r="AK360" s="10"/>
      <c r="AL360" s="10"/>
      <c r="AM360" s="10"/>
      <c r="AN360" s="11"/>
      <c r="AO360" s="11"/>
      <c r="AP360" s="11"/>
      <c r="AQ360" s="36"/>
      <c r="AR360" s="11"/>
      <c r="AS360" s="11"/>
      <c r="AT360" s="11"/>
      <c r="AU360" s="12"/>
      <c r="AV360" s="11"/>
      <c r="AW360" s="11"/>
      <c r="AX360" s="15"/>
      <c r="AY360" s="15"/>
      <c r="AZ360" s="15"/>
      <c r="BA360" s="15"/>
      <c r="BB360" s="15"/>
      <c r="BC360" s="15"/>
      <c r="BD360" s="15"/>
      <c r="BE360" s="12"/>
      <c r="BF360" s="11"/>
      <c r="BG360" s="11"/>
      <c r="BH360" s="10"/>
      <c r="BI360" s="10"/>
      <c r="BJ360" s="10"/>
      <c r="BK360" s="23"/>
      <c r="BL360" s="23"/>
      <c r="BM360" s="23"/>
      <c r="BN360" s="23"/>
      <c r="BO360" s="23"/>
      <c r="BP360" s="23"/>
      <c r="BQ360" s="23"/>
      <c r="BR360" s="10"/>
      <c r="BS360" s="16"/>
      <c r="BT360" s="16"/>
      <c r="BU360" s="16"/>
      <c r="BV360" s="16"/>
      <c r="BW360" s="11"/>
      <c r="BX360" s="16"/>
      <c r="BY360" s="16"/>
      <c r="BZ360" s="17"/>
      <c r="CA360" s="18"/>
      <c r="CB360" s="18"/>
      <c r="CC360" s="18"/>
      <c r="CD360" s="18"/>
      <c r="CE360" s="18"/>
      <c r="CF360" s="18"/>
      <c r="CG360" s="19"/>
      <c r="CH360" s="15"/>
      <c r="CI360" s="17"/>
      <c r="CJ360" s="10"/>
      <c r="CK360" s="10"/>
      <c r="CL360" s="10"/>
      <c r="CM360" s="17"/>
      <c r="CN360" s="17"/>
      <c r="CO360" s="10"/>
      <c r="CP360" s="10"/>
      <c r="CQ360" s="10"/>
      <c r="CR360" s="10"/>
      <c r="CS360" s="10"/>
      <c r="CT360" s="10"/>
      <c r="CU360" s="10"/>
      <c r="CV360" s="10"/>
      <c r="CW360" s="10"/>
      <c r="CX360" s="10"/>
      <c r="CY360" s="10"/>
      <c r="CZ360" s="10"/>
      <c r="DA360" s="34"/>
      <c r="DB360" s="34"/>
      <c r="DC360" s="34"/>
      <c r="DD360" s="34"/>
      <c r="DE360" s="34"/>
      <c r="DF360" s="34"/>
      <c r="DG360" s="34"/>
      <c r="DH360" s="34"/>
      <c r="DI360" s="34"/>
      <c r="DJ360" s="34"/>
      <c r="DK360" s="34"/>
      <c r="DL360" s="34"/>
      <c r="DM360" s="34"/>
      <c r="DN360" s="34"/>
      <c r="DO360" s="34"/>
      <c r="DP360" s="34"/>
      <c r="DQ360" s="34"/>
      <c r="DR360" s="34"/>
      <c r="DS360" s="34"/>
      <c r="DT360" s="34"/>
      <c r="DU360" s="34"/>
      <c r="DV360" s="34"/>
      <c r="DW360" s="34"/>
      <c r="DX360" s="34"/>
      <c r="DY360" s="34"/>
      <c r="DZ360" s="34"/>
      <c r="EA360" s="34"/>
      <c r="EB360" s="34"/>
      <c r="EC360" s="34"/>
      <c r="ED360" s="34"/>
      <c r="EE360" s="34"/>
    </row>
    <row r="361" spans="1:135" customFormat="1">
      <c r="A361" s="71">
        <f>'Old Data'!$I357-'Old Data'!$S357</f>
        <v>-116</v>
      </c>
      <c r="B361" s="72">
        <f>VLOOKUP('Old Data'!$F357,$R$6:$T$135,2,FALSE)+VLOOKUP('Old Data'!$P357,$R$6:$T$135,3,FALSE)+$B$2</f>
        <v>168.11791116658139</v>
      </c>
      <c r="C361" s="72">
        <f>VLOOKUP('Old Data'!$P357,$R$6:$T$135,2,FALSE)+VLOOKUP('Old Data'!$F357,$R$6:$T$135,3,FALSE)+$B$2</f>
        <v>170.47233572927809</v>
      </c>
      <c r="D361" s="74">
        <f>('Old Data'!$I357-$B361)^2+('Old Data'!$S357-$C361)^2</f>
        <v>6458.6521101452154</v>
      </c>
      <c r="E361" s="75">
        <f>'Old Data'!$K357-'Old Data'!$U357</f>
        <v>34</v>
      </c>
      <c r="F361" s="72">
        <f>VLOOKUP('Old Data'!$F357,$V$6:$X$135,2,FALSE)+VLOOKUP('Old Data'!$P357,$V$6:$X$135,3,FALSE)+$C$2</f>
        <v>108.5677800153814</v>
      </c>
      <c r="G361" s="72">
        <f>VLOOKUP('Old Data'!$P357,$V$6:$X$135,2,FALSE)+VLOOKUP('Old Data'!$F357,$V$6:$X$135,3,FALSE)+$C$2</f>
        <v>161.4204634679968</v>
      </c>
      <c r="H361" s="74">
        <f>('Old Data'!$K357-$F361)^2+('Old Data'!$U357-$G361)^2</f>
        <v>4572.1646412328191</v>
      </c>
      <c r="I361" s="75">
        <f>('Old Data'!$L357+'Old Data'!$M357)-('Old Data'!$V357+'Old Data'!$W357)</f>
        <v>88</v>
      </c>
      <c r="J361" s="72">
        <f>VLOOKUP('Old Data'!$F357,$Z$6:$AB$135,2,FALSE)+VLOOKUP('Old Data'!$P357,$Z$6:$AB$135,3,FALSE)+$D$2</f>
        <v>86.16853419413755</v>
      </c>
      <c r="K361" s="72">
        <f>VLOOKUP('Old Data'!$P357,$Z$6:$AB$135,2,FALSE)+VLOOKUP('Old Data'!$F357,$Z$6:$AB$135,3,FALSE)+$D$2</f>
        <v>68.908662963048243</v>
      </c>
      <c r="L361" s="74">
        <f>('Old Data'!$L357+'Old Data'!$M357-$J361)^2+('Old Data'!$V357+'Old Data'!$W357-$K361)^2</f>
        <v>3049.1333950087032</v>
      </c>
      <c r="M361" s="75">
        <f>'Old Data'!$N357-'Old Data'!$X357</f>
        <v>0</v>
      </c>
      <c r="N361" s="72">
        <f>VLOOKUP('Old Data'!$F357,$AD$6:$AF$135,2,FALSE)+VLOOKUP('Old Data'!$P357,$AD$6:$AF$135,3,FALSE)+$E$2</f>
        <v>1.3627524448779811</v>
      </c>
      <c r="O361" s="72">
        <f>VLOOKUP('Old Data'!$P357,$AD$6:$AF$135,2,FALSE)+VLOOKUP('Old Data'!$F357,$AD$6:$AF$135,3,FALSE)+$E$2</f>
        <v>1.291987526394315</v>
      </c>
      <c r="P361" s="73">
        <f>('Old Data'!$N357-$N361)^2+('Old Data'!$X357-$O361)^2</f>
        <v>3.5263259943794161</v>
      </c>
      <c r="Q361" s="62"/>
      <c r="R361" s="3"/>
      <c r="S361" s="3"/>
      <c r="T361" s="3"/>
      <c r="V361" s="3"/>
      <c r="W361" s="3"/>
      <c r="X361" s="3"/>
      <c r="Z361" s="3"/>
      <c r="AA361" s="3"/>
      <c r="AB361" s="3"/>
      <c r="AC361" s="3"/>
      <c r="AD361" s="3"/>
      <c r="AE361" s="3"/>
      <c r="AF361" s="3"/>
      <c r="AG361" s="3"/>
      <c r="AH361" s="37"/>
      <c r="AI361" s="1"/>
      <c r="AK361" s="10"/>
      <c r="AL361" s="10"/>
      <c r="AM361" s="10"/>
      <c r="AN361" s="11"/>
      <c r="AO361" s="11"/>
      <c r="AP361" s="11"/>
      <c r="AQ361" s="36"/>
      <c r="AR361" s="11"/>
      <c r="AS361" s="11"/>
      <c r="AT361" s="11"/>
      <c r="AU361" s="12"/>
      <c r="AV361" s="11"/>
      <c r="AW361" s="11"/>
      <c r="AX361" s="15"/>
      <c r="AY361" s="15"/>
      <c r="AZ361" s="15"/>
      <c r="BA361" s="15"/>
      <c r="BB361" s="15"/>
      <c r="BC361" s="15"/>
      <c r="BD361" s="15"/>
      <c r="BE361" s="12"/>
      <c r="BF361" s="11"/>
      <c r="BG361" s="11"/>
      <c r="BH361" s="10"/>
      <c r="BI361" s="10"/>
      <c r="BJ361" s="10"/>
      <c r="BK361" s="23"/>
      <c r="BL361" s="23"/>
      <c r="BM361" s="23"/>
      <c r="BN361" s="23"/>
      <c r="BO361" s="23"/>
      <c r="BP361" s="23"/>
      <c r="BQ361" s="23"/>
      <c r="BR361" s="10"/>
      <c r="BS361" s="16"/>
      <c r="BT361" s="16"/>
      <c r="BU361" s="16"/>
      <c r="BV361" s="16"/>
      <c r="BW361" s="11"/>
      <c r="BX361" s="16"/>
      <c r="BY361" s="16"/>
      <c r="BZ361" s="17"/>
      <c r="CA361" s="18"/>
      <c r="CB361" s="18"/>
      <c r="CC361" s="18"/>
      <c r="CD361" s="18"/>
      <c r="CE361" s="18"/>
      <c r="CF361" s="18"/>
      <c r="CG361" s="19"/>
      <c r="CH361" s="15"/>
      <c r="CI361" s="17"/>
      <c r="CJ361" s="10"/>
      <c r="CK361" s="10"/>
      <c r="CL361" s="10"/>
      <c r="CM361" s="17"/>
      <c r="CN361" s="17"/>
      <c r="CO361" s="10"/>
      <c r="CP361" s="10"/>
      <c r="CQ361" s="10"/>
      <c r="CR361" s="10"/>
      <c r="CS361" s="10"/>
      <c r="CT361" s="10"/>
      <c r="CU361" s="10"/>
      <c r="CV361" s="10"/>
      <c r="CW361" s="10"/>
      <c r="CX361" s="10"/>
      <c r="CY361" s="10"/>
      <c r="CZ361" s="10"/>
      <c r="DA361" s="34"/>
      <c r="DB361" s="34"/>
      <c r="DC361" s="34"/>
      <c r="DD361" s="34"/>
      <c r="DE361" s="34"/>
      <c r="DF361" s="34"/>
      <c r="DG361" s="34"/>
      <c r="DH361" s="34"/>
      <c r="DI361" s="34"/>
      <c r="DJ361" s="34"/>
      <c r="DK361" s="34"/>
      <c r="DL361" s="34"/>
      <c r="DM361" s="34"/>
      <c r="DN361" s="34"/>
      <c r="DO361" s="34"/>
      <c r="DP361" s="34"/>
      <c r="DQ361" s="34"/>
      <c r="DR361" s="34"/>
      <c r="DS361" s="34"/>
      <c r="DT361" s="34"/>
      <c r="DU361" s="34"/>
      <c r="DV361" s="34"/>
      <c r="DW361" s="34"/>
      <c r="DX361" s="34"/>
      <c r="DY361" s="34"/>
      <c r="DZ361" s="34"/>
      <c r="EA361" s="34"/>
      <c r="EB361" s="34"/>
      <c r="EC361" s="34"/>
      <c r="ED361" s="34"/>
      <c r="EE361" s="34"/>
    </row>
    <row r="362" spans="1:135" customFormat="1">
      <c r="A362" s="71">
        <f>'Old Data'!$I358-'Old Data'!$S358</f>
        <v>-142</v>
      </c>
      <c r="B362" s="72">
        <f>VLOOKUP('Old Data'!$F358,$R$6:$T$135,2,FALSE)+VLOOKUP('Old Data'!$P358,$R$6:$T$135,3,FALSE)+$B$2</f>
        <v>140.60401075842452</v>
      </c>
      <c r="C362" s="72">
        <f>VLOOKUP('Old Data'!$P358,$R$6:$T$135,2,FALSE)+VLOOKUP('Old Data'!$F358,$R$6:$T$135,3,FALSE)+$B$2</f>
        <v>279.04376261534031</v>
      </c>
      <c r="D362" s="74">
        <f>('Old Data'!$I358-$B362)^2+('Old Data'!$S358-$C362)^2</f>
        <v>596.37542051027742</v>
      </c>
      <c r="E362" s="75">
        <f>'Old Data'!$K358-'Old Data'!$U358</f>
        <v>-146</v>
      </c>
      <c r="F362" s="72">
        <f>VLOOKUP('Old Data'!$F358,$V$6:$X$135,2,FALSE)+VLOOKUP('Old Data'!$P358,$V$6:$X$135,3,FALSE)+$C$2</f>
        <v>171.82566284233741</v>
      </c>
      <c r="G362" s="72">
        <f>VLOOKUP('Old Data'!$P358,$V$6:$X$135,2,FALSE)+VLOOKUP('Old Data'!$F358,$V$6:$X$135,3,FALSE)+$C$2</f>
        <v>310.07726907797337</v>
      </c>
      <c r="H362" s="74">
        <f>('Old Data'!$K358-$F362)^2+('Old Data'!$U358-$G362)^2</f>
        <v>7460.1812083477798</v>
      </c>
      <c r="I362" s="75">
        <f>('Old Data'!$L358+'Old Data'!$M358)-('Old Data'!$V358+'Old Data'!$W358)</f>
        <v>-33</v>
      </c>
      <c r="J362" s="72">
        <f>VLOOKUP('Old Data'!$F358,$Z$6:$AB$135,2,FALSE)+VLOOKUP('Old Data'!$P358,$Z$6:$AB$135,3,FALSE)+$D$2</f>
        <v>78.376471845863094</v>
      </c>
      <c r="K362" s="72">
        <f>VLOOKUP('Old Data'!$P358,$Z$6:$AB$135,2,FALSE)+VLOOKUP('Old Data'!$F358,$Z$6:$AB$135,3,FALSE)+$D$2</f>
        <v>81.84127909673029</v>
      </c>
      <c r="L362" s="74">
        <f>('Old Data'!$L358+'Old Data'!$M358-$J362)^2+('Old Data'!$V358+'Old Data'!$W358-$K362)^2</f>
        <v>1747.7928111729761</v>
      </c>
      <c r="M362" s="75">
        <f>'Old Data'!$N358-'Old Data'!$X358</f>
        <v>-1</v>
      </c>
      <c r="N362" s="72">
        <f>VLOOKUP('Old Data'!$F358,$AD$6:$AF$135,2,FALSE)+VLOOKUP('Old Data'!$P358,$AD$6:$AF$135,3,FALSE)+$E$2</f>
        <v>1.2344326966673131</v>
      </c>
      <c r="O362" s="72">
        <f>VLOOKUP('Old Data'!$P358,$AD$6:$AF$135,2,FALSE)+VLOOKUP('Old Data'!$F358,$AD$6:$AF$135,3,FALSE)+$E$2</f>
        <v>2.0485658793549519</v>
      </c>
      <c r="P362" s="73">
        <f>('Old Data'!$N358-$N362)^2+('Old Data'!$X358-$O362)^2</f>
        <v>1.4913201818596979</v>
      </c>
      <c r="Q362" s="62"/>
      <c r="R362" s="3"/>
      <c r="S362" s="3"/>
      <c r="T362" s="3"/>
      <c r="V362" s="3"/>
      <c r="W362" s="3"/>
      <c r="X362" s="3"/>
      <c r="Z362" s="3"/>
      <c r="AA362" s="3"/>
      <c r="AB362" s="3"/>
      <c r="AC362" s="3"/>
      <c r="AD362" s="3"/>
      <c r="AE362" s="3"/>
      <c r="AF362" s="3"/>
      <c r="AG362" s="3"/>
      <c r="AH362" s="37"/>
      <c r="AI362" s="1"/>
      <c r="AK362" s="10"/>
      <c r="AL362" s="10"/>
      <c r="AM362" s="10"/>
      <c r="AN362" s="11"/>
      <c r="AO362" s="11"/>
      <c r="AP362" s="11"/>
      <c r="AQ362" s="36"/>
      <c r="AR362" s="11"/>
      <c r="AS362" s="11"/>
      <c r="AT362" s="11"/>
      <c r="AU362" s="12"/>
      <c r="AV362" s="11"/>
      <c r="AW362" s="11"/>
      <c r="AX362" s="15"/>
      <c r="AY362" s="15"/>
      <c r="AZ362" s="15"/>
      <c r="BA362" s="15"/>
      <c r="BB362" s="15"/>
      <c r="BC362" s="15"/>
      <c r="BD362" s="15"/>
      <c r="BE362" s="12"/>
      <c r="BF362" s="11"/>
      <c r="BG362" s="11"/>
      <c r="BH362" s="10"/>
      <c r="BI362" s="10"/>
      <c r="BJ362" s="10"/>
      <c r="BK362" s="23"/>
      <c r="BL362" s="23"/>
      <c r="BM362" s="23"/>
      <c r="BN362" s="23"/>
      <c r="BO362" s="23"/>
      <c r="BP362" s="23"/>
      <c r="BQ362" s="23"/>
      <c r="BR362" s="10"/>
      <c r="BS362" s="16"/>
      <c r="BT362" s="16"/>
      <c r="BU362" s="16"/>
      <c r="BV362" s="16"/>
      <c r="BW362" s="11"/>
      <c r="BX362" s="16"/>
      <c r="BY362" s="16"/>
      <c r="BZ362" s="17"/>
      <c r="CA362" s="18"/>
      <c r="CB362" s="18"/>
      <c r="CC362" s="18"/>
      <c r="CD362" s="18"/>
      <c r="CE362" s="18"/>
      <c r="CF362" s="18"/>
      <c r="CG362" s="19"/>
      <c r="CH362" s="15"/>
      <c r="CI362" s="17"/>
      <c r="CJ362" s="10"/>
      <c r="CK362" s="10"/>
      <c r="CL362" s="10"/>
      <c r="CM362" s="17"/>
      <c r="CN362" s="17"/>
      <c r="CO362" s="10"/>
      <c r="CP362" s="10"/>
      <c r="CQ362" s="10"/>
      <c r="CR362" s="10"/>
      <c r="CS362" s="10"/>
      <c r="CT362" s="10"/>
      <c r="CU362" s="10"/>
      <c r="CV362" s="10"/>
      <c r="CW362" s="10"/>
      <c r="CX362" s="10"/>
      <c r="CY362" s="10"/>
      <c r="CZ362" s="10"/>
      <c r="DA362" s="34"/>
      <c r="DB362" s="34"/>
      <c r="DC362" s="34"/>
      <c r="DD362" s="34"/>
      <c r="DE362" s="34"/>
      <c r="DF362" s="34"/>
      <c r="DG362" s="34"/>
      <c r="DH362" s="34"/>
      <c r="DI362" s="34"/>
      <c r="DJ362" s="34"/>
      <c r="DK362" s="34"/>
      <c r="DL362" s="34"/>
      <c r="DM362" s="34"/>
      <c r="DN362" s="34"/>
      <c r="DO362" s="34"/>
      <c r="DP362" s="34"/>
      <c r="DQ362" s="34"/>
      <c r="DR362" s="34"/>
      <c r="DS362" s="34"/>
      <c r="DT362" s="34"/>
      <c r="DU362" s="34"/>
      <c r="DV362" s="34"/>
      <c r="DW362" s="34"/>
      <c r="DX362" s="34"/>
      <c r="DY362" s="34"/>
      <c r="DZ362" s="34"/>
      <c r="EA362" s="34"/>
      <c r="EB362" s="34"/>
      <c r="EC362" s="34"/>
      <c r="ED362" s="34"/>
      <c r="EE362" s="34"/>
    </row>
    <row r="363" spans="1:135" customFormat="1">
      <c r="A363" s="71">
        <f>'Old Data'!$I359-'Old Data'!$S359</f>
        <v>41</v>
      </c>
      <c r="B363" s="72">
        <f>VLOOKUP('Old Data'!$F359,$R$6:$T$135,2,FALSE)+VLOOKUP('Old Data'!$P359,$R$6:$T$135,3,FALSE)+$B$2</f>
        <v>101.12197621666351</v>
      </c>
      <c r="C363" s="72">
        <f>VLOOKUP('Old Data'!$P359,$R$6:$T$135,2,FALSE)+VLOOKUP('Old Data'!$F359,$R$6:$T$135,3,FALSE)+$B$2</f>
        <v>120.21859511653344</v>
      </c>
      <c r="D363" s="74">
        <f>('Old Data'!$I359-$B363)^2+('Old Data'!$S359-$C363)^2</f>
        <v>2592.2369426867212</v>
      </c>
      <c r="E363" s="75">
        <f>'Old Data'!$K359-'Old Data'!$U359</f>
        <v>-2</v>
      </c>
      <c r="F363" s="72">
        <f>VLOOKUP('Old Data'!$F359,$V$6:$X$135,2,FALSE)+VLOOKUP('Old Data'!$P359,$V$6:$X$135,3,FALSE)+$C$2</f>
        <v>275.2335740661502</v>
      </c>
      <c r="G363" s="72">
        <f>VLOOKUP('Old Data'!$P359,$V$6:$X$135,2,FALSE)+VLOOKUP('Old Data'!$F359,$V$6:$X$135,3,FALSE)+$C$2</f>
        <v>314.14316649847262</v>
      </c>
      <c r="H363" s="74">
        <f>('Old Data'!$K359-$F363)^2+('Old Data'!$U359-$G363)^2</f>
        <v>2641.9953179153549</v>
      </c>
      <c r="I363" s="75">
        <f>('Old Data'!$L359+'Old Data'!$M359)-('Old Data'!$V359+'Old Data'!$W359)</f>
        <v>-96</v>
      </c>
      <c r="J363" s="72">
        <f>VLOOKUP('Old Data'!$F359,$Z$6:$AB$135,2,FALSE)+VLOOKUP('Old Data'!$P359,$Z$6:$AB$135,3,FALSE)+$D$2</f>
        <v>75.018308023837832</v>
      </c>
      <c r="K363" s="72">
        <f>VLOOKUP('Old Data'!$P359,$Z$6:$AB$135,2,FALSE)+VLOOKUP('Old Data'!$F359,$Z$6:$AB$135,3,FALSE)+$D$2</f>
        <v>99.757959283392523</v>
      </c>
      <c r="L363" s="74">
        <f>('Old Data'!$L359+'Old Data'!$M359-$J363)^2+('Old Data'!$V359+'Old Data'!$W359-$K363)^2</f>
        <v>3850.9540467951015</v>
      </c>
      <c r="M363" s="75">
        <f>'Old Data'!$N359-'Old Data'!$X359</f>
        <v>2</v>
      </c>
      <c r="N363" s="72">
        <f>VLOOKUP('Old Data'!$F359,$AD$6:$AF$135,2,FALSE)+VLOOKUP('Old Data'!$P359,$AD$6:$AF$135,3,FALSE)+$E$2</f>
        <v>2.1758147383713662</v>
      </c>
      <c r="O363" s="72">
        <f>VLOOKUP('Old Data'!$P359,$AD$6:$AF$135,2,FALSE)+VLOOKUP('Old Data'!$F359,$AD$6:$AF$135,3,FALSE)+$E$2</f>
        <v>1.483949694823075</v>
      </c>
      <c r="P363" s="73">
        <f>('Old Data'!$N359-$N363)^2+('Old Data'!$X359-$O363)^2</f>
        <v>3.5939597862163244</v>
      </c>
      <c r="Q363" s="62"/>
      <c r="R363" s="3"/>
      <c r="S363" s="3"/>
      <c r="T363" s="3"/>
      <c r="V363" s="3"/>
      <c r="W363" s="3"/>
      <c r="X363" s="3"/>
      <c r="Z363" s="3"/>
      <c r="AA363" s="3"/>
      <c r="AB363" s="3"/>
      <c r="AC363" s="3"/>
      <c r="AD363" s="3"/>
      <c r="AE363" s="3"/>
      <c r="AF363" s="3"/>
      <c r="AG363" s="3"/>
      <c r="AH363" s="37"/>
      <c r="AI363" s="1"/>
      <c r="AK363" s="10"/>
      <c r="AL363" s="10"/>
      <c r="AM363" s="10"/>
      <c r="AN363" s="11"/>
      <c r="AO363" s="11"/>
      <c r="AP363" s="11"/>
      <c r="AQ363" s="36"/>
      <c r="AR363" s="11"/>
      <c r="AS363" s="11"/>
      <c r="AT363" s="11"/>
      <c r="AU363" s="12"/>
      <c r="AV363" s="11"/>
      <c r="AW363" s="11"/>
      <c r="AX363" s="15"/>
      <c r="AY363" s="15"/>
      <c r="AZ363" s="15"/>
      <c r="BA363" s="15"/>
      <c r="BB363" s="15"/>
      <c r="BC363" s="15"/>
      <c r="BD363" s="15"/>
      <c r="BE363" s="12"/>
      <c r="BF363" s="11"/>
      <c r="BG363" s="11"/>
      <c r="BH363" s="10"/>
      <c r="BI363" s="10"/>
      <c r="BJ363" s="10"/>
      <c r="BK363" s="23"/>
      <c r="BL363" s="23"/>
      <c r="BM363" s="23"/>
      <c r="BN363" s="23"/>
      <c r="BO363" s="23"/>
      <c r="BP363" s="23"/>
      <c r="BQ363" s="23"/>
      <c r="BR363" s="10"/>
      <c r="BS363" s="16"/>
      <c r="BT363" s="16"/>
      <c r="BU363" s="16"/>
      <c r="BV363" s="16"/>
      <c r="BW363" s="11"/>
      <c r="BX363" s="16"/>
      <c r="BY363" s="16"/>
      <c r="BZ363" s="17"/>
      <c r="CA363" s="18"/>
      <c r="CB363" s="18"/>
      <c r="CC363" s="18"/>
      <c r="CD363" s="18"/>
      <c r="CE363" s="18"/>
      <c r="CF363" s="18"/>
      <c r="CG363" s="19"/>
      <c r="CH363" s="15"/>
      <c r="CI363" s="17"/>
      <c r="CJ363" s="10"/>
      <c r="CK363" s="10"/>
      <c r="CL363" s="10"/>
      <c r="CM363" s="17"/>
      <c r="CN363" s="17"/>
      <c r="CO363" s="10"/>
      <c r="CP363" s="10"/>
      <c r="CQ363" s="10"/>
      <c r="CR363" s="10"/>
      <c r="CS363" s="10"/>
      <c r="CT363" s="10"/>
      <c r="CU363" s="10"/>
      <c r="CV363" s="10"/>
      <c r="CW363" s="10"/>
      <c r="CX363" s="10"/>
      <c r="CY363" s="10"/>
      <c r="CZ363" s="10"/>
      <c r="DA363" s="34"/>
      <c r="DB363" s="34"/>
      <c r="DC363" s="34"/>
      <c r="DD363" s="34"/>
      <c r="DE363" s="34"/>
      <c r="DF363" s="34"/>
      <c r="DG363" s="34"/>
      <c r="DH363" s="34"/>
      <c r="DI363" s="34"/>
      <c r="DJ363" s="34"/>
      <c r="DK363" s="34"/>
      <c r="DL363" s="34"/>
      <c r="DM363" s="34"/>
      <c r="DN363" s="34"/>
      <c r="DO363" s="34"/>
      <c r="DP363" s="34"/>
      <c r="DQ363" s="34"/>
      <c r="DR363" s="34"/>
      <c r="DS363" s="34"/>
      <c r="DT363" s="34"/>
      <c r="DU363" s="34"/>
      <c r="DV363" s="34"/>
      <c r="DW363" s="34"/>
      <c r="DX363" s="34"/>
      <c r="DY363" s="34"/>
      <c r="DZ363" s="34"/>
      <c r="EA363" s="34"/>
      <c r="EB363" s="34"/>
      <c r="EC363" s="34"/>
      <c r="ED363" s="34"/>
      <c r="EE363" s="34"/>
    </row>
    <row r="364" spans="1:135" customFormat="1">
      <c r="A364" s="71">
        <f>'Old Data'!$I360-'Old Data'!$S360</f>
        <v>-16</v>
      </c>
      <c r="B364" s="72">
        <f>VLOOKUP('Old Data'!$F360,$R$6:$T$135,2,FALSE)+VLOOKUP('Old Data'!$P360,$R$6:$T$135,3,FALSE)+$B$2</f>
        <v>147.8510962125109</v>
      </c>
      <c r="C364" s="72">
        <f>VLOOKUP('Old Data'!$P360,$R$6:$T$135,2,FALSE)+VLOOKUP('Old Data'!$F360,$R$6:$T$135,3,FALSE)+$B$2</f>
        <v>166.78911231644321</v>
      </c>
      <c r="D364" s="74">
        <f>('Old Data'!$I360-$B364)^2+('Old Data'!$S360-$C364)^2</f>
        <v>1125.7908934039585</v>
      </c>
      <c r="E364" s="75">
        <f>'Old Data'!$K360-'Old Data'!$U360</f>
        <v>-124</v>
      </c>
      <c r="F364" s="72">
        <f>VLOOKUP('Old Data'!$F360,$V$6:$X$135,2,FALSE)+VLOOKUP('Old Data'!$P360,$V$6:$X$135,3,FALSE)+$C$2</f>
        <v>171.79917567018086</v>
      </c>
      <c r="G364" s="72">
        <f>VLOOKUP('Old Data'!$P360,$V$6:$X$135,2,FALSE)+VLOOKUP('Old Data'!$F360,$V$6:$X$135,3,FALSE)+$C$2</f>
        <v>337.3276136793225</v>
      </c>
      <c r="H364" s="74">
        <f>('Old Data'!$K360-$F364)^2+('Old Data'!$U360-$G364)^2</f>
        <v>1470.3759922765164</v>
      </c>
      <c r="I364" s="75">
        <f>('Old Data'!$L360+'Old Data'!$M360)-('Old Data'!$V360+'Old Data'!$W360)</f>
        <v>-33</v>
      </c>
      <c r="J364" s="72">
        <f>VLOOKUP('Old Data'!$F360,$Z$6:$AB$135,2,FALSE)+VLOOKUP('Old Data'!$P360,$Z$6:$AB$135,3,FALSE)+$D$2</f>
        <v>91.107996431690893</v>
      </c>
      <c r="K364" s="72">
        <f>VLOOKUP('Old Data'!$P360,$Z$6:$AB$135,2,FALSE)+VLOOKUP('Old Data'!$F360,$Z$6:$AB$135,3,FALSE)+$D$2</f>
        <v>85.303384189144666</v>
      </c>
      <c r="L364" s="74">
        <f>('Old Data'!$L360+'Old Data'!$M360-$J364)^2+('Old Data'!$V360+'Old Data'!$W360-$K364)^2</f>
        <v>808.95839582559267</v>
      </c>
      <c r="M364" s="75">
        <f>'Old Data'!$N360-'Old Data'!$X360</f>
        <v>-1</v>
      </c>
      <c r="N364" s="72">
        <f>VLOOKUP('Old Data'!$F360,$AD$6:$AF$135,2,FALSE)+VLOOKUP('Old Data'!$P360,$AD$6:$AF$135,3,FALSE)+$E$2</f>
        <v>1.1566900338514143</v>
      </c>
      <c r="O364" s="72">
        <f>VLOOKUP('Old Data'!$P360,$AD$6:$AF$135,2,FALSE)+VLOOKUP('Old Data'!$F360,$AD$6:$AF$135,3,FALSE)+$E$2</f>
        <v>1.6275136646126582</v>
      </c>
      <c r="P364" s="73">
        <f>('Old Data'!$N360-$N364)^2+('Old Data'!$X360-$O364)^2</f>
        <v>0.16329783675864865</v>
      </c>
      <c r="Q364" s="62"/>
      <c r="R364" s="3"/>
      <c r="S364" s="3"/>
      <c r="T364" s="3"/>
      <c r="V364" s="3"/>
      <c r="W364" s="3"/>
      <c r="X364" s="3"/>
      <c r="Z364" s="3"/>
      <c r="AA364" s="3"/>
      <c r="AB364" s="3"/>
      <c r="AC364" s="3"/>
      <c r="AD364" s="3"/>
      <c r="AE364" s="3"/>
      <c r="AF364" s="3"/>
      <c r="AG364" s="3"/>
      <c r="AH364" s="37"/>
      <c r="AI364" s="1"/>
      <c r="AK364" s="10"/>
      <c r="AL364" s="10"/>
      <c r="AM364" s="10"/>
      <c r="AN364" s="11"/>
      <c r="AO364" s="11"/>
      <c r="AP364" s="11"/>
      <c r="AQ364" s="36"/>
      <c r="AR364" s="11"/>
      <c r="AS364" s="11"/>
      <c r="AT364" s="11"/>
      <c r="AU364" s="12"/>
      <c r="AV364" s="11"/>
      <c r="AW364" s="11"/>
      <c r="AX364" s="15"/>
      <c r="AY364" s="15"/>
      <c r="AZ364" s="15"/>
      <c r="BA364" s="15"/>
      <c r="BB364" s="15"/>
      <c r="BC364" s="15"/>
      <c r="BD364" s="15"/>
      <c r="BE364" s="12"/>
      <c r="BF364" s="11"/>
      <c r="BG364" s="11"/>
      <c r="BH364" s="10"/>
      <c r="BI364" s="10"/>
      <c r="BJ364" s="10"/>
      <c r="BK364" s="23"/>
      <c r="BL364" s="23"/>
      <c r="BM364" s="23"/>
      <c r="BN364" s="23"/>
      <c r="BO364" s="23"/>
      <c r="BP364" s="23"/>
      <c r="BQ364" s="23"/>
      <c r="BR364" s="10"/>
      <c r="BS364" s="16"/>
      <c r="BT364" s="16"/>
      <c r="BU364" s="16"/>
      <c r="BV364" s="16"/>
      <c r="BW364" s="11"/>
      <c r="BX364" s="16"/>
      <c r="BY364" s="16"/>
      <c r="BZ364" s="17"/>
      <c r="CA364" s="18"/>
      <c r="CB364" s="18"/>
      <c r="CC364" s="18"/>
      <c r="CD364" s="18"/>
      <c r="CE364" s="18"/>
      <c r="CF364" s="18"/>
      <c r="CG364" s="19"/>
      <c r="CH364" s="15"/>
      <c r="CI364" s="17"/>
      <c r="CJ364" s="10"/>
      <c r="CK364" s="10"/>
      <c r="CL364" s="10"/>
      <c r="CM364" s="17"/>
      <c r="CN364" s="17"/>
      <c r="CO364" s="10"/>
      <c r="CP364" s="10"/>
      <c r="CQ364" s="10"/>
      <c r="CR364" s="10"/>
      <c r="CS364" s="10"/>
      <c r="CT364" s="10"/>
      <c r="CU364" s="10"/>
      <c r="CV364" s="10"/>
      <c r="CW364" s="10"/>
      <c r="CX364" s="10"/>
      <c r="CY364" s="10"/>
      <c r="CZ364" s="10"/>
      <c r="DA364" s="34"/>
      <c r="DB364" s="34"/>
      <c r="DC364" s="34"/>
      <c r="DD364" s="34"/>
      <c r="DE364" s="34"/>
      <c r="DF364" s="34"/>
      <c r="DG364" s="34"/>
      <c r="DH364" s="34"/>
      <c r="DI364" s="34"/>
      <c r="DJ364" s="34"/>
      <c r="DK364" s="34"/>
      <c r="DL364" s="34"/>
      <c r="DM364" s="34"/>
      <c r="DN364" s="34"/>
      <c r="DO364" s="34"/>
      <c r="DP364" s="34"/>
      <c r="DQ364" s="34"/>
      <c r="DR364" s="34"/>
      <c r="DS364" s="34"/>
      <c r="DT364" s="34"/>
      <c r="DU364" s="34"/>
      <c r="DV364" s="34"/>
      <c r="DW364" s="34"/>
      <c r="DX364" s="34"/>
      <c r="DY364" s="34"/>
      <c r="DZ364" s="34"/>
      <c r="EA364" s="34"/>
      <c r="EB364" s="34"/>
      <c r="EC364" s="34"/>
      <c r="ED364" s="34"/>
      <c r="EE364" s="34"/>
    </row>
    <row r="365" spans="1:135" customFormat="1">
      <c r="A365" s="71">
        <f>'Old Data'!$I361-'Old Data'!$S361</f>
        <v>-34</v>
      </c>
      <c r="B365" s="72">
        <f>VLOOKUP('Old Data'!$F361,$R$6:$T$135,2,FALSE)+VLOOKUP('Old Data'!$P361,$R$6:$T$135,3,FALSE)+$B$2</f>
        <v>183.48652487812342</v>
      </c>
      <c r="C365" s="72">
        <f>VLOOKUP('Old Data'!$P361,$R$6:$T$135,2,FALSE)+VLOOKUP('Old Data'!$F361,$R$6:$T$135,3,FALSE)+$B$2</f>
        <v>233.05139248839149</v>
      </c>
      <c r="D365" s="74">
        <f>('Old Data'!$I361-$B365)^2+('Old Data'!$S361-$C365)^2</f>
        <v>12688.26817331854</v>
      </c>
      <c r="E365" s="75">
        <f>'Old Data'!$K361-'Old Data'!$U361</f>
        <v>171</v>
      </c>
      <c r="F365" s="72">
        <f>VLOOKUP('Old Data'!$F361,$V$6:$X$135,2,FALSE)+VLOOKUP('Old Data'!$P361,$V$6:$X$135,3,FALSE)+$C$2</f>
        <v>290.98284382776626</v>
      </c>
      <c r="G365" s="72">
        <f>VLOOKUP('Old Data'!$P361,$V$6:$X$135,2,FALSE)+VLOOKUP('Old Data'!$F361,$V$6:$X$135,3,FALSE)+$C$2</f>
        <v>205.26496754705556</v>
      </c>
      <c r="H365" s="74">
        <f>('Old Data'!$K361-$F365)^2+('Old Data'!$U361-$G365)^2</f>
        <v>4824.9082609085599</v>
      </c>
      <c r="I365" s="75">
        <f>('Old Data'!$L361+'Old Data'!$M361)-('Old Data'!$V361+'Old Data'!$W361)</f>
        <v>71</v>
      </c>
      <c r="J365" s="72">
        <f>VLOOKUP('Old Data'!$F361,$Z$6:$AB$135,2,FALSE)+VLOOKUP('Old Data'!$P361,$Z$6:$AB$135,3,FALSE)+$D$2</f>
        <v>91.546221285230089</v>
      </c>
      <c r="K365" s="72">
        <f>VLOOKUP('Old Data'!$P361,$Z$6:$AB$135,2,FALSE)+VLOOKUP('Old Data'!$F361,$Z$6:$AB$135,3,FALSE)+$D$2</f>
        <v>76.134518996103566</v>
      </c>
      <c r="L365" s="74">
        <f>('Old Data'!$L361+'Old Data'!$M361-$J365)^2+('Old Data'!$V361+'Old Data'!$W361-$K365)^2</f>
        <v>1609.0922414856618</v>
      </c>
      <c r="M365" s="75">
        <f>'Old Data'!$N361-'Old Data'!$X361</f>
        <v>3</v>
      </c>
      <c r="N365" s="72">
        <f>VLOOKUP('Old Data'!$F361,$AD$6:$AF$135,2,FALSE)+VLOOKUP('Old Data'!$P361,$AD$6:$AF$135,3,FALSE)+$E$2</f>
        <v>1.4708737112312471</v>
      </c>
      <c r="O365" s="72">
        <f>VLOOKUP('Old Data'!$P361,$AD$6:$AF$135,2,FALSE)+VLOOKUP('Old Data'!$F361,$AD$6:$AF$135,3,FALSE)+$E$2</f>
        <v>0.95863717961430206</v>
      </c>
      <c r="P365" s="73">
        <f>('Old Data'!$N361-$N365)^2+('Old Data'!$X361-$O365)^2</f>
        <v>3.2572124491425631</v>
      </c>
      <c r="Q365" s="62"/>
      <c r="R365" s="3"/>
      <c r="S365" s="3"/>
      <c r="T365" s="3"/>
      <c r="V365" s="3"/>
      <c r="W365" s="3"/>
      <c r="X365" s="3"/>
      <c r="Z365" s="3"/>
      <c r="AA365" s="3"/>
      <c r="AB365" s="3"/>
      <c r="AC365" s="3"/>
      <c r="AD365" s="3"/>
      <c r="AE365" s="3"/>
      <c r="AF365" s="3"/>
      <c r="AG365" s="3"/>
      <c r="AH365" s="37"/>
      <c r="AI365" s="1"/>
      <c r="AK365" s="10"/>
      <c r="AL365" s="10"/>
      <c r="AM365" s="10"/>
      <c r="AN365" s="11"/>
      <c r="AO365" s="11"/>
      <c r="AP365" s="11"/>
      <c r="AQ365" s="36"/>
      <c r="AR365" s="11"/>
      <c r="AS365" s="11"/>
      <c r="AT365" s="11"/>
      <c r="AU365" s="12"/>
      <c r="AV365" s="11"/>
      <c r="AW365" s="11"/>
      <c r="AX365" s="15"/>
      <c r="AY365" s="15"/>
      <c r="AZ365" s="15"/>
      <c r="BA365" s="15"/>
      <c r="BB365" s="15"/>
      <c r="BC365" s="15"/>
      <c r="BD365" s="15"/>
      <c r="BE365" s="12"/>
      <c r="BF365" s="11"/>
      <c r="BG365" s="11"/>
      <c r="BH365" s="10"/>
      <c r="BI365" s="10"/>
      <c r="BJ365" s="10"/>
      <c r="BK365" s="23"/>
      <c r="BL365" s="23"/>
      <c r="BM365" s="23"/>
      <c r="BN365" s="23"/>
      <c r="BO365" s="23"/>
      <c r="BP365" s="23"/>
      <c r="BQ365" s="23"/>
      <c r="BR365" s="10"/>
      <c r="BS365" s="16"/>
      <c r="BT365" s="16"/>
      <c r="BU365" s="16"/>
      <c r="BV365" s="16"/>
      <c r="BW365" s="11"/>
      <c r="BX365" s="16"/>
      <c r="BY365" s="16"/>
      <c r="BZ365" s="17"/>
      <c r="CA365" s="18"/>
      <c r="CB365" s="18"/>
      <c r="CC365" s="18"/>
      <c r="CD365" s="18"/>
      <c r="CE365" s="18"/>
      <c r="CF365" s="18"/>
      <c r="CG365" s="19"/>
      <c r="CH365" s="15"/>
      <c r="CI365" s="17"/>
      <c r="CJ365" s="10"/>
      <c r="CK365" s="10"/>
      <c r="CL365" s="10"/>
      <c r="CM365" s="17"/>
      <c r="CN365" s="17"/>
      <c r="CO365" s="10"/>
      <c r="CP365" s="10"/>
      <c r="CQ365" s="10"/>
      <c r="CR365" s="10"/>
      <c r="CS365" s="10"/>
      <c r="CT365" s="10"/>
      <c r="CU365" s="10"/>
      <c r="CV365" s="10"/>
      <c r="CW365" s="10"/>
      <c r="CX365" s="10"/>
      <c r="CY365" s="10"/>
      <c r="CZ365" s="10"/>
      <c r="DA365" s="34"/>
      <c r="DB365" s="34"/>
      <c r="DC365" s="34"/>
      <c r="DD365" s="34"/>
      <c r="DE365" s="34"/>
      <c r="DF365" s="34"/>
      <c r="DG365" s="34"/>
      <c r="DH365" s="34"/>
      <c r="DI365" s="34"/>
      <c r="DJ365" s="34"/>
      <c r="DK365" s="34"/>
      <c r="DL365" s="34"/>
      <c r="DM365" s="34"/>
      <c r="DN365" s="34"/>
      <c r="DO365" s="34"/>
      <c r="DP365" s="34"/>
      <c r="DQ365" s="34"/>
      <c r="DR365" s="34"/>
      <c r="DS365" s="34"/>
      <c r="DT365" s="34"/>
      <c r="DU365" s="34"/>
      <c r="DV365" s="34"/>
      <c r="DW365" s="34"/>
      <c r="DX365" s="34"/>
      <c r="DY365" s="34"/>
      <c r="DZ365" s="34"/>
      <c r="EA365" s="34"/>
      <c r="EB365" s="34"/>
      <c r="EC365" s="34"/>
      <c r="ED365" s="34"/>
      <c r="EE365" s="34"/>
    </row>
    <row r="366" spans="1:135" customFormat="1">
      <c r="A366" s="71">
        <f>'Old Data'!$I362-'Old Data'!$S362</f>
        <v>-50</v>
      </c>
      <c r="B366" s="72">
        <f>VLOOKUP('Old Data'!$F362,$R$6:$T$135,2,FALSE)+VLOOKUP('Old Data'!$P362,$R$6:$T$135,3,FALSE)+$B$2</f>
        <v>162.60907286334401</v>
      </c>
      <c r="C366" s="72">
        <f>VLOOKUP('Old Data'!$P362,$R$6:$T$135,2,FALSE)+VLOOKUP('Old Data'!$F362,$R$6:$T$135,3,FALSE)+$B$2</f>
        <v>131.98668372176061</v>
      </c>
      <c r="D366" s="74">
        <f>('Old Data'!$I362-$B366)^2+('Old Data'!$S362-$C366)^2</f>
        <v>5658.4593174454767</v>
      </c>
      <c r="E366" s="75">
        <f>'Old Data'!$K362-'Old Data'!$U362</f>
        <v>62</v>
      </c>
      <c r="F366" s="72">
        <f>VLOOKUP('Old Data'!$F362,$V$6:$X$135,2,FALSE)+VLOOKUP('Old Data'!$P362,$V$6:$X$135,3,FALSE)+$C$2</f>
        <v>232.7522103567542</v>
      </c>
      <c r="G366" s="72">
        <f>VLOOKUP('Old Data'!$P362,$V$6:$X$135,2,FALSE)+VLOOKUP('Old Data'!$F362,$V$6:$X$135,3,FALSE)+$C$2</f>
        <v>114.66504912786509</v>
      </c>
      <c r="H366" s="74">
        <f>('Old Data'!$K362-$F366)^2+('Old Data'!$U362-$G366)^2</f>
        <v>1617.2272154580273</v>
      </c>
      <c r="I366" s="75">
        <f>('Old Data'!$L362+'Old Data'!$M362)-('Old Data'!$V362+'Old Data'!$W362)</f>
        <v>89</v>
      </c>
      <c r="J366" s="72">
        <f>VLOOKUP('Old Data'!$F362,$Z$6:$AB$135,2,FALSE)+VLOOKUP('Old Data'!$P362,$Z$6:$AB$135,3,FALSE)+$D$2</f>
        <v>75.345096201156821</v>
      </c>
      <c r="K366" s="72">
        <f>VLOOKUP('Old Data'!$P362,$Z$6:$AB$135,2,FALSE)+VLOOKUP('Old Data'!$F362,$Z$6:$AB$135,3,FALSE)+$D$2</f>
        <v>64.144441114453201</v>
      </c>
      <c r="L366" s="74">
        <f>('Old Data'!$L362+'Old Data'!$M362-$J366)^2+('Old Data'!$V362+'Old Data'!$W362-$K366)^2</f>
        <v>3621.1331265914555</v>
      </c>
      <c r="M366" s="75">
        <f>'Old Data'!$N362-'Old Data'!$X362</f>
        <v>0</v>
      </c>
      <c r="N366" s="72">
        <f>VLOOKUP('Old Data'!$F362,$AD$6:$AF$135,2,FALSE)+VLOOKUP('Old Data'!$P362,$AD$6:$AF$135,3,FALSE)+$E$2</f>
        <v>1.8698821407628912</v>
      </c>
      <c r="O366" s="72">
        <f>VLOOKUP('Old Data'!$P362,$AD$6:$AF$135,2,FALSE)+VLOOKUP('Old Data'!$F362,$AD$6:$AF$135,3,FALSE)+$E$2</f>
        <v>1.1384554156241291</v>
      </c>
      <c r="P366" s="73">
        <f>('Old Data'!$N362-$N366)^2+('Old Data'!$X362-$O366)^2</f>
        <v>0.77586484093388064</v>
      </c>
      <c r="Q366" s="62"/>
      <c r="R366" s="3"/>
      <c r="S366" s="3"/>
      <c r="T366" s="3"/>
      <c r="V366" s="3"/>
      <c r="W366" s="3"/>
      <c r="X366" s="3"/>
      <c r="Z366" s="3"/>
      <c r="AA366" s="3"/>
      <c r="AB366" s="3"/>
      <c r="AC366" s="3"/>
      <c r="AD366" s="3"/>
      <c r="AE366" s="3"/>
      <c r="AF366" s="3"/>
      <c r="AG366" s="3"/>
      <c r="AH366" s="37"/>
      <c r="AI366" s="1"/>
      <c r="AK366" s="10"/>
      <c r="AL366" s="10"/>
      <c r="AM366" s="10"/>
      <c r="AN366" s="11"/>
      <c r="AO366" s="11"/>
      <c r="AP366" s="11"/>
      <c r="AQ366" s="36"/>
      <c r="AR366" s="11"/>
      <c r="AS366" s="11"/>
      <c r="AT366" s="11"/>
      <c r="AU366" s="12"/>
      <c r="AV366" s="11"/>
      <c r="AW366" s="11"/>
      <c r="AX366" s="15"/>
      <c r="AY366" s="15"/>
      <c r="AZ366" s="15"/>
      <c r="BA366" s="15"/>
      <c r="BB366" s="15"/>
      <c r="BC366" s="15"/>
      <c r="BD366" s="15"/>
      <c r="BE366" s="12"/>
      <c r="BF366" s="11"/>
      <c r="BG366" s="11"/>
      <c r="BH366" s="10"/>
      <c r="BI366" s="10"/>
      <c r="BJ366" s="10"/>
      <c r="BK366" s="23"/>
      <c r="BL366" s="23"/>
      <c r="BM366" s="23"/>
      <c r="BN366" s="23"/>
      <c r="BO366" s="23"/>
      <c r="BP366" s="23"/>
      <c r="BQ366" s="23"/>
      <c r="BR366" s="10"/>
      <c r="BS366" s="16"/>
      <c r="BT366" s="16"/>
      <c r="BU366" s="16"/>
      <c r="BV366" s="16"/>
      <c r="BW366" s="11"/>
      <c r="BX366" s="16"/>
      <c r="BY366" s="16"/>
      <c r="BZ366" s="17"/>
      <c r="CA366" s="18"/>
      <c r="CB366" s="18"/>
      <c r="CC366" s="18"/>
      <c r="CD366" s="18"/>
      <c r="CE366" s="18"/>
      <c r="CF366" s="18"/>
      <c r="CG366" s="19"/>
      <c r="CH366" s="15"/>
      <c r="CI366" s="17"/>
      <c r="CJ366" s="10"/>
      <c r="CK366" s="10"/>
      <c r="CL366" s="10"/>
      <c r="CM366" s="17"/>
      <c r="CN366" s="17"/>
      <c r="CO366" s="10"/>
      <c r="CP366" s="10"/>
      <c r="CQ366" s="10"/>
      <c r="CR366" s="10"/>
      <c r="CS366" s="10"/>
      <c r="CT366" s="10"/>
      <c r="CU366" s="10"/>
      <c r="CV366" s="10"/>
      <c r="CW366" s="10"/>
      <c r="CX366" s="10"/>
      <c r="CY366" s="10"/>
      <c r="CZ366" s="10"/>
      <c r="DA366" s="34"/>
      <c r="DB366" s="34"/>
      <c r="DC366" s="34"/>
      <c r="DD366" s="34"/>
      <c r="DE366" s="34"/>
      <c r="DF366" s="34"/>
      <c r="DG366" s="34"/>
      <c r="DH366" s="34"/>
      <c r="DI366" s="34"/>
      <c r="DJ366" s="34"/>
      <c r="DK366" s="34"/>
      <c r="DL366" s="34"/>
      <c r="DM366" s="34"/>
      <c r="DN366" s="34"/>
      <c r="DO366" s="34"/>
      <c r="DP366" s="34"/>
      <c r="DQ366" s="34"/>
      <c r="DR366" s="34"/>
      <c r="DS366" s="34"/>
      <c r="DT366" s="34"/>
      <c r="DU366" s="34"/>
      <c r="DV366" s="34"/>
      <c r="DW366" s="34"/>
      <c r="DX366" s="34"/>
      <c r="DY366" s="34"/>
      <c r="DZ366" s="34"/>
      <c r="EA366" s="34"/>
      <c r="EB366" s="34"/>
      <c r="EC366" s="34"/>
      <c r="ED366" s="34"/>
      <c r="EE366" s="34"/>
    </row>
    <row r="367" spans="1:135" customFormat="1">
      <c r="A367" s="71">
        <f>'Old Data'!$I363-'Old Data'!$S363</f>
        <v>-29</v>
      </c>
      <c r="B367" s="72">
        <f>VLOOKUP('Old Data'!$F363,$R$6:$T$135,2,FALSE)+VLOOKUP('Old Data'!$P363,$R$6:$T$135,3,FALSE)+$B$2</f>
        <v>150.95942791655992</v>
      </c>
      <c r="C367" s="72">
        <f>VLOOKUP('Old Data'!$P363,$R$6:$T$135,2,FALSE)+VLOOKUP('Old Data'!$F363,$R$6:$T$135,3,FALSE)+$B$2</f>
        <v>129.86101580938546</v>
      </c>
      <c r="D367" s="74">
        <f>('Old Data'!$I363-$B367)^2+('Old Data'!$S363-$C367)^2</f>
        <v>4129.2952912297669</v>
      </c>
      <c r="E367" s="75">
        <f>'Old Data'!$K363-'Old Data'!$U363</f>
        <v>38</v>
      </c>
      <c r="F367" s="72">
        <f>VLOOKUP('Old Data'!$F363,$V$6:$X$135,2,FALSE)+VLOOKUP('Old Data'!$P363,$V$6:$X$135,3,FALSE)+$C$2</f>
        <v>172.81962288741101</v>
      </c>
      <c r="G367" s="72">
        <f>VLOOKUP('Old Data'!$P363,$V$6:$X$135,2,FALSE)+VLOOKUP('Old Data'!$F363,$V$6:$X$135,3,FALSE)+$C$2</f>
        <v>207.04973598019131</v>
      </c>
      <c r="H367" s="74">
        <f>('Old Data'!$K363-$F367)^2+('Old Data'!$U363-$G367)^2</f>
        <v>10817.325217197555</v>
      </c>
      <c r="I367" s="75">
        <f>('Old Data'!$L363+'Old Data'!$M363)-('Old Data'!$V363+'Old Data'!$W363)</f>
        <v>144</v>
      </c>
      <c r="J367" s="72">
        <f>VLOOKUP('Old Data'!$F363,$Z$6:$AB$135,2,FALSE)+VLOOKUP('Old Data'!$P363,$Z$6:$AB$135,3,FALSE)+$D$2</f>
        <v>85.522749696779712</v>
      </c>
      <c r="K367" s="72">
        <f>VLOOKUP('Old Data'!$P363,$Z$6:$AB$135,2,FALSE)+VLOOKUP('Old Data'!$F363,$Z$6:$AB$135,3,FALSE)+$D$2</f>
        <v>-4.7785271810930041</v>
      </c>
      <c r="L367" s="74">
        <f>('Old Data'!$L363+'Old Data'!$M363-$J367)^2+('Old Data'!$V363+'Old Data'!$W363-$K367)^2</f>
        <v>3980.4693449204283</v>
      </c>
      <c r="M367" s="75">
        <f>'Old Data'!$N363-'Old Data'!$X363</f>
        <v>0</v>
      </c>
      <c r="N367" s="72">
        <f>VLOOKUP('Old Data'!$F363,$AD$6:$AF$135,2,FALSE)+VLOOKUP('Old Data'!$P363,$AD$6:$AF$135,3,FALSE)+$E$2</f>
        <v>1.4988077400434432</v>
      </c>
      <c r="O367" s="72">
        <f>VLOOKUP('Old Data'!$P363,$AD$6:$AF$135,2,FALSE)+VLOOKUP('Old Data'!$F363,$AD$6:$AF$135,3,FALSE)+$E$2</f>
        <v>0.77657347837554702</v>
      </c>
      <c r="P367" s="73">
        <f>('Old Data'!$N363-$N367)^2+('Old Data'!$X363-$O367)^2</f>
        <v>2.8494910089304297</v>
      </c>
      <c r="Q367" s="62"/>
      <c r="R367" s="3"/>
      <c r="S367" s="3"/>
      <c r="T367" s="3"/>
      <c r="V367" s="3"/>
      <c r="W367" s="3"/>
      <c r="X367" s="3"/>
      <c r="Z367" s="3"/>
      <c r="AA367" s="3"/>
      <c r="AB367" s="3"/>
      <c r="AC367" s="3"/>
      <c r="AD367" s="3"/>
      <c r="AE367" s="3"/>
      <c r="AF367" s="3"/>
      <c r="AG367" s="3"/>
      <c r="AH367" s="37"/>
      <c r="AI367" s="1"/>
      <c r="AK367" s="10"/>
      <c r="AL367" s="10"/>
      <c r="AM367" s="10"/>
      <c r="AN367" s="11"/>
      <c r="AO367" s="11"/>
      <c r="AP367" s="11"/>
      <c r="AQ367" s="36"/>
      <c r="AR367" s="11"/>
      <c r="AS367" s="11"/>
      <c r="AT367" s="11"/>
      <c r="AU367" s="12"/>
      <c r="AV367" s="11"/>
      <c r="AW367" s="11"/>
      <c r="AX367" s="15"/>
      <c r="AY367" s="15"/>
      <c r="AZ367" s="15"/>
      <c r="BA367" s="15"/>
      <c r="BB367" s="15"/>
      <c r="BC367" s="15"/>
      <c r="BD367" s="15"/>
      <c r="BE367" s="12"/>
      <c r="BF367" s="11"/>
      <c r="BG367" s="11"/>
      <c r="BH367" s="10"/>
      <c r="BI367" s="10"/>
      <c r="BJ367" s="10"/>
      <c r="BK367" s="23"/>
      <c r="BL367" s="23"/>
      <c r="BM367" s="23"/>
      <c r="BN367" s="23"/>
      <c r="BO367" s="23"/>
      <c r="BP367" s="23"/>
      <c r="BQ367" s="23"/>
      <c r="BR367" s="10"/>
      <c r="BS367" s="16"/>
      <c r="BT367" s="16"/>
      <c r="BU367" s="16"/>
      <c r="BV367" s="16"/>
      <c r="BW367" s="11"/>
      <c r="BX367" s="16"/>
      <c r="BY367" s="16"/>
      <c r="BZ367" s="17"/>
      <c r="CA367" s="18"/>
      <c r="CB367" s="18"/>
      <c r="CC367" s="18"/>
      <c r="CD367" s="18"/>
      <c r="CE367" s="18"/>
      <c r="CF367" s="18"/>
      <c r="CG367" s="19"/>
      <c r="CH367" s="15"/>
      <c r="CI367" s="17"/>
      <c r="CJ367" s="10"/>
      <c r="CK367" s="10"/>
      <c r="CL367" s="10"/>
      <c r="CM367" s="17"/>
      <c r="CN367" s="17"/>
      <c r="CO367" s="10"/>
      <c r="CP367" s="10"/>
      <c r="CQ367" s="10"/>
      <c r="CR367" s="10"/>
      <c r="CS367" s="10"/>
      <c r="CT367" s="10"/>
      <c r="CU367" s="10"/>
      <c r="CV367" s="10"/>
      <c r="CW367" s="10"/>
      <c r="CX367" s="10"/>
      <c r="CY367" s="10"/>
      <c r="CZ367" s="10"/>
      <c r="DA367" s="34"/>
      <c r="DB367" s="34"/>
      <c r="DC367" s="34"/>
      <c r="DD367" s="34"/>
      <c r="DE367" s="34"/>
      <c r="DF367" s="34"/>
      <c r="DG367" s="34"/>
      <c r="DH367" s="34"/>
      <c r="DI367" s="34"/>
      <c r="DJ367" s="34"/>
      <c r="DK367" s="34"/>
      <c r="DL367" s="34"/>
      <c r="DM367" s="34"/>
      <c r="DN367" s="34"/>
      <c r="DO367" s="34"/>
      <c r="DP367" s="34"/>
      <c r="DQ367" s="34"/>
      <c r="DR367" s="34"/>
      <c r="DS367" s="34"/>
      <c r="DT367" s="34"/>
      <c r="DU367" s="34"/>
      <c r="DV367" s="34"/>
      <c r="DW367" s="34"/>
      <c r="DX367" s="34"/>
      <c r="DY367" s="34"/>
      <c r="DZ367" s="34"/>
      <c r="EA367" s="34"/>
      <c r="EB367" s="34"/>
      <c r="EC367" s="34"/>
      <c r="ED367" s="34"/>
      <c r="EE367" s="34"/>
    </row>
    <row r="368" spans="1:135" customFormat="1">
      <c r="A368" s="71">
        <f>'Old Data'!$I364-'Old Data'!$S364</f>
        <v>82</v>
      </c>
      <c r="B368" s="72">
        <f>VLOOKUP('Old Data'!$F364,$R$6:$T$135,2,FALSE)+VLOOKUP('Old Data'!$P364,$R$6:$T$135,3,FALSE)+$B$2</f>
        <v>204.15902604351831</v>
      </c>
      <c r="C368" s="72">
        <f>VLOOKUP('Old Data'!$P364,$R$6:$T$135,2,FALSE)+VLOOKUP('Old Data'!$F364,$R$6:$T$135,3,FALSE)+$B$2</f>
        <v>158.00071264759751</v>
      </c>
      <c r="D368" s="74">
        <f>('Old Data'!$I364-$B368)^2+('Old Data'!$S364-$C368)^2</f>
        <v>2201.3806408347491</v>
      </c>
      <c r="E368" s="75">
        <f>'Old Data'!$K364-'Old Data'!$U364</f>
        <v>-17</v>
      </c>
      <c r="F368" s="72">
        <f>VLOOKUP('Old Data'!$F364,$V$6:$X$135,2,FALSE)+VLOOKUP('Old Data'!$P364,$V$6:$X$135,3,FALSE)+$C$2</f>
        <v>167.1183349619007</v>
      </c>
      <c r="G368" s="72">
        <f>VLOOKUP('Old Data'!$P364,$V$6:$X$135,2,FALSE)+VLOOKUP('Old Data'!$F364,$V$6:$X$135,3,FALSE)+$C$2</f>
        <v>265.74965313212459</v>
      </c>
      <c r="H368" s="74">
        <f>('Old Data'!$K364-$F368)^2+('Old Data'!$U364-$G368)^2</f>
        <v>8935.8515046425018</v>
      </c>
      <c r="I368" s="75">
        <f>('Old Data'!$L364+'Old Data'!$M364)-('Old Data'!$V364+'Old Data'!$W364)</f>
        <v>-83</v>
      </c>
      <c r="J368" s="72">
        <f>VLOOKUP('Old Data'!$F364,$Z$6:$AB$135,2,FALSE)+VLOOKUP('Old Data'!$P364,$Z$6:$AB$135,3,FALSE)+$D$2</f>
        <v>63.988388557111399</v>
      </c>
      <c r="K368" s="72">
        <f>VLOOKUP('Old Data'!$P364,$Z$6:$AB$135,2,FALSE)+VLOOKUP('Old Data'!$F364,$Z$6:$AB$135,3,FALSE)+$D$2</f>
        <v>53.675219301190971</v>
      </c>
      <c r="L368" s="74">
        <f>('Old Data'!$L364+'Old Data'!$M364-$J368)^2+('Old Data'!$V364+'Old Data'!$W364-$K368)^2</f>
        <v>4397.2578874038027</v>
      </c>
      <c r="M368" s="75">
        <f>'Old Data'!$N364-'Old Data'!$X364</f>
        <v>0</v>
      </c>
      <c r="N368" s="72">
        <f>VLOOKUP('Old Data'!$F364,$AD$6:$AF$135,2,FALSE)+VLOOKUP('Old Data'!$P364,$AD$6:$AF$135,3,FALSE)+$E$2</f>
        <v>1.0558394799747861</v>
      </c>
      <c r="O368" s="72">
        <f>VLOOKUP('Old Data'!$P364,$AD$6:$AF$135,2,FALSE)+VLOOKUP('Old Data'!$F364,$AD$6:$AF$135,3,FALSE)+$E$2</f>
        <v>0.89966239182762608</v>
      </c>
      <c r="P368" s="73">
        <f>('Old Data'!$N364-$N368)^2+('Old Data'!$X364-$O368)^2</f>
        <v>2.102181939532783</v>
      </c>
      <c r="Q368" s="62"/>
      <c r="R368" s="3"/>
      <c r="S368" s="3"/>
      <c r="T368" s="3"/>
      <c r="V368" s="3"/>
      <c r="W368" s="3"/>
      <c r="X368" s="3"/>
      <c r="Z368" s="3"/>
      <c r="AA368" s="3"/>
      <c r="AB368" s="3"/>
      <c r="AC368" s="3"/>
      <c r="AD368" s="3"/>
      <c r="AE368" s="3"/>
      <c r="AF368" s="3"/>
      <c r="AG368" s="3"/>
      <c r="AH368" s="37"/>
      <c r="AI368" s="1"/>
      <c r="AK368" s="10"/>
      <c r="AL368" s="10"/>
      <c r="AM368" s="10"/>
      <c r="AN368" s="11"/>
      <c r="AO368" s="11"/>
      <c r="AP368" s="11"/>
      <c r="AQ368" s="36"/>
      <c r="AR368" s="11"/>
      <c r="AS368" s="11"/>
      <c r="AT368" s="11"/>
      <c r="AU368" s="12"/>
      <c r="AV368" s="11"/>
      <c r="AW368" s="11"/>
      <c r="AX368" s="15"/>
      <c r="AY368" s="15"/>
      <c r="AZ368" s="15"/>
      <c r="BA368" s="15"/>
      <c r="BB368" s="15"/>
      <c r="BC368" s="15"/>
      <c r="BD368" s="15"/>
      <c r="BE368" s="12"/>
      <c r="BF368" s="11"/>
      <c r="BG368" s="11"/>
      <c r="BH368" s="10"/>
      <c r="BI368" s="10"/>
      <c r="BJ368" s="10"/>
      <c r="BK368" s="23"/>
      <c r="BL368" s="23"/>
      <c r="BM368" s="23"/>
      <c r="BN368" s="23"/>
      <c r="BO368" s="23"/>
      <c r="BP368" s="23"/>
      <c r="BQ368" s="23"/>
      <c r="BR368" s="10"/>
      <c r="BS368" s="16"/>
      <c r="BT368" s="16"/>
      <c r="BU368" s="16"/>
      <c r="BV368" s="16"/>
      <c r="BW368" s="11"/>
      <c r="BX368" s="16"/>
      <c r="BY368" s="16"/>
      <c r="BZ368" s="17"/>
      <c r="CA368" s="18"/>
      <c r="CB368" s="18"/>
      <c r="CC368" s="18"/>
      <c r="CD368" s="18"/>
      <c r="CE368" s="18"/>
      <c r="CF368" s="18"/>
      <c r="CG368" s="19"/>
      <c r="CH368" s="15"/>
      <c r="CI368" s="17"/>
      <c r="CJ368" s="10"/>
      <c r="CK368" s="10"/>
      <c r="CL368" s="10"/>
      <c r="CM368" s="17"/>
      <c r="CN368" s="17"/>
      <c r="CO368" s="10"/>
      <c r="CP368" s="10"/>
      <c r="CQ368" s="10"/>
      <c r="CR368" s="10"/>
      <c r="CS368" s="10"/>
      <c r="CT368" s="10"/>
      <c r="CU368" s="10"/>
      <c r="CV368" s="10"/>
      <c r="CW368" s="10"/>
      <c r="CX368" s="10"/>
      <c r="CY368" s="10"/>
      <c r="CZ368" s="10"/>
      <c r="DA368" s="34"/>
      <c r="DB368" s="34"/>
      <c r="DC368" s="34"/>
      <c r="DD368" s="34"/>
      <c r="DE368" s="34"/>
      <c r="DF368" s="34"/>
      <c r="DG368" s="34"/>
      <c r="DH368" s="34"/>
      <c r="DI368" s="34"/>
      <c r="DJ368" s="34"/>
      <c r="DK368" s="34"/>
      <c r="DL368" s="34"/>
      <c r="DM368" s="34"/>
      <c r="DN368" s="34"/>
      <c r="DO368" s="34"/>
      <c r="DP368" s="34"/>
      <c r="DQ368" s="34"/>
      <c r="DR368" s="34"/>
      <c r="DS368" s="34"/>
      <c r="DT368" s="34"/>
      <c r="DU368" s="34"/>
      <c r="DV368" s="34"/>
      <c r="DW368" s="34"/>
      <c r="DX368" s="34"/>
      <c r="DY368" s="34"/>
      <c r="DZ368" s="34"/>
      <c r="EA368" s="34"/>
      <c r="EB368" s="34"/>
      <c r="EC368" s="34"/>
      <c r="ED368" s="34"/>
      <c r="EE368" s="34"/>
    </row>
    <row r="369" spans="1:135" customFormat="1">
      <c r="A369" s="71">
        <f>'Old Data'!$I365-'Old Data'!$S365</f>
        <v>16</v>
      </c>
      <c r="B369" s="72">
        <f>VLOOKUP('Old Data'!$F365,$R$6:$T$135,2,FALSE)+VLOOKUP('Old Data'!$P365,$R$6:$T$135,3,FALSE)+$B$2</f>
        <v>153.94711451822161</v>
      </c>
      <c r="C369" s="72">
        <f>VLOOKUP('Old Data'!$P365,$R$6:$T$135,2,FALSE)+VLOOKUP('Old Data'!$F365,$R$6:$T$135,3,FALSE)+$B$2</f>
        <v>162.16397380983571</v>
      </c>
      <c r="D369" s="74">
        <f>('Old Data'!$I365-$B369)^2+('Old Data'!$S365-$C369)^2</f>
        <v>8499.4536132745707</v>
      </c>
      <c r="E369" s="75">
        <f>'Old Data'!$K365-'Old Data'!$U365</f>
        <v>-89</v>
      </c>
      <c r="F369" s="72">
        <f>VLOOKUP('Old Data'!$F365,$V$6:$X$135,2,FALSE)+VLOOKUP('Old Data'!$P365,$V$6:$X$135,3,FALSE)+$C$2</f>
        <v>178.23733370024729</v>
      </c>
      <c r="G369" s="72">
        <f>VLOOKUP('Old Data'!$P365,$V$6:$X$135,2,FALSE)+VLOOKUP('Old Data'!$F365,$V$6:$X$135,3,FALSE)+$C$2</f>
        <v>415.39963128170297</v>
      </c>
      <c r="H369" s="74">
        <f>('Old Data'!$K365-$F369)^2+('Old Data'!$U365-$G369)^2</f>
        <v>11386.071093996636</v>
      </c>
      <c r="I369" s="75">
        <f>('Old Data'!$L365+'Old Data'!$M365)-('Old Data'!$V365+'Old Data'!$W365)</f>
        <v>5</v>
      </c>
      <c r="J369" s="72">
        <f>VLOOKUP('Old Data'!$F365,$Z$6:$AB$135,2,FALSE)+VLOOKUP('Old Data'!$P365,$Z$6:$AB$135,3,FALSE)+$D$2</f>
        <v>20.157551352175197</v>
      </c>
      <c r="K369" s="72">
        <f>VLOOKUP('Old Data'!$P365,$Z$6:$AB$135,2,FALSE)+VLOOKUP('Old Data'!$F365,$Z$6:$AB$135,3,FALSE)+$D$2</f>
        <v>42.895819893248429</v>
      </c>
      <c r="L369" s="74">
        <f>('Old Data'!$L365+'Old Data'!$M365-$J369)^2+('Old Data'!$V365+'Old Data'!$W365-$K369)^2</f>
        <v>403.02742254580727</v>
      </c>
      <c r="M369" s="75">
        <f>'Old Data'!$N365-'Old Data'!$X365</f>
        <v>-3</v>
      </c>
      <c r="N369" s="72">
        <f>VLOOKUP('Old Data'!$F365,$AD$6:$AF$135,2,FALSE)+VLOOKUP('Old Data'!$P365,$AD$6:$AF$135,3,FALSE)+$E$2</f>
        <v>1.2315945632149421</v>
      </c>
      <c r="O369" s="72">
        <f>VLOOKUP('Old Data'!$P365,$AD$6:$AF$135,2,FALSE)+VLOOKUP('Old Data'!$F365,$AD$6:$AF$135,3,FALSE)+$E$2</f>
        <v>2.20838118573106</v>
      </c>
      <c r="P369" s="73">
        <f>('Old Data'!$N365-$N369)^2+('Old Data'!$X365-$O369)^2</f>
        <v>2.1434855152451666</v>
      </c>
      <c r="Q369" s="62"/>
      <c r="R369" s="3"/>
      <c r="S369" s="3"/>
      <c r="T369" s="3"/>
      <c r="V369" s="3"/>
      <c r="W369" s="3"/>
      <c r="X369" s="3"/>
      <c r="Z369" s="3"/>
      <c r="AA369" s="3"/>
      <c r="AB369" s="3"/>
      <c r="AC369" s="3"/>
      <c r="AD369" s="3"/>
      <c r="AE369" s="3"/>
      <c r="AF369" s="3"/>
      <c r="AG369" s="3"/>
      <c r="AH369" s="37"/>
      <c r="AI369" s="1"/>
      <c r="AK369" s="10"/>
      <c r="AL369" s="10"/>
      <c r="AM369" s="10"/>
      <c r="AN369" s="11"/>
      <c r="AO369" s="11"/>
      <c r="AP369" s="11"/>
      <c r="AQ369" s="36"/>
      <c r="AR369" s="11"/>
      <c r="AS369" s="11"/>
      <c r="AT369" s="11"/>
      <c r="AU369" s="12"/>
      <c r="AV369" s="11"/>
      <c r="AW369" s="11"/>
      <c r="AX369" s="15"/>
      <c r="AY369" s="15"/>
      <c r="AZ369" s="15"/>
      <c r="BA369" s="15"/>
      <c r="BB369" s="15"/>
      <c r="BC369" s="15"/>
      <c r="BD369" s="15"/>
      <c r="BE369" s="12"/>
      <c r="BF369" s="11"/>
      <c r="BG369" s="11"/>
      <c r="BH369" s="10"/>
      <c r="BI369" s="10"/>
      <c r="BJ369" s="10"/>
      <c r="BK369" s="23"/>
      <c r="BL369" s="23"/>
      <c r="BM369" s="23"/>
      <c r="BN369" s="23"/>
      <c r="BO369" s="23"/>
      <c r="BP369" s="23"/>
      <c r="BQ369" s="23"/>
      <c r="BR369" s="10"/>
      <c r="BS369" s="16"/>
      <c r="BT369" s="16"/>
      <c r="BU369" s="16"/>
      <c r="BV369" s="16"/>
      <c r="BW369" s="11"/>
      <c r="BX369" s="16"/>
      <c r="BY369" s="16"/>
      <c r="BZ369" s="17"/>
      <c r="CA369" s="18"/>
      <c r="CB369" s="18"/>
      <c r="CC369" s="18"/>
      <c r="CD369" s="18"/>
      <c r="CE369" s="18"/>
      <c r="CF369" s="18"/>
      <c r="CG369" s="19"/>
      <c r="CH369" s="15"/>
      <c r="CI369" s="17"/>
      <c r="CJ369" s="10"/>
      <c r="CK369" s="10"/>
      <c r="CL369" s="10"/>
      <c r="CM369" s="17"/>
      <c r="CN369" s="17"/>
      <c r="CO369" s="10"/>
      <c r="CP369" s="10"/>
      <c r="CQ369" s="10"/>
      <c r="CR369" s="10"/>
      <c r="CS369" s="10"/>
      <c r="CT369" s="10"/>
      <c r="CU369" s="10"/>
      <c r="CV369" s="10"/>
      <c r="CW369" s="10"/>
      <c r="CX369" s="10"/>
      <c r="CY369" s="10"/>
      <c r="CZ369" s="10"/>
      <c r="DA369" s="34"/>
      <c r="DB369" s="34"/>
      <c r="DC369" s="34"/>
      <c r="DD369" s="34"/>
      <c r="DE369" s="34"/>
      <c r="DF369" s="34"/>
      <c r="DG369" s="34"/>
      <c r="DH369" s="34"/>
      <c r="DI369" s="34"/>
      <c r="DJ369" s="34"/>
      <c r="DK369" s="34"/>
      <c r="DL369" s="34"/>
      <c r="DM369" s="34"/>
      <c r="DN369" s="34"/>
      <c r="DO369" s="34"/>
      <c r="DP369" s="34"/>
      <c r="DQ369" s="34"/>
      <c r="DR369" s="34"/>
      <c r="DS369" s="34"/>
      <c r="DT369" s="34"/>
      <c r="DU369" s="34"/>
      <c r="DV369" s="34"/>
      <c r="DW369" s="34"/>
      <c r="DX369" s="34"/>
      <c r="DY369" s="34"/>
      <c r="DZ369" s="34"/>
      <c r="EA369" s="34"/>
      <c r="EB369" s="34"/>
      <c r="EC369" s="34"/>
      <c r="ED369" s="34"/>
      <c r="EE369" s="34"/>
    </row>
    <row r="370" spans="1:135" customFormat="1">
      <c r="A370" s="71">
        <f>'Old Data'!$I366-'Old Data'!$S366</f>
        <v>285</v>
      </c>
      <c r="B370" s="72">
        <f>VLOOKUP('Old Data'!$F366,$R$6:$T$135,2,FALSE)+VLOOKUP('Old Data'!$P366,$R$6:$T$135,3,FALSE)+$B$2</f>
        <v>373.68275261318149</v>
      </c>
      <c r="C370" s="72">
        <f>VLOOKUP('Old Data'!$P366,$R$6:$T$135,2,FALSE)+VLOOKUP('Old Data'!$F366,$R$6:$T$135,3,FALSE)+$B$2</f>
        <v>103.99441477114669</v>
      </c>
      <c r="D370" s="74">
        <f>('Old Data'!$I366-$B370)^2+('Old Data'!$S366-$C370)^2</f>
        <v>5876.3186993455874</v>
      </c>
      <c r="E370" s="75">
        <f>'Old Data'!$K366-'Old Data'!$U366</f>
        <v>-91</v>
      </c>
      <c r="F370" s="72">
        <f>VLOOKUP('Old Data'!$F366,$V$6:$X$135,2,FALSE)+VLOOKUP('Old Data'!$P366,$V$6:$X$135,3,FALSE)+$C$2</f>
        <v>40.055056574428818</v>
      </c>
      <c r="G370" s="72">
        <f>VLOOKUP('Old Data'!$P366,$V$6:$X$135,2,FALSE)+VLOOKUP('Old Data'!$F366,$V$6:$X$135,3,FALSE)+$C$2</f>
        <v>152.11060162706815</v>
      </c>
      <c r="H370" s="74">
        <f>('Old Data'!$K366-$F370)^2+('Old Data'!$U366-$G370)^2</f>
        <v>1743.2929111340572</v>
      </c>
      <c r="I370" s="75">
        <f>('Old Data'!$L366+'Old Data'!$M366)-('Old Data'!$V366+'Old Data'!$W366)</f>
        <v>4</v>
      </c>
      <c r="J370" s="72">
        <f>VLOOKUP('Old Data'!$F366,$Z$6:$AB$135,2,FALSE)+VLOOKUP('Old Data'!$P366,$Z$6:$AB$135,3,FALSE)+$D$2</f>
        <v>46.405432305550292</v>
      </c>
      <c r="K370" s="72">
        <f>VLOOKUP('Old Data'!$P366,$Z$6:$AB$135,2,FALSE)+VLOOKUP('Old Data'!$F366,$Z$6:$AB$135,3,FALSE)+$D$2</f>
        <v>81.301015087181526</v>
      </c>
      <c r="L370" s="74">
        <f>('Old Data'!$L366+'Old Data'!$M366-$J370)^2+('Old Data'!$V366+'Old Data'!$W366-$K370)^2</f>
        <v>2660.2760048773539</v>
      </c>
      <c r="M370" s="75">
        <f>'Old Data'!$N366-'Old Data'!$X366</f>
        <v>-2</v>
      </c>
      <c r="N370" s="72">
        <f>VLOOKUP('Old Data'!$F366,$AD$6:$AF$135,2,FALSE)+VLOOKUP('Old Data'!$P366,$AD$6:$AF$135,3,FALSE)+$E$2</f>
        <v>1.8010343975370082</v>
      </c>
      <c r="O370" s="72">
        <f>VLOOKUP('Old Data'!$P366,$AD$6:$AF$135,2,FALSE)+VLOOKUP('Old Data'!$F366,$AD$6:$AF$135,3,FALSE)+$E$2</f>
        <v>1.2824441180568704</v>
      </c>
      <c r="P370" s="73">
        <f>('Old Data'!$N366-$N370)^2+('Old Data'!$X366-$O370)^2</f>
        <v>3.5916543136349195</v>
      </c>
      <c r="Q370" s="62"/>
      <c r="R370" s="3"/>
      <c r="S370" s="3"/>
      <c r="T370" s="3"/>
      <c r="V370" s="3"/>
      <c r="W370" s="3"/>
      <c r="X370" s="3"/>
      <c r="Z370" s="3"/>
      <c r="AA370" s="3"/>
      <c r="AB370" s="3"/>
      <c r="AC370" s="3"/>
      <c r="AD370" s="3"/>
      <c r="AE370" s="3"/>
      <c r="AF370" s="3"/>
      <c r="AG370" s="3"/>
      <c r="AH370" s="37"/>
      <c r="AI370" s="1"/>
      <c r="AK370" s="10"/>
      <c r="AL370" s="10"/>
      <c r="AM370" s="10"/>
      <c r="AN370" s="11"/>
      <c r="AO370" s="11"/>
      <c r="AP370" s="11"/>
      <c r="AQ370" s="36"/>
      <c r="AR370" s="11"/>
      <c r="AS370" s="11"/>
      <c r="AT370" s="11"/>
      <c r="AU370" s="12"/>
      <c r="AV370" s="11"/>
      <c r="AW370" s="11"/>
      <c r="AX370" s="15"/>
      <c r="AY370" s="15"/>
      <c r="AZ370" s="15"/>
      <c r="BA370" s="15"/>
      <c r="BB370" s="15"/>
      <c r="BC370" s="15"/>
      <c r="BD370" s="15"/>
      <c r="BE370" s="12"/>
      <c r="BF370" s="11"/>
      <c r="BG370" s="11"/>
      <c r="BH370" s="10"/>
      <c r="BI370" s="10"/>
      <c r="BJ370" s="10"/>
      <c r="BK370" s="23"/>
      <c r="BL370" s="23"/>
      <c r="BM370" s="23"/>
      <c r="BN370" s="23"/>
      <c r="BO370" s="23"/>
      <c r="BP370" s="23"/>
      <c r="BQ370" s="23"/>
      <c r="BR370" s="10"/>
      <c r="BS370" s="16"/>
      <c r="BT370" s="16"/>
      <c r="BU370" s="16"/>
      <c r="BV370" s="16"/>
      <c r="BW370" s="11"/>
      <c r="BX370" s="16"/>
      <c r="BY370" s="16"/>
      <c r="BZ370" s="17"/>
      <c r="CA370" s="18"/>
      <c r="CB370" s="18"/>
      <c r="CC370" s="18"/>
      <c r="CD370" s="18"/>
      <c r="CE370" s="18"/>
      <c r="CF370" s="18"/>
      <c r="CG370" s="19"/>
      <c r="CH370" s="15"/>
      <c r="CI370" s="17"/>
      <c r="CJ370" s="10"/>
      <c r="CK370" s="10"/>
      <c r="CL370" s="10"/>
      <c r="CM370" s="17"/>
      <c r="CN370" s="17"/>
      <c r="CO370" s="10"/>
      <c r="CP370" s="10"/>
      <c r="CQ370" s="10"/>
      <c r="CR370" s="10"/>
      <c r="CS370" s="10"/>
      <c r="CT370" s="10"/>
      <c r="CU370" s="10"/>
      <c r="CV370" s="10"/>
      <c r="CW370" s="10"/>
      <c r="CX370" s="10"/>
      <c r="CY370" s="10"/>
      <c r="CZ370" s="10"/>
      <c r="DA370" s="34"/>
      <c r="DB370" s="34"/>
      <c r="DC370" s="34"/>
      <c r="DD370" s="34"/>
      <c r="DE370" s="34"/>
      <c r="DF370" s="34"/>
      <c r="DG370" s="34"/>
      <c r="DH370" s="34"/>
      <c r="DI370" s="34"/>
      <c r="DJ370" s="34"/>
      <c r="DK370" s="34"/>
      <c r="DL370" s="34"/>
      <c r="DM370" s="34"/>
      <c r="DN370" s="34"/>
      <c r="DO370" s="34"/>
      <c r="DP370" s="34"/>
      <c r="DQ370" s="34"/>
      <c r="DR370" s="34"/>
      <c r="DS370" s="34"/>
      <c r="DT370" s="34"/>
      <c r="DU370" s="34"/>
      <c r="DV370" s="34"/>
      <c r="DW370" s="34"/>
      <c r="DX370" s="34"/>
      <c r="DY370" s="34"/>
      <c r="DZ370" s="34"/>
      <c r="EA370" s="34"/>
      <c r="EB370" s="34"/>
      <c r="EC370" s="34"/>
      <c r="ED370" s="34"/>
      <c r="EE370" s="34"/>
    </row>
    <row r="371" spans="1:135" customFormat="1">
      <c r="A371" s="71">
        <f>'Old Data'!$I367-'Old Data'!$S367</f>
        <v>-46</v>
      </c>
      <c r="B371" s="72">
        <f>VLOOKUP('Old Data'!$F367,$R$6:$T$135,2,FALSE)+VLOOKUP('Old Data'!$P367,$R$6:$T$135,3,FALSE)+$B$2</f>
        <v>170.8750141909056</v>
      </c>
      <c r="C371" s="72">
        <f>VLOOKUP('Old Data'!$P367,$R$6:$T$135,2,FALSE)+VLOOKUP('Old Data'!$F367,$R$6:$T$135,3,FALSE)+$B$2</f>
        <v>213.42910397368911</v>
      </c>
      <c r="D371" s="74">
        <f>('Old Data'!$I367-$B371)^2+('Old Data'!$S367-$C371)^2</f>
        <v>2766.4881367215853</v>
      </c>
      <c r="E371" s="75">
        <f>'Old Data'!$K367-'Old Data'!$U367</f>
        <v>120</v>
      </c>
      <c r="F371" s="72">
        <f>VLOOKUP('Old Data'!$F367,$V$6:$X$135,2,FALSE)+VLOOKUP('Old Data'!$P367,$V$6:$X$135,3,FALSE)+$C$2</f>
        <v>303.10975487466953</v>
      </c>
      <c r="G371" s="72">
        <f>VLOOKUP('Old Data'!$P367,$V$6:$X$135,2,FALSE)+VLOOKUP('Old Data'!$F367,$V$6:$X$135,3,FALSE)+$C$2</f>
        <v>240.15733308841584</v>
      </c>
      <c r="H371" s="74">
        <f>('Old Data'!$K367-$F371)^2+('Old Data'!$U367-$G371)^2</f>
        <v>5388.5121052283366</v>
      </c>
      <c r="I371" s="75">
        <f>('Old Data'!$L367+'Old Data'!$M367)-('Old Data'!$V367+'Old Data'!$W367)</f>
        <v>169</v>
      </c>
      <c r="J371" s="72">
        <f>VLOOKUP('Old Data'!$F367,$Z$6:$AB$135,2,FALSE)+VLOOKUP('Old Data'!$P367,$Z$6:$AB$135,3,FALSE)+$D$2</f>
        <v>108.002456583911</v>
      </c>
      <c r="K371" s="72">
        <f>VLOOKUP('Old Data'!$P367,$Z$6:$AB$135,2,FALSE)+VLOOKUP('Old Data'!$F367,$Z$6:$AB$135,3,FALSE)+$D$2</f>
        <v>32.2094835181869</v>
      </c>
      <c r="L371" s="74">
        <f>('Old Data'!$L367+'Old Data'!$M367-$J371)^2+('Old Data'!$V367+'Old Data'!$W367-$K371)^2</f>
        <v>4817.72725110182</v>
      </c>
      <c r="M371" s="75">
        <f>'Old Data'!$N367-'Old Data'!$X367</f>
        <v>-2</v>
      </c>
      <c r="N371" s="72">
        <f>VLOOKUP('Old Data'!$F367,$AD$6:$AF$135,2,FALSE)+VLOOKUP('Old Data'!$P367,$AD$6:$AF$135,3,FALSE)+$E$2</f>
        <v>0.65343217620023009</v>
      </c>
      <c r="O371" s="72">
        <f>VLOOKUP('Old Data'!$P367,$AD$6:$AF$135,2,FALSE)+VLOOKUP('Old Data'!$F367,$AD$6:$AF$135,3,FALSE)+$E$2</f>
        <v>1.8167587297186345</v>
      </c>
      <c r="P371" s="73">
        <f>('Old Data'!$N367-$N371)^2+('Old Data'!$X367-$O371)^2</f>
        <v>1.5201691601903677</v>
      </c>
      <c r="Q371" s="62"/>
      <c r="R371" s="3"/>
      <c r="S371" s="3"/>
      <c r="T371" s="3"/>
      <c r="V371" s="3"/>
      <c r="W371" s="3"/>
      <c r="X371" s="3"/>
      <c r="Z371" s="3"/>
      <c r="AA371" s="3"/>
      <c r="AB371" s="3"/>
      <c r="AC371" s="3"/>
      <c r="AD371" s="3"/>
      <c r="AE371" s="3"/>
      <c r="AF371" s="3"/>
      <c r="AG371" s="3"/>
      <c r="AH371" s="37"/>
      <c r="AI371" s="1"/>
      <c r="AK371" s="10"/>
      <c r="AL371" s="10"/>
      <c r="AM371" s="10"/>
      <c r="AN371" s="11"/>
      <c r="AO371" s="11"/>
      <c r="AP371" s="11"/>
      <c r="AQ371" s="36"/>
      <c r="AR371" s="11"/>
      <c r="AS371" s="11"/>
      <c r="AT371" s="11"/>
      <c r="AU371" s="12"/>
      <c r="AV371" s="11"/>
      <c r="AW371" s="11"/>
      <c r="AX371" s="15"/>
      <c r="AY371" s="15"/>
      <c r="AZ371" s="15"/>
      <c r="BA371" s="15"/>
      <c r="BB371" s="15"/>
      <c r="BC371" s="15"/>
      <c r="BD371" s="15"/>
      <c r="BE371" s="12"/>
      <c r="BF371" s="11"/>
      <c r="BG371" s="11"/>
      <c r="BH371" s="10"/>
      <c r="BI371" s="10"/>
      <c r="BJ371" s="10"/>
      <c r="BK371" s="23"/>
      <c r="BL371" s="23"/>
      <c r="BM371" s="23"/>
      <c r="BN371" s="23"/>
      <c r="BO371" s="23"/>
      <c r="BP371" s="23"/>
      <c r="BQ371" s="23"/>
      <c r="BR371" s="10"/>
      <c r="BS371" s="16"/>
      <c r="BT371" s="16"/>
      <c r="BU371" s="16"/>
      <c r="BV371" s="16"/>
      <c r="BW371" s="11"/>
      <c r="BX371" s="16"/>
      <c r="BY371" s="16"/>
      <c r="BZ371" s="17"/>
      <c r="CA371" s="18"/>
      <c r="CB371" s="18"/>
      <c r="CC371" s="18"/>
      <c r="CD371" s="18"/>
      <c r="CE371" s="18"/>
      <c r="CF371" s="18"/>
      <c r="CG371" s="19"/>
      <c r="CH371" s="15"/>
      <c r="CI371" s="17"/>
      <c r="CJ371" s="10"/>
      <c r="CK371" s="10"/>
      <c r="CL371" s="10"/>
      <c r="CM371" s="17"/>
      <c r="CN371" s="17"/>
      <c r="CO371" s="10"/>
      <c r="CP371" s="10"/>
      <c r="CQ371" s="10"/>
      <c r="CR371" s="10"/>
      <c r="CS371" s="10"/>
      <c r="CT371" s="10"/>
      <c r="CU371" s="10"/>
      <c r="CV371" s="10"/>
      <c r="CW371" s="10"/>
      <c r="CX371" s="10"/>
      <c r="CY371" s="10"/>
      <c r="CZ371" s="10"/>
      <c r="DA371" s="34"/>
      <c r="DB371" s="34"/>
      <c r="DC371" s="34"/>
      <c r="DD371" s="34"/>
      <c r="DE371" s="34"/>
      <c r="DF371" s="34"/>
      <c r="DG371" s="34"/>
      <c r="DH371" s="34"/>
      <c r="DI371" s="34"/>
      <c r="DJ371" s="34"/>
      <c r="DK371" s="34"/>
      <c r="DL371" s="34"/>
      <c r="DM371" s="34"/>
      <c r="DN371" s="34"/>
      <c r="DO371" s="34"/>
      <c r="DP371" s="34"/>
      <c r="DQ371" s="34"/>
      <c r="DR371" s="34"/>
      <c r="DS371" s="34"/>
      <c r="DT371" s="34"/>
      <c r="DU371" s="34"/>
      <c r="DV371" s="34"/>
      <c r="DW371" s="34"/>
      <c r="DX371" s="34"/>
      <c r="DY371" s="34"/>
      <c r="DZ371" s="34"/>
      <c r="EA371" s="34"/>
      <c r="EB371" s="34"/>
      <c r="EC371" s="34"/>
      <c r="ED371" s="34"/>
      <c r="EE371" s="34"/>
    </row>
    <row r="372" spans="1:135" customFormat="1">
      <c r="A372" s="71">
        <f>'Old Data'!$I368-'Old Data'!$S368</f>
        <v>15</v>
      </c>
      <c r="B372" s="72">
        <f>VLOOKUP('Old Data'!$F368,$R$6:$T$135,2,FALSE)+VLOOKUP('Old Data'!$P368,$R$6:$T$135,3,FALSE)+$B$2</f>
        <v>281.3759915225678</v>
      </c>
      <c r="C372" s="72">
        <f>VLOOKUP('Old Data'!$P368,$R$6:$T$135,2,FALSE)+VLOOKUP('Old Data'!$F368,$R$6:$T$135,3,FALSE)+$B$2</f>
        <v>204.41449915499851</v>
      </c>
      <c r="D372" s="74">
        <f>('Old Data'!$I368-$B372)^2+('Old Data'!$S368-$C372)^2</f>
        <v>2835.1263144216186</v>
      </c>
      <c r="E372" s="75">
        <f>'Old Data'!$K368-'Old Data'!$U368</f>
        <v>80</v>
      </c>
      <c r="F372" s="72">
        <f>VLOOKUP('Old Data'!$F368,$V$6:$X$135,2,FALSE)+VLOOKUP('Old Data'!$P368,$V$6:$X$135,3,FALSE)+$C$2</f>
        <v>245.06570707831861</v>
      </c>
      <c r="G372" s="72">
        <f>VLOOKUP('Old Data'!$P368,$V$6:$X$135,2,FALSE)+VLOOKUP('Old Data'!$F368,$V$6:$X$135,3,FALSE)+$C$2</f>
        <v>250.94817258646589</v>
      </c>
      <c r="H372" s="74">
        <f>('Old Data'!$K368-$F372)^2+('Old Data'!$U368-$G372)^2</f>
        <v>9518.4000334048742</v>
      </c>
      <c r="I372" s="75">
        <f>('Old Data'!$L368+'Old Data'!$M368)-('Old Data'!$V368+'Old Data'!$W368)</f>
        <v>-38</v>
      </c>
      <c r="J372" s="72">
        <f>VLOOKUP('Old Data'!$F368,$Z$6:$AB$135,2,FALSE)+VLOOKUP('Old Data'!$P368,$Z$6:$AB$135,3,FALSE)+$D$2</f>
        <v>61.078052440511996</v>
      </c>
      <c r="K372" s="72">
        <f>VLOOKUP('Old Data'!$P368,$Z$6:$AB$135,2,FALSE)+VLOOKUP('Old Data'!$F368,$Z$6:$AB$135,3,FALSE)+$D$2</f>
        <v>82.943581395048795</v>
      </c>
      <c r="L372" s="74">
        <f>('Old Data'!$L368+'Old Data'!$M368-$J372)^2+('Old Data'!$V368+'Old Data'!$W368-$K372)^2</f>
        <v>1283.1992360767838</v>
      </c>
      <c r="M372" s="75">
        <f>'Old Data'!$N368-'Old Data'!$X368</f>
        <v>1</v>
      </c>
      <c r="N372" s="72">
        <f>VLOOKUP('Old Data'!$F368,$AD$6:$AF$135,2,FALSE)+VLOOKUP('Old Data'!$P368,$AD$6:$AF$135,3,FALSE)+$E$2</f>
        <v>0.50653956132566613</v>
      </c>
      <c r="O372" s="72">
        <f>VLOOKUP('Old Data'!$P368,$AD$6:$AF$135,2,FALSE)+VLOOKUP('Old Data'!$F368,$AD$6:$AF$135,3,FALSE)+$E$2</f>
        <v>1.0093200505105488</v>
      </c>
      <c r="P372" s="73">
        <f>('Old Data'!$N368-$N372)^2+('Old Data'!$X368-$O372)^2</f>
        <v>1.262230168899283</v>
      </c>
      <c r="Q372" s="62"/>
      <c r="R372" s="3"/>
      <c r="S372" s="3"/>
      <c r="T372" s="3"/>
      <c r="V372" s="3"/>
      <c r="W372" s="3"/>
      <c r="X372" s="3"/>
      <c r="Z372" s="3"/>
      <c r="AA372" s="3"/>
      <c r="AB372" s="3"/>
      <c r="AC372" s="3"/>
      <c r="AD372" s="3"/>
      <c r="AE372" s="3"/>
      <c r="AF372" s="3"/>
      <c r="AG372" s="3"/>
      <c r="AH372" s="37"/>
      <c r="AI372" s="1"/>
      <c r="AK372" s="10"/>
      <c r="AL372" s="10"/>
      <c r="AM372" s="10"/>
      <c r="AN372" s="11"/>
      <c r="AO372" s="11"/>
      <c r="AP372" s="11"/>
      <c r="AQ372" s="36"/>
      <c r="AR372" s="11"/>
      <c r="AS372" s="11"/>
      <c r="AT372" s="11"/>
      <c r="AU372" s="12"/>
      <c r="AV372" s="11"/>
      <c r="AW372" s="11"/>
      <c r="AX372" s="15"/>
      <c r="AY372" s="15"/>
      <c r="AZ372" s="15"/>
      <c r="BA372" s="15"/>
      <c r="BB372" s="15"/>
      <c r="BC372" s="15"/>
      <c r="BD372" s="15"/>
      <c r="BE372" s="12"/>
      <c r="BF372" s="11"/>
      <c r="BG372" s="11"/>
      <c r="BH372" s="10"/>
      <c r="BI372" s="10"/>
      <c r="BJ372" s="10"/>
      <c r="BK372" s="23"/>
      <c r="BL372" s="23"/>
      <c r="BM372" s="23"/>
      <c r="BN372" s="23"/>
      <c r="BO372" s="23"/>
      <c r="BP372" s="23"/>
      <c r="BQ372" s="23"/>
      <c r="BR372" s="10"/>
      <c r="BS372" s="16"/>
      <c r="BT372" s="16"/>
      <c r="BU372" s="16"/>
      <c r="BV372" s="16"/>
      <c r="BW372" s="11"/>
      <c r="BX372" s="16"/>
      <c r="BY372" s="16"/>
      <c r="BZ372" s="17"/>
      <c r="CA372" s="18"/>
      <c r="CB372" s="18"/>
      <c r="CC372" s="18"/>
      <c r="CD372" s="18"/>
      <c r="CE372" s="18"/>
      <c r="CF372" s="18"/>
      <c r="CG372" s="19"/>
      <c r="CH372" s="15"/>
      <c r="CI372" s="17"/>
      <c r="CJ372" s="10"/>
      <c r="CK372" s="10"/>
      <c r="CL372" s="10"/>
      <c r="CM372" s="17"/>
      <c r="CN372" s="17"/>
      <c r="CO372" s="10"/>
      <c r="CP372" s="10"/>
      <c r="CQ372" s="10"/>
      <c r="CR372" s="10"/>
      <c r="CS372" s="10"/>
      <c r="CT372" s="10"/>
      <c r="CU372" s="10"/>
      <c r="CV372" s="10"/>
      <c r="CW372" s="10"/>
      <c r="CX372" s="10"/>
      <c r="CY372" s="10"/>
      <c r="CZ372" s="10"/>
      <c r="DA372" s="34"/>
      <c r="DB372" s="34"/>
      <c r="DC372" s="34"/>
      <c r="DD372" s="34"/>
      <c r="DE372" s="34"/>
      <c r="DF372" s="34"/>
      <c r="DG372" s="34"/>
      <c r="DH372" s="34"/>
      <c r="DI372" s="34"/>
      <c r="DJ372" s="34"/>
      <c r="DK372" s="34"/>
      <c r="DL372" s="34"/>
      <c r="DM372" s="34"/>
      <c r="DN372" s="34"/>
      <c r="DO372" s="34"/>
      <c r="DP372" s="34"/>
      <c r="DQ372" s="34"/>
      <c r="DR372" s="34"/>
      <c r="DS372" s="34"/>
      <c r="DT372" s="34"/>
      <c r="DU372" s="34"/>
      <c r="DV372" s="34"/>
      <c r="DW372" s="34"/>
      <c r="DX372" s="34"/>
      <c r="DY372" s="34"/>
      <c r="DZ372" s="34"/>
      <c r="EA372" s="34"/>
      <c r="EB372" s="34"/>
      <c r="EC372" s="34"/>
      <c r="ED372" s="34"/>
      <c r="EE372" s="34"/>
    </row>
    <row r="373" spans="1:135" customFormat="1">
      <c r="A373" s="71">
        <f>'Old Data'!$I369-'Old Data'!$S369</f>
        <v>146</v>
      </c>
      <c r="B373" s="72">
        <f>VLOOKUP('Old Data'!$F369,$R$6:$T$135,2,FALSE)+VLOOKUP('Old Data'!$P369,$R$6:$T$135,3,FALSE)+$B$2</f>
        <v>226.1674028715864</v>
      </c>
      <c r="C373" s="72">
        <f>VLOOKUP('Old Data'!$P369,$R$6:$T$135,2,FALSE)+VLOOKUP('Old Data'!$F369,$R$6:$T$135,3,FALSE)+$B$2</f>
        <v>69.243411127083405</v>
      </c>
      <c r="D373" s="74">
        <f>('Old Data'!$I369-$B373)^2+('Old Data'!$S369-$C373)^2</f>
        <v>1183.5594398252174</v>
      </c>
      <c r="E373" s="75">
        <f>'Old Data'!$K369-'Old Data'!$U369</f>
        <v>172</v>
      </c>
      <c r="F373" s="72">
        <f>VLOOKUP('Old Data'!$F369,$V$6:$X$135,2,FALSE)+VLOOKUP('Old Data'!$P369,$V$6:$X$135,3,FALSE)+$C$2</f>
        <v>289.14092532056111</v>
      </c>
      <c r="G373" s="72">
        <f>VLOOKUP('Old Data'!$P369,$V$6:$X$135,2,FALSE)+VLOOKUP('Old Data'!$F369,$V$6:$X$135,3,FALSE)+$C$2</f>
        <v>210.12155495590599</v>
      </c>
      <c r="H373" s="74">
        <f>('Old Data'!$K369-$F373)^2+('Old Data'!$U369-$G373)^2</f>
        <v>5820.796776434664</v>
      </c>
      <c r="I373" s="75">
        <f>('Old Data'!$L369+'Old Data'!$M369)-('Old Data'!$V369+'Old Data'!$W369)</f>
        <v>-34</v>
      </c>
      <c r="J373" s="72">
        <f>VLOOKUP('Old Data'!$F369,$Z$6:$AB$135,2,FALSE)+VLOOKUP('Old Data'!$P369,$Z$6:$AB$135,3,FALSE)+$D$2</f>
        <v>45.980698581003551</v>
      </c>
      <c r="K373" s="72">
        <f>VLOOKUP('Old Data'!$P369,$Z$6:$AB$135,2,FALSE)+VLOOKUP('Old Data'!$F369,$Z$6:$AB$135,3,FALSE)+$D$2</f>
        <v>59.535664593598135</v>
      </c>
      <c r="L373" s="74">
        <f>('Old Data'!$L369+'Old Data'!$M369-$J373)^2+('Old Data'!$V369+'Old Data'!$W369-$K373)^2</f>
        <v>1070.8039129957929</v>
      </c>
      <c r="M373" s="75">
        <f>'Old Data'!$N369-'Old Data'!$X369</f>
        <v>0</v>
      </c>
      <c r="N373" s="72">
        <f>VLOOKUP('Old Data'!$F369,$AD$6:$AF$135,2,FALSE)+VLOOKUP('Old Data'!$P369,$AD$6:$AF$135,3,FALSE)+$E$2</f>
        <v>1.092632491468589</v>
      </c>
      <c r="O373" s="72">
        <f>VLOOKUP('Old Data'!$P369,$AD$6:$AF$135,2,FALSE)+VLOOKUP('Old Data'!$F369,$AD$6:$AF$135,3,FALSE)+$E$2</f>
        <v>0.97807839621202808</v>
      </c>
      <c r="P373" s="73">
        <f>('Old Data'!$N369-$N373)^2+('Old Data'!$X369-$O373)^2</f>
        <v>2.150483110549549</v>
      </c>
      <c r="Q373" s="62"/>
      <c r="R373" s="3"/>
      <c r="S373" s="3"/>
      <c r="T373" s="3"/>
      <c r="V373" s="3"/>
      <c r="W373" s="3"/>
      <c r="X373" s="3"/>
      <c r="Z373" s="3"/>
      <c r="AA373" s="3"/>
      <c r="AB373" s="3"/>
      <c r="AC373" s="3"/>
      <c r="AD373" s="3"/>
      <c r="AE373" s="3"/>
      <c r="AF373" s="3"/>
      <c r="AG373" s="3"/>
      <c r="AH373" s="37"/>
      <c r="AI373" s="1"/>
      <c r="AK373" s="10"/>
      <c r="AL373" s="10"/>
      <c r="AM373" s="10"/>
      <c r="AN373" s="11"/>
      <c r="AO373" s="11"/>
      <c r="AP373" s="11"/>
      <c r="AQ373" s="36"/>
      <c r="AR373" s="11"/>
      <c r="AS373" s="11"/>
      <c r="AT373" s="11"/>
      <c r="AU373" s="12"/>
      <c r="AV373" s="11"/>
      <c r="AW373" s="11"/>
      <c r="AX373" s="15"/>
      <c r="AY373" s="15"/>
      <c r="AZ373" s="15"/>
      <c r="BA373" s="15"/>
      <c r="BB373" s="15"/>
      <c r="BC373" s="15"/>
      <c r="BD373" s="15"/>
      <c r="BE373" s="12"/>
      <c r="BF373" s="11"/>
      <c r="BG373" s="11"/>
      <c r="BH373" s="10"/>
      <c r="BI373" s="10"/>
      <c r="BJ373" s="10"/>
      <c r="BK373" s="23"/>
      <c r="BL373" s="23"/>
      <c r="BM373" s="23"/>
      <c r="BN373" s="23"/>
      <c r="BO373" s="23"/>
      <c r="BP373" s="23"/>
      <c r="BQ373" s="23"/>
      <c r="BR373" s="10"/>
      <c r="BS373" s="16"/>
      <c r="BT373" s="16"/>
      <c r="BU373" s="16"/>
      <c r="BV373" s="16"/>
      <c r="BW373" s="11"/>
      <c r="BX373" s="16"/>
      <c r="BY373" s="16"/>
      <c r="BZ373" s="17"/>
      <c r="CA373" s="18"/>
      <c r="CB373" s="18"/>
      <c r="CC373" s="18"/>
      <c r="CD373" s="18"/>
      <c r="CE373" s="18"/>
      <c r="CF373" s="18"/>
      <c r="CG373" s="19"/>
      <c r="CH373" s="15"/>
      <c r="CI373" s="17"/>
      <c r="CJ373" s="10"/>
      <c r="CK373" s="10"/>
      <c r="CL373" s="10"/>
      <c r="CM373" s="17"/>
      <c r="CN373" s="17"/>
      <c r="CO373" s="10"/>
      <c r="CP373" s="10"/>
      <c r="CQ373" s="10"/>
      <c r="CR373" s="10"/>
      <c r="CS373" s="10"/>
      <c r="CT373" s="10"/>
      <c r="CU373" s="10"/>
      <c r="CV373" s="10"/>
      <c r="CW373" s="10"/>
      <c r="CX373" s="10"/>
      <c r="CY373" s="10"/>
      <c r="CZ373" s="10"/>
      <c r="DA373" s="34"/>
      <c r="DB373" s="34"/>
      <c r="DC373" s="34"/>
      <c r="DD373" s="34"/>
      <c r="DE373" s="34"/>
      <c r="DF373" s="34"/>
      <c r="DG373" s="34"/>
      <c r="DH373" s="34"/>
      <c r="DI373" s="34"/>
      <c r="DJ373" s="34"/>
      <c r="DK373" s="34"/>
      <c r="DL373" s="34"/>
      <c r="DM373" s="34"/>
      <c r="DN373" s="34"/>
      <c r="DO373" s="34"/>
      <c r="DP373" s="34"/>
      <c r="DQ373" s="34"/>
      <c r="DR373" s="34"/>
      <c r="DS373" s="34"/>
      <c r="DT373" s="34"/>
      <c r="DU373" s="34"/>
      <c r="DV373" s="34"/>
      <c r="DW373" s="34"/>
      <c r="DX373" s="34"/>
      <c r="DY373" s="34"/>
      <c r="DZ373" s="34"/>
      <c r="EA373" s="34"/>
      <c r="EB373" s="34"/>
      <c r="EC373" s="34"/>
      <c r="ED373" s="34"/>
      <c r="EE373" s="34"/>
    </row>
    <row r="374" spans="1:135" customFormat="1">
      <c r="A374" s="71">
        <f>'Old Data'!$I370-'Old Data'!$S370</f>
        <v>57</v>
      </c>
      <c r="B374" s="72">
        <f>VLOOKUP('Old Data'!$F370,$R$6:$T$135,2,FALSE)+VLOOKUP('Old Data'!$P370,$R$6:$T$135,3,FALSE)+$B$2</f>
        <v>222.3819374178027</v>
      </c>
      <c r="C374" s="72">
        <f>VLOOKUP('Old Data'!$P370,$R$6:$T$135,2,FALSE)+VLOOKUP('Old Data'!$F370,$R$6:$T$135,3,FALSE)+$B$2</f>
        <v>161.44760324870302</v>
      </c>
      <c r="D374" s="74">
        <f>('Old Data'!$I370-$B374)^2+('Old Data'!$S370-$C374)^2</f>
        <v>7348.8796002220679</v>
      </c>
      <c r="E374" s="75">
        <f>'Old Data'!$K370-'Old Data'!$U370</f>
        <v>-124</v>
      </c>
      <c r="F374" s="72">
        <f>VLOOKUP('Old Data'!$F370,$V$6:$X$135,2,FALSE)+VLOOKUP('Old Data'!$P370,$V$6:$X$135,3,FALSE)+$C$2</f>
        <v>191.89968973930098</v>
      </c>
      <c r="G374" s="72">
        <f>VLOOKUP('Old Data'!$P370,$V$6:$X$135,2,FALSE)+VLOOKUP('Old Data'!$F370,$V$6:$X$135,3,FALSE)+$C$2</f>
        <v>264.5203362179742</v>
      </c>
      <c r="H374" s="74">
        <f>('Old Data'!$K370-$F374)^2+('Old Data'!$U370-$G374)^2</f>
        <v>2269.5260529170214</v>
      </c>
      <c r="I374" s="75">
        <f>('Old Data'!$L370+'Old Data'!$M370)-('Old Data'!$V370+'Old Data'!$W370)</f>
        <v>75</v>
      </c>
      <c r="J374" s="72">
        <f>VLOOKUP('Old Data'!$F370,$Z$6:$AB$135,2,FALSE)+VLOOKUP('Old Data'!$P370,$Z$6:$AB$135,3,FALSE)+$D$2</f>
        <v>45.392431782748091</v>
      </c>
      <c r="K374" s="72">
        <f>VLOOKUP('Old Data'!$P370,$Z$6:$AB$135,2,FALSE)+VLOOKUP('Old Data'!$F370,$Z$6:$AB$135,3,FALSE)+$D$2</f>
        <v>42.766648213862297</v>
      </c>
      <c r="L374" s="74">
        <f>('Old Data'!$L370+'Old Data'!$M370-$J374)^2+('Old Data'!$V370+'Old Data'!$W370-$K374)^2</f>
        <v>2796.5037352959444</v>
      </c>
      <c r="M374" s="75">
        <f>'Old Data'!$N370-'Old Data'!$X370</f>
        <v>-2</v>
      </c>
      <c r="N374" s="72">
        <f>VLOOKUP('Old Data'!$F370,$AD$6:$AF$135,2,FALSE)+VLOOKUP('Old Data'!$P370,$AD$6:$AF$135,3,FALSE)+$E$2</f>
        <v>1.7587613779556519</v>
      </c>
      <c r="O374" s="72">
        <f>VLOOKUP('Old Data'!$P370,$AD$6:$AF$135,2,FALSE)+VLOOKUP('Old Data'!$F370,$AD$6:$AF$135,3,FALSE)+$E$2</f>
        <v>2.4220876158965883</v>
      </c>
      <c r="P374" s="73">
        <f>('Old Data'!$N370-$N374)^2+('Old Data'!$X370-$O374)^2</f>
        <v>0.90970155237724892</v>
      </c>
      <c r="Q374" s="62"/>
      <c r="R374" s="3"/>
      <c r="S374" s="3"/>
      <c r="T374" s="3"/>
      <c r="V374" s="3"/>
      <c r="W374" s="3"/>
      <c r="X374" s="3"/>
      <c r="Z374" s="3"/>
      <c r="AA374" s="3"/>
      <c r="AB374" s="3"/>
      <c r="AC374" s="3"/>
      <c r="AD374" s="3"/>
      <c r="AE374" s="3"/>
      <c r="AF374" s="3"/>
      <c r="AG374" s="3"/>
      <c r="AH374" s="37"/>
      <c r="AI374" s="1"/>
      <c r="AK374" s="10"/>
      <c r="AL374" s="10"/>
      <c r="AM374" s="10"/>
      <c r="AN374" s="11"/>
      <c r="AO374" s="11"/>
      <c r="AP374" s="11"/>
      <c r="AQ374" s="36"/>
      <c r="AR374" s="11"/>
      <c r="AS374" s="11"/>
      <c r="AT374" s="11"/>
      <c r="AU374" s="12"/>
      <c r="AV374" s="11"/>
      <c r="AW374" s="11"/>
      <c r="AX374" s="15"/>
      <c r="AY374" s="15"/>
      <c r="AZ374" s="15"/>
      <c r="BA374" s="15"/>
      <c r="BB374" s="15"/>
      <c r="BC374" s="15"/>
      <c r="BD374" s="15"/>
      <c r="BE374" s="12"/>
      <c r="BF374" s="11"/>
      <c r="BG374" s="11"/>
      <c r="BH374" s="10"/>
      <c r="BI374" s="10"/>
      <c r="BJ374" s="10"/>
      <c r="BK374" s="23"/>
      <c r="BL374" s="23"/>
      <c r="BM374" s="23"/>
      <c r="BN374" s="23"/>
      <c r="BO374" s="23"/>
      <c r="BP374" s="23"/>
      <c r="BQ374" s="23"/>
      <c r="BR374" s="10"/>
      <c r="BS374" s="16"/>
      <c r="BT374" s="16"/>
      <c r="BU374" s="16"/>
      <c r="BV374" s="16"/>
      <c r="BW374" s="11"/>
      <c r="BX374" s="16"/>
      <c r="BY374" s="16"/>
      <c r="BZ374" s="17"/>
      <c r="CA374" s="18"/>
      <c r="CB374" s="18"/>
      <c r="CC374" s="18"/>
      <c r="CD374" s="18"/>
      <c r="CE374" s="18"/>
      <c r="CF374" s="18"/>
      <c r="CG374" s="19"/>
      <c r="CH374" s="15"/>
      <c r="CI374" s="17"/>
      <c r="CJ374" s="10"/>
      <c r="CK374" s="10"/>
      <c r="CL374" s="10"/>
      <c r="CM374" s="17"/>
      <c r="CN374" s="17"/>
      <c r="CO374" s="10"/>
      <c r="CP374" s="10"/>
      <c r="CQ374" s="10"/>
      <c r="CR374" s="10"/>
      <c r="CS374" s="10"/>
      <c r="CT374" s="10"/>
      <c r="CU374" s="10"/>
      <c r="CV374" s="10"/>
      <c r="CW374" s="10"/>
      <c r="CX374" s="10"/>
      <c r="CY374" s="10"/>
      <c r="CZ374" s="10"/>
      <c r="DA374" s="34"/>
      <c r="DB374" s="34"/>
      <c r="DC374" s="34"/>
      <c r="DD374" s="34"/>
      <c r="DE374" s="34"/>
      <c r="DF374" s="34"/>
      <c r="DG374" s="34"/>
      <c r="DH374" s="34"/>
      <c r="DI374" s="34"/>
      <c r="DJ374" s="34"/>
      <c r="DK374" s="34"/>
      <c r="DL374" s="34"/>
      <c r="DM374" s="34"/>
      <c r="DN374" s="34"/>
      <c r="DO374" s="34"/>
      <c r="DP374" s="34"/>
      <c r="DQ374" s="34"/>
      <c r="DR374" s="34"/>
      <c r="DS374" s="34"/>
      <c r="DT374" s="34"/>
      <c r="DU374" s="34"/>
      <c r="DV374" s="34"/>
      <c r="DW374" s="34"/>
      <c r="DX374" s="34"/>
      <c r="DY374" s="34"/>
      <c r="DZ374" s="34"/>
      <c r="EA374" s="34"/>
      <c r="EB374" s="34"/>
      <c r="EC374" s="34"/>
      <c r="ED374" s="34"/>
      <c r="EE374" s="34"/>
    </row>
    <row r="375" spans="1:135" customFormat="1">
      <c r="A375" s="71">
        <f>'Old Data'!$I371-'Old Data'!$S371</f>
        <v>-30</v>
      </c>
      <c r="B375" s="72">
        <f>VLOOKUP('Old Data'!$F371,$R$6:$T$135,2,FALSE)+VLOOKUP('Old Data'!$P371,$R$6:$T$135,3,FALSE)+$B$2</f>
        <v>150.12611546039352</v>
      </c>
      <c r="C375" s="72">
        <f>VLOOKUP('Old Data'!$P371,$R$6:$T$135,2,FALSE)+VLOOKUP('Old Data'!$F371,$R$6:$T$135,3,FALSE)+$B$2</f>
        <v>106.73546428610739</v>
      </c>
      <c r="D375" s="74">
        <f>('Old Data'!$I371-$B375)^2+('Old Data'!$S371-$C375)^2</f>
        <v>2704.9113187086673</v>
      </c>
      <c r="E375" s="75">
        <f>'Old Data'!$K371-'Old Data'!$U371</f>
        <v>-94</v>
      </c>
      <c r="F375" s="72">
        <f>VLOOKUP('Old Data'!$F371,$V$6:$X$135,2,FALSE)+VLOOKUP('Old Data'!$P371,$V$6:$X$135,3,FALSE)+$C$2</f>
        <v>182.49489897604548</v>
      </c>
      <c r="G375" s="72">
        <f>VLOOKUP('Old Data'!$P371,$V$6:$X$135,2,FALSE)+VLOOKUP('Old Data'!$F371,$V$6:$X$135,3,FALSE)+$C$2</f>
        <v>284.63051396672449</v>
      </c>
      <c r="H375" s="74">
        <f>('Old Data'!$K371-$F375)^2+('Old Data'!$U371-$G375)^2</f>
        <v>74.730696326317414</v>
      </c>
      <c r="I375" s="75">
        <f>('Old Data'!$L371+'Old Data'!$M371)-('Old Data'!$V371+'Old Data'!$W371)</f>
        <v>50</v>
      </c>
      <c r="J375" s="72">
        <f>VLOOKUP('Old Data'!$F371,$Z$6:$AB$135,2,FALSE)+VLOOKUP('Old Data'!$P371,$Z$6:$AB$135,3,FALSE)+$D$2</f>
        <v>53.602979071053419</v>
      </c>
      <c r="K375" s="72">
        <f>VLOOKUP('Old Data'!$P371,$Z$6:$AB$135,2,FALSE)+VLOOKUP('Old Data'!$F371,$Z$6:$AB$135,3,FALSE)+$D$2</f>
        <v>42.692588105254799</v>
      </c>
      <c r="L375" s="74">
        <f>('Old Data'!$L371+'Old Data'!$M371-$J375)^2+('Old Data'!$V371+'Old Data'!$W371-$K375)^2</f>
        <v>766.63358155383094</v>
      </c>
      <c r="M375" s="75">
        <f>'Old Data'!$N371-'Old Data'!$X371</f>
        <v>1</v>
      </c>
      <c r="N375" s="72">
        <f>VLOOKUP('Old Data'!$F371,$AD$6:$AF$135,2,FALSE)+VLOOKUP('Old Data'!$P371,$AD$6:$AF$135,3,FALSE)+$E$2</f>
        <v>1.7606432782641948</v>
      </c>
      <c r="O375" s="72">
        <f>VLOOKUP('Old Data'!$P371,$AD$6:$AF$135,2,FALSE)+VLOOKUP('Old Data'!$F371,$AD$6:$AF$135,3,FALSE)+$E$2</f>
        <v>1.163695116355425</v>
      </c>
      <c r="P375" s="73">
        <f>('Old Data'!$N371-$N375)^2+('Old Data'!$X371-$O375)^2</f>
        <v>1.9327645205979671</v>
      </c>
      <c r="Q375" s="62"/>
      <c r="R375" s="3"/>
      <c r="S375" s="3"/>
      <c r="T375" s="3"/>
      <c r="V375" s="3"/>
      <c r="W375" s="3"/>
      <c r="X375" s="3"/>
      <c r="Z375" s="3"/>
      <c r="AA375" s="3"/>
      <c r="AB375" s="3"/>
      <c r="AC375" s="3"/>
      <c r="AD375" s="3"/>
      <c r="AE375" s="3"/>
      <c r="AF375" s="3"/>
      <c r="AG375" s="3"/>
      <c r="AH375" s="37"/>
      <c r="AI375" s="1"/>
      <c r="AK375" s="10"/>
      <c r="AL375" s="10"/>
      <c r="AM375" s="10"/>
      <c r="AN375" s="11"/>
      <c r="AO375" s="11"/>
      <c r="AP375" s="11"/>
      <c r="AQ375" s="36"/>
      <c r="AR375" s="11"/>
      <c r="AS375" s="11"/>
      <c r="AT375" s="11"/>
      <c r="AU375" s="12"/>
      <c r="AV375" s="11"/>
      <c r="AW375" s="11"/>
      <c r="AX375" s="15"/>
      <c r="AY375" s="15"/>
      <c r="AZ375" s="15"/>
      <c r="BA375" s="15"/>
      <c r="BB375" s="15"/>
      <c r="BC375" s="15"/>
      <c r="BD375" s="15"/>
      <c r="BE375" s="12"/>
      <c r="BF375" s="11"/>
      <c r="BG375" s="11"/>
      <c r="BH375" s="10"/>
      <c r="BI375" s="10"/>
      <c r="BJ375" s="10"/>
      <c r="BK375" s="23"/>
      <c r="BL375" s="23"/>
      <c r="BM375" s="23"/>
      <c r="BN375" s="23"/>
      <c r="BO375" s="23"/>
      <c r="BP375" s="23"/>
      <c r="BQ375" s="23"/>
      <c r="BR375" s="10"/>
      <c r="BS375" s="16"/>
      <c r="BT375" s="16"/>
      <c r="BU375" s="16"/>
      <c r="BV375" s="16"/>
      <c r="BW375" s="11"/>
      <c r="BX375" s="16"/>
      <c r="BY375" s="16"/>
      <c r="BZ375" s="17"/>
      <c r="CA375" s="18"/>
      <c r="CB375" s="18"/>
      <c r="CC375" s="18"/>
      <c r="CD375" s="18"/>
      <c r="CE375" s="18"/>
      <c r="CF375" s="18"/>
      <c r="CG375" s="19"/>
      <c r="CH375" s="15"/>
      <c r="CI375" s="17"/>
      <c r="CJ375" s="10"/>
      <c r="CK375" s="10"/>
      <c r="CL375" s="10"/>
      <c r="CM375" s="17"/>
      <c r="CN375" s="17"/>
      <c r="CO375" s="10"/>
      <c r="CP375" s="10"/>
      <c r="CQ375" s="10"/>
      <c r="CR375" s="10"/>
      <c r="CS375" s="10"/>
      <c r="CT375" s="10"/>
      <c r="CU375" s="10"/>
      <c r="CV375" s="10"/>
      <c r="CW375" s="10"/>
      <c r="CX375" s="10"/>
      <c r="CY375" s="10"/>
      <c r="CZ375" s="10"/>
      <c r="DA375" s="34"/>
      <c r="DB375" s="34"/>
      <c r="DC375" s="34"/>
      <c r="DD375" s="34"/>
      <c r="DE375" s="34"/>
      <c r="DF375" s="34"/>
      <c r="DG375" s="34"/>
      <c r="DH375" s="34"/>
      <c r="DI375" s="34"/>
      <c r="DJ375" s="34"/>
      <c r="DK375" s="34"/>
      <c r="DL375" s="34"/>
      <c r="DM375" s="34"/>
      <c r="DN375" s="34"/>
      <c r="DO375" s="34"/>
      <c r="DP375" s="34"/>
      <c r="DQ375" s="34"/>
      <c r="DR375" s="34"/>
      <c r="DS375" s="34"/>
      <c r="DT375" s="34"/>
      <c r="DU375" s="34"/>
      <c r="DV375" s="34"/>
      <c r="DW375" s="34"/>
      <c r="DX375" s="34"/>
      <c r="DY375" s="34"/>
      <c r="DZ375" s="34"/>
      <c r="EA375" s="34"/>
      <c r="EB375" s="34"/>
      <c r="EC375" s="34"/>
      <c r="ED375" s="34"/>
      <c r="EE375" s="34"/>
    </row>
    <row r="376" spans="1:135" customFormat="1">
      <c r="A376" s="71">
        <f>'Old Data'!$I372-'Old Data'!$S372</f>
        <v>-57</v>
      </c>
      <c r="B376" s="72">
        <f>VLOOKUP('Old Data'!$F372,$R$6:$T$135,2,FALSE)+VLOOKUP('Old Data'!$P372,$R$6:$T$135,3,FALSE)+$B$2</f>
        <v>82.1199627272957</v>
      </c>
      <c r="C376" s="72">
        <f>VLOOKUP('Old Data'!$P372,$R$6:$T$135,2,FALSE)+VLOOKUP('Old Data'!$F372,$R$6:$T$135,3,FALSE)+$B$2</f>
        <v>220.004942734255</v>
      </c>
      <c r="D376" s="74">
        <f>('Old Data'!$I372-$B376)^2+('Old Data'!$S372-$C376)^2</f>
        <v>3951.0762939728893</v>
      </c>
      <c r="E376" s="75">
        <f>'Old Data'!$K372-'Old Data'!$U372</f>
        <v>-197</v>
      </c>
      <c r="F376" s="72">
        <f>VLOOKUP('Old Data'!$F372,$V$6:$X$135,2,FALSE)+VLOOKUP('Old Data'!$P372,$V$6:$X$135,3,FALSE)+$C$2</f>
        <v>123.3875564330136</v>
      </c>
      <c r="G376" s="72">
        <f>VLOOKUP('Old Data'!$P372,$V$6:$X$135,2,FALSE)+VLOOKUP('Old Data'!$F372,$V$6:$X$135,3,FALSE)+$C$2</f>
        <v>267.60020874758516</v>
      </c>
      <c r="H376" s="74">
        <f>('Old Data'!$K372-$F376)^2+('Old Data'!$U372-$G376)^2</f>
        <v>6194.0531003752349</v>
      </c>
      <c r="I376" s="75">
        <f>('Old Data'!$L372+'Old Data'!$M372)-('Old Data'!$V372+'Old Data'!$W372)</f>
        <v>57</v>
      </c>
      <c r="J376" s="72">
        <f>VLOOKUP('Old Data'!$F372,$Z$6:$AB$135,2,FALSE)+VLOOKUP('Old Data'!$P372,$Z$6:$AB$135,3,FALSE)+$D$2</f>
        <v>81.200270793518001</v>
      </c>
      <c r="K376" s="72">
        <f>VLOOKUP('Old Data'!$P372,$Z$6:$AB$135,2,FALSE)+VLOOKUP('Old Data'!$F372,$Z$6:$AB$135,3,FALSE)+$D$2</f>
        <v>29.076877519456296</v>
      </c>
      <c r="L376" s="74">
        <f>('Old Data'!$L372+'Old Data'!$M372-$J376)^2+('Old Data'!$V372+'Old Data'!$W372-$K376)^2</f>
        <v>238.24916674588582</v>
      </c>
      <c r="M376" s="75">
        <f>'Old Data'!$N372-'Old Data'!$X372</f>
        <v>-3</v>
      </c>
      <c r="N376" s="72">
        <f>VLOOKUP('Old Data'!$F372,$AD$6:$AF$135,2,FALSE)+VLOOKUP('Old Data'!$P372,$AD$6:$AF$135,3,FALSE)+$E$2</f>
        <v>0.54280035789763703</v>
      </c>
      <c r="O376" s="72">
        <f>VLOOKUP('Old Data'!$P372,$AD$6:$AF$135,2,FALSE)+VLOOKUP('Old Data'!$F372,$AD$6:$AF$135,3,FALSE)+$E$2</f>
        <v>1.7540438767099524</v>
      </c>
      <c r="P376" s="73">
        <f>('Old Data'!$N372-$N376)^2+('Old Data'!$X372-$O376)^2</f>
        <v>1.847038889697767</v>
      </c>
      <c r="Q376" s="62"/>
      <c r="R376" s="3"/>
      <c r="S376" s="3"/>
      <c r="T376" s="3"/>
      <c r="V376" s="3"/>
      <c r="W376" s="3"/>
      <c r="X376" s="3"/>
      <c r="Z376" s="3"/>
      <c r="AA376" s="3"/>
      <c r="AB376" s="3"/>
      <c r="AC376" s="3"/>
      <c r="AD376" s="3"/>
      <c r="AE376" s="3"/>
      <c r="AF376" s="3"/>
      <c r="AG376" s="3"/>
      <c r="AH376" s="37"/>
      <c r="AI376" s="1"/>
      <c r="AK376" s="10"/>
      <c r="AL376" s="10"/>
      <c r="AM376" s="10"/>
      <c r="AN376" s="11"/>
      <c r="AO376" s="11"/>
      <c r="AP376" s="11"/>
      <c r="AQ376" s="36"/>
      <c r="AR376" s="11"/>
      <c r="AS376" s="11"/>
      <c r="AT376" s="11"/>
      <c r="AU376" s="12"/>
      <c r="AV376" s="11"/>
      <c r="AW376" s="11"/>
      <c r="AX376" s="15"/>
      <c r="AY376" s="15"/>
      <c r="AZ376" s="15"/>
      <c r="BA376" s="15"/>
      <c r="BB376" s="15"/>
      <c r="BC376" s="15"/>
      <c r="BD376" s="15"/>
      <c r="BE376" s="12"/>
      <c r="BF376" s="11"/>
      <c r="BG376" s="11"/>
      <c r="BH376" s="10"/>
      <c r="BI376" s="10"/>
      <c r="BJ376" s="10"/>
      <c r="BK376" s="23"/>
      <c r="BL376" s="23"/>
      <c r="BM376" s="23"/>
      <c r="BN376" s="23"/>
      <c r="BO376" s="23"/>
      <c r="BP376" s="23"/>
      <c r="BQ376" s="23"/>
      <c r="BR376" s="10"/>
      <c r="BS376" s="16"/>
      <c r="BT376" s="16"/>
      <c r="BU376" s="16"/>
      <c r="BV376" s="16"/>
      <c r="BW376" s="11"/>
      <c r="BX376" s="16"/>
      <c r="BY376" s="16"/>
      <c r="BZ376" s="17"/>
      <c r="CA376" s="18"/>
      <c r="CB376" s="18"/>
      <c r="CC376" s="18"/>
      <c r="CD376" s="18"/>
      <c r="CE376" s="18"/>
      <c r="CF376" s="18"/>
      <c r="CG376" s="19"/>
      <c r="CH376" s="15"/>
      <c r="CI376" s="17"/>
      <c r="CJ376" s="10"/>
      <c r="CK376" s="10"/>
      <c r="CL376" s="10"/>
      <c r="CM376" s="17"/>
      <c r="CN376" s="17"/>
      <c r="CO376" s="10"/>
      <c r="CP376" s="10"/>
      <c r="CQ376" s="10"/>
      <c r="CR376" s="10"/>
      <c r="CS376" s="10"/>
      <c r="CT376" s="10"/>
      <c r="CU376" s="10"/>
      <c r="CV376" s="10"/>
      <c r="CW376" s="10"/>
      <c r="CX376" s="10"/>
      <c r="CY376" s="10"/>
      <c r="CZ376" s="10"/>
      <c r="DA376" s="34"/>
      <c r="DB376" s="34"/>
      <c r="DC376" s="34"/>
      <c r="DD376" s="34"/>
      <c r="DE376" s="34"/>
      <c r="DF376" s="34"/>
      <c r="DG376" s="34"/>
      <c r="DH376" s="34"/>
      <c r="DI376" s="34"/>
      <c r="DJ376" s="34"/>
      <c r="DK376" s="34"/>
      <c r="DL376" s="34"/>
      <c r="DM376" s="34"/>
      <c r="DN376" s="34"/>
      <c r="DO376" s="34"/>
      <c r="DP376" s="34"/>
      <c r="DQ376" s="34"/>
      <c r="DR376" s="34"/>
      <c r="DS376" s="34"/>
      <c r="DT376" s="34"/>
      <c r="DU376" s="34"/>
      <c r="DV376" s="34"/>
      <c r="DW376" s="34"/>
      <c r="DX376" s="34"/>
      <c r="DY376" s="34"/>
      <c r="DZ376" s="34"/>
      <c r="EA376" s="34"/>
      <c r="EB376" s="34"/>
      <c r="EC376" s="34"/>
      <c r="ED376" s="34"/>
      <c r="EE376" s="34"/>
    </row>
    <row r="377" spans="1:135" customFormat="1">
      <c r="A377" s="71">
        <f>'Old Data'!$I373-'Old Data'!$S373</f>
        <v>62</v>
      </c>
      <c r="B377" s="72">
        <f>VLOOKUP('Old Data'!$F373,$R$6:$T$135,2,FALSE)+VLOOKUP('Old Data'!$P373,$R$6:$T$135,3,FALSE)+$B$2</f>
        <v>108.1127387694694</v>
      </c>
      <c r="C377" s="72">
        <f>VLOOKUP('Old Data'!$P373,$R$6:$T$135,2,FALSE)+VLOOKUP('Old Data'!$F373,$R$6:$T$135,3,FALSE)+$B$2</f>
        <v>119.42061772100581</v>
      </c>
      <c r="D377" s="74">
        <f>('Old Data'!$I373-$B377)^2+('Old Data'!$S373-$C377)^2</f>
        <v>13122.328101640618</v>
      </c>
      <c r="E377" s="75">
        <f>'Old Data'!$K373-'Old Data'!$U373</f>
        <v>-30</v>
      </c>
      <c r="F377" s="72">
        <f>VLOOKUP('Old Data'!$F373,$V$6:$X$135,2,FALSE)+VLOOKUP('Old Data'!$P373,$V$6:$X$135,3,FALSE)+$C$2</f>
        <v>209.91983483068049</v>
      </c>
      <c r="G377" s="72">
        <f>VLOOKUP('Old Data'!$P373,$V$6:$X$135,2,FALSE)+VLOOKUP('Old Data'!$F373,$V$6:$X$135,3,FALSE)+$C$2</f>
        <v>319.65370770537663</v>
      </c>
      <c r="H377" s="74">
        <f>('Old Data'!$K373-$F377)^2+('Old Data'!$U373-$G377)^2</f>
        <v>15910.602980552518</v>
      </c>
      <c r="I377" s="75">
        <f>('Old Data'!$L373+'Old Data'!$M373)-('Old Data'!$V373+'Old Data'!$W373)</f>
        <v>64</v>
      </c>
      <c r="J377" s="72">
        <f>VLOOKUP('Old Data'!$F373,$Z$6:$AB$135,2,FALSE)+VLOOKUP('Old Data'!$P373,$Z$6:$AB$135,3,FALSE)+$D$2</f>
        <v>40.635959131232255</v>
      </c>
      <c r="K377" s="72">
        <f>VLOOKUP('Old Data'!$P373,$Z$6:$AB$135,2,FALSE)+VLOOKUP('Old Data'!$F373,$Z$6:$AB$135,3,FALSE)+$D$2</f>
        <v>38.572080834997188</v>
      </c>
      <c r="L377" s="74">
        <f>('Old Data'!$L373+'Old Data'!$M373-$J377)^2+('Old Data'!$V373+'Old Data'!$W373-$K377)^2</f>
        <v>2332.5300671449113</v>
      </c>
      <c r="M377" s="75">
        <f>'Old Data'!$N373-'Old Data'!$X373</f>
        <v>0</v>
      </c>
      <c r="N377" s="72">
        <f>VLOOKUP('Old Data'!$F373,$AD$6:$AF$135,2,FALSE)+VLOOKUP('Old Data'!$P373,$AD$6:$AF$135,3,FALSE)+$E$2</f>
        <v>1.521667697645855</v>
      </c>
      <c r="O377" s="72">
        <f>VLOOKUP('Old Data'!$P373,$AD$6:$AF$135,2,FALSE)+VLOOKUP('Old Data'!$F373,$AD$6:$AF$135,3,FALSE)+$E$2</f>
        <v>1.9647692110913191</v>
      </c>
      <c r="P377" s="73">
        <f>('Old Data'!$N373-$N377)^2+('Old Data'!$X373-$O377)^2</f>
        <v>1.2029168174368934</v>
      </c>
      <c r="Q377" s="62"/>
      <c r="R377" s="3"/>
      <c r="S377" s="3"/>
      <c r="T377" s="3"/>
      <c r="V377" s="3"/>
      <c r="W377" s="3"/>
      <c r="X377" s="3"/>
      <c r="Z377" s="3"/>
      <c r="AA377" s="3"/>
      <c r="AB377" s="3"/>
      <c r="AC377" s="3"/>
      <c r="AD377" s="3"/>
      <c r="AE377" s="3"/>
      <c r="AF377" s="3"/>
      <c r="AG377" s="3"/>
      <c r="AH377" s="37"/>
      <c r="AI377" s="1"/>
      <c r="AK377" s="10"/>
      <c r="AL377" s="10"/>
      <c r="AM377" s="10"/>
      <c r="AN377" s="11"/>
      <c r="AO377" s="11"/>
      <c r="AP377" s="11"/>
      <c r="AQ377" s="36"/>
      <c r="AR377" s="11"/>
      <c r="AS377" s="11"/>
      <c r="AT377" s="11"/>
      <c r="AU377" s="12"/>
      <c r="AV377" s="11"/>
      <c r="AW377" s="11"/>
      <c r="AX377" s="15"/>
      <c r="AY377" s="15"/>
      <c r="AZ377" s="15"/>
      <c r="BA377" s="15"/>
      <c r="BB377" s="15"/>
      <c r="BC377" s="15"/>
      <c r="BD377" s="15"/>
      <c r="BE377" s="12"/>
      <c r="BF377" s="11"/>
      <c r="BG377" s="11"/>
      <c r="BH377" s="10"/>
      <c r="BI377" s="10"/>
      <c r="BJ377" s="10"/>
      <c r="BK377" s="23"/>
      <c r="BL377" s="23"/>
      <c r="BM377" s="23"/>
      <c r="BN377" s="23"/>
      <c r="BO377" s="23"/>
      <c r="BP377" s="23"/>
      <c r="BQ377" s="23"/>
      <c r="BR377" s="10"/>
      <c r="BS377" s="16"/>
      <c r="BT377" s="16"/>
      <c r="BU377" s="16"/>
      <c r="BV377" s="16"/>
      <c r="BW377" s="11"/>
      <c r="BX377" s="16"/>
      <c r="BY377" s="16"/>
      <c r="BZ377" s="17"/>
      <c r="CA377" s="18"/>
      <c r="CB377" s="18"/>
      <c r="CC377" s="18"/>
      <c r="CD377" s="18"/>
      <c r="CE377" s="18"/>
      <c r="CF377" s="18"/>
      <c r="CG377" s="19"/>
      <c r="CH377" s="15"/>
      <c r="CI377" s="17"/>
      <c r="CJ377" s="10"/>
      <c r="CK377" s="10"/>
      <c r="CL377" s="10"/>
      <c r="CM377" s="17"/>
      <c r="CN377" s="17"/>
      <c r="CO377" s="10"/>
      <c r="CP377" s="10"/>
      <c r="CQ377" s="10"/>
      <c r="CR377" s="10"/>
      <c r="CS377" s="10"/>
      <c r="CT377" s="10"/>
      <c r="CU377" s="10"/>
      <c r="CV377" s="10"/>
      <c r="CW377" s="10"/>
      <c r="CX377" s="10"/>
      <c r="CY377" s="10"/>
      <c r="CZ377" s="10"/>
      <c r="DA377" s="34"/>
      <c r="DB377" s="34"/>
      <c r="DC377" s="34"/>
      <c r="DD377" s="34"/>
      <c r="DE377" s="34"/>
      <c r="DF377" s="34"/>
      <c r="DG377" s="34"/>
      <c r="DH377" s="34"/>
      <c r="DI377" s="34"/>
      <c r="DJ377" s="34"/>
      <c r="DK377" s="34"/>
      <c r="DL377" s="34"/>
      <c r="DM377" s="34"/>
      <c r="DN377" s="34"/>
      <c r="DO377" s="34"/>
      <c r="DP377" s="34"/>
      <c r="DQ377" s="34"/>
      <c r="DR377" s="34"/>
      <c r="DS377" s="34"/>
      <c r="DT377" s="34"/>
      <c r="DU377" s="34"/>
      <c r="DV377" s="34"/>
      <c r="DW377" s="34"/>
      <c r="DX377" s="34"/>
      <c r="DY377" s="34"/>
      <c r="DZ377" s="34"/>
      <c r="EA377" s="34"/>
      <c r="EB377" s="34"/>
      <c r="EC377" s="34"/>
      <c r="ED377" s="34"/>
      <c r="EE377" s="34"/>
    </row>
    <row r="378" spans="1:135" customFormat="1">
      <c r="A378" s="71">
        <f>'Old Data'!$I374-'Old Data'!$S374</f>
        <v>-215</v>
      </c>
      <c r="B378" s="72">
        <f>VLOOKUP('Old Data'!$F374,$R$6:$T$135,2,FALSE)+VLOOKUP('Old Data'!$P374,$R$6:$T$135,3,FALSE)+$B$2</f>
        <v>19.470405996947619</v>
      </c>
      <c r="C378" s="72">
        <f>VLOOKUP('Old Data'!$P374,$R$6:$T$135,2,FALSE)+VLOOKUP('Old Data'!$F374,$R$6:$T$135,3,FALSE)+$B$2</f>
        <v>187.54452869304822</v>
      </c>
      <c r="D378" s="74">
        <f>('Old Data'!$I374-$B378)^2+('Old Data'!$S374-$C378)^2</f>
        <v>8061.2567984732832</v>
      </c>
      <c r="E378" s="75">
        <f>'Old Data'!$K374-'Old Data'!$U374</f>
        <v>130</v>
      </c>
      <c r="F378" s="72">
        <f>VLOOKUP('Old Data'!$F374,$V$6:$X$135,2,FALSE)+VLOOKUP('Old Data'!$P374,$V$6:$X$135,3,FALSE)+$C$2</f>
        <v>308.01991941271467</v>
      </c>
      <c r="G378" s="72">
        <f>VLOOKUP('Old Data'!$P374,$V$6:$X$135,2,FALSE)+VLOOKUP('Old Data'!$F374,$V$6:$X$135,3,FALSE)+$C$2</f>
        <v>207.31920661758446</v>
      </c>
      <c r="H378" s="74">
        <f>('Old Data'!$K374-$F378)^2+('Old Data'!$U374-$G378)^2</f>
        <v>22340.658958921453</v>
      </c>
      <c r="I378" s="75">
        <f>('Old Data'!$L374+'Old Data'!$M374)-('Old Data'!$V374+'Old Data'!$W374)</f>
        <v>-107</v>
      </c>
      <c r="J378" s="72">
        <f>VLOOKUP('Old Data'!$F374,$Z$6:$AB$135,2,FALSE)+VLOOKUP('Old Data'!$P374,$Z$6:$AB$135,3,FALSE)+$D$2</f>
        <v>9.1202043546051925</v>
      </c>
      <c r="K378" s="72">
        <f>VLOOKUP('Old Data'!$P374,$Z$6:$AB$135,2,FALSE)+VLOOKUP('Old Data'!$F374,$Z$6:$AB$135,3,FALSE)+$D$2</f>
        <v>69.017051003236702</v>
      </c>
      <c r="L378" s="74">
        <f>('Old Data'!$L374+'Old Data'!$M374-$J378)^2+('Old Data'!$V374+'Old Data'!$W374-$K378)^2</f>
        <v>4219.0197740683871</v>
      </c>
      <c r="M378" s="75">
        <f>'Old Data'!$N374-'Old Data'!$X374</f>
        <v>-1</v>
      </c>
      <c r="N378" s="72">
        <f>VLOOKUP('Old Data'!$F374,$AD$6:$AF$135,2,FALSE)+VLOOKUP('Old Data'!$P374,$AD$6:$AF$135,3,FALSE)+$E$2</f>
        <v>1.176245314051461</v>
      </c>
      <c r="O378" s="72">
        <f>VLOOKUP('Old Data'!$P374,$AD$6:$AF$135,2,FALSE)+VLOOKUP('Old Data'!$F374,$AD$6:$AF$135,3,FALSE)+$E$2</f>
        <v>1.5194023773171741</v>
      </c>
      <c r="P378" s="73">
        <f>('Old Data'!$N374-$N378)^2+('Old Data'!$X374-$O378)^2</f>
        <v>1.6533318683907523</v>
      </c>
      <c r="Q378" s="62"/>
      <c r="R378" s="3"/>
      <c r="S378" s="3"/>
      <c r="T378" s="3"/>
      <c r="V378" s="3"/>
      <c r="W378" s="3"/>
      <c r="X378" s="3"/>
      <c r="Z378" s="3"/>
      <c r="AA378" s="3"/>
      <c r="AB378" s="3"/>
      <c r="AC378" s="3"/>
      <c r="AD378" s="3"/>
      <c r="AE378" s="3"/>
      <c r="AF378" s="3"/>
      <c r="AG378" s="3"/>
      <c r="AH378" s="37"/>
      <c r="AI378" s="1"/>
      <c r="AK378" s="10"/>
      <c r="AL378" s="10"/>
      <c r="AM378" s="10"/>
      <c r="AN378" s="11"/>
      <c r="AO378" s="11"/>
      <c r="AP378" s="11"/>
      <c r="AQ378" s="36"/>
      <c r="AR378" s="11"/>
      <c r="AS378" s="11"/>
      <c r="AT378" s="11"/>
      <c r="AU378" s="12"/>
      <c r="AV378" s="11"/>
      <c r="AW378" s="11"/>
      <c r="AX378" s="15"/>
      <c r="AY378" s="15"/>
      <c r="AZ378" s="15"/>
      <c r="BA378" s="15"/>
      <c r="BB378" s="15"/>
      <c r="BC378" s="15"/>
      <c r="BD378" s="15"/>
      <c r="BE378" s="12"/>
      <c r="BF378" s="11"/>
      <c r="BG378" s="11"/>
      <c r="BH378" s="10"/>
      <c r="BI378" s="10"/>
      <c r="BJ378" s="10"/>
      <c r="BK378" s="23"/>
      <c r="BL378" s="23"/>
      <c r="BM378" s="23"/>
      <c r="BN378" s="23"/>
      <c r="BO378" s="23"/>
      <c r="BP378" s="23"/>
      <c r="BQ378" s="23"/>
      <c r="BR378" s="10"/>
      <c r="BS378" s="16"/>
      <c r="BT378" s="16"/>
      <c r="BU378" s="16"/>
      <c r="BV378" s="16"/>
      <c r="BW378" s="11"/>
      <c r="BX378" s="16"/>
      <c r="BY378" s="16"/>
      <c r="BZ378" s="17"/>
      <c r="CA378" s="18"/>
      <c r="CB378" s="18"/>
      <c r="CC378" s="18"/>
      <c r="CD378" s="18"/>
      <c r="CE378" s="18"/>
      <c r="CF378" s="18"/>
      <c r="CG378" s="19"/>
      <c r="CH378" s="15"/>
      <c r="CI378" s="17"/>
      <c r="CJ378" s="10"/>
      <c r="CK378" s="10"/>
      <c r="CL378" s="10"/>
      <c r="CM378" s="17"/>
      <c r="CN378" s="17"/>
      <c r="CO378" s="10"/>
      <c r="CP378" s="10"/>
      <c r="CQ378" s="10"/>
      <c r="CR378" s="10"/>
      <c r="CS378" s="10"/>
      <c r="CT378" s="10"/>
      <c r="CU378" s="10"/>
      <c r="CV378" s="10"/>
      <c r="CW378" s="10"/>
      <c r="CX378" s="10"/>
      <c r="CY378" s="10"/>
      <c r="CZ378" s="10"/>
      <c r="DA378" s="34"/>
      <c r="DB378" s="34"/>
      <c r="DC378" s="34"/>
      <c r="DD378" s="34"/>
      <c r="DE378" s="34"/>
      <c r="DF378" s="34"/>
      <c r="DG378" s="34"/>
      <c r="DH378" s="34"/>
      <c r="DI378" s="34"/>
      <c r="DJ378" s="34"/>
      <c r="DK378" s="34"/>
      <c r="DL378" s="34"/>
      <c r="DM378" s="34"/>
      <c r="DN378" s="34"/>
      <c r="DO378" s="34"/>
      <c r="DP378" s="34"/>
      <c r="DQ378" s="34"/>
      <c r="DR378" s="34"/>
      <c r="DS378" s="34"/>
      <c r="DT378" s="34"/>
      <c r="DU378" s="34"/>
      <c r="DV378" s="34"/>
      <c r="DW378" s="34"/>
      <c r="DX378" s="34"/>
      <c r="DY378" s="34"/>
      <c r="DZ378" s="34"/>
      <c r="EA378" s="34"/>
      <c r="EB378" s="34"/>
      <c r="EC378" s="34"/>
      <c r="ED378" s="34"/>
      <c r="EE378" s="34"/>
    </row>
    <row r="379" spans="1:135" customFormat="1">
      <c r="A379" s="71">
        <f>'Old Data'!$I375-'Old Data'!$S375</f>
        <v>129</v>
      </c>
      <c r="B379" s="72">
        <f>VLOOKUP('Old Data'!$F375,$R$6:$T$135,2,FALSE)+VLOOKUP('Old Data'!$P375,$R$6:$T$135,3,FALSE)+$B$2</f>
        <v>162.95178014247895</v>
      </c>
      <c r="C379" s="72">
        <f>VLOOKUP('Old Data'!$P375,$R$6:$T$135,2,FALSE)+VLOOKUP('Old Data'!$F375,$R$6:$T$135,3,FALSE)+$B$2</f>
        <v>114.45723827928916</v>
      </c>
      <c r="D379" s="74">
        <f>('Old Data'!$I375-$B379)^2+('Old Data'!$S375-$C379)^2</f>
        <v>3294.7382271612041</v>
      </c>
      <c r="E379" s="75">
        <f>'Old Data'!$K375-'Old Data'!$U375</f>
        <v>253</v>
      </c>
      <c r="F379" s="72">
        <f>VLOOKUP('Old Data'!$F375,$V$6:$X$135,2,FALSE)+VLOOKUP('Old Data'!$P375,$V$6:$X$135,3,FALSE)+$C$2</f>
        <v>304.52300176101767</v>
      </c>
      <c r="G379" s="72">
        <f>VLOOKUP('Old Data'!$P375,$V$6:$X$135,2,FALSE)+VLOOKUP('Old Data'!$F375,$V$6:$X$135,3,FALSE)+$C$2</f>
        <v>282.45271671504992</v>
      </c>
      <c r="H379" s="74">
        <f>('Old Data'!$K375-$F379)^2+('Old Data'!$U375-$G379)^2</f>
        <v>29404.063751942493</v>
      </c>
      <c r="I379" s="75">
        <f>('Old Data'!$L375+'Old Data'!$M375)-('Old Data'!$V375+'Old Data'!$W375)</f>
        <v>-32</v>
      </c>
      <c r="J379" s="72">
        <f>VLOOKUP('Old Data'!$F375,$Z$6:$AB$135,2,FALSE)+VLOOKUP('Old Data'!$P375,$Z$6:$AB$135,3,FALSE)+$D$2</f>
        <v>60.182732808831098</v>
      </c>
      <c r="K379" s="72">
        <f>VLOOKUP('Old Data'!$P375,$Z$6:$AB$135,2,FALSE)+VLOOKUP('Old Data'!$F375,$Z$6:$AB$135,3,FALSE)+$D$2</f>
        <v>83.532852762429854</v>
      </c>
      <c r="L379" s="74">
        <f>('Old Data'!$L375+'Old Data'!$M375-$J379)^2+('Old Data'!$V375+'Old Data'!$W375-$K379)^2</f>
        <v>139.43246019454932</v>
      </c>
      <c r="M379" s="75">
        <f>'Old Data'!$N375-'Old Data'!$X375</f>
        <v>0</v>
      </c>
      <c r="N379" s="72">
        <f>VLOOKUP('Old Data'!$F375,$AD$6:$AF$135,2,FALSE)+VLOOKUP('Old Data'!$P375,$AD$6:$AF$135,3,FALSE)+$E$2</f>
        <v>1.5663277656779009</v>
      </c>
      <c r="O379" s="72">
        <f>VLOOKUP('Old Data'!$P375,$AD$6:$AF$135,2,FALSE)+VLOOKUP('Old Data'!$F375,$AD$6:$AF$135,3,FALSE)+$E$2</f>
        <v>1.5092299356537944</v>
      </c>
      <c r="P379" s="73">
        <f>('Old Data'!$N375-$N379)^2+('Old Data'!$X375-$O379)^2</f>
        <v>0.58004226554369098</v>
      </c>
      <c r="Q379" s="62"/>
      <c r="R379" s="3"/>
      <c r="S379" s="3"/>
      <c r="T379" s="3"/>
      <c r="V379" s="3"/>
      <c r="W379" s="3"/>
      <c r="X379" s="3"/>
      <c r="Z379" s="3"/>
      <c r="AA379" s="3"/>
      <c r="AB379" s="3"/>
      <c r="AC379" s="3"/>
      <c r="AD379" s="3"/>
      <c r="AE379" s="3"/>
      <c r="AF379" s="3"/>
      <c r="AG379" s="3"/>
      <c r="AH379" s="37"/>
      <c r="AI379" s="1"/>
      <c r="AK379" s="10"/>
      <c r="AL379" s="10"/>
      <c r="AM379" s="10"/>
      <c r="AN379" s="11"/>
      <c r="AO379" s="11"/>
      <c r="AP379" s="11"/>
      <c r="AQ379" s="36"/>
      <c r="AR379" s="11"/>
      <c r="AS379" s="11"/>
      <c r="AT379" s="11"/>
      <c r="AU379" s="12"/>
      <c r="AV379" s="11"/>
      <c r="AW379" s="11"/>
      <c r="AX379" s="15"/>
      <c r="AY379" s="15"/>
      <c r="AZ379" s="15"/>
      <c r="BA379" s="15"/>
      <c r="BB379" s="15"/>
      <c r="BC379" s="15"/>
      <c r="BD379" s="15"/>
      <c r="BE379" s="12"/>
      <c r="BF379" s="11"/>
      <c r="BG379" s="11"/>
      <c r="BH379" s="10"/>
      <c r="BI379" s="10"/>
      <c r="BJ379" s="10"/>
      <c r="BK379" s="23"/>
      <c r="BL379" s="23"/>
      <c r="BM379" s="23"/>
      <c r="BN379" s="23"/>
      <c r="BO379" s="23"/>
      <c r="BP379" s="23"/>
      <c r="BQ379" s="23"/>
      <c r="BR379" s="10"/>
      <c r="BS379" s="16"/>
      <c r="BT379" s="16"/>
      <c r="BU379" s="16"/>
      <c r="BV379" s="16"/>
      <c r="BW379" s="11"/>
      <c r="BX379" s="16"/>
      <c r="BY379" s="16"/>
      <c r="BZ379" s="17"/>
      <c r="CA379" s="18"/>
      <c r="CB379" s="18"/>
      <c r="CC379" s="18"/>
      <c r="CD379" s="18"/>
      <c r="CE379" s="18"/>
      <c r="CF379" s="18"/>
      <c r="CG379" s="19"/>
      <c r="CH379" s="15"/>
      <c r="CI379" s="17"/>
      <c r="CJ379" s="10"/>
      <c r="CK379" s="10"/>
      <c r="CL379" s="10"/>
      <c r="CM379" s="17"/>
      <c r="CN379" s="17"/>
      <c r="CO379" s="10"/>
      <c r="CP379" s="10"/>
      <c r="CQ379" s="10"/>
      <c r="CR379" s="10"/>
      <c r="CS379" s="10"/>
      <c r="CT379" s="10"/>
      <c r="CU379" s="10"/>
      <c r="CV379" s="10"/>
      <c r="CW379" s="10"/>
      <c r="CX379" s="10"/>
      <c r="CY379" s="10"/>
      <c r="CZ379" s="10"/>
      <c r="DA379" s="34"/>
      <c r="DB379" s="34"/>
      <c r="DC379" s="34"/>
      <c r="DD379" s="34"/>
      <c r="DE379" s="34"/>
      <c r="DF379" s="34"/>
      <c r="DG379" s="34"/>
      <c r="DH379" s="34"/>
      <c r="DI379" s="34"/>
      <c r="DJ379" s="34"/>
      <c r="DK379" s="34"/>
      <c r="DL379" s="34"/>
      <c r="DM379" s="34"/>
      <c r="DN379" s="34"/>
      <c r="DO379" s="34"/>
      <c r="DP379" s="34"/>
      <c r="DQ379" s="34"/>
      <c r="DR379" s="34"/>
      <c r="DS379" s="34"/>
      <c r="DT379" s="34"/>
      <c r="DU379" s="34"/>
      <c r="DV379" s="34"/>
      <c r="DW379" s="34"/>
      <c r="DX379" s="34"/>
      <c r="DY379" s="34"/>
      <c r="DZ379" s="34"/>
      <c r="EA379" s="34"/>
      <c r="EB379" s="34"/>
      <c r="EC379" s="34"/>
      <c r="ED379" s="34"/>
      <c r="EE379" s="34"/>
    </row>
    <row r="380" spans="1:135" customFormat="1">
      <c r="A380" s="71">
        <f>'Old Data'!$I376-'Old Data'!$S376</f>
        <v>-20</v>
      </c>
      <c r="B380" s="72">
        <f>VLOOKUP('Old Data'!$F376,$R$6:$T$135,2,FALSE)+VLOOKUP('Old Data'!$P376,$R$6:$T$135,3,FALSE)+$B$2</f>
        <v>249.23605670698711</v>
      </c>
      <c r="C380" s="72">
        <f>VLOOKUP('Old Data'!$P376,$R$6:$T$135,2,FALSE)+VLOOKUP('Old Data'!$F376,$R$6:$T$135,3,FALSE)+$B$2</f>
        <v>131.5802259566928</v>
      </c>
      <c r="D380" s="74">
        <f>('Old Data'!$I376-$B380)^2+('Old Data'!$S376-$C380)^2</f>
        <v>16340.57567415612</v>
      </c>
      <c r="E380" s="75">
        <f>'Old Data'!$K376-'Old Data'!$U376</f>
        <v>89</v>
      </c>
      <c r="F380" s="72">
        <f>VLOOKUP('Old Data'!$F376,$V$6:$X$135,2,FALSE)+VLOOKUP('Old Data'!$P376,$V$6:$X$135,3,FALSE)+$C$2</f>
        <v>302.25738917084573</v>
      </c>
      <c r="G380" s="72">
        <f>VLOOKUP('Old Data'!$P376,$V$6:$X$135,2,FALSE)+VLOOKUP('Old Data'!$F376,$V$6:$X$135,3,FALSE)+$C$2</f>
        <v>281.44493861593099</v>
      </c>
      <c r="H380" s="74">
        <f>('Old Data'!$K376-$F380)^2+('Old Data'!$U376-$G380)^2</f>
        <v>10174.524280689146</v>
      </c>
      <c r="I380" s="75">
        <f>('Old Data'!$L376+'Old Data'!$M376)-('Old Data'!$V376+'Old Data'!$W376)</f>
        <v>-47</v>
      </c>
      <c r="J380" s="72">
        <f>VLOOKUP('Old Data'!$F376,$Z$6:$AB$135,2,FALSE)+VLOOKUP('Old Data'!$P376,$Z$6:$AB$135,3,FALSE)+$D$2</f>
        <v>43.328459744023661</v>
      </c>
      <c r="K380" s="72">
        <f>VLOOKUP('Old Data'!$P376,$Z$6:$AB$135,2,FALSE)+VLOOKUP('Old Data'!$F376,$Z$6:$AB$135,3,FALSE)+$D$2</f>
        <v>61.891222888395298</v>
      </c>
      <c r="L380" s="74">
        <f>('Old Data'!$L376+'Old Data'!$M376-$J380)^2+('Old Data'!$V376+'Old Data'!$W376-$K380)^2</f>
        <v>923.39219445845401</v>
      </c>
      <c r="M380" s="75">
        <f>'Old Data'!$N376-'Old Data'!$X376</f>
        <v>-2</v>
      </c>
      <c r="N380" s="72">
        <f>VLOOKUP('Old Data'!$F376,$AD$6:$AF$135,2,FALSE)+VLOOKUP('Old Data'!$P376,$AD$6:$AF$135,3,FALSE)+$E$2</f>
        <v>1.8364640984636351</v>
      </c>
      <c r="O380" s="72">
        <f>VLOOKUP('Old Data'!$P376,$AD$6:$AF$135,2,FALSE)+VLOOKUP('Old Data'!$F376,$AD$6:$AF$135,3,FALSE)+$E$2</f>
        <v>0.30363578493969401</v>
      </c>
      <c r="P380" s="73">
        <f>('Old Data'!$N376-$N380)^2+('Old Data'!$X376-$O380)^2</f>
        <v>6.2502519350830195</v>
      </c>
      <c r="Q380" s="62"/>
      <c r="R380" s="3"/>
      <c r="S380" s="3"/>
      <c r="T380" s="3"/>
      <c r="V380" s="3"/>
      <c r="W380" s="3"/>
      <c r="X380" s="3"/>
      <c r="Z380" s="3"/>
      <c r="AA380" s="3"/>
      <c r="AB380" s="3"/>
      <c r="AC380" s="3"/>
      <c r="AD380" s="3"/>
      <c r="AE380" s="3"/>
      <c r="AF380" s="3"/>
      <c r="AG380" s="3"/>
      <c r="AH380" s="37"/>
      <c r="AI380" s="1"/>
      <c r="AK380" s="10"/>
      <c r="AL380" s="10"/>
      <c r="AM380" s="10"/>
      <c r="AN380" s="11"/>
      <c r="AO380" s="11"/>
      <c r="AP380" s="11"/>
      <c r="AQ380" s="36"/>
      <c r="AR380" s="11"/>
      <c r="AS380" s="11"/>
      <c r="AT380" s="11"/>
      <c r="AU380" s="12"/>
      <c r="AV380" s="11"/>
      <c r="AW380" s="11"/>
      <c r="AX380" s="15"/>
      <c r="AY380" s="15"/>
      <c r="AZ380" s="15"/>
      <c r="BA380" s="15"/>
      <c r="BB380" s="15"/>
      <c r="BC380" s="15"/>
      <c r="BD380" s="15"/>
      <c r="BE380" s="12"/>
      <c r="BF380" s="11"/>
      <c r="BG380" s="11"/>
      <c r="BH380" s="10"/>
      <c r="BI380" s="10"/>
      <c r="BJ380" s="10"/>
      <c r="BK380" s="23"/>
      <c r="BL380" s="23"/>
      <c r="BM380" s="23"/>
      <c r="BN380" s="23"/>
      <c r="BO380" s="23"/>
      <c r="BP380" s="23"/>
      <c r="BQ380" s="23"/>
      <c r="BR380" s="10"/>
      <c r="BS380" s="16"/>
      <c r="BT380" s="16"/>
      <c r="BU380" s="16"/>
      <c r="BV380" s="16"/>
      <c r="BW380" s="11"/>
      <c r="BX380" s="16"/>
      <c r="BY380" s="16"/>
      <c r="BZ380" s="17"/>
      <c r="CA380" s="18"/>
      <c r="CB380" s="18"/>
      <c r="CC380" s="18"/>
      <c r="CD380" s="18"/>
      <c r="CE380" s="18"/>
      <c r="CF380" s="18"/>
      <c r="CG380" s="19"/>
      <c r="CH380" s="15"/>
      <c r="CI380" s="17"/>
      <c r="CJ380" s="10"/>
      <c r="CK380" s="10"/>
      <c r="CL380" s="10"/>
      <c r="CM380" s="17"/>
      <c r="CN380" s="17"/>
      <c r="CO380" s="10"/>
      <c r="CP380" s="10"/>
      <c r="CQ380" s="10"/>
      <c r="CR380" s="10"/>
      <c r="CS380" s="10"/>
      <c r="CT380" s="10"/>
      <c r="CU380" s="10"/>
      <c r="CV380" s="10"/>
      <c r="CW380" s="10"/>
      <c r="CX380" s="10"/>
      <c r="CY380" s="10"/>
      <c r="CZ380" s="10"/>
      <c r="DA380" s="34"/>
      <c r="DB380" s="34"/>
      <c r="DC380" s="34"/>
      <c r="DD380" s="34"/>
      <c r="DE380" s="34"/>
      <c r="DF380" s="34"/>
      <c r="DG380" s="34"/>
      <c r="DH380" s="34"/>
      <c r="DI380" s="34"/>
      <c r="DJ380" s="34"/>
      <c r="DK380" s="34"/>
      <c r="DL380" s="34"/>
      <c r="DM380" s="34"/>
      <c r="DN380" s="34"/>
      <c r="DO380" s="34"/>
      <c r="DP380" s="34"/>
      <c r="DQ380" s="34"/>
      <c r="DR380" s="34"/>
      <c r="DS380" s="34"/>
      <c r="DT380" s="34"/>
      <c r="DU380" s="34"/>
      <c r="DV380" s="34"/>
      <c r="DW380" s="34"/>
      <c r="DX380" s="34"/>
      <c r="DY380" s="34"/>
      <c r="DZ380" s="34"/>
      <c r="EA380" s="34"/>
      <c r="EB380" s="34"/>
      <c r="EC380" s="34"/>
      <c r="ED380" s="34"/>
      <c r="EE380" s="34"/>
    </row>
    <row r="381" spans="1:135" customFormat="1">
      <c r="A381" s="71">
        <f>'Old Data'!$I377-'Old Data'!$S377</f>
        <v>-18</v>
      </c>
      <c r="B381" s="72">
        <f>VLOOKUP('Old Data'!$F377,$R$6:$T$135,2,FALSE)+VLOOKUP('Old Data'!$P377,$R$6:$T$135,3,FALSE)+$B$2</f>
        <v>112.15620246596581</v>
      </c>
      <c r="C381" s="72">
        <f>VLOOKUP('Old Data'!$P377,$R$6:$T$135,2,FALSE)+VLOOKUP('Old Data'!$F377,$R$6:$T$135,3,FALSE)+$B$2</f>
        <v>135.51367041254852</v>
      </c>
      <c r="D381" s="74">
        <f>('Old Data'!$I377-$B381)^2+('Old Data'!$S377-$C381)^2</f>
        <v>5667.3991982349817</v>
      </c>
      <c r="E381" s="75">
        <f>'Old Data'!$K377-'Old Data'!$U377</f>
        <v>-139</v>
      </c>
      <c r="F381" s="72">
        <f>VLOOKUP('Old Data'!$F377,$V$6:$X$135,2,FALSE)+VLOOKUP('Old Data'!$P377,$V$6:$X$135,3,FALSE)+$C$2</f>
        <v>303.51787425103498</v>
      </c>
      <c r="G381" s="72">
        <f>VLOOKUP('Old Data'!$P377,$V$6:$X$135,2,FALSE)+VLOOKUP('Old Data'!$F377,$V$6:$X$135,3,FALSE)+$C$2</f>
        <v>417.56769228889499</v>
      </c>
      <c r="H381" s="74">
        <f>('Old Data'!$K377-$F381)^2+('Old Data'!$U377-$G381)^2</f>
        <v>5728.1583709410424</v>
      </c>
      <c r="I381" s="75">
        <f>('Old Data'!$L377+'Old Data'!$M377)-('Old Data'!$V377+'Old Data'!$W377)</f>
        <v>114</v>
      </c>
      <c r="J381" s="72">
        <f>VLOOKUP('Old Data'!$F377,$Z$6:$AB$135,2,FALSE)+VLOOKUP('Old Data'!$P377,$Z$6:$AB$135,3,FALSE)+$D$2</f>
        <v>120.9049146744583</v>
      </c>
      <c r="K381" s="72">
        <f>VLOOKUP('Old Data'!$P377,$Z$6:$AB$135,2,FALSE)+VLOOKUP('Old Data'!$F377,$Z$6:$AB$135,3,FALSE)+$D$2</f>
        <v>57.298520933566749</v>
      </c>
      <c r="L381" s="74">
        <f>('Old Data'!$L377+'Old Data'!$M377-$J381)^2+('Old Data'!$V377+'Old Data'!$W377-$K381)^2</f>
        <v>2632.3571205396361</v>
      </c>
      <c r="M381" s="75">
        <f>'Old Data'!$N377-'Old Data'!$X377</f>
        <v>1</v>
      </c>
      <c r="N381" s="72">
        <f>VLOOKUP('Old Data'!$F377,$AD$6:$AF$135,2,FALSE)+VLOOKUP('Old Data'!$P377,$AD$6:$AF$135,3,FALSE)+$E$2</f>
        <v>1.246033616061951</v>
      </c>
      <c r="O381" s="72">
        <f>VLOOKUP('Old Data'!$P377,$AD$6:$AF$135,2,FALSE)+VLOOKUP('Old Data'!$F377,$AD$6:$AF$135,3,FALSE)+$E$2</f>
        <v>1.2556215445814711</v>
      </c>
      <c r="P381" s="73">
        <f>('Old Data'!$N377-$N381)^2+('Old Data'!$X377-$O381)^2</f>
        <v>1.6371180034496786</v>
      </c>
      <c r="Q381" s="62"/>
      <c r="R381" s="3"/>
      <c r="S381" s="3"/>
      <c r="T381" s="3"/>
      <c r="V381" s="3"/>
      <c r="W381" s="3"/>
      <c r="X381" s="3"/>
      <c r="Z381" s="3"/>
      <c r="AA381" s="3"/>
      <c r="AB381" s="3"/>
      <c r="AC381" s="3"/>
      <c r="AD381" s="3"/>
      <c r="AE381" s="3"/>
      <c r="AF381" s="3"/>
      <c r="AG381" s="3"/>
      <c r="AH381" s="37"/>
      <c r="AI381" s="1"/>
      <c r="AK381" s="10"/>
      <c r="AL381" s="10"/>
      <c r="AM381" s="10"/>
      <c r="AN381" s="11"/>
      <c r="AO381" s="11"/>
      <c r="AP381" s="11"/>
      <c r="AQ381" s="36"/>
      <c r="AR381" s="11"/>
      <c r="AS381" s="11"/>
      <c r="AT381" s="11"/>
      <c r="AU381" s="12"/>
      <c r="AV381" s="11"/>
      <c r="AW381" s="11"/>
      <c r="AX381" s="15"/>
      <c r="AY381" s="15"/>
      <c r="AZ381" s="15"/>
      <c r="BA381" s="15"/>
      <c r="BB381" s="15"/>
      <c r="BC381" s="15"/>
      <c r="BD381" s="15"/>
      <c r="BE381" s="12"/>
      <c r="BF381" s="11"/>
      <c r="BG381" s="11"/>
      <c r="BH381" s="10"/>
      <c r="BI381" s="10"/>
      <c r="BJ381" s="10"/>
      <c r="BK381" s="23"/>
      <c r="BL381" s="23"/>
      <c r="BM381" s="23"/>
      <c r="BN381" s="23"/>
      <c r="BO381" s="23"/>
      <c r="BP381" s="23"/>
      <c r="BQ381" s="23"/>
      <c r="BR381" s="10"/>
      <c r="BS381" s="16"/>
      <c r="BT381" s="16"/>
      <c r="BU381" s="16"/>
      <c r="BV381" s="16"/>
      <c r="BW381" s="11"/>
      <c r="BX381" s="16"/>
      <c r="BY381" s="16"/>
      <c r="BZ381" s="17"/>
      <c r="CA381" s="18"/>
      <c r="CB381" s="18"/>
      <c r="CC381" s="18"/>
      <c r="CD381" s="18"/>
      <c r="CE381" s="18"/>
      <c r="CF381" s="18"/>
      <c r="CG381" s="19"/>
      <c r="CH381" s="15"/>
      <c r="CI381" s="17"/>
      <c r="CJ381" s="10"/>
      <c r="CK381" s="10"/>
      <c r="CL381" s="10"/>
      <c r="CM381" s="17"/>
      <c r="CN381" s="17"/>
      <c r="CO381" s="10"/>
      <c r="CP381" s="10"/>
      <c r="CQ381" s="10"/>
      <c r="CR381" s="10"/>
      <c r="CS381" s="10"/>
      <c r="CT381" s="10"/>
      <c r="CU381" s="10"/>
      <c r="CV381" s="10"/>
      <c r="CW381" s="10"/>
      <c r="CX381" s="10"/>
      <c r="CY381" s="10"/>
      <c r="CZ381" s="10"/>
      <c r="DA381" s="34"/>
      <c r="DB381" s="34"/>
      <c r="DC381" s="34"/>
      <c r="DD381" s="34"/>
      <c r="DE381" s="34"/>
      <c r="DF381" s="34"/>
      <c r="DG381" s="34"/>
      <c r="DH381" s="34"/>
      <c r="DI381" s="34"/>
      <c r="DJ381" s="34"/>
      <c r="DK381" s="34"/>
      <c r="DL381" s="34"/>
      <c r="DM381" s="34"/>
      <c r="DN381" s="34"/>
      <c r="DO381" s="34"/>
      <c r="DP381" s="34"/>
      <c r="DQ381" s="34"/>
      <c r="DR381" s="34"/>
      <c r="DS381" s="34"/>
      <c r="DT381" s="34"/>
      <c r="DU381" s="34"/>
      <c r="DV381" s="34"/>
      <c r="DW381" s="34"/>
      <c r="DX381" s="34"/>
      <c r="DY381" s="34"/>
      <c r="DZ381" s="34"/>
      <c r="EA381" s="34"/>
      <c r="EB381" s="34"/>
      <c r="EC381" s="34"/>
      <c r="ED381" s="34"/>
      <c r="EE381" s="34"/>
    </row>
    <row r="382" spans="1:135" customFormat="1">
      <c r="A382" s="71">
        <f>'Old Data'!$I378-'Old Data'!$S378</f>
        <v>123</v>
      </c>
      <c r="B382" s="72">
        <f>VLOOKUP('Old Data'!$F378,$R$6:$T$135,2,FALSE)+VLOOKUP('Old Data'!$P378,$R$6:$T$135,3,FALSE)+$B$2</f>
        <v>161.06390746342399</v>
      </c>
      <c r="C382" s="72">
        <f>VLOOKUP('Old Data'!$P378,$R$6:$T$135,2,FALSE)+VLOOKUP('Old Data'!$F378,$R$6:$T$135,3,FALSE)+$B$2</f>
        <v>62.616673847826007</v>
      </c>
      <c r="D382" s="74">
        <f>('Old Data'!$I378-$B382)^2+('Old Data'!$S378-$C382)^2</f>
        <v>315.56727615662231</v>
      </c>
      <c r="E382" s="75">
        <f>'Old Data'!$K378-'Old Data'!$U378</f>
        <v>149</v>
      </c>
      <c r="F382" s="72">
        <f>VLOOKUP('Old Data'!$F378,$V$6:$X$135,2,FALSE)+VLOOKUP('Old Data'!$P378,$V$6:$X$135,3,FALSE)+$C$2</f>
        <v>188.30095134040209</v>
      </c>
      <c r="G382" s="72">
        <f>VLOOKUP('Old Data'!$P378,$V$6:$X$135,2,FALSE)+VLOOKUP('Old Data'!$F378,$V$6:$X$135,3,FALSE)+$C$2</f>
        <v>161.0495724064042</v>
      </c>
      <c r="H382" s="74">
        <f>('Old Data'!$K378-$F382)^2+('Old Data'!$U378-$G382)^2</f>
        <v>7645.7132767552848</v>
      </c>
      <c r="I382" s="75">
        <f>('Old Data'!$L378+'Old Data'!$M378)-('Old Data'!$V378+'Old Data'!$W378)</f>
        <v>-109</v>
      </c>
      <c r="J382" s="72">
        <f>VLOOKUP('Old Data'!$F378,$Z$6:$AB$135,2,FALSE)+VLOOKUP('Old Data'!$P378,$Z$6:$AB$135,3,FALSE)+$D$2</f>
        <v>33.37400281909845</v>
      </c>
      <c r="K382" s="72">
        <f>VLOOKUP('Old Data'!$P378,$Z$6:$AB$135,2,FALSE)+VLOOKUP('Old Data'!$F378,$Z$6:$AB$135,3,FALSE)+$D$2</f>
        <v>48.717752532160794</v>
      </c>
      <c r="L382" s="74">
        <f>('Old Data'!$L378+'Old Data'!$M378-$J382)^2+('Old Data'!$V378+'Old Data'!$W378-$K382)^2</f>
        <v>5681.5712955127747</v>
      </c>
      <c r="M382" s="75">
        <f>'Old Data'!$N378-'Old Data'!$X378</f>
        <v>1</v>
      </c>
      <c r="N382" s="72">
        <f>VLOOKUP('Old Data'!$F378,$AD$6:$AF$135,2,FALSE)+VLOOKUP('Old Data'!$P378,$AD$6:$AF$135,3,FALSE)+$E$2</f>
        <v>1.6660061799865538</v>
      </c>
      <c r="O382" s="72">
        <f>VLOOKUP('Old Data'!$P378,$AD$6:$AF$135,2,FALSE)+VLOOKUP('Old Data'!$F378,$AD$6:$AF$135,3,FALSE)+$E$2</f>
        <v>1.8087201694541712</v>
      </c>
      <c r="P382" s="73">
        <f>('Old Data'!$N378-$N382)^2+('Old Data'!$X378-$O382)^2</f>
        <v>1.8161274854077079</v>
      </c>
      <c r="Q382" s="62"/>
      <c r="R382" s="3"/>
      <c r="S382" s="3"/>
      <c r="T382" s="3"/>
      <c r="V382" s="3"/>
      <c r="W382" s="3"/>
      <c r="X382" s="3"/>
      <c r="Z382" s="3"/>
      <c r="AA382" s="3"/>
      <c r="AB382" s="3"/>
      <c r="AC382" s="3"/>
      <c r="AD382" s="3"/>
      <c r="AE382" s="3"/>
      <c r="AF382" s="3"/>
      <c r="AG382" s="3"/>
      <c r="AH382" s="37"/>
      <c r="AI382" s="1"/>
      <c r="AK382" s="10"/>
      <c r="AL382" s="10"/>
      <c r="AM382" s="10"/>
      <c r="AN382" s="11"/>
      <c r="AO382" s="11"/>
      <c r="AP382" s="11"/>
      <c r="AQ382" s="36"/>
      <c r="AR382" s="11"/>
      <c r="AS382" s="11"/>
      <c r="AT382" s="11"/>
      <c r="AU382" s="12"/>
      <c r="AV382" s="11"/>
      <c r="AW382" s="11"/>
      <c r="AX382" s="15"/>
      <c r="AY382" s="15"/>
      <c r="AZ382" s="15"/>
      <c r="BA382" s="15"/>
      <c r="BB382" s="15"/>
      <c r="BC382" s="15"/>
      <c r="BD382" s="15"/>
      <c r="BE382" s="12"/>
      <c r="BF382" s="11"/>
      <c r="BG382" s="11"/>
      <c r="BH382" s="10"/>
      <c r="BI382" s="10"/>
      <c r="BJ382" s="10"/>
      <c r="BK382" s="23"/>
      <c r="BL382" s="23"/>
      <c r="BM382" s="23"/>
      <c r="BN382" s="23"/>
      <c r="BO382" s="23"/>
      <c r="BP382" s="23"/>
      <c r="BQ382" s="23"/>
      <c r="BR382" s="10"/>
      <c r="BS382" s="16"/>
      <c r="BT382" s="16"/>
      <c r="BU382" s="16"/>
      <c r="BV382" s="16"/>
      <c r="BW382" s="11"/>
      <c r="BX382" s="16"/>
      <c r="BY382" s="16"/>
      <c r="BZ382" s="17"/>
      <c r="CA382" s="18"/>
      <c r="CB382" s="18"/>
      <c r="CC382" s="18"/>
      <c r="CD382" s="18"/>
      <c r="CE382" s="18"/>
      <c r="CF382" s="18"/>
      <c r="CG382" s="19"/>
      <c r="CH382" s="15"/>
      <c r="CI382" s="17"/>
      <c r="CJ382" s="10"/>
      <c r="CK382" s="10"/>
      <c r="CL382" s="10"/>
      <c r="CM382" s="17"/>
      <c r="CN382" s="17"/>
      <c r="CO382" s="10"/>
      <c r="CP382" s="10"/>
      <c r="CQ382" s="10"/>
      <c r="CR382" s="10"/>
      <c r="CS382" s="10"/>
      <c r="CT382" s="10"/>
      <c r="CU382" s="10"/>
      <c r="CV382" s="10"/>
      <c r="CW382" s="10"/>
      <c r="CX382" s="10"/>
      <c r="CY382" s="10"/>
      <c r="CZ382" s="10"/>
      <c r="DA382" s="34"/>
      <c r="DB382" s="34"/>
      <c r="DC382" s="34"/>
      <c r="DD382" s="34"/>
      <c r="DE382" s="34"/>
      <c r="DF382" s="34"/>
      <c r="DG382" s="34"/>
      <c r="DH382" s="34"/>
      <c r="DI382" s="34"/>
      <c r="DJ382" s="34"/>
      <c r="DK382" s="34"/>
      <c r="DL382" s="34"/>
      <c r="DM382" s="34"/>
      <c r="DN382" s="34"/>
      <c r="DO382" s="34"/>
      <c r="DP382" s="34"/>
      <c r="DQ382" s="34"/>
      <c r="DR382" s="34"/>
      <c r="DS382" s="34"/>
      <c r="DT382" s="34"/>
      <c r="DU382" s="34"/>
      <c r="DV382" s="34"/>
      <c r="DW382" s="34"/>
      <c r="DX382" s="34"/>
      <c r="DY382" s="34"/>
      <c r="DZ382" s="34"/>
      <c r="EA382" s="34"/>
      <c r="EB382" s="34"/>
      <c r="EC382" s="34"/>
      <c r="ED382" s="34"/>
      <c r="EE382" s="34"/>
    </row>
    <row r="383" spans="1:135" customFormat="1">
      <c r="A383" s="71">
        <f>'Old Data'!$I379-'Old Data'!$S379</f>
        <v>59</v>
      </c>
      <c r="B383" s="72">
        <f>VLOOKUP('Old Data'!$F379,$R$6:$T$135,2,FALSE)+VLOOKUP('Old Data'!$P379,$R$6:$T$135,3,FALSE)+$B$2</f>
        <v>177.58395355545642</v>
      </c>
      <c r="C383" s="72">
        <f>VLOOKUP('Old Data'!$P379,$R$6:$T$135,2,FALSE)+VLOOKUP('Old Data'!$F379,$R$6:$T$135,3,FALSE)+$B$2</f>
        <v>157.78832364658547</v>
      </c>
      <c r="D383" s="74">
        <f>('Old Data'!$I379-$B383)^2+('Old Data'!$S379-$C383)^2</f>
        <v>797.58239466235193</v>
      </c>
      <c r="E383" s="75">
        <f>'Old Data'!$K379-'Old Data'!$U379</f>
        <v>4</v>
      </c>
      <c r="F383" s="72">
        <f>VLOOKUP('Old Data'!$F379,$V$6:$X$135,2,FALSE)+VLOOKUP('Old Data'!$P379,$V$6:$X$135,3,FALSE)+$C$2</f>
        <v>366.65569624444748</v>
      </c>
      <c r="G383" s="72">
        <f>VLOOKUP('Old Data'!$P379,$V$6:$X$135,2,FALSE)+VLOOKUP('Old Data'!$F379,$V$6:$X$135,3,FALSE)+$C$2</f>
        <v>271.12804665225258</v>
      </c>
      <c r="H383" s="74">
        <f>('Old Data'!$K379-$F383)^2+('Old Data'!$U379-$G383)^2</f>
        <v>15108.67265221478</v>
      </c>
      <c r="I383" s="75">
        <f>('Old Data'!$L379+'Old Data'!$M379)-('Old Data'!$V379+'Old Data'!$W379)</f>
        <v>-125</v>
      </c>
      <c r="J383" s="72">
        <f>VLOOKUP('Old Data'!$F379,$Z$6:$AB$135,2,FALSE)+VLOOKUP('Old Data'!$P379,$Z$6:$AB$135,3,FALSE)+$D$2</f>
        <v>49.967983612776294</v>
      </c>
      <c r="K383" s="72">
        <f>VLOOKUP('Old Data'!$P379,$Z$6:$AB$135,2,FALSE)+VLOOKUP('Old Data'!$F379,$Z$6:$AB$135,3,FALSE)+$D$2</f>
        <v>101.73629402379916</v>
      </c>
      <c r="L383" s="74">
        <f>('Old Data'!$L379+'Old Data'!$M379-$J383)^2+('Old Data'!$V379+'Old Data'!$W379-$K383)^2</f>
        <v>4560.0229700551627</v>
      </c>
      <c r="M383" s="75">
        <f>'Old Data'!$N379-'Old Data'!$X379</f>
        <v>2</v>
      </c>
      <c r="N383" s="72">
        <f>VLOOKUP('Old Data'!$F379,$AD$6:$AF$135,2,FALSE)+VLOOKUP('Old Data'!$P379,$AD$6:$AF$135,3,FALSE)+$E$2</f>
        <v>1.1979604757127336</v>
      </c>
      <c r="O383" s="72">
        <f>VLOOKUP('Old Data'!$P379,$AD$6:$AF$135,2,FALSE)+VLOOKUP('Old Data'!$F379,$AD$6:$AF$135,3,FALSE)+$E$2</f>
        <v>1.5266966601593841</v>
      </c>
      <c r="P383" s="73">
        <f>('Old Data'!$N379-$N383)^2+('Old Data'!$X379-$O383)^2</f>
        <v>3.5247558189165273</v>
      </c>
      <c r="Q383" s="62"/>
      <c r="R383" s="3"/>
      <c r="S383" s="3"/>
      <c r="T383" s="3"/>
      <c r="V383" s="3"/>
      <c r="W383" s="3"/>
      <c r="X383" s="3"/>
      <c r="Z383" s="3"/>
      <c r="AA383" s="3"/>
      <c r="AB383" s="3"/>
      <c r="AC383" s="3"/>
      <c r="AD383" s="3"/>
      <c r="AE383" s="3"/>
      <c r="AF383" s="3"/>
      <c r="AG383" s="3"/>
      <c r="AH383" s="37"/>
      <c r="AI383" s="1"/>
      <c r="AK383" s="10"/>
      <c r="AL383" s="10"/>
      <c r="AM383" s="10"/>
      <c r="AN383" s="11"/>
      <c r="AO383" s="11"/>
      <c r="AP383" s="11"/>
      <c r="AQ383" s="36"/>
      <c r="AR383" s="11"/>
      <c r="AS383" s="11"/>
      <c r="AT383" s="11"/>
      <c r="AU383" s="12"/>
      <c r="AV383" s="11"/>
      <c r="AW383" s="11"/>
      <c r="AX383" s="15"/>
      <c r="AY383" s="15"/>
      <c r="AZ383" s="15"/>
      <c r="BA383" s="15"/>
      <c r="BB383" s="15"/>
      <c r="BC383" s="15"/>
      <c r="BD383" s="15"/>
      <c r="BE383" s="12"/>
      <c r="BF383" s="11"/>
      <c r="BG383" s="11"/>
      <c r="BH383" s="10"/>
      <c r="BI383" s="10"/>
      <c r="BJ383" s="10"/>
      <c r="BK383" s="23"/>
      <c r="BL383" s="23"/>
      <c r="BM383" s="23"/>
      <c r="BN383" s="23"/>
      <c r="BO383" s="23"/>
      <c r="BP383" s="23"/>
      <c r="BQ383" s="23"/>
      <c r="BR383" s="10"/>
      <c r="BS383" s="16"/>
      <c r="BT383" s="16"/>
      <c r="BU383" s="16"/>
      <c r="BV383" s="16"/>
      <c r="BW383" s="11"/>
      <c r="BX383" s="16"/>
      <c r="BY383" s="16"/>
      <c r="BZ383" s="17"/>
      <c r="CA383" s="18"/>
      <c r="CB383" s="18"/>
      <c r="CC383" s="18"/>
      <c r="CD383" s="18"/>
      <c r="CE383" s="18"/>
      <c r="CF383" s="18"/>
      <c r="CG383" s="19"/>
      <c r="CH383" s="15"/>
      <c r="CI383" s="17"/>
      <c r="CJ383" s="10"/>
      <c r="CK383" s="10"/>
      <c r="CL383" s="10"/>
      <c r="CM383" s="17"/>
      <c r="CN383" s="17"/>
      <c r="CO383" s="10"/>
      <c r="CP383" s="10"/>
      <c r="CQ383" s="10"/>
      <c r="CR383" s="10"/>
      <c r="CS383" s="10"/>
      <c r="CT383" s="10"/>
      <c r="CU383" s="10"/>
      <c r="CV383" s="10"/>
      <c r="CW383" s="10"/>
      <c r="CX383" s="10"/>
      <c r="CY383" s="10"/>
      <c r="CZ383" s="10"/>
      <c r="DA383" s="34"/>
      <c r="DB383" s="34"/>
      <c r="DC383" s="34"/>
      <c r="DD383" s="34"/>
      <c r="DE383" s="34"/>
      <c r="DF383" s="34"/>
      <c r="DG383" s="34"/>
      <c r="DH383" s="34"/>
      <c r="DI383" s="34"/>
      <c r="DJ383" s="34"/>
      <c r="DK383" s="34"/>
      <c r="DL383" s="34"/>
      <c r="DM383" s="34"/>
      <c r="DN383" s="34"/>
      <c r="DO383" s="34"/>
      <c r="DP383" s="34"/>
      <c r="DQ383" s="34"/>
      <c r="DR383" s="34"/>
      <c r="DS383" s="34"/>
      <c r="DT383" s="34"/>
      <c r="DU383" s="34"/>
      <c r="DV383" s="34"/>
      <c r="DW383" s="34"/>
      <c r="DX383" s="34"/>
      <c r="DY383" s="34"/>
      <c r="DZ383" s="34"/>
      <c r="EA383" s="34"/>
      <c r="EB383" s="34"/>
      <c r="EC383" s="34"/>
      <c r="ED383" s="34"/>
      <c r="EE383" s="34"/>
    </row>
    <row r="384" spans="1:135" customFormat="1">
      <c r="A384" s="71">
        <f>'Old Data'!$I380-'Old Data'!$S380</f>
        <v>40</v>
      </c>
      <c r="B384" s="72">
        <f>VLOOKUP('Old Data'!$F380,$R$6:$T$135,2,FALSE)+VLOOKUP('Old Data'!$P380,$R$6:$T$135,3,FALSE)+$B$2</f>
        <v>184.53611369454029</v>
      </c>
      <c r="C384" s="72">
        <f>VLOOKUP('Old Data'!$P380,$R$6:$T$135,2,FALSE)+VLOOKUP('Old Data'!$F380,$R$6:$T$135,3,FALSE)+$B$2</f>
        <v>63.462871166062016</v>
      </c>
      <c r="D384" s="74">
        <f>('Old Data'!$I380-$B384)^2+('Old Data'!$S380-$C384)^2</f>
        <v>3384.449539507551</v>
      </c>
      <c r="E384" s="75">
        <f>'Old Data'!$K380-'Old Data'!$U380</f>
        <v>166</v>
      </c>
      <c r="F384" s="72">
        <f>VLOOKUP('Old Data'!$F380,$V$6:$X$135,2,FALSE)+VLOOKUP('Old Data'!$P380,$V$6:$X$135,3,FALSE)+$C$2</f>
        <v>213.2722503805247</v>
      </c>
      <c r="G384" s="72">
        <f>VLOOKUP('Old Data'!$P380,$V$6:$X$135,2,FALSE)+VLOOKUP('Old Data'!$F380,$V$6:$X$135,3,FALSE)+$C$2</f>
        <v>155.166656488873</v>
      </c>
      <c r="H384" s="74">
        <f>('Old Data'!$K380-$F384)^2+('Old Data'!$U380-$G384)^2</f>
        <v>17439.411598505048</v>
      </c>
      <c r="I384" s="75">
        <f>('Old Data'!$L380+'Old Data'!$M380)-('Old Data'!$V380+'Old Data'!$W380)</f>
        <v>-50</v>
      </c>
      <c r="J384" s="72">
        <f>VLOOKUP('Old Data'!$F380,$Z$6:$AB$135,2,FALSE)+VLOOKUP('Old Data'!$P380,$Z$6:$AB$135,3,FALSE)+$D$2</f>
        <v>42.040138054203197</v>
      </c>
      <c r="K384" s="72">
        <f>VLOOKUP('Old Data'!$P380,$Z$6:$AB$135,2,FALSE)+VLOOKUP('Old Data'!$F380,$Z$6:$AB$135,3,FALSE)+$D$2</f>
        <v>72.977509486652849</v>
      </c>
      <c r="L384" s="74">
        <f>('Old Data'!$L380+'Old Data'!$M380-$J384)^2+('Old Data'!$V380+'Old Data'!$W380-$K384)^2</f>
        <v>866.84501868171617</v>
      </c>
      <c r="M384" s="75">
        <f>'Old Data'!$N380-'Old Data'!$X380</f>
        <v>-2</v>
      </c>
      <c r="N384" s="72">
        <f>VLOOKUP('Old Data'!$F380,$AD$6:$AF$135,2,FALSE)+VLOOKUP('Old Data'!$P380,$AD$6:$AF$135,3,FALSE)+$E$2</f>
        <v>1.676592932701223</v>
      </c>
      <c r="O384" s="72">
        <f>VLOOKUP('Old Data'!$P380,$AD$6:$AF$135,2,FALSE)+VLOOKUP('Old Data'!$F380,$AD$6:$AF$135,3,FALSE)+$E$2</f>
        <v>1.4007325647359561</v>
      </c>
      <c r="P384" s="73">
        <f>('Old Data'!$N380-$N384)^2+('Old Data'!$X380-$O384)^2</f>
        <v>6.8607833312029154</v>
      </c>
      <c r="Q384" s="62"/>
      <c r="R384" s="3"/>
      <c r="S384" s="3"/>
      <c r="T384" s="3"/>
      <c r="V384" s="3"/>
      <c r="W384" s="3"/>
      <c r="X384" s="3"/>
      <c r="Z384" s="3"/>
      <c r="AA384" s="3"/>
      <c r="AB384" s="3"/>
      <c r="AC384" s="3"/>
      <c r="AD384" s="3"/>
      <c r="AE384" s="3"/>
      <c r="AF384" s="3"/>
      <c r="AG384" s="3"/>
      <c r="AH384" s="37"/>
      <c r="AI384" s="1"/>
      <c r="AK384" s="10"/>
      <c r="AL384" s="10"/>
      <c r="AM384" s="10"/>
      <c r="AN384" s="11"/>
      <c r="AO384" s="11"/>
      <c r="AP384" s="11"/>
      <c r="AQ384" s="36"/>
      <c r="AR384" s="11"/>
      <c r="AS384" s="11"/>
      <c r="AT384" s="11"/>
      <c r="AU384" s="12"/>
      <c r="AV384" s="11"/>
      <c r="AW384" s="11"/>
      <c r="AX384" s="15"/>
      <c r="AY384" s="15"/>
      <c r="AZ384" s="15"/>
      <c r="BA384" s="15"/>
      <c r="BB384" s="15"/>
      <c r="BC384" s="15"/>
      <c r="BD384" s="15"/>
      <c r="BE384" s="12"/>
      <c r="BF384" s="11"/>
      <c r="BG384" s="11"/>
      <c r="BH384" s="10"/>
      <c r="BI384" s="10"/>
      <c r="BJ384" s="10"/>
      <c r="BK384" s="23"/>
      <c r="BL384" s="23"/>
      <c r="BM384" s="23"/>
      <c r="BN384" s="23"/>
      <c r="BO384" s="23"/>
      <c r="BP384" s="23"/>
      <c r="BQ384" s="23"/>
      <c r="BR384" s="10"/>
      <c r="BS384" s="16"/>
      <c r="BT384" s="16"/>
      <c r="BU384" s="16"/>
      <c r="BV384" s="16"/>
      <c r="BW384" s="11"/>
      <c r="BX384" s="16"/>
      <c r="BY384" s="16"/>
      <c r="BZ384" s="17"/>
      <c r="CA384" s="18"/>
      <c r="CB384" s="18"/>
      <c r="CC384" s="18"/>
      <c r="CD384" s="18"/>
      <c r="CE384" s="18"/>
      <c r="CF384" s="18"/>
      <c r="CG384" s="19"/>
      <c r="CH384" s="15"/>
      <c r="CI384" s="17"/>
      <c r="CJ384" s="10"/>
      <c r="CK384" s="10"/>
      <c r="CL384" s="10"/>
      <c r="CM384" s="17"/>
      <c r="CN384" s="17"/>
      <c r="CO384" s="10"/>
      <c r="CP384" s="10"/>
      <c r="CQ384" s="10"/>
      <c r="CR384" s="10"/>
      <c r="CS384" s="10"/>
      <c r="CT384" s="10"/>
      <c r="CU384" s="10"/>
      <c r="CV384" s="10"/>
      <c r="CW384" s="10"/>
      <c r="CX384" s="10"/>
      <c r="CY384" s="10"/>
      <c r="CZ384" s="10"/>
      <c r="DA384" s="34"/>
      <c r="DB384" s="34"/>
      <c r="DC384" s="34"/>
      <c r="DD384" s="34"/>
      <c r="DE384" s="34"/>
      <c r="DF384" s="34"/>
      <c r="DG384" s="34"/>
      <c r="DH384" s="34"/>
      <c r="DI384" s="34"/>
      <c r="DJ384" s="34"/>
      <c r="DK384" s="34"/>
      <c r="DL384" s="34"/>
      <c r="DM384" s="34"/>
      <c r="DN384" s="34"/>
      <c r="DO384" s="34"/>
      <c r="DP384" s="34"/>
      <c r="DQ384" s="34"/>
      <c r="DR384" s="34"/>
      <c r="DS384" s="34"/>
      <c r="DT384" s="34"/>
      <c r="DU384" s="34"/>
      <c r="DV384" s="34"/>
      <c r="DW384" s="34"/>
      <c r="DX384" s="34"/>
      <c r="DY384" s="34"/>
      <c r="DZ384" s="34"/>
      <c r="EA384" s="34"/>
      <c r="EB384" s="34"/>
      <c r="EC384" s="34"/>
      <c r="ED384" s="34"/>
      <c r="EE384" s="34"/>
    </row>
    <row r="385" spans="1:135" customFormat="1">
      <c r="A385" s="71">
        <f>'Old Data'!$I381-'Old Data'!$S381</f>
        <v>131</v>
      </c>
      <c r="B385" s="72">
        <f>VLOOKUP('Old Data'!$F381,$R$6:$T$135,2,FALSE)+VLOOKUP('Old Data'!$P381,$R$6:$T$135,3,FALSE)+$B$2</f>
        <v>159.56996514580629</v>
      </c>
      <c r="C385" s="72">
        <f>VLOOKUP('Old Data'!$P381,$R$6:$T$135,2,FALSE)+VLOOKUP('Old Data'!$F381,$R$6:$T$135,3,FALSE)+$B$2</f>
        <v>137.6927398245181</v>
      </c>
      <c r="D385" s="74">
        <f>('Old Data'!$I381-$B385)^2+('Old Data'!$S381-$C385)^2</f>
        <v>7738.1621855217054</v>
      </c>
      <c r="E385" s="75">
        <f>'Old Data'!$K381-'Old Data'!$U381</f>
        <v>-39</v>
      </c>
      <c r="F385" s="72">
        <f>VLOOKUP('Old Data'!$F381,$V$6:$X$135,2,FALSE)+VLOOKUP('Old Data'!$P381,$V$6:$X$135,3,FALSE)+$C$2</f>
        <v>292.91106268239128</v>
      </c>
      <c r="G385" s="72">
        <f>VLOOKUP('Old Data'!$P381,$V$6:$X$135,2,FALSE)+VLOOKUP('Old Data'!$F381,$V$6:$X$135,3,FALSE)+$C$2</f>
        <v>240.06762962931907</v>
      </c>
      <c r="H385" s="74">
        <f>('Old Data'!$K381-$F385)^2+('Old Data'!$U381-$G385)^2</f>
        <v>14872.497402005578</v>
      </c>
      <c r="I385" s="75">
        <f>('Old Data'!$L381+'Old Data'!$M381)-('Old Data'!$V381+'Old Data'!$W381)</f>
        <v>30</v>
      </c>
      <c r="J385" s="72">
        <f>VLOOKUP('Old Data'!$F381,$Z$6:$AB$135,2,FALSE)+VLOOKUP('Old Data'!$P381,$Z$6:$AB$135,3,FALSE)+$D$2</f>
        <v>57.223650995418396</v>
      </c>
      <c r="K385" s="72">
        <f>VLOOKUP('Old Data'!$P381,$Z$6:$AB$135,2,FALSE)+VLOOKUP('Old Data'!$F381,$Z$6:$AB$135,3,FALSE)+$D$2</f>
        <v>83.656674232628518</v>
      </c>
      <c r="L385" s="74">
        <f>('Old Data'!$L381+'Old Data'!$M381-$J385)^2+('Old Data'!$V381+'Old Data'!$W381-$K385)^2</f>
        <v>7329.6554174702496</v>
      </c>
      <c r="M385" s="75">
        <f>'Old Data'!$N381-'Old Data'!$X381</f>
        <v>0</v>
      </c>
      <c r="N385" s="72">
        <f>VLOOKUP('Old Data'!$F381,$AD$6:$AF$135,2,FALSE)+VLOOKUP('Old Data'!$P381,$AD$6:$AF$135,3,FALSE)+$E$2</f>
        <v>2.5358570176208182</v>
      </c>
      <c r="O385" s="72">
        <f>VLOOKUP('Old Data'!$P381,$AD$6:$AF$135,2,FALSE)+VLOOKUP('Old Data'!$F381,$AD$6:$AF$135,3,FALSE)+$E$2</f>
        <v>1.7547488643859801</v>
      </c>
      <c r="P385" s="73">
        <f>('Old Data'!$N381-$N385)^2+('Old Data'!$X381-$O385)^2</f>
        <v>0.34729086285344424</v>
      </c>
      <c r="Q385" s="62"/>
      <c r="R385" s="3"/>
      <c r="S385" s="3"/>
      <c r="T385" s="3"/>
      <c r="V385" s="3"/>
      <c r="W385" s="3"/>
      <c r="X385" s="3"/>
      <c r="Z385" s="3"/>
      <c r="AA385" s="3"/>
      <c r="AB385" s="3"/>
      <c r="AC385" s="3"/>
      <c r="AD385" s="3"/>
      <c r="AE385" s="3"/>
      <c r="AF385" s="3"/>
      <c r="AG385" s="3"/>
      <c r="AH385" s="37"/>
      <c r="AI385" s="1"/>
      <c r="AK385" s="10"/>
      <c r="AL385" s="10"/>
      <c r="AM385" s="10"/>
      <c r="AN385" s="11"/>
      <c r="AO385" s="11"/>
      <c r="AP385" s="11"/>
      <c r="AQ385" s="36"/>
      <c r="AR385" s="11"/>
      <c r="AS385" s="11"/>
      <c r="AT385" s="11"/>
      <c r="AU385" s="12"/>
      <c r="AV385" s="11"/>
      <c r="AW385" s="11"/>
      <c r="AX385" s="15"/>
      <c r="AY385" s="15"/>
      <c r="AZ385" s="15"/>
      <c r="BA385" s="15"/>
      <c r="BB385" s="15"/>
      <c r="BC385" s="15"/>
      <c r="BD385" s="15"/>
      <c r="BE385" s="12"/>
      <c r="BF385" s="11"/>
      <c r="BG385" s="11"/>
      <c r="BH385" s="10"/>
      <c r="BI385" s="10"/>
      <c r="BJ385" s="10"/>
      <c r="BK385" s="23"/>
      <c r="BL385" s="23"/>
      <c r="BM385" s="23"/>
      <c r="BN385" s="23"/>
      <c r="BO385" s="23"/>
      <c r="BP385" s="23"/>
      <c r="BQ385" s="23"/>
      <c r="BR385" s="10"/>
      <c r="BS385" s="16"/>
      <c r="BT385" s="16"/>
      <c r="BU385" s="16"/>
      <c r="BV385" s="16"/>
      <c r="BW385" s="11"/>
      <c r="BX385" s="16"/>
      <c r="BY385" s="16"/>
      <c r="BZ385" s="17"/>
      <c r="CA385" s="18"/>
      <c r="CB385" s="18"/>
      <c r="CC385" s="18"/>
      <c r="CD385" s="18"/>
      <c r="CE385" s="18"/>
      <c r="CF385" s="18"/>
      <c r="CG385" s="19"/>
      <c r="CH385" s="15"/>
      <c r="CI385" s="17"/>
      <c r="CJ385" s="10"/>
      <c r="CK385" s="10"/>
      <c r="CL385" s="10"/>
      <c r="CM385" s="17"/>
      <c r="CN385" s="17"/>
      <c r="CO385" s="10"/>
      <c r="CP385" s="10"/>
      <c r="CQ385" s="10"/>
      <c r="CR385" s="10"/>
      <c r="CS385" s="10"/>
      <c r="CT385" s="10"/>
      <c r="CU385" s="10"/>
      <c r="CV385" s="10"/>
      <c r="CW385" s="10"/>
      <c r="CX385" s="10"/>
      <c r="CY385" s="10"/>
      <c r="CZ385" s="10"/>
      <c r="DA385" s="34"/>
      <c r="DB385" s="34"/>
      <c r="DC385" s="34"/>
      <c r="DD385" s="34"/>
      <c r="DE385" s="34"/>
      <c r="DF385" s="34"/>
      <c r="DG385" s="34"/>
      <c r="DH385" s="34"/>
      <c r="DI385" s="34"/>
      <c r="DJ385" s="34"/>
      <c r="DK385" s="34"/>
      <c r="DL385" s="34"/>
      <c r="DM385" s="34"/>
      <c r="DN385" s="34"/>
      <c r="DO385" s="34"/>
      <c r="DP385" s="34"/>
      <c r="DQ385" s="34"/>
      <c r="DR385" s="34"/>
      <c r="DS385" s="34"/>
      <c r="DT385" s="34"/>
      <c r="DU385" s="34"/>
      <c r="DV385" s="34"/>
      <c r="DW385" s="34"/>
      <c r="DX385" s="34"/>
      <c r="DY385" s="34"/>
      <c r="DZ385" s="34"/>
      <c r="EA385" s="34"/>
      <c r="EB385" s="34"/>
      <c r="EC385" s="34"/>
      <c r="ED385" s="34"/>
      <c r="EE385" s="34"/>
    </row>
    <row r="386" spans="1:135" customFormat="1">
      <c r="A386" s="71">
        <f>'Old Data'!$I382-'Old Data'!$S382</f>
        <v>-3</v>
      </c>
      <c r="B386" s="72">
        <f>VLOOKUP('Old Data'!$F382,$R$6:$T$135,2,FALSE)+VLOOKUP('Old Data'!$P382,$R$6:$T$135,3,FALSE)+$B$2</f>
        <v>101.5355504560234</v>
      </c>
      <c r="C386" s="72">
        <f>VLOOKUP('Old Data'!$P382,$R$6:$T$135,2,FALSE)+VLOOKUP('Old Data'!$F382,$R$6:$T$135,3,FALSE)+$B$2</f>
        <v>215.23503546070586</v>
      </c>
      <c r="D386" s="74">
        <f>('Old Data'!$I382-$B386)^2+('Old Data'!$S382-$C386)^2</f>
        <v>6222.0025083959699</v>
      </c>
      <c r="E386" s="75">
        <f>'Old Data'!$K382-'Old Data'!$U382</f>
        <v>25</v>
      </c>
      <c r="F386" s="72">
        <f>VLOOKUP('Old Data'!$F382,$V$6:$X$135,2,FALSE)+VLOOKUP('Old Data'!$P382,$V$6:$X$135,3,FALSE)+$C$2</f>
        <v>159.4259745764019</v>
      </c>
      <c r="G386" s="72">
        <f>VLOOKUP('Old Data'!$P382,$V$6:$X$135,2,FALSE)+VLOOKUP('Old Data'!$F382,$V$6:$X$135,3,FALSE)+$C$2</f>
        <v>221.624751376266</v>
      </c>
      <c r="H386" s="74">
        <f>('Old Data'!$K382-$F386)^2+('Old Data'!$U382-$G386)^2</f>
        <v>6693.6697966601569</v>
      </c>
      <c r="I386" s="75">
        <f>('Old Data'!$L382+'Old Data'!$M382)-('Old Data'!$V382+'Old Data'!$W382)</f>
        <v>40</v>
      </c>
      <c r="J386" s="72">
        <f>VLOOKUP('Old Data'!$F382,$Z$6:$AB$135,2,FALSE)+VLOOKUP('Old Data'!$P382,$Z$6:$AB$135,3,FALSE)+$D$2</f>
        <v>37.024017478832008</v>
      </c>
      <c r="K386" s="72">
        <f>VLOOKUP('Old Data'!$P382,$Z$6:$AB$135,2,FALSE)+VLOOKUP('Old Data'!$F382,$Z$6:$AB$135,3,FALSE)+$D$2</f>
        <v>40.80995344715825</v>
      </c>
      <c r="L386" s="74">
        <f>('Old Data'!$L382+'Old Data'!$M382-$J386)^2+('Old Data'!$V382+'Old Data'!$W382-$K386)^2</f>
        <v>1161.9384586180861</v>
      </c>
      <c r="M386" s="75">
        <f>'Old Data'!$N382-'Old Data'!$X382</f>
        <v>0</v>
      </c>
      <c r="N386" s="72">
        <f>VLOOKUP('Old Data'!$F382,$AD$6:$AF$135,2,FALSE)+VLOOKUP('Old Data'!$P382,$AD$6:$AF$135,3,FALSE)+$E$2</f>
        <v>0.94277115750600315</v>
      </c>
      <c r="O386" s="72">
        <f>VLOOKUP('Old Data'!$P382,$AD$6:$AF$135,2,FALSE)+VLOOKUP('Old Data'!$F382,$AD$6:$AF$135,3,FALSE)+$E$2</f>
        <v>1.239712006150524</v>
      </c>
      <c r="P386" s="73">
        <f>('Old Data'!$N382-$N386)^2+('Old Data'!$X382-$O386)^2</f>
        <v>6.073698630591156E-2</v>
      </c>
      <c r="Q386" s="62"/>
      <c r="R386" s="3"/>
      <c r="S386" s="3"/>
      <c r="T386" s="3"/>
      <c r="V386" s="3"/>
      <c r="W386" s="3"/>
      <c r="X386" s="3"/>
      <c r="Z386" s="3"/>
      <c r="AA386" s="3"/>
      <c r="AB386" s="3"/>
      <c r="AC386" s="3"/>
      <c r="AD386" s="3"/>
      <c r="AE386" s="3"/>
      <c r="AF386" s="3"/>
      <c r="AG386" s="3"/>
      <c r="AH386" s="37"/>
      <c r="AI386" s="1"/>
      <c r="AK386" s="10"/>
      <c r="AL386" s="10"/>
      <c r="AM386" s="10"/>
      <c r="AN386" s="11"/>
      <c r="AO386" s="11"/>
      <c r="AP386" s="11"/>
      <c r="AQ386" s="36"/>
      <c r="AR386" s="11"/>
      <c r="AS386" s="11"/>
      <c r="AT386" s="11"/>
      <c r="AU386" s="12"/>
      <c r="AV386" s="11"/>
      <c r="AW386" s="11"/>
      <c r="AX386" s="15"/>
      <c r="AY386" s="15"/>
      <c r="AZ386" s="15"/>
      <c r="BA386" s="15"/>
      <c r="BB386" s="15"/>
      <c r="BC386" s="15"/>
      <c r="BD386" s="15"/>
      <c r="BE386" s="12"/>
      <c r="BF386" s="11"/>
      <c r="BG386" s="11"/>
      <c r="BH386" s="10"/>
      <c r="BI386" s="10"/>
      <c r="BJ386" s="10"/>
      <c r="BK386" s="23"/>
      <c r="BL386" s="23"/>
      <c r="BM386" s="23"/>
      <c r="BN386" s="23"/>
      <c r="BO386" s="23"/>
      <c r="BP386" s="23"/>
      <c r="BQ386" s="23"/>
      <c r="BR386" s="10"/>
      <c r="BS386" s="16"/>
      <c r="BT386" s="16"/>
      <c r="BU386" s="16"/>
      <c r="BV386" s="16"/>
      <c r="BW386" s="11"/>
      <c r="BX386" s="16"/>
      <c r="BY386" s="16"/>
      <c r="BZ386" s="17"/>
      <c r="CA386" s="18"/>
      <c r="CB386" s="18"/>
      <c r="CC386" s="18"/>
      <c r="CD386" s="18"/>
      <c r="CE386" s="18"/>
      <c r="CF386" s="18"/>
      <c r="CG386" s="19"/>
      <c r="CH386" s="15"/>
      <c r="CI386" s="17"/>
      <c r="CJ386" s="10"/>
      <c r="CK386" s="10"/>
      <c r="CL386" s="10"/>
      <c r="CM386" s="17"/>
      <c r="CN386" s="17"/>
      <c r="CO386" s="10"/>
      <c r="CP386" s="10"/>
      <c r="CQ386" s="10"/>
      <c r="CR386" s="10"/>
      <c r="CS386" s="10"/>
      <c r="CT386" s="10"/>
      <c r="CU386" s="10"/>
      <c r="CV386" s="10"/>
      <c r="CW386" s="10"/>
      <c r="CX386" s="10"/>
      <c r="CY386" s="10"/>
      <c r="CZ386" s="10"/>
      <c r="DA386" s="34"/>
      <c r="DB386" s="34"/>
      <c r="DC386" s="34"/>
      <c r="DD386" s="34"/>
      <c r="DE386" s="34"/>
      <c r="DF386" s="34"/>
      <c r="DG386" s="34"/>
      <c r="DH386" s="34"/>
      <c r="DI386" s="34"/>
      <c r="DJ386" s="34"/>
      <c r="DK386" s="34"/>
      <c r="DL386" s="34"/>
      <c r="DM386" s="34"/>
      <c r="DN386" s="34"/>
      <c r="DO386" s="34"/>
      <c r="DP386" s="34"/>
      <c r="DQ386" s="34"/>
      <c r="DR386" s="34"/>
      <c r="DS386" s="34"/>
      <c r="DT386" s="34"/>
      <c r="DU386" s="34"/>
      <c r="DV386" s="34"/>
      <c r="DW386" s="34"/>
      <c r="DX386" s="34"/>
      <c r="DY386" s="34"/>
      <c r="DZ386" s="34"/>
      <c r="EA386" s="34"/>
      <c r="EB386" s="34"/>
      <c r="EC386" s="34"/>
      <c r="ED386" s="34"/>
      <c r="EE386" s="34"/>
    </row>
    <row r="387" spans="1:135" customFormat="1">
      <c r="A387" s="71">
        <f>'Old Data'!$I383-'Old Data'!$S383</f>
        <v>22</v>
      </c>
      <c r="B387" s="72">
        <f>VLOOKUP('Old Data'!$F383,$R$6:$T$135,2,FALSE)+VLOOKUP('Old Data'!$P383,$R$6:$T$135,3,FALSE)+$B$2</f>
        <v>158.43796557117301</v>
      </c>
      <c r="C387" s="72">
        <f>VLOOKUP('Old Data'!$P383,$R$6:$T$135,2,FALSE)+VLOOKUP('Old Data'!$F383,$R$6:$T$135,3,FALSE)+$B$2</f>
        <v>128.3924045972507</v>
      </c>
      <c r="D387" s="74">
        <f>('Old Data'!$I383-$B387)^2+('Old Data'!$S383-$C387)^2</f>
        <v>32.710283000854844</v>
      </c>
      <c r="E387" s="75">
        <f>'Old Data'!$K383-'Old Data'!$U383</f>
        <v>35</v>
      </c>
      <c r="F387" s="72">
        <f>VLOOKUP('Old Data'!$F383,$V$6:$X$135,2,FALSE)+VLOOKUP('Old Data'!$P383,$V$6:$X$135,3,FALSE)+$C$2</f>
        <v>209.59936357087219</v>
      </c>
      <c r="G387" s="72">
        <f>VLOOKUP('Old Data'!$P383,$V$6:$X$135,2,FALSE)+VLOOKUP('Old Data'!$F383,$V$6:$X$135,3,FALSE)+$C$2</f>
        <v>183.58654146670406</v>
      </c>
      <c r="H387" s="74">
        <f>('Old Data'!$K383-$F387)^2+('Old Data'!$U383-$G387)^2</f>
        <v>7505.0823781914651</v>
      </c>
      <c r="I387" s="75">
        <f>('Old Data'!$L383+'Old Data'!$M383)-('Old Data'!$V383+'Old Data'!$W383)</f>
        <v>88</v>
      </c>
      <c r="J387" s="72">
        <f>VLOOKUP('Old Data'!$F383,$Z$6:$AB$135,2,FALSE)+VLOOKUP('Old Data'!$P383,$Z$6:$AB$135,3,FALSE)+$D$2</f>
        <v>106.4957793011901</v>
      </c>
      <c r="K387" s="72">
        <f>VLOOKUP('Old Data'!$P383,$Z$6:$AB$135,2,FALSE)+VLOOKUP('Old Data'!$F383,$Z$6:$AB$135,3,FALSE)+$D$2</f>
        <v>80.087313118487302</v>
      </c>
      <c r="L387" s="74">
        <f>('Old Data'!$L383+'Old Data'!$M383-$J387)^2+('Old Data'!$V383+'Old Data'!$W383-$K387)^2</f>
        <v>1911.4299628505107</v>
      </c>
      <c r="M387" s="75">
        <f>'Old Data'!$N383-'Old Data'!$X383</f>
        <v>3</v>
      </c>
      <c r="N387" s="72">
        <f>VLOOKUP('Old Data'!$F383,$AD$6:$AF$135,2,FALSE)+VLOOKUP('Old Data'!$P383,$AD$6:$AF$135,3,FALSE)+$E$2</f>
        <v>1.8604613844536109</v>
      </c>
      <c r="O387" s="72">
        <f>VLOOKUP('Old Data'!$P383,$AD$6:$AF$135,2,FALSE)+VLOOKUP('Old Data'!$F383,$AD$6:$AF$135,3,FALSE)+$E$2</f>
        <v>1.3965677480256311</v>
      </c>
      <c r="P387" s="73">
        <f>('Old Data'!$N383-$N387)^2+('Old Data'!$X383-$O387)^2</f>
        <v>10.220833201229794</v>
      </c>
      <c r="Q387" s="62"/>
      <c r="R387" s="3"/>
      <c r="S387" s="3"/>
      <c r="T387" s="3"/>
      <c r="V387" s="3"/>
      <c r="W387" s="3"/>
      <c r="X387" s="3"/>
      <c r="Z387" s="3"/>
      <c r="AA387" s="3"/>
      <c r="AB387" s="3"/>
      <c r="AC387" s="3"/>
      <c r="AD387" s="3"/>
      <c r="AE387" s="3"/>
      <c r="AF387" s="3"/>
      <c r="AG387" s="3"/>
      <c r="AH387" s="37"/>
      <c r="AI387" s="1"/>
      <c r="AK387" s="10"/>
      <c r="AL387" s="10"/>
      <c r="AM387" s="10"/>
      <c r="AN387" s="11"/>
      <c r="AO387" s="11"/>
      <c r="AP387" s="11"/>
      <c r="AQ387" s="36"/>
      <c r="AR387" s="11"/>
      <c r="AS387" s="11"/>
      <c r="AT387" s="11"/>
      <c r="AU387" s="12"/>
      <c r="AV387" s="11"/>
      <c r="AW387" s="11"/>
      <c r="AX387" s="15"/>
      <c r="AY387" s="15"/>
      <c r="AZ387" s="15"/>
      <c r="BA387" s="15"/>
      <c r="BB387" s="15"/>
      <c r="BC387" s="15"/>
      <c r="BD387" s="15"/>
      <c r="BE387" s="12"/>
      <c r="BF387" s="11"/>
      <c r="BG387" s="11"/>
      <c r="BH387" s="10"/>
      <c r="BI387" s="10"/>
      <c r="BJ387" s="10"/>
      <c r="BK387" s="23"/>
      <c r="BL387" s="23"/>
      <c r="BM387" s="23"/>
      <c r="BN387" s="23"/>
      <c r="BO387" s="23"/>
      <c r="BP387" s="23"/>
      <c r="BQ387" s="23"/>
      <c r="BR387" s="10"/>
      <c r="BS387" s="16"/>
      <c r="BT387" s="16"/>
      <c r="BU387" s="16"/>
      <c r="BV387" s="16"/>
      <c r="BW387" s="11"/>
      <c r="BX387" s="16"/>
      <c r="BY387" s="16"/>
      <c r="BZ387" s="17"/>
      <c r="CA387" s="18"/>
      <c r="CB387" s="18"/>
      <c r="CC387" s="18"/>
      <c r="CD387" s="18"/>
      <c r="CE387" s="18"/>
      <c r="CF387" s="18"/>
      <c r="CG387" s="19"/>
      <c r="CH387" s="15"/>
      <c r="CI387" s="17"/>
      <c r="CJ387" s="10"/>
      <c r="CK387" s="10"/>
      <c r="CL387" s="10"/>
      <c r="CM387" s="17"/>
      <c r="CN387" s="17"/>
      <c r="CO387" s="10"/>
      <c r="CP387" s="10"/>
      <c r="CQ387" s="10"/>
      <c r="CR387" s="10"/>
      <c r="CS387" s="10"/>
      <c r="CT387" s="10"/>
      <c r="CU387" s="10"/>
      <c r="CV387" s="10"/>
      <c r="CW387" s="10"/>
      <c r="CX387" s="10"/>
      <c r="CY387" s="10"/>
      <c r="CZ387" s="10"/>
      <c r="DA387" s="34"/>
      <c r="DB387" s="34"/>
      <c r="DC387" s="34"/>
      <c r="DD387" s="34"/>
      <c r="DE387" s="34"/>
      <c r="DF387" s="34"/>
      <c r="DG387" s="34"/>
      <c r="DH387" s="34"/>
      <c r="DI387" s="34"/>
      <c r="DJ387" s="34"/>
      <c r="DK387" s="34"/>
      <c r="DL387" s="34"/>
      <c r="DM387" s="34"/>
      <c r="DN387" s="34"/>
      <c r="DO387" s="34"/>
      <c r="DP387" s="34"/>
      <c r="DQ387" s="34"/>
      <c r="DR387" s="34"/>
      <c r="DS387" s="34"/>
      <c r="DT387" s="34"/>
      <c r="DU387" s="34"/>
      <c r="DV387" s="34"/>
      <c r="DW387" s="34"/>
      <c r="DX387" s="34"/>
      <c r="DY387" s="34"/>
      <c r="DZ387" s="34"/>
      <c r="EA387" s="34"/>
      <c r="EB387" s="34"/>
      <c r="EC387" s="34"/>
      <c r="ED387" s="34"/>
      <c r="EE387" s="34"/>
    </row>
    <row r="388" spans="1:135" customFormat="1">
      <c r="A388" s="71">
        <f>'Old Data'!$I384-'Old Data'!$S384</f>
        <v>111</v>
      </c>
      <c r="B388" s="72">
        <f>VLOOKUP('Old Data'!$F384,$R$6:$T$135,2,FALSE)+VLOOKUP('Old Data'!$P384,$R$6:$T$135,3,FALSE)+$B$2</f>
        <v>178.38581886096446</v>
      </c>
      <c r="C388" s="72">
        <f>VLOOKUP('Old Data'!$P384,$R$6:$T$135,2,FALSE)+VLOOKUP('Old Data'!$F384,$R$6:$T$135,3,FALSE)+$B$2</f>
        <v>164.5037174699344</v>
      </c>
      <c r="D388" s="74">
        <f>('Old Data'!$I384-$B388)^2+('Old Data'!$S384-$C388)^2</f>
        <v>6179.91425435364</v>
      </c>
      <c r="E388" s="75">
        <f>'Old Data'!$K384-'Old Data'!$U384</f>
        <v>-112</v>
      </c>
      <c r="F388" s="72">
        <f>VLOOKUP('Old Data'!$F384,$V$6:$X$135,2,FALSE)+VLOOKUP('Old Data'!$P384,$V$6:$X$135,3,FALSE)+$C$2</f>
        <v>227.81376628673644</v>
      </c>
      <c r="G388" s="72">
        <f>VLOOKUP('Old Data'!$P384,$V$6:$X$135,2,FALSE)+VLOOKUP('Old Data'!$F384,$V$6:$X$135,3,FALSE)+$C$2</f>
        <v>326.66071604194485</v>
      </c>
      <c r="H388" s="74">
        <f>('Old Data'!$K384-$F388)^2+('Old Data'!$U384-$G388)^2</f>
        <v>522.37946225068276</v>
      </c>
      <c r="I388" s="75">
        <f>('Old Data'!$L384+'Old Data'!$M384)-('Old Data'!$V384+'Old Data'!$W384)</f>
        <v>30</v>
      </c>
      <c r="J388" s="72">
        <f>VLOOKUP('Old Data'!$F384,$Z$6:$AB$135,2,FALSE)+VLOOKUP('Old Data'!$P384,$Z$6:$AB$135,3,FALSE)+$D$2</f>
        <v>72.232651665786861</v>
      </c>
      <c r="K388" s="72">
        <f>VLOOKUP('Old Data'!$P384,$Z$6:$AB$135,2,FALSE)+VLOOKUP('Old Data'!$F384,$Z$6:$AB$135,3,FALSE)+$D$2</f>
        <v>28.189262861475427</v>
      </c>
      <c r="L388" s="74">
        <f>('Old Data'!$L384+'Old Data'!$M384-$J388)^2+('Old Data'!$V384+'Old Data'!$W384-$K388)^2</f>
        <v>2578.2314073970474</v>
      </c>
      <c r="M388" s="75">
        <f>'Old Data'!$N384-'Old Data'!$X384</f>
        <v>-2</v>
      </c>
      <c r="N388" s="72">
        <f>VLOOKUP('Old Data'!$F384,$AD$6:$AF$135,2,FALSE)+VLOOKUP('Old Data'!$P384,$AD$6:$AF$135,3,FALSE)+$E$2</f>
        <v>1.0010104858069211</v>
      </c>
      <c r="O388" s="72">
        <f>VLOOKUP('Old Data'!$P384,$AD$6:$AF$135,2,FALSE)+VLOOKUP('Old Data'!$F384,$AD$6:$AF$135,3,FALSE)+$E$2</f>
        <v>1.9669298650218221</v>
      </c>
      <c r="P388" s="73">
        <f>('Old Data'!$N384-$N388)^2+('Old Data'!$X384-$O388)^2</f>
        <v>1.0031156265228831</v>
      </c>
      <c r="Q388" s="62"/>
      <c r="R388" s="3"/>
      <c r="S388" s="3"/>
      <c r="T388" s="3"/>
      <c r="V388" s="3"/>
      <c r="W388" s="3"/>
      <c r="X388" s="3"/>
      <c r="Z388" s="3"/>
      <c r="AA388" s="3"/>
      <c r="AB388" s="3"/>
      <c r="AC388" s="3"/>
      <c r="AD388" s="3"/>
      <c r="AE388" s="3"/>
      <c r="AF388" s="3"/>
      <c r="AG388" s="3"/>
      <c r="AH388" s="37"/>
      <c r="AI388" s="1"/>
      <c r="AK388" s="10"/>
      <c r="AL388" s="10"/>
      <c r="AM388" s="10"/>
      <c r="AN388" s="11"/>
      <c r="AO388" s="11"/>
      <c r="AP388" s="11"/>
      <c r="AQ388" s="36"/>
      <c r="AR388" s="11"/>
      <c r="AS388" s="11"/>
      <c r="AT388" s="11"/>
      <c r="AU388" s="12"/>
      <c r="AV388" s="11"/>
      <c r="AW388" s="11"/>
      <c r="AX388" s="15"/>
      <c r="AY388" s="15"/>
      <c r="AZ388" s="15"/>
      <c r="BA388" s="15"/>
      <c r="BB388" s="15"/>
      <c r="BC388" s="15"/>
      <c r="BD388" s="15"/>
      <c r="BE388" s="12"/>
      <c r="BF388" s="11"/>
      <c r="BG388" s="11"/>
      <c r="BH388" s="10"/>
      <c r="BI388" s="10"/>
      <c r="BJ388" s="10"/>
      <c r="BK388" s="23"/>
      <c r="BL388" s="23"/>
      <c r="BM388" s="23"/>
      <c r="BN388" s="23"/>
      <c r="BO388" s="23"/>
      <c r="BP388" s="23"/>
      <c r="BQ388" s="23"/>
      <c r="BR388" s="10"/>
      <c r="BS388" s="16"/>
      <c r="BT388" s="16"/>
      <c r="BU388" s="16"/>
      <c r="BV388" s="16"/>
      <c r="BW388" s="11"/>
      <c r="BX388" s="16"/>
      <c r="BY388" s="16"/>
      <c r="BZ388" s="17"/>
      <c r="CA388" s="18"/>
      <c r="CB388" s="18"/>
      <c r="CC388" s="18"/>
      <c r="CD388" s="18"/>
      <c r="CE388" s="18"/>
      <c r="CF388" s="18"/>
      <c r="CG388" s="19"/>
      <c r="CH388" s="15"/>
      <c r="CI388" s="17"/>
      <c r="CJ388" s="10"/>
      <c r="CK388" s="10"/>
      <c r="CL388" s="10"/>
      <c r="CM388" s="17"/>
      <c r="CN388" s="17"/>
      <c r="CO388" s="10"/>
      <c r="CP388" s="10"/>
      <c r="CQ388" s="10"/>
      <c r="CR388" s="10"/>
      <c r="CS388" s="10"/>
      <c r="CT388" s="10"/>
      <c r="CU388" s="10"/>
      <c r="CV388" s="10"/>
      <c r="CW388" s="10"/>
      <c r="CX388" s="10"/>
      <c r="CY388" s="10"/>
      <c r="CZ388" s="10"/>
      <c r="DA388" s="34"/>
      <c r="DB388" s="34"/>
      <c r="DC388" s="34"/>
      <c r="DD388" s="34"/>
      <c r="DE388" s="34"/>
      <c r="DF388" s="34"/>
      <c r="DG388" s="34"/>
      <c r="DH388" s="34"/>
      <c r="DI388" s="34"/>
      <c r="DJ388" s="34"/>
      <c r="DK388" s="34"/>
      <c r="DL388" s="34"/>
      <c r="DM388" s="34"/>
      <c r="DN388" s="34"/>
      <c r="DO388" s="34"/>
      <c r="DP388" s="34"/>
      <c r="DQ388" s="34"/>
      <c r="DR388" s="34"/>
      <c r="DS388" s="34"/>
      <c r="DT388" s="34"/>
      <c r="DU388" s="34"/>
      <c r="DV388" s="34"/>
      <c r="DW388" s="34"/>
      <c r="DX388" s="34"/>
      <c r="DY388" s="34"/>
      <c r="DZ388" s="34"/>
      <c r="EA388" s="34"/>
      <c r="EB388" s="34"/>
      <c r="EC388" s="34"/>
      <c r="ED388" s="34"/>
      <c r="EE388" s="34"/>
    </row>
    <row r="389" spans="1:135" customFormat="1">
      <c r="A389" s="71">
        <f>'Old Data'!$I385-'Old Data'!$S385</f>
        <v>-53</v>
      </c>
      <c r="B389" s="72">
        <f>VLOOKUP('Old Data'!$F385,$R$6:$T$135,2,FALSE)+VLOOKUP('Old Data'!$P385,$R$6:$T$135,3,FALSE)+$B$2</f>
        <v>162.82098398455949</v>
      </c>
      <c r="C389" s="72">
        <f>VLOOKUP('Old Data'!$P385,$R$6:$T$135,2,FALSE)+VLOOKUP('Old Data'!$F385,$R$6:$T$135,3,FALSE)+$B$2</f>
        <v>135.33902039564683</v>
      </c>
      <c r="D389" s="74">
        <f>('Old Data'!$I385-$B389)^2+('Old Data'!$S385-$C389)^2</f>
        <v>3325.2660892070567</v>
      </c>
      <c r="E389" s="75">
        <f>'Old Data'!$K385-'Old Data'!$U385</f>
        <v>28</v>
      </c>
      <c r="F389" s="72">
        <f>VLOOKUP('Old Data'!$F385,$V$6:$X$135,2,FALSE)+VLOOKUP('Old Data'!$P385,$V$6:$X$135,3,FALSE)+$C$2</f>
        <v>298.1303038898896</v>
      </c>
      <c r="G389" s="72">
        <f>VLOOKUP('Old Data'!$P385,$V$6:$X$135,2,FALSE)+VLOOKUP('Old Data'!$F385,$V$6:$X$135,3,FALSE)+$C$2</f>
        <v>294.48833518390069</v>
      </c>
      <c r="H389" s="74">
        <f>('Old Data'!$K385-$F389)^2+('Old Data'!$U385-$G389)^2</f>
        <v>307.32275770698288</v>
      </c>
      <c r="I389" s="75">
        <f>('Old Data'!$L385+'Old Data'!$M385)-('Old Data'!$V385+'Old Data'!$W385)</f>
        <v>-15</v>
      </c>
      <c r="J389" s="72">
        <f>VLOOKUP('Old Data'!$F385,$Z$6:$AB$135,2,FALSE)+VLOOKUP('Old Data'!$P385,$Z$6:$AB$135,3,FALSE)+$D$2</f>
        <v>15.547619926812203</v>
      </c>
      <c r="K389" s="72">
        <f>VLOOKUP('Old Data'!$P385,$Z$6:$AB$135,2,FALSE)+VLOOKUP('Old Data'!$F385,$Z$6:$AB$135,3,FALSE)+$D$2</f>
        <v>96.788846238311976</v>
      </c>
      <c r="L389" s="74">
        <f>('Old Data'!$L385+'Old Data'!$M385-$J389)^2+('Old Data'!$V385+'Old Data'!$W385-$K389)^2</f>
        <v>3132.9746814661412</v>
      </c>
      <c r="M389" s="75">
        <f>'Old Data'!$N385-'Old Data'!$X385</f>
        <v>2</v>
      </c>
      <c r="N389" s="72">
        <f>VLOOKUP('Old Data'!$F385,$AD$6:$AF$135,2,FALSE)+VLOOKUP('Old Data'!$P385,$AD$6:$AF$135,3,FALSE)+$E$2</f>
        <v>1.746557887670366</v>
      </c>
      <c r="O389" s="72">
        <f>VLOOKUP('Old Data'!$P385,$AD$6:$AF$135,2,FALSE)+VLOOKUP('Old Data'!$F385,$AD$6:$AF$135,3,FALSE)+$E$2</f>
        <v>1.543658598881847</v>
      </c>
      <c r="P389" s="73">
        <f>('Old Data'!$N385-$N389)^2+('Old Data'!$X385-$O389)^2</f>
        <v>2.4471147742039734</v>
      </c>
      <c r="Q389" s="62"/>
      <c r="R389" s="3"/>
      <c r="S389" s="3"/>
      <c r="T389" s="3"/>
      <c r="V389" s="3"/>
      <c r="W389" s="3"/>
      <c r="X389" s="3"/>
      <c r="Z389" s="3"/>
      <c r="AA389" s="3"/>
      <c r="AB389" s="3"/>
      <c r="AC389" s="3"/>
      <c r="AD389" s="3"/>
      <c r="AE389" s="3"/>
      <c r="AF389" s="3"/>
      <c r="AG389" s="3"/>
      <c r="AH389" s="37"/>
      <c r="AI389" s="1"/>
      <c r="AK389" s="10"/>
      <c r="AL389" s="10"/>
      <c r="AM389" s="10"/>
      <c r="AN389" s="11"/>
      <c r="AO389" s="11"/>
      <c r="AP389" s="11"/>
      <c r="AQ389" s="36"/>
      <c r="AR389" s="11"/>
      <c r="AS389" s="11"/>
      <c r="AT389" s="11"/>
      <c r="AU389" s="12"/>
      <c r="AV389" s="11"/>
      <c r="AW389" s="11"/>
      <c r="AX389" s="15"/>
      <c r="AY389" s="15"/>
      <c r="AZ389" s="15"/>
      <c r="BA389" s="15"/>
      <c r="BB389" s="15"/>
      <c r="BC389" s="15"/>
      <c r="BD389" s="15"/>
      <c r="BE389" s="12"/>
      <c r="BF389" s="11"/>
      <c r="BG389" s="11"/>
      <c r="BH389" s="10"/>
      <c r="BI389" s="10"/>
      <c r="BJ389" s="10"/>
      <c r="BK389" s="23"/>
      <c r="BL389" s="23"/>
      <c r="BM389" s="23"/>
      <c r="BN389" s="23"/>
      <c r="BO389" s="23"/>
      <c r="BP389" s="23"/>
      <c r="BQ389" s="23"/>
      <c r="BR389" s="10"/>
      <c r="BS389" s="16"/>
      <c r="BT389" s="16"/>
      <c r="BU389" s="16"/>
      <c r="BV389" s="16"/>
      <c r="BW389" s="11"/>
      <c r="BX389" s="16"/>
      <c r="BY389" s="16"/>
      <c r="BZ389" s="17"/>
      <c r="CA389" s="18"/>
      <c r="CB389" s="18"/>
      <c r="CC389" s="18"/>
      <c r="CD389" s="18"/>
      <c r="CE389" s="18"/>
      <c r="CF389" s="18"/>
      <c r="CG389" s="19"/>
      <c r="CH389" s="15"/>
      <c r="CI389" s="17"/>
      <c r="CJ389" s="10"/>
      <c r="CK389" s="10"/>
      <c r="CL389" s="10"/>
      <c r="CM389" s="17"/>
      <c r="CN389" s="17"/>
      <c r="CO389" s="10"/>
      <c r="CP389" s="10"/>
      <c r="CQ389" s="10"/>
      <c r="CR389" s="10"/>
      <c r="CS389" s="10"/>
      <c r="CT389" s="10"/>
      <c r="CU389" s="10"/>
      <c r="CV389" s="10"/>
      <c r="CW389" s="10"/>
      <c r="CX389" s="10"/>
      <c r="CY389" s="10"/>
      <c r="CZ389" s="10"/>
      <c r="DA389" s="34"/>
      <c r="DB389" s="34"/>
      <c r="DC389" s="34"/>
      <c r="DD389" s="34"/>
      <c r="DE389" s="34"/>
      <c r="DF389" s="34"/>
      <c r="DG389" s="34"/>
      <c r="DH389" s="34"/>
      <c r="DI389" s="34"/>
      <c r="DJ389" s="34"/>
      <c r="DK389" s="34"/>
      <c r="DL389" s="34"/>
      <c r="DM389" s="34"/>
      <c r="DN389" s="34"/>
      <c r="DO389" s="34"/>
      <c r="DP389" s="34"/>
      <c r="DQ389" s="34"/>
      <c r="DR389" s="34"/>
      <c r="DS389" s="34"/>
      <c r="DT389" s="34"/>
      <c r="DU389" s="34"/>
      <c r="DV389" s="34"/>
      <c r="DW389" s="34"/>
      <c r="DX389" s="34"/>
      <c r="DY389" s="34"/>
      <c r="DZ389" s="34"/>
      <c r="EA389" s="34"/>
      <c r="EB389" s="34"/>
      <c r="EC389" s="34"/>
      <c r="ED389" s="34"/>
      <c r="EE389" s="34"/>
    </row>
    <row r="390" spans="1:135" customFormat="1">
      <c r="A390" s="71">
        <f>'Old Data'!$I386-'Old Data'!$S386</f>
        <v>-44</v>
      </c>
      <c r="B390" s="72">
        <f>VLOOKUP('Old Data'!$F386,$R$6:$T$135,2,FALSE)+VLOOKUP('Old Data'!$P386,$R$6:$T$135,3,FALSE)+$B$2</f>
        <v>112.33298702665</v>
      </c>
      <c r="C390" s="72">
        <f>VLOOKUP('Old Data'!$P386,$R$6:$T$135,2,FALSE)+VLOOKUP('Old Data'!$F386,$R$6:$T$135,3,FALSE)+$B$2</f>
        <v>179.07566574007291</v>
      </c>
      <c r="D390" s="74">
        <f>('Old Data'!$I386-$B390)^2+('Old Data'!$S386-$C390)^2</f>
        <v>1082.4434526372256</v>
      </c>
      <c r="E390" s="75">
        <f>'Old Data'!$K386-'Old Data'!$U386</f>
        <v>9</v>
      </c>
      <c r="F390" s="72">
        <f>VLOOKUP('Old Data'!$F386,$V$6:$X$135,2,FALSE)+VLOOKUP('Old Data'!$P386,$V$6:$X$135,3,FALSE)+$C$2</f>
        <v>191.8592347297382</v>
      </c>
      <c r="G390" s="72">
        <f>VLOOKUP('Old Data'!$P386,$V$6:$X$135,2,FALSE)+VLOOKUP('Old Data'!$F386,$V$6:$X$135,3,FALSE)+$C$2</f>
        <v>195.8686391886427</v>
      </c>
      <c r="H390" s="74">
        <f>('Old Data'!$K386-$F390)^2+('Old Data'!$U386-$G390)^2</f>
        <v>16514.414149262884</v>
      </c>
      <c r="I390" s="75">
        <f>('Old Data'!$L386+'Old Data'!$M386)-('Old Data'!$V386+'Old Data'!$W386)</f>
        <v>1</v>
      </c>
      <c r="J390" s="72">
        <f>VLOOKUP('Old Data'!$F386,$Z$6:$AB$135,2,FALSE)+VLOOKUP('Old Data'!$P386,$Z$6:$AB$135,3,FALSE)+$D$2</f>
        <v>76.028069842478402</v>
      </c>
      <c r="K390" s="72">
        <f>VLOOKUP('Old Data'!$P386,$Z$6:$AB$135,2,FALSE)+VLOOKUP('Old Data'!$F386,$Z$6:$AB$135,3,FALSE)+$D$2</f>
        <v>67.640705851202881</v>
      </c>
      <c r="L390" s="74">
        <f>('Old Data'!$L386+'Old Data'!$M386-$J390)^2+('Old Data'!$V386+'Old Data'!$W386-$K390)^2</f>
        <v>1867.6367454549036</v>
      </c>
      <c r="M390" s="75">
        <f>'Old Data'!$N386-'Old Data'!$X386</f>
        <v>0</v>
      </c>
      <c r="N390" s="72">
        <f>VLOOKUP('Old Data'!$F386,$AD$6:$AF$135,2,FALSE)+VLOOKUP('Old Data'!$P386,$AD$6:$AF$135,3,FALSE)+$E$2</f>
        <v>1.2923339207569002</v>
      </c>
      <c r="O390" s="72">
        <f>VLOOKUP('Old Data'!$P386,$AD$6:$AF$135,2,FALSE)+VLOOKUP('Old Data'!$F386,$AD$6:$AF$135,3,FALSE)+$E$2</f>
        <v>1.806142065347025</v>
      </c>
      <c r="P390" s="73">
        <f>('Old Data'!$N386-$N390)^2+('Old Data'!$X386-$O390)^2</f>
        <v>4.932276122954919</v>
      </c>
      <c r="Q390" s="62"/>
      <c r="R390" s="3"/>
      <c r="S390" s="3"/>
      <c r="T390" s="3"/>
      <c r="V390" s="3"/>
      <c r="W390" s="3"/>
      <c r="X390" s="3"/>
      <c r="Z390" s="3"/>
      <c r="AA390" s="3"/>
      <c r="AB390" s="3"/>
      <c r="AC390" s="3"/>
      <c r="AD390" s="3"/>
      <c r="AE390" s="3"/>
      <c r="AF390" s="3"/>
      <c r="AG390" s="3"/>
      <c r="AH390" s="37"/>
      <c r="AI390" s="1"/>
      <c r="AK390" s="10"/>
      <c r="AL390" s="10"/>
      <c r="AM390" s="10"/>
      <c r="AN390" s="11"/>
      <c r="AO390" s="11"/>
      <c r="AP390" s="11"/>
      <c r="AQ390" s="36"/>
      <c r="AR390" s="11"/>
      <c r="AS390" s="11"/>
      <c r="AT390" s="11"/>
      <c r="AU390" s="12"/>
      <c r="AV390" s="11"/>
      <c r="AW390" s="11"/>
      <c r="AX390" s="15"/>
      <c r="AY390" s="15"/>
      <c r="AZ390" s="15"/>
      <c r="BA390" s="15"/>
      <c r="BB390" s="15"/>
      <c r="BC390" s="15"/>
      <c r="BD390" s="15"/>
      <c r="BE390" s="12"/>
      <c r="BF390" s="11"/>
      <c r="BG390" s="11"/>
      <c r="BH390" s="10"/>
      <c r="BI390" s="10"/>
      <c r="BJ390" s="10"/>
      <c r="BK390" s="23"/>
      <c r="BL390" s="23"/>
      <c r="BM390" s="23"/>
      <c r="BN390" s="23"/>
      <c r="BO390" s="23"/>
      <c r="BP390" s="23"/>
      <c r="BQ390" s="23"/>
      <c r="BR390" s="10"/>
      <c r="BS390" s="16"/>
      <c r="BT390" s="16"/>
      <c r="BU390" s="16"/>
      <c r="BV390" s="16"/>
      <c r="BW390" s="11"/>
      <c r="BX390" s="16"/>
      <c r="BY390" s="16"/>
      <c r="BZ390" s="17"/>
      <c r="CA390" s="18"/>
      <c r="CB390" s="18"/>
      <c r="CC390" s="18"/>
      <c r="CD390" s="18"/>
      <c r="CE390" s="18"/>
      <c r="CF390" s="18"/>
      <c r="CG390" s="19"/>
      <c r="CH390" s="15"/>
      <c r="CI390" s="17"/>
      <c r="CJ390" s="10"/>
      <c r="CK390" s="10"/>
      <c r="CL390" s="10"/>
      <c r="CM390" s="17"/>
      <c r="CN390" s="17"/>
      <c r="CO390" s="10"/>
      <c r="CP390" s="10"/>
      <c r="CQ390" s="10"/>
      <c r="CR390" s="10"/>
      <c r="CS390" s="10"/>
      <c r="CT390" s="10"/>
      <c r="CU390" s="10"/>
      <c r="CV390" s="10"/>
      <c r="CW390" s="10"/>
      <c r="CX390" s="10"/>
      <c r="CY390" s="10"/>
      <c r="CZ390" s="10"/>
      <c r="DA390" s="34"/>
      <c r="DB390" s="34"/>
      <c r="DC390" s="34"/>
      <c r="DD390" s="34"/>
      <c r="DE390" s="34"/>
      <c r="DF390" s="34"/>
      <c r="DG390" s="34"/>
      <c r="DH390" s="34"/>
      <c r="DI390" s="34"/>
      <c r="DJ390" s="34"/>
      <c r="DK390" s="34"/>
      <c r="DL390" s="34"/>
      <c r="DM390" s="34"/>
      <c r="DN390" s="34"/>
      <c r="DO390" s="34"/>
      <c r="DP390" s="34"/>
      <c r="DQ390" s="34"/>
      <c r="DR390" s="34"/>
      <c r="DS390" s="34"/>
      <c r="DT390" s="34"/>
      <c r="DU390" s="34"/>
      <c r="DV390" s="34"/>
      <c r="DW390" s="34"/>
      <c r="DX390" s="34"/>
      <c r="DY390" s="34"/>
      <c r="DZ390" s="34"/>
      <c r="EA390" s="34"/>
      <c r="EB390" s="34"/>
      <c r="EC390" s="34"/>
      <c r="ED390" s="34"/>
      <c r="EE390" s="34"/>
    </row>
    <row r="391" spans="1:135" customFormat="1">
      <c r="A391" s="71">
        <f>'Old Data'!$I387-'Old Data'!$S387</f>
        <v>-51</v>
      </c>
      <c r="B391" s="72">
        <f>VLOOKUP('Old Data'!$F387,$R$6:$T$135,2,FALSE)+VLOOKUP('Old Data'!$P387,$R$6:$T$135,3,FALSE)+$B$2</f>
        <v>104.00916277987011</v>
      </c>
      <c r="C391" s="72">
        <f>VLOOKUP('Old Data'!$P387,$R$6:$T$135,2,FALSE)+VLOOKUP('Old Data'!$F387,$R$6:$T$135,3,FALSE)+$B$2</f>
        <v>143.58416667031597</v>
      </c>
      <c r="D391" s="74">
        <f>('Old Data'!$I387-$B391)^2+('Old Data'!$S387-$C391)^2</f>
        <v>1829.8415209587283</v>
      </c>
      <c r="E391" s="75">
        <f>'Old Data'!$K387-'Old Data'!$U387</f>
        <v>228</v>
      </c>
      <c r="F391" s="72">
        <f>VLOOKUP('Old Data'!$F387,$V$6:$X$135,2,FALSE)+VLOOKUP('Old Data'!$P387,$V$6:$X$135,3,FALSE)+$C$2</f>
        <v>435.51521089595497</v>
      </c>
      <c r="G391" s="72">
        <f>VLOOKUP('Old Data'!$P387,$V$6:$X$135,2,FALSE)+VLOOKUP('Old Data'!$F387,$V$6:$X$135,3,FALSE)+$C$2</f>
        <v>340.7976653384049</v>
      </c>
      <c r="H391" s="74">
        <f>('Old Data'!$K387-$F391)^2+('Old Data'!$U387-$G391)^2</f>
        <v>44343.380355210604</v>
      </c>
      <c r="I391" s="75">
        <f>('Old Data'!$L387+'Old Data'!$M387)-('Old Data'!$V387+'Old Data'!$W387)</f>
        <v>-32</v>
      </c>
      <c r="J391" s="72">
        <f>VLOOKUP('Old Data'!$F387,$Z$6:$AB$135,2,FALSE)+VLOOKUP('Old Data'!$P387,$Z$6:$AB$135,3,FALSE)+$D$2</f>
        <v>58.681996185025</v>
      </c>
      <c r="K391" s="72">
        <f>VLOOKUP('Old Data'!$P387,$Z$6:$AB$135,2,FALSE)+VLOOKUP('Old Data'!$F387,$Z$6:$AB$135,3,FALSE)+$D$2</f>
        <v>43.566064635247649</v>
      </c>
      <c r="L391" s="74">
        <f>('Old Data'!$L387+'Old Data'!$M387-$J391)^2+('Old Data'!$V387+'Old Data'!$W387-$K391)^2</f>
        <v>1508.9319729545637</v>
      </c>
      <c r="M391" s="75">
        <f>'Old Data'!$N387-'Old Data'!$X387</f>
        <v>2</v>
      </c>
      <c r="N391" s="72">
        <f>VLOOKUP('Old Data'!$F387,$AD$6:$AF$135,2,FALSE)+VLOOKUP('Old Data'!$P387,$AD$6:$AF$135,3,FALSE)+$E$2</f>
        <v>1.2312666612504921</v>
      </c>
      <c r="O391" s="72">
        <f>VLOOKUP('Old Data'!$P387,$AD$6:$AF$135,2,FALSE)+VLOOKUP('Old Data'!$F387,$AD$6:$AF$135,3,FALSE)+$E$2</f>
        <v>1.9245721761347014</v>
      </c>
      <c r="P391" s="73">
        <f>('Old Data'!$N387-$N391)^2+('Old Data'!$X387-$O391)^2</f>
        <v>3.9832513324864389</v>
      </c>
      <c r="Q391" s="62"/>
      <c r="R391" s="3"/>
      <c r="S391" s="3"/>
      <c r="T391" s="3"/>
      <c r="V391" s="3"/>
      <c r="W391" s="3"/>
      <c r="X391" s="3"/>
      <c r="Z391" s="3"/>
      <c r="AA391" s="3"/>
      <c r="AB391" s="3"/>
      <c r="AC391" s="3"/>
      <c r="AD391" s="3"/>
      <c r="AE391" s="3"/>
      <c r="AF391" s="3"/>
      <c r="AG391" s="3"/>
      <c r="AH391" s="37"/>
      <c r="AI391" s="1"/>
      <c r="AK391" s="10"/>
      <c r="AL391" s="10"/>
      <c r="AM391" s="10"/>
      <c r="AN391" s="11"/>
      <c r="AO391" s="11"/>
      <c r="AP391" s="11"/>
      <c r="AQ391" s="36"/>
      <c r="AR391" s="11"/>
      <c r="AS391" s="11"/>
      <c r="AT391" s="11"/>
      <c r="AU391" s="12"/>
      <c r="AV391" s="11"/>
      <c r="AW391" s="11"/>
      <c r="AX391" s="15"/>
      <c r="AY391" s="15"/>
      <c r="AZ391" s="15"/>
      <c r="BA391" s="15"/>
      <c r="BB391" s="15"/>
      <c r="BC391" s="15"/>
      <c r="BD391" s="15"/>
      <c r="BE391" s="12"/>
      <c r="BF391" s="11"/>
      <c r="BG391" s="11"/>
      <c r="BH391" s="10"/>
      <c r="BI391" s="10"/>
      <c r="BJ391" s="10"/>
      <c r="BK391" s="23"/>
      <c r="BL391" s="23"/>
      <c r="BM391" s="23"/>
      <c r="BN391" s="23"/>
      <c r="BO391" s="23"/>
      <c r="BP391" s="23"/>
      <c r="BQ391" s="23"/>
      <c r="BR391" s="10"/>
      <c r="BS391" s="16"/>
      <c r="BT391" s="16"/>
      <c r="BU391" s="16"/>
      <c r="BV391" s="16"/>
      <c r="BW391" s="11"/>
      <c r="BX391" s="16"/>
      <c r="BY391" s="16"/>
      <c r="BZ391" s="17"/>
      <c r="CA391" s="18"/>
      <c r="CB391" s="18"/>
      <c r="CC391" s="18"/>
      <c r="CD391" s="18"/>
      <c r="CE391" s="18"/>
      <c r="CF391" s="18"/>
      <c r="CG391" s="19"/>
      <c r="CH391" s="15"/>
      <c r="CI391" s="17"/>
      <c r="CJ391" s="10"/>
      <c r="CK391" s="10"/>
      <c r="CL391" s="10"/>
      <c r="CM391" s="17"/>
      <c r="CN391" s="17"/>
      <c r="CO391" s="10"/>
      <c r="CP391" s="10"/>
      <c r="CQ391" s="10"/>
      <c r="CR391" s="10"/>
      <c r="CS391" s="10"/>
      <c r="CT391" s="10"/>
      <c r="CU391" s="10"/>
      <c r="CV391" s="10"/>
      <c r="CW391" s="10"/>
      <c r="CX391" s="10"/>
      <c r="CY391" s="10"/>
      <c r="CZ391" s="10"/>
      <c r="DA391" s="34"/>
      <c r="DB391" s="34"/>
      <c r="DC391" s="34"/>
      <c r="DD391" s="34"/>
      <c r="DE391" s="34"/>
      <c r="DF391" s="34"/>
      <c r="DG391" s="34"/>
      <c r="DH391" s="34"/>
      <c r="DI391" s="34"/>
      <c r="DJ391" s="34"/>
      <c r="DK391" s="34"/>
      <c r="DL391" s="34"/>
      <c r="DM391" s="34"/>
      <c r="DN391" s="34"/>
      <c r="DO391" s="34"/>
      <c r="DP391" s="34"/>
      <c r="DQ391" s="34"/>
      <c r="DR391" s="34"/>
      <c r="DS391" s="34"/>
      <c r="DT391" s="34"/>
      <c r="DU391" s="34"/>
      <c r="DV391" s="34"/>
      <c r="DW391" s="34"/>
      <c r="DX391" s="34"/>
      <c r="DY391" s="34"/>
      <c r="DZ391" s="34"/>
      <c r="EA391" s="34"/>
      <c r="EB391" s="34"/>
      <c r="EC391" s="34"/>
      <c r="ED391" s="34"/>
      <c r="EE391" s="34"/>
    </row>
    <row r="392" spans="1:135" customFormat="1">
      <c r="A392" s="71">
        <f>'Old Data'!$I388-'Old Data'!$S388</f>
        <v>-26</v>
      </c>
      <c r="B392" s="72">
        <f>VLOOKUP('Old Data'!$F388,$R$6:$T$135,2,FALSE)+VLOOKUP('Old Data'!$P388,$R$6:$T$135,3,FALSE)+$B$2</f>
        <v>151.06266898417951</v>
      </c>
      <c r="C392" s="72">
        <f>VLOOKUP('Old Data'!$P388,$R$6:$T$135,2,FALSE)+VLOOKUP('Old Data'!$F388,$R$6:$T$135,3,FALSE)+$B$2</f>
        <v>143.07435662749077</v>
      </c>
      <c r="D392" s="74">
        <f>('Old Data'!$I388-$B392)^2+('Old Data'!$S388-$C392)^2</f>
        <v>11549.89186696425</v>
      </c>
      <c r="E392" s="75">
        <f>'Old Data'!$K388-'Old Data'!$U388</f>
        <v>91</v>
      </c>
      <c r="F392" s="72">
        <f>VLOOKUP('Old Data'!$F388,$V$6:$X$135,2,FALSE)+VLOOKUP('Old Data'!$P388,$V$6:$X$135,3,FALSE)+$C$2</f>
        <v>211.61739295600412</v>
      </c>
      <c r="G392" s="72">
        <f>VLOOKUP('Old Data'!$P388,$V$6:$X$135,2,FALSE)+VLOOKUP('Old Data'!$F388,$V$6:$X$135,3,FALSE)+$C$2</f>
        <v>198.92262962144679</v>
      </c>
      <c r="H392" s="74">
        <f>('Old Data'!$K388-$F392)^2+('Old Data'!$U388-$G392)^2</f>
        <v>6302.7590280340473</v>
      </c>
      <c r="I392" s="75">
        <f>('Old Data'!$L388+'Old Data'!$M388)-('Old Data'!$V388+'Old Data'!$W388)</f>
        <v>41</v>
      </c>
      <c r="J392" s="72">
        <f>VLOOKUP('Old Data'!$F388,$Z$6:$AB$135,2,FALSE)+VLOOKUP('Old Data'!$P388,$Z$6:$AB$135,3,FALSE)+$D$2</f>
        <v>44.323377135399667</v>
      </c>
      <c r="K392" s="72">
        <f>VLOOKUP('Old Data'!$P388,$Z$6:$AB$135,2,FALSE)+VLOOKUP('Old Data'!$F388,$Z$6:$AB$135,3,FALSE)+$D$2</f>
        <v>34.485565869593557</v>
      </c>
      <c r="L392" s="74">
        <f>('Old Data'!$L388+'Old Data'!$M388-$J392)^2+('Old Data'!$V388+'Old Data'!$W388-$K392)^2</f>
        <v>818.59177287025466</v>
      </c>
      <c r="M392" s="75">
        <f>'Old Data'!$N388-'Old Data'!$X388</f>
        <v>1</v>
      </c>
      <c r="N392" s="72">
        <f>VLOOKUP('Old Data'!$F388,$AD$6:$AF$135,2,FALSE)+VLOOKUP('Old Data'!$P388,$AD$6:$AF$135,3,FALSE)+$E$2</f>
        <v>1.0199097785850681</v>
      </c>
      <c r="O392" s="72">
        <f>VLOOKUP('Old Data'!$P388,$AD$6:$AF$135,2,FALSE)+VLOOKUP('Old Data'!$F388,$AD$6:$AF$135,3,FALSE)+$E$2</f>
        <v>1.1716200380308934</v>
      </c>
      <c r="P392" s="73">
        <f>('Old Data'!$N388-$N392)^2+('Old Data'!$X388-$O392)^2</f>
        <v>1.3730899127988188</v>
      </c>
      <c r="Q392" s="62"/>
      <c r="R392" s="3"/>
      <c r="S392" s="3"/>
      <c r="T392" s="3"/>
      <c r="V392" s="3"/>
      <c r="W392" s="3"/>
      <c r="X392" s="3"/>
      <c r="Z392" s="3"/>
      <c r="AA392" s="3"/>
      <c r="AB392" s="3"/>
      <c r="AC392" s="3"/>
      <c r="AD392" s="3"/>
      <c r="AE392" s="3"/>
      <c r="AF392" s="3"/>
      <c r="AG392" s="3"/>
      <c r="AH392" s="37"/>
      <c r="AI392" s="1"/>
      <c r="AK392" s="10"/>
      <c r="AL392" s="10"/>
      <c r="AM392" s="10"/>
      <c r="AN392" s="11"/>
      <c r="AO392" s="11"/>
      <c r="AP392" s="11"/>
      <c r="AQ392" s="36"/>
      <c r="AR392" s="11"/>
      <c r="AS392" s="11"/>
      <c r="AT392" s="11"/>
      <c r="AU392" s="12"/>
      <c r="AV392" s="11"/>
      <c r="AW392" s="11"/>
      <c r="AX392" s="15"/>
      <c r="AY392" s="15"/>
      <c r="AZ392" s="15"/>
      <c r="BA392" s="15"/>
      <c r="BB392" s="15"/>
      <c r="BC392" s="15"/>
      <c r="BD392" s="15"/>
      <c r="BE392" s="12"/>
      <c r="BF392" s="11"/>
      <c r="BG392" s="11"/>
      <c r="BH392" s="10"/>
      <c r="BI392" s="10"/>
      <c r="BJ392" s="10"/>
      <c r="BK392" s="23"/>
      <c r="BL392" s="23"/>
      <c r="BM392" s="23"/>
      <c r="BN392" s="23"/>
      <c r="BO392" s="23"/>
      <c r="BP392" s="23"/>
      <c r="BQ392" s="23"/>
      <c r="BR392" s="10"/>
      <c r="BS392" s="16"/>
      <c r="BT392" s="16"/>
      <c r="BU392" s="16"/>
      <c r="BV392" s="16"/>
      <c r="BW392" s="11"/>
      <c r="BX392" s="16"/>
      <c r="BY392" s="16"/>
      <c r="BZ392" s="17"/>
      <c r="CA392" s="18"/>
      <c r="CB392" s="18"/>
      <c r="CC392" s="18"/>
      <c r="CD392" s="18"/>
      <c r="CE392" s="18"/>
      <c r="CF392" s="18"/>
      <c r="CG392" s="19"/>
      <c r="CH392" s="15"/>
      <c r="CI392" s="17"/>
      <c r="CJ392" s="10"/>
      <c r="CK392" s="10"/>
      <c r="CL392" s="10"/>
      <c r="CM392" s="17"/>
      <c r="CN392" s="17"/>
      <c r="CO392" s="10"/>
      <c r="CP392" s="10"/>
      <c r="CQ392" s="10"/>
      <c r="CR392" s="10"/>
      <c r="CS392" s="10"/>
      <c r="CT392" s="10"/>
      <c r="CU392" s="10"/>
      <c r="CV392" s="10"/>
      <c r="CW392" s="10"/>
      <c r="CX392" s="10"/>
      <c r="CY392" s="10"/>
      <c r="CZ392" s="10"/>
      <c r="DA392" s="34"/>
      <c r="DB392" s="34"/>
      <c r="DC392" s="34"/>
      <c r="DD392" s="34"/>
      <c r="DE392" s="34"/>
      <c r="DF392" s="34"/>
      <c r="DG392" s="34"/>
      <c r="DH392" s="34"/>
      <c r="DI392" s="34"/>
      <c r="DJ392" s="34"/>
      <c r="DK392" s="34"/>
      <c r="DL392" s="34"/>
      <c r="DM392" s="34"/>
      <c r="DN392" s="34"/>
      <c r="DO392" s="34"/>
      <c r="DP392" s="34"/>
      <c r="DQ392" s="34"/>
      <c r="DR392" s="34"/>
      <c r="DS392" s="34"/>
      <c r="DT392" s="34"/>
      <c r="DU392" s="34"/>
      <c r="DV392" s="34"/>
      <c r="DW392" s="34"/>
      <c r="DX392" s="34"/>
      <c r="DY392" s="34"/>
      <c r="DZ392" s="34"/>
      <c r="EA392" s="34"/>
      <c r="EB392" s="34"/>
      <c r="EC392" s="34"/>
      <c r="ED392" s="34"/>
      <c r="EE392" s="34"/>
    </row>
    <row r="393" spans="1:135" customFormat="1">
      <c r="A393" s="71">
        <f>'Old Data'!$I389-'Old Data'!$S389</f>
        <v>90</v>
      </c>
      <c r="B393" s="72">
        <f>VLOOKUP('Old Data'!$F389,$R$6:$T$135,2,FALSE)+VLOOKUP('Old Data'!$P389,$R$6:$T$135,3,FALSE)+$B$2</f>
        <v>229.4145193104319</v>
      </c>
      <c r="C393" s="72">
        <f>VLOOKUP('Old Data'!$P389,$R$6:$T$135,2,FALSE)+VLOOKUP('Old Data'!$F389,$R$6:$T$135,3,FALSE)+$B$2</f>
        <v>153.4398432058218</v>
      </c>
      <c r="D393" s="74">
        <f>('Old Data'!$I389-$B393)^2+('Old Data'!$S389-$C393)^2</f>
        <v>1117.4191470922169</v>
      </c>
      <c r="E393" s="75">
        <f>'Old Data'!$K389-'Old Data'!$U389</f>
        <v>-117</v>
      </c>
      <c r="F393" s="72">
        <f>VLOOKUP('Old Data'!$F389,$V$6:$X$135,2,FALSE)+VLOOKUP('Old Data'!$P389,$V$6:$X$135,3,FALSE)+$C$2</f>
        <v>209.64226669089601</v>
      </c>
      <c r="G393" s="72">
        <f>VLOOKUP('Old Data'!$P389,$V$6:$X$135,2,FALSE)+VLOOKUP('Old Data'!$F389,$V$6:$X$135,3,FALSE)+$C$2</f>
        <v>224.66533260037511</v>
      </c>
      <c r="H393" s="74">
        <f>('Old Data'!$K389-$F393)^2+('Old Data'!$U389-$G393)^2</f>
        <v>15756.796749147528</v>
      </c>
      <c r="I393" s="75">
        <f>('Old Data'!$L389+'Old Data'!$M389)-('Old Data'!$V389+'Old Data'!$W389)</f>
        <v>-17</v>
      </c>
      <c r="J393" s="72">
        <f>VLOOKUP('Old Data'!$F389,$Z$6:$AB$135,2,FALSE)+VLOOKUP('Old Data'!$P389,$Z$6:$AB$135,3,FALSE)+$D$2</f>
        <v>41.509896701140548</v>
      </c>
      <c r="K393" s="72">
        <f>VLOOKUP('Old Data'!$P389,$Z$6:$AB$135,2,FALSE)+VLOOKUP('Old Data'!$F389,$Z$6:$AB$135,3,FALSE)+$D$2</f>
        <v>48.374166553037611</v>
      </c>
      <c r="L393" s="74">
        <f>('Old Data'!$L389+'Old Data'!$M389-$J393)^2+('Old Data'!$V389+'Old Data'!$W389-$K393)^2</f>
        <v>2707.4098510371027</v>
      </c>
      <c r="M393" s="75">
        <f>'Old Data'!$N389-'Old Data'!$X389</f>
        <v>1</v>
      </c>
      <c r="N393" s="72">
        <f>VLOOKUP('Old Data'!$F389,$AD$6:$AF$135,2,FALSE)+VLOOKUP('Old Data'!$P389,$AD$6:$AF$135,3,FALSE)+$E$2</f>
        <v>2.3971100403867691</v>
      </c>
      <c r="O393" s="72">
        <f>VLOOKUP('Old Data'!$P389,$AD$6:$AF$135,2,FALSE)+VLOOKUP('Old Data'!$F389,$AD$6:$AF$135,3,FALSE)+$E$2</f>
        <v>0.56492286481579002</v>
      </c>
      <c r="P393" s="73">
        <f>('Old Data'!$N389-$N393)^2+('Old Data'!$X389-$O393)^2</f>
        <v>2.2710543081411991</v>
      </c>
      <c r="Q393" s="62"/>
      <c r="R393" s="3"/>
      <c r="S393" s="3"/>
      <c r="T393" s="3"/>
      <c r="V393" s="3"/>
      <c r="W393" s="3"/>
      <c r="X393" s="3"/>
      <c r="Z393" s="3"/>
      <c r="AA393" s="3"/>
      <c r="AB393" s="3"/>
      <c r="AC393" s="3"/>
      <c r="AD393" s="3"/>
      <c r="AE393" s="3"/>
      <c r="AF393" s="3"/>
      <c r="AG393" s="3"/>
      <c r="AH393" s="37"/>
      <c r="AI393" s="1"/>
      <c r="AK393" s="10"/>
      <c r="AL393" s="10"/>
      <c r="AM393" s="10"/>
      <c r="AN393" s="11"/>
      <c r="AO393" s="11"/>
      <c r="AP393" s="11"/>
      <c r="AQ393" s="36"/>
      <c r="AR393" s="11"/>
      <c r="AS393" s="11"/>
      <c r="AT393" s="11"/>
      <c r="AU393" s="12"/>
      <c r="AV393" s="11"/>
      <c r="AW393" s="11"/>
      <c r="AX393" s="15"/>
      <c r="AY393" s="15"/>
      <c r="AZ393" s="15"/>
      <c r="BA393" s="15"/>
      <c r="BB393" s="15"/>
      <c r="BC393" s="15"/>
      <c r="BD393" s="15"/>
      <c r="BE393" s="12"/>
      <c r="BF393" s="11"/>
      <c r="BG393" s="11"/>
      <c r="BH393" s="10"/>
      <c r="BI393" s="10"/>
      <c r="BJ393" s="10"/>
      <c r="BK393" s="23"/>
      <c r="BL393" s="23"/>
      <c r="BM393" s="23"/>
      <c r="BN393" s="23"/>
      <c r="BO393" s="23"/>
      <c r="BP393" s="23"/>
      <c r="BQ393" s="23"/>
      <c r="BR393" s="10"/>
      <c r="BS393" s="16"/>
      <c r="BT393" s="16"/>
      <c r="BU393" s="16"/>
      <c r="BV393" s="16"/>
      <c r="BW393" s="11"/>
      <c r="BX393" s="16"/>
      <c r="BY393" s="16"/>
      <c r="BZ393" s="17"/>
      <c r="CA393" s="18"/>
      <c r="CB393" s="18"/>
      <c r="CC393" s="18"/>
      <c r="CD393" s="18"/>
      <c r="CE393" s="18"/>
      <c r="CF393" s="18"/>
      <c r="CG393" s="19"/>
      <c r="CH393" s="15"/>
      <c r="CI393" s="17"/>
      <c r="CJ393" s="10"/>
      <c r="CK393" s="10"/>
      <c r="CL393" s="10"/>
      <c r="CM393" s="17"/>
      <c r="CN393" s="17"/>
      <c r="CO393" s="10"/>
      <c r="CP393" s="10"/>
      <c r="CQ393" s="10"/>
      <c r="CR393" s="10"/>
      <c r="CS393" s="10"/>
      <c r="CT393" s="10"/>
      <c r="CU393" s="10"/>
      <c r="CV393" s="10"/>
      <c r="CW393" s="10"/>
      <c r="CX393" s="10"/>
      <c r="CY393" s="10"/>
      <c r="CZ393" s="10"/>
      <c r="DA393" s="34"/>
      <c r="DB393" s="34"/>
      <c r="DC393" s="34"/>
      <c r="DD393" s="34"/>
      <c r="DE393" s="34"/>
      <c r="DF393" s="34"/>
      <c r="DG393" s="34"/>
      <c r="DH393" s="34"/>
      <c r="DI393" s="34"/>
      <c r="DJ393" s="34"/>
      <c r="DK393" s="34"/>
      <c r="DL393" s="34"/>
      <c r="DM393" s="34"/>
      <c r="DN393" s="34"/>
      <c r="DO393" s="34"/>
      <c r="DP393" s="34"/>
      <c r="DQ393" s="34"/>
      <c r="DR393" s="34"/>
      <c r="DS393" s="34"/>
      <c r="DT393" s="34"/>
      <c r="DU393" s="34"/>
      <c r="DV393" s="34"/>
      <c r="DW393" s="34"/>
      <c r="DX393" s="34"/>
      <c r="DY393" s="34"/>
      <c r="DZ393" s="34"/>
      <c r="EA393" s="34"/>
      <c r="EB393" s="34"/>
      <c r="EC393" s="34"/>
      <c r="ED393" s="34"/>
      <c r="EE393" s="34"/>
    </row>
    <row r="394" spans="1:135" customFormat="1">
      <c r="A394" s="71">
        <f>'Old Data'!$I390-'Old Data'!$S390</f>
        <v>5</v>
      </c>
      <c r="B394" s="72">
        <f>VLOOKUP('Old Data'!$F390,$R$6:$T$135,2,FALSE)+VLOOKUP('Old Data'!$P390,$R$6:$T$135,3,FALSE)+$B$2</f>
        <v>135.27491182245603</v>
      </c>
      <c r="C394" s="72">
        <f>VLOOKUP('Old Data'!$P390,$R$6:$T$135,2,FALSE)+VLOOKUP('Old Data'!$F390,$R$6:$T$135,3,FALSE)+$B$2</f>
        <v>191.49162002338619</v>
      </c>
      <c r="D394" s="74">
        <f>('Old Data'!$I390-$B394)^2+('Old Data'!$S390-$C394)^2</f>
        <v>2316.7658905436847</v>
      </c>
      <c r="E394" s="75">
        <f>'Old Data'!$K390-'Old Data'!$U390</f>
        <v>-11</v>
      </c>
      <c r="F394" s="72">
        <f>VLOOKUP('Old Data'!$F390,$V$6:$X$135,2,FALSE)+VLOOKUP('Old Data'!$P390,$V$6:$X$135,3,FALSE)+$C$2</f>
        <v>199.82538957917751</v>
      </c>
      <c r="G394" s="72">
        <f>VLOOKUP('Old Data'!$P390,$V$6:$X$135,2,FALSE)+VLOOKUP('Old Data'!$F390,$V$6:$X$135,3,FALSE)+$C$2</f>
        <v>180.75835433962772</v>
      </c>
      <c r="H394" s="74">
        <f>('Old Data'!$K390-$F394)^2+('Old Data'!$U390-$G394)^2</f>
        <v>1932.5777669952483</v>
      </c>
      <c r="I394" s="75">
        <f>('Old Data'!$L390+'Old Data'!$M390)-('Old Data'!$V390+'Old Data'!$W390)</f>
        <v>2</v>
      </c>
      <c r="J394" s="72">
        <f>VLOOKUP('Old Data'!$F390,$Z$6:$AB$135,2,FALSE)+VLOOKUP('Old Data'!$P390,$Z$6:$AB$135,3,FALSE)+$D$2</f>
        <v>45.703663791164857</v>
      </c>
      <c r="K394" s="72">
        <f>VLOOKUP('Old Data'!$P390,$Z$6:$AB$135,2,FALSE)+VLOOKUP('Old Data'!$F390,$Z$6:$AB$135,3,FALSE)+$D$2</f>
        <v>44.262498306414948</v>
      </c>
      <c r="L394" s="74">
        <f>('Old Data'!$L390+'Old Data'!$M390-$J394)^2+('Old Data'!$V390+'Old Data'!$W390-$K394)^2</f>
        <v>0.15672050953750125</v>
      </c>
      <c r="M394" s="75">
        <f>'Old Data'!$N390-'Old Data'!$X390</f>
        <v>2</v>
      </c>
      <c r="N394" s="72">
        <f>VLOOKUP('Old Data'!$F390,$AD$6:$AF$135,2,FALSE)+VLOOKUP('Old Data'!$P390,$AD$6:$AF$135,3,FALSE)+$E$2</f>
        <v>1.3948940341160732</v>
      </c>
      <c r="O394" s="72">
        <f>VLOOKUP('Old Data'!$P390,$AD$6:$AF$135,2,FALSE)+VLOOKUP('Old Data'!$F390,$AD$6:$AF$135,3,FALSE)+$E$2</f>
        <v>1.2764997257595811</v>
      </c>
      <c r="P394" s="73">
        <f>('Old Data'!$N390-$N394)^2+('Old Data'!$X390-$O394)^2</f>
        <v>2.6528172600612976</v>
      </c>
      <c r="Q394" s="62"/>
      <c r="R394" s="3"/>
      <c r="S394" s="3"/>
      <c r="T394" s="3"/>
      <c r="V394" s="3"/>
      <c r="W394" s="3"/>
      <c r="X394" s="3"/>
      <c r="Z394" s="3"/>
      <c r="AA394" s="3"/>
      <c r="AB394" s="3"/>
      <c r="AC394" s="3"/>
      <c r="AD394" s="3"/>
      <c r="AE394" s="3"/>
      <c r="AF394" s="3"/>
      <c r="AG394" s="3"/>
      <c r="AH394" s="37"/>
      <c r="AI394" s="1"/>
      <c r="AK394" s="10"/>
      <c r="AL394" s="10"/>
      <c r="AM394" s="10"/>
      <c r="AN394" s="11"/>
      <c r="AO394" s="11"/>
      <c r="AP394" s="11"/>
      <c r="AQ394" s="36"/>
      <c r="AR394" s="11"/>
      <c r="AS394" s="11"/>
      <c r="AT394" s="11"/>
      <c r="AU394" s="12"/>
      <c r="AV394" s="11"/>
      <c r="AW394" s="11"/>
      <c r="AX394" s="15"/>
      <c r="AY394" s="15"/>
      <c r="AZ394" s="15"/>
      <c r="BA394" s="15"/>
      <c r="BB394" s="15"/>
      <c r="BC394" s="15"/>
      <c r="BD394" s="15"/>
      <c r="BE394" s="12"/>
      <c r="BF394" s="11"/>
      <c r="BG394" s="11"/>
      <c r="BH394" s="10"/>
      <c r="BI394" s="10"/>
      <c r="BJ394" s="10"/>
      <c r="BK394" s="23"/>
      <c r="BL394" s="23"/>
      <c r="BM394" s="23"/>
      <c r="BN394" s="23"/>
      <c r="BO394" s="23"/>
      <c r="BP394" s="23"/>
      <c r="BQ394" s="23"/>
      <c r="BR394" s="10"/>
      <c r="BS394" s="16"/>
      <c r="BT394" s="16"/>
      <c r="BU394" s="16"/>
      <c r="BV394" s="16"/>
      <c r="BW394" s="11"/>
      <c r="BX394" s="16"/>
      <c r="BY394" s="16"/>
      <c r="BZ394" s="17"/>
      <c r="CA394" s="18"/>
      <c r="CB394" s="18"/>
      <c r="CC394" s="18"/>
      <c r="CD394" s="18"/>
      <c r="CE394" s="18"/>
      <c r="CF394" s="18"/>
      <c r="CG394" s="19"/>
      <c r="CH394" s="15"/>
      <c r="CI394" s="17"/>
      <c r="CJ394" s="10"/>
      <c r="CK394" s="10"/>
      <c r="CL394" s="10"/>
      <c r="CM394" s="17"/>
      <c r="CN394" s="17"/>
      <c r="CO394" s="10"/>
      <c r="CP394" s="10"/>
      <c r="CQ394" s="10"/>
      <c r="CR394" s="10"/>
      <c r="CS394" s="10"/>
      <c r="CT394" s="10"/>
      <c r="CU394" s="10"/>
      <c r="CV394" s="10"/>
      <c r="CW394" s="10"/>
      <c r="CX394" s="10"/>
      <c r="CY394" s="10"/>
      <c r="CZ394" s="10"/>
      <c r="DA394" s="34"/>
      <c r="DB394" s="34"/>
      <c r="DC394" s="34"/>
      <c r="DD394" s="34"/>
      <c r="DE394" s="34"/>
      <c r="DF394" s="34"/>
      <c r="DG394" s="34"/>
      <c r="DH394" s="34"/>
      <c r="DI394" s="34"/>
      <c r="DJ394" s="34"/>
      <c r="DK394" s="34"/>
      <c r="DL394" s="34"/>
      <c r="DM394" s="34"/>
      <c r="DN394" s="34"/>
      <c r="DO394" s="34"/>
      <c r="DP394" s="34"/>
      <c r="DQ394" s="34"/>
      <c r="DR394" s="34"/>
      <c r="DS394" s="34"/>
      <c r="DT394" s="34"/>
      <c r="DU394" s="34"/>
      <c r="DV394" s="34"/>
      <c r="DW394" s="34"/>
      <c r="DX394" s="34"/>
      <c r="DY394" s="34"/>
      <c r="DZ394" s="34"/>
      <c r="EA394" s="34"/>
      <c r="EB394" s="34"/>
      <c r="EC394" s="34"/>
      <c r="ED394" s="34"/>
      <c r="EE394" s="34"/>
    </row>
    <row r="395" spans="1:135" customFormat="1">
      <c r="A395" s="71">
        <f>'Old Data'!$I391-'Old Data'!$S391</f>
        <v>-79</v>
      </c>
      <c r="B395" s="72">
        <f>VLOOKUP('Old Data'!$F391,$R$6:$T$135,2,FALSE)+VLOOKUP('Old Data'!$P391,$R$6:$T$135,3,FALSE)+$B$2</f>
        <v>178.17700235600336</v>
      </c>
      <c r="C395" s="72">
        <f>VLOOKUP('Old Data'!$P391,$R$6:$T$135,2,FALSE)+VLOOKUP('Old Data'!$F391,$R$6:$T$135,3,FALSE)+$B$2</f>
        <v>175.83049966080355</v>
      </c>
      <c r="D395" s="74">
        <f>('Old Data'!$I391-$B395)^2+('Old Data'!$S391-$C395)^2</f>
        <v>5689.6444176698797</v>
      </c>
      <c r="E395" s="75">
        <f>'Old Data'!$K391-'Old Data'!$U391</f>
        <v>204</v>
      </c>
      <c r="F395" s="72">
        <f>VLOOKUP('Old Data'!$F391,$V$6:$X$135,2,FALSE)+VLOOKUP('Old Data'!$P391,$V$6:$X$135,3,FALSE)+$C$2</f>
        <v>274.01945955198983</v>
      </c>
      <c r="G395" s="72">
        <f>VLOOKUP('Old Data'!$P391,$V$6:$X$135,2,FALSE)+VLOOKUP('Old Data'!$F391,$V$6:$X$135,3,FALSE)+$C$2</f>
        <v>348.2187695404063</v>
      </c>
      <c r="H395" s="74">
        <f>('Old Data'!$K391-$F395)^2+('Old Data'!$U391-$G395)^2</f>
        <v>38772.31516467451</v>
      </c>
      <c r="I395" s="75">
        <f>('Old Data'!$L391+'Old Data'!$M391)-('Old Data'!$V391+'Old Data'!$W391)</f>
        <v>-58</v>
      </c>
      <c r="J395" s="72">
        <f>VLOOKUP('Old Data'!$F391,$Z$6:$AB$135,2,FALSE)+VLOOKUP('Old Data'!$P391,$Z$6:$AB$135,3,FALSE)+$D$2</f>
        <v>87.616348568413457</v>
      </c>
      <c r="K395" s="72">
        <f>VLOOKUP('Old Data'!$P391,$Z$6:$AB$135,2,FALSE)+VLOOKUP('Old Data'!$F391,$Z$6:$AB$135,3,FALSE)+$D$2</f>
        <v>82.098249629814291</v>
      </c>
      <c r="L395" s="74">
        <f>('Old Data'!$L391+'Old Data'!$M391-$J395)^2+('Old Data'!$V391+'Old Data'!$W391-$K395)^2</f>
        <v>3800.1910653747286</v>
      </c>
      <c r="M395" s="75">
        <f>'Old Data'!$N391-'Old Data'!$X391</f>
        <v>-2</v>
      </c>
      <c r="N395" s="72">
        <f>VLOOKUP('Old Data'!$F391,$AD$6:$AF$135,2,FALSE)+VLOOKUP('Old Data'!$P391,$AD$6:$AF$135,3,FALSE)+$E$2</f>
        <v>0.9971168061958513</v>
      </c>
      <c r="O395" s="72">
        <f>VLOOKUP('Old Data'!$P391,$AD$6:$AF$135,2,FALSE)+VLOOKUP('Old Data'!$F391,$AD$6:$AF$135,3,FALSE)+$E$2</f>
        <v>1.8239120552815788</v>
      </c>
      <c r="P395" s="73">
        <f>('Old Data'!$N391-$N395)^2+('Old Data'!$X391-$O395)^2</f>
        <v>1.3831911665185124</v>
      </c>
      <c r="Q395" s="62"/>
      <c r="R395" s="3"/>
      <c r="S395" s="3"/>
      <c r="T395" s="3"/>
      <c r="V395" s="3"/>
      <c r="W395" s="3"/>
      <c r="X395" s="3"/>
      <c r="Z395" s="3"/>
      <c r="AA395" s="3"/>
      <c r="AB395" s="3"/>
      <c r="AC395" s="3"/>
      <c r="AD395" s="3"/>
      <c r="AE395" s="3"/>
      <c r="AF395" s="3"/>
      <c r="AG395" s="3"/>
      <c r="AH395" s="37"/>
      <c r="AI395" s="1"/>
      <c r="AK395" s="10"/>
      <c r="AL395" s="10"/>
      <c r="AM395" s="10"/>
      <c r="AN395" s="11"/>
      <c r="AO395" s="11"/>
      <c r="AP395" s="11"/>
      <c r="AQ395" s="36"/>
      <c r="AR395" s="11"/>
      <c r="AS395" s="11"/>
      <c r="AT395" s="11"/>
      <c r="AU395" s="12"/>
      <c r="AV395" s="11"/>
      <c r="AW395" s="11"/>
      <c r="AX395" s="15"/>
      <c r="AY395" s="15"/>
      <c r="AZ395" s="15"/>
      <c r="BA395" s="15"/>
      <c r="BB395" s="15"/>
      <c r="BC395" s="15"/>
      <c r="BD395" s="15"/>
      <c r="BE395" s="12"/>
      <c r="BF395" s="11"/>
      <c r="BG395" s="11"/>
      <c r="BH395" s="10"/>
      <c r="BI395" s="10"/>
      <c r="BJ395" s="10"/>
      <c r="BK395" s="23"/>
      <c r="BL395" s="23"/>
      <c r="BM395" s="23"/>
      <c r="BN395" s="23"/>
      <c r="BO395" s="23"/>
      <c r="BP395" s="23"/>
      <c r="BQ395" s="23"/>
      <c r="BR395" s="10"/>
      <c r="BS395" s="16"/>
      <c r="BT395" s="16"/>
      <c r="BU395" s="16"/>
      <c r="BV395" s="16"/>
      <c r="BW395" s="11"/>
      <c r="BX395" s="16"/>
      <c r="BY395" s="16"/>
      <c r="BZ395" s="17"/>
      <c r="CA395" s="18"/>
      <c r="CB395" s="18"/>
      <c r="CC395" s="18"/>
      <c r="CD395" s="18"/>
      <c r="CE395" s="18"/>
      <c r="CF395" s="18"/>
      <c r="CG395" s="19"/>
      <c r="CH395" s="15"/>
      <c r="CI395" s="17"/>
      <c r="CJ395" s="10"/>
      <c r="CK395" s="10"/>
      <c r="CL395" s="10"/>
      <c r="CM395" s="17"/>
      <c r="CN395" s="17"/>
      <c r="CO395" s="10"/>
      <c r="CP395" s="10"/>
      <c r="CQ395" s="10"/>
      <c r="CR395" s="10"/>
      <c r="CS395" s="10"/>
      <c r="CT395" s="10"/>
      <c r="CU395" s="10"/>
      <c r="CV395" s="10"/>
      <c r="CW395" s="10"/>
      <c r="CX395" s="10"/>
      <c r="CY395" s="10"/>
      <c r="CZ395" s="10"/>
      <c r="DA395" s="34"/>
      <c r="DB395" s="34"/>
      <c r="DC395" s="34"/>
      <c r="DD395" s="34"/>
      <c r="DE395" s="34"/>
      <c r="DF395" s="34"/>
      <c r="DG395" s="34"/>
      <c r="DH395" s="34"/>
      <c r="DI395" s="34"/>
      <c r="DJ395" s="34"/>
      <c r="DK395" s="34"/>
      <c r="DL395" s="34"/>
      <c r="DM395" s="34"/>
      <c r="DN395" s="34"/>
      <c r="DO395" s="34"/>
      <c r="DP395" s="34"/>
      <c r="DQ395" s="34"/>
      <c r="DR395" s="34"/>
      <c r="DS395" s="34"/>
      <c r="DT395" s="34"/>
      <c r="DU395" s="34"/>
      <c r="DV395" s="34"/>
      <c r="DW395" s="34"/>
      <c r="DX395" s="34"/>
      <c r="DY395" s="34"/>
      <c r="DZ395" s="34"/>
      <c r="EA395" s="34"/>
      <c r="EB395" s="34"/>
      <c r="EC395" s="34"/>
      <c r="ED395" s="34"/>
      <c r="EE395" s="34"/>
    </row>
    <row r="396" spans="1:135" customFormat="1">
      <c r="A396" s="71">
        <f>'Old Data'!$I392-'Old Data'!$S392</f>
        <v>84</v>
      </c>
      <c r="B396" s="72">
        <f>VLOOKUP('Old Data'!$F392,$R$6:$T$135,2,FALSE)+VLOOKUP('Old Data'!$P392,$R$6:$T$135,3,FALSE)+$B$2</f>
        <v>169.58059175289225</v>
      </c>
      <c r="C396" s="72">
        <f>VLOOKUP('Old Data'!$P392,$R$6:$T$135,2,FALSE)+VLOOKUP('Old Data'!$F392,$R$6:$T$135,3,FALSE)+$B$2</f>
        <v>126.3863551740298</v>
      </c>
      <c r="D396" s="74">
        <f>('Old Data'!$I392-$B396)^2+('Old Data'!$S392-$C396)^2</f>
        <v>904.95234732067922</v>
      </c>
      <c r="E396" s="75">
        <f>'Old Data'!$K392-'Old Data'!$U392</f>
        <v>-82</v>
      </c>
      <c r="F396" s="72">
        <f>VLOOKUP('Old Data'!$F392,$V$6:$X$135,2,FALSE)+VLOOKUP('Old Data'!$P392,$V$6:$X$135,3,FALSE)+$C$2</f>
        <v>243.92468191022596</v>
      </c>
      <c r="G396" s="72">
        <f>VLOOKUP('Old Data'!$P392,$V$6:$X$135,2,FALSE)+VLOOKUP('Old Data'!$F392,$V$6:$X$135,3,FALSE)+$C$2</f>
        <v>376.95600911242195</v>
      </c>
      <c r="H396" s="74">
        <f>('Old Data'!$K392-$F396)^2+('Old Data'!$U392-$G396)^2</f>
        <v>7255.6099738562107</v>
      </c>
      <c r="I396" s="75">
        <f>('Old Data'!$L392+'Old Data'!$M392)-('Old Data'!$V392+'Old Data'!$W392)</f>
        <v>8</v>
      </c>
      <c r="J396" s="72">
        <f>VLOOKUP('Old Data'!$F392,$Z$6:$AB$135,2,FALSE)+VLOOKUP('Old Data'!$P392,$Z$6:$AB$135,3,FALSE)+$D$2</f>
        <v>76.915744858840398</v>
      </c>
      <c r="K396" s="72">
        <f>VLOOKUP('Old Data'!$P392,$Z$6:$AB$135,2,FALSE)+VLOOKUP('Old Data'!$F392,$Z$6:$AB$135,3,FALSE)+$D$2</f>
        <v>62.792526215857798</v>
      </c>
      <c r="L396" s="74">
        <f>('Old Data'!$L392+'Old Data'!$M392-$J396)^2+('Old Data'!$V392+'Old Data'!$W392-$K396)^2</f>
        <v>3195.4511421336692</v>
      </c>
      <c r="M396" s="75">
        <f>'Old Data'!$N392-'Old Data'!$X392</f>
        <v>1</v>
      </c>
      <c r="N396" s="72">
        <f>VLOOKUP('Old Data'!$F392,$AD$6:$AF$135,2,FALSE)+VLOOKUP('Old Data'!$P392,$AD$6:$AF$135,3,FALSE)+$E$2</f>
        <v>1.6271931785150795</v>
      </c>
      <c r="O396" s="72">
        <f>VLOOKUP('Old Data'!$P392,$AD$6:$AF$135,2,FALSE)+VLOOKUP('Old Data'!$F392,$AD$6:$AF$135,3,FALSE)+$E$2</f>
        <v>0.98628605038096151</v>
      </c>
      <c r="P396" s="73">
        <f>('Old Data'!$N392-$N396)^2+('Old Data'!$X392-$O396)^2</f>
        <v>1.3661314563519249</v>
      </c>
      <c r="Q396" s="62"/>
      <c r="R396" s="3"/>
      <c r="S396" s="3"/>
      <c r="T396" s="3"/>
      <c r="V396" s="3"/>
      <c r="W396" s="3"/>
      <c r="X396" s="3"/>
      <c r="Z396" s="3"/>
      <c r="AA396" s="3"/>
      <c r="AB396" s="3"/>
      <c r="AC396" s="3"/>
      <c r="AD396" s="3"/>
      <c r="AE396" s="3"/>
      <c r="AF396" s="3"/>
      <c r="AG396" s="3"/>
      <c r="AH396" s="37"/>
      <c r="AI396" s="1"/>
      <c r="AK396" s="10"/>
      <c r="AL396" s="10"/>
      <c r="AM396" s="10"/>
      <c r="AN396" s="11"/>
      <c r="AO396" s="11"/>
      <c r="AP396" s="11"/>
      <c r="AQ396" s="36"/>
      <c r="AR396" s="11"/>
      <c r="AS396" s="11"/>
      <c r="AT396" s="11"/>
      <c r="AU396" s="12"/>
      <c r="AV396" s="11"/>
      <c r="AW396" s="11"/>
      <c r="AX396" s="15"/>
      <c r="AY396" s="15"/>
      <c r="AZ396" s="15"/>
      <c r="BA396" s="15"/>
      <c r="BB396" s="15"/>
      <c r="BC396" s="15"/>
      <c r="BD396" s="15"/>
      <c r="BE396" s="12"/>
      <c r="BF396" s="11"/>
      <c r="BG396" s="11"/>
      <c r="BH396" s="10"/>
      <c r="BI396" s="10"/>
      <c r="BJ396" s="10"/>
      <c r="BK396" s="23"/>
      <c r="BL396" s="23"/>
      <c r="BM396" s="23"/>
      <c r="BN396" s="23"/>
      <c r="BO396" s="23"/>
      <c r="BP396" s="23"/>
      <c r="BQ396" s="23"/>
      <c r="BR396" s="10"/>
      <c r="BS396" s="16"/>
      <c r="BT396" s="16"/>
      <c r="BU396" s="16"/>
      <c r="BV396" s="16"/>
      <c r="BW396" s="11"/>
      <c r="BX396" s="16"/>
      <c r="BY396" s="16"/>
      <c r="BZ396" s="17"/>
      <c r="CA396" s="18"/>
      <c r="CB396" s="18"/>
      <c r="CC396" s="18"/>
      <c r="CD396" s="18"/>
      <c r="CE396" s="18"/>
      <c r="CF396" s="18"/>
      <c r="CG396" s="19"/>
      <c r="CH396" s="15"/>
      <c r="CI396" s="17"/>
      <c r="CJ396" s="10"/>
      <c r="CK396" s="10"/>
      <c r="CL396" s="10"/>
      <c r="CM396" s="17"/>
      <c r="CN396" s="17"/>
      <c r="CO396" s="10"/>
      <c r="CP396" s="10"/>
      <c r="CQ396" s="10"/>
      <c r="CR396" s="10"/>
      <c r="CS396" s="10"/>
      <c r="CT396" s="10"/>
      <c r="CU396" s="10"/>
      <c r="CV396" s="10"/>
      <c r="CW396" s="10"/>
      <c r="CX396" s="10"/>
      <c r="CY396" s="10"/>
      <c r="CZ396" s="10"/>
      <c r="DA396" s="34"/>
      <c r="DB396" s="34"/>
      <c r="DC396" s="34"/>
      <c r="DD396" s="34"/>
      <c r="DE396" s="34"/>
      <c r="DF396" s="34"/>
      <c r="DG396" s="34"/>
      <c r="DH396" s="34"/>
      <c r="DI396" s="34"/>
      <c r="DJ396" s="34"/>
      <c r="DK396" s="34"/>
      <c r="DL396" s="34"/>
      <c r="DM396" s="34"/>
      <c r="DN396" s="34"/>
      <c r="DO396" s="34"/>
      <c r="DP396" s="34"/>
      <c r="DQ396" s="34"/>
      <c r="DR396" s="34"/>
      <c r="DS396" s="34"/>
      <c r="DT396" s="34"/>
      <c r="DU396" s="34"/>
      <c r="DV396" s="34"/>
      <c r="DW396" s="34"/>
      <c r="DX396" s="34"/>
      <c r="DY396" s="34"/>
      <c r="DZ396" s="34"/>
      <c r="EA396" s="34"/>
      <c r="EB396" s="34"/>
      <c r="EC396" s="34"/>
      <c r="ED396" s="34"/>
      <c r="EE396" s="34"/>
    </row>
    <row r="397" spans="1:135" customFormat="1">
      <c r="A397" s="71">
        <f>'Old Data'!$I393-'Old Data'!$S393</f>
        <v>434</v>
      </c>
      <c r="B397" s="72">
        <f>VLOOKUP('Old Data'!$F393,$R$6:$T$135,2,FALSE)+VLOOKUP('Old Data'!$P393,$R$6:$T$135,3,FALSE)+$B$2</f>
        <v>299.0877592854165</v>
      </c>
      <c r="C397" s="72">
        <f>VLOOKUP('Old Data'!$P393,$R$6:$T$135,2,FALSE)+VLOOKUP('Old Data'!$F393,$R$6:$T$135,3,FALSE)+$B$2</f>
        <v>112.9754093520238</v>
      </c>
      <c r="D397" s="74">
        <f>('Old Data'!$I393-$B397)^2+('Old Data'!$S393-$C397)^2</f>
        <v>31970.987091038744</v>
      </c>
      <c r="E397" s="75">
        <f>'Old Data'!$K393-'Old Data'!$U393</f>
        <v>-90</v>
      </c>
      <c r="F397" s="72">
        <f>VLOOKUP('Old Data'!$F393,$V$6:$X$135,2,FALSE)+VLOOKUP('Old Data'!$P393,$V$6:$X$135,3,FALSE)+$C$2</f>
        <v>146.98217068418575</v>
      </c>
      <c r="G397" s="72">
        <f>VLOOKUP('Old Data'!$P393,$V$6:$X$135,2,FALSE)+VLOOKUP('Old Data'!$F393,$V$6:$X$135,3,FALSE)+$C$2</f>
        <v>230.21848360510521</v>
      </c>
      <c r="H397" s="74">
        <f>('Old Data'!$K393-$F397)^2+('Old Data'!$U393-$G397)^2</f>
        <v>28631.350237664305</v>
      </c>
      <c r="I397" s="75">
        <f>('Old Data'!$L393+'Old Data'!$M393)-('Old Data'!$V393+'Old Data'!$W393)</f>
        <v>15</v>
      </c>
      <c r="J397" s="72">
        <f>VLOOKUP('Old Data'!$F393,$Z$6:$AB$135,2,FALSE)+VLOOKUP('Old Data'!$P393,$Z$6:$AB$135,3,FALSE)+$D$2</f>
        <v>21.1399454330531</v>
      </c>
      <c r="K397" s="72">
        <f>VLOOKUP('Old Data'!$P393,$Z$6:$AB$135,2,FALSE)+VLOOKUP('Old Data'!$F393,$Z$6:$AB$135,3,FALSE)+$D$2</f>
        <v>74.00114760834299</v>
      </c>
      <c r="L397" s="74">
        <f>('Old Data'!$L393+'Old Data'!$M393-$J397)^2+('Old Data'!$V393+'Old Data'!$W393-$K397)^2</f>
        <v>4624.1756607758834</v>
      </c>
      <c r="M397" s="75">
        <f>'Old Data'!$N393-'Old Data'!$X393</f>
        <v>-2</v>
      </c>
      <c r="N397" s="72">
        <f>VLOOKUP('Old Data'!$F393,$AD$6:$AF$135,2,FALSE)+VLOOKUP('Old Data'!$P393,$AD$6:$AF$135,3,FALSE)+$E$2</f>
        <v>1.3790800381337291</v>
      </c>
      <c r="O397" s="72">
        <f>VLOOKUP('Old Data'!$P393,$AD$6:$AF$135,2,FALSE)+VLOOKUP('Old Data'!$F393,$AD$6:$AF$135,3,FALSE)+$E$2</f>
        <v>2.0446499485935057</v>
      </c>
      <c r="P397" s="73">
        <f>('Old Data'!$N393-$N397)^2+('Old Data'!$X393-$O397)^2</f>
        <v>1.9038553694883305</v>
      </c>
      <c r="Q397" s="62"/>
      <c r="R397" s="3"/>
      <c r="S397" s="3"/>
      <c r="T397" s="3"/>
      <c r="V397" s="3"/>
      <c r="W397" s="3"/>
      <c r="X397" s="3"/>
      <c r="Z397" s="3"/>
      <c r="AA397" s="3"/>
      <c r="AB397" s="3"/>
      <c r="AC397" s="3"/>
      <c r="AD397" s="3"/>
      <c r="AE397" s="3"/>
      <c r="AF397" s="3"/>
      <c r="AG397" s="3"/>
      <c r="AH397" s="37"/>
      <c r="AI397" s="1"/>
      <c r="AK397" s="10"/>
      <c r="AL397" s="10"/>
      <c r="AM397" s="10"/>
      <c r="AN397" s="11"/>
      <c r="AO397" s="11"/>
      <c r="AP397" s="11"/>
      <c r="AQ397" s="36"/>
      <c r="AR397" s="11"/>
      <c r="AS397" s="11"/>
      <c r="AT397" s="11"/>
      <c r="AU397" s="12"/>
      <c r="AV397" s="11"/>
      <c r="AW397" s="11"/>
      <c r="AX397" s="15"/>
      <c r="AY397" s="15"/>
      <c r="AZ397" s="15"/>
      <c r="BA397" s="15"/>
      <c r="BB397" s="15"/>
      <c r="BC397" s="15"/>
      <c r="BD397" s="15"/>
      <c r="BE397" s="12"/>
      <c r="BF397" s="11"/>
      <c r="BG397" s="11"/>
      <c r="BH397" s="10"/>
      <c r="BI397" s="10"/>
      <c r="BJ397" s="10"/>
      <c r="BK397" s="23"/>
      <c r="BL397" s="23"/>
      <c r="BM397" s="23"/>
      <c r="BN397" s="23"/>
      <c r="BO397" s="23"/>
      <c r="BP397" s="23"/>
      <c r="BQ397" s="23"/>
      <c r="BR397" s="10"/>
      <c r="BS397" s="16"/>
      <c r="BT397" s="16"/>
      <c r="BU397" s="16"/>
      <c r="BV397" s="16"/>
      <c r="BW397" s="11"/>
      <c r="BX397" s="16"/>
      <c r="BY397" s="16"/>
      <c r="BZ397" s="17"/>
      <c r="CA397" s="18"/>
      <c r="CB397" s="18"/>
      <c r="CC397" s="18"/>
      <c r="CD397" s="18"/>
      <c r="CE397" s="18"/>
      <c r="CF397" s="18"/>
      <c r="CG397" s="19"/>
      <c r="CH397" s="15"/>
      <c r="CI397" s="17"/>
      <c r="CJ397" s="10"/>
      <c r="CK397" s="10"/>
      <c r="CL397" s="10"/>
      <c r="CM397" s="17"/>
      <c r="CN397" s="17"/>
      <c r="CO397" s="10"/>
      <c r="CP397" s="10"/>
      <c r="CQ397" s="10"/>
      <c r="CR397" s="10"/>
      <c r="CS397" s="10"/>
      <c r="CT397" s="10"/>
      <c r="CU397" s="10"/>
      <c r="CV397" s="10"/>
      <c r="CW397" s="10"/>
      <c r="CX397" s="10"/>
      <c r="CY397" s="10"/>
      <c r="CZ397" s="10"/>
      <c r="DA397" s="34"/>
      <c r="DB397" s="34"/>
      <c r="DC397" s="34"/>
      <c r="DD397" s="34"/>
      <c r="DE397" s="34"/>
      <c r="DF397" s="34"/>
      <c r="DG397" s="34"/>
      <c r="DH397" s="34"/>
      <c r="DI397" s="34"/>
      <c r="DJ397" s="34"/>
      <c r="DK397" s="34"/>
      <c r="DL397" s="34"/>
      <c r="DM397" s="34"/>
      <c r="DN397" s="34"/>
      <c r="DO397" s="34"/>
      <c r="DP397" s="34"/>
      <c r="DQ397" s="34"/>
      <c r="DR397" s="34"/>
      <c r="DS397" s="34"/>
      <c r="DT397" s="34"/>
      <c r="DU397" s="34"/>
      <c r="DV397" s="34"/>
      <c r="DW397" s="34"/>
      <c r="DX397" s="34"/>
      <c r="DY397" s="34"/>
      <c r="DZ397" s="34"/>
      <c r="EA397" s="34"/>
      <c r="EB397" s="34"/>
      <c r="EC397" s="34"/>
      <c r="ED397" s="34"/>
      <c r="EE397" s="34"/>
    </row>
    <row r="398" spans="1:135" customFormat="1">
      <c r="A398" s="71">
        <f>'Old Data'!$I394-'Old Data'!$S394</f>
        <v>125</v>
      </c>
      <c r="B398" s="72">
        <f>VLOOKUP('Old Data'!$F394,$R$6:$T$135,2,FALSE)+VLOOKUP('Old Data'!$P394,$R$6:$T$135,3,FALSE)+$B$2</f>
        <v>171.29988658726239</v>
      </c>
      <c r="C398" s="72">
        <f>VLOOKUP('Old Data'!$P394,$R$6:$T$135,2,FALSE)+VLOOKUP('Old Data'!$F394,$R$6:$T$135,3,FALSE)+$B$2</f>
        <v>105.00821079827099</v>
      </c>
      <c r="D398" s="74">
        <f>('Old Data'!$I394-$B398)^2+('Old Data'!$S394-$C398)^2</f>
        <v>1780.4920565910684</v>
      </c>
      <c r="E398" s="75">
        <f>'Old Data'!$K394-'Old Data'!$U394</f>
        <v>12</v>
      </c>
      <c r="F398" s="72">
        <f>VLOOKUP('Old Data'!$F394,$V$6:$X$135,2,FALSE)+VLOOKUP('Old Data'!$P394,$V$6:$X$135,3,FALSE)+$C$2</f>
        <v>271.69625209759488</v>
      </c>
      <c r="G398" s="72">
        <f>VLOOKUP('Old Data'!$P394,$V$6:$X$135,2,FALSE)+VLOOKUP('Old Data'!$F394,$V$6:$X$135,3,FALSE)+$C$2</f>
        <v>278.8944692613253</v>
      </c>
      <c r="H398" s="74">
        <f>('Old Data'!$K394-$F398)^2+('Old Data'!$U394-$G398)^2</f>
        <v>30587.777701289182</v>
      </c>
      <c r="I398" s="75">
        <f>('Old Data'!$L394+'Old Data'!$M394)-('Old Data'!$V394+'Old Data'!$W394)</f>
        <v>56</v>
      </c>
      <c r="J398" s="72">
        <f>VLOOKUP('Old Data'!$F394,$Z$6:$AB$135,2,FALSE)+VLOOKUP('Old Data'!$P394,$Z$6:$AB$135,3,FALSE)+$D$2</f>
        <v>97.449042507799305</v>
      </c>
      <c r="K398" s="72">
        <f>VLOOKUP('Old Data'!$P394,$Z$6:$AB$135,2,FALSE)+VLOOKUP('Old Data'!$F394,$Z$6:$AB$135,3,FALSE)+$D$2</f>
        <v>97.770937041340687</v>
      </c>
      <c r="L398" s="74">
        <f>('Old Data'!$L394+'Old Data'!$M394-$J398)^2+('Old Data'!$V394+'Old Data'!$W394-$K398)^2</f>
        <v>1612.141954268679</v>
      </c>
      <c r="M398" s="75">
        <f>'Old Data'!$N394-'Old Data'!$X394</f>
        <v>3</v>
      </c>
      <c r="N398" s="72">
        <f>VLOOKUP('Old Data'!$F394,$AD$6:$AF$135,2,FALSE)+VLOOKUP('Old Data'!$P394,$AD$6:$AF$135,3,FALSE)+$E$2</f>
        <v>2.3320524284097237</v>
      </c>
      <c r="O398" s="72">
        <f>VLOOKUP('Old Data'!$P394,$AD$6:$AF$135,2,FALSE)+VLOOKUP('Old Data'!$F394,$AD$6:$AF$135,3,FALSE)+$E$2</f>
        <v>1.4865125344783521</v>
      </c>
      <c r="P398" s="73">
        <f>('Old Data'!$N394-$N398)^2+('Old Data'!$X394-$O398)^2</f>
        <v>2.655873473554601</v>
      </c>
      <c r="Q398" s="62"/>
      <c r="R398" s="3"/>
      <c r="S398" s="3"/>
      <c r="T398" s="3"/>
      <c r="V398" s="3"/>
      <c r="W398" s="3"/>
      <c r="X398" s="3"/>
      <c r="Z398" s="3"/>
      <c r="AA398" s="3"/>
      <c r="AB398" s="3"/>
      <c r="AC398" s="3"/>
      <c r="AD398" s="3"/>
      <c r="AE398" s="3"/>
      <c r="AF398" s="3"/>
      <c r="AG398" s="3"/>
      <c r="AH398" s="37"/>
      <c r="AI398" s="1"/>
      <c r="AK398" s="10"/>
      <c r="AL398" s="10"/>
      <c r="AM398" s="10"/>
      <c r="AN398" s="11"/>
      <c r="AO398" s="11"/>
      <c r="AP398" s="11"/>
      <c r="AQ398" s="36"/>
      <c r="AR398" s="11"/>
      <c r="AS398" s="11"/>
      <c r="AT398" s="11"/>
      <c r="AU398" s="12"/>
      <c r="AV398" s="11"/>
      <c r="AW398" s="11"/>
      <c r="AX398" s="15"/>
      <c r="AY398" s="15"/>
      <c r="AZ398" s="15"/>
      <c r="BA398" s="15"/>
      <c r="BB398" s="15"/>
      <c r="BC398" s="15"/>
      <c r="BD398" s="15"/>
      <c r="BE398" s="12"/>
      <c r="BF398" s="11"/>
      <c r="BG398" s="11"/>
      <c r="BH398" s="10"/>
      <c r="BI398" s="10"/>
      <c r="BJ398" s="10"/>
      <c r="BK398" s="23"/>
      <c r="BL398" s="23"/>
      <c r="BM398" s="23"/>
      <c r="BN398" s="23"/>
      <c r="BO398" s="23"/>
      <c r="BP398" s="23"/>
      <c r="BQ398" s="23"/>
      <c r="BR398" s="10"/>
      <c r="BS398" s="16"/>
      <c r="BT398" s="16"/>
      <c r="BU398" s="16"/>
      <c r="BV398" s="16"/>
      <c r="BW398" s="11"/>
      <c r="BX398" s="16"/>
      <c r="BY398" s="16"/>
      <c r="BZ398" s="17"/>
      <c r="CA398" s="18"/>
      <c r="CB398" s="18"/>
      <c r="CC398" s="18"/>
      <c r="CD398" s="18"/>
      <c r="CE398" s="18"/>
      <c r="CF398" s="18"/>
      <c r="CG398" s="19"/>
      <c r="CH398" s="15"/>
      <c r="CI398" s="17"/>
      <c r="CJ398" s="10"/>
      <c r="CK398" s="10"/>
      <c r="CL398" s="10"/>
      <c r="CM398" s="17"/>
      <c r="CN398" s="17"/>
      <c r="CO398" s="10"/>
      <c r="CP398" s="10"/>
      <c r="CQ398" s="10"/>
      <c r="CR398" s="10"/>
      <c r="CS398" s="10"/>
      <c r="CT398" s="10"/>
      <c r="CU398" s="10"/>
      <c r="CV398" s="10"/>
      <c r="CW398" s="10"/>
      <c r="CX398" s="10"/>
      <c r="CY398" s="10"/>
      <c r="CZ398" s="10"/>
      <c r="DA398" s="34"/>
      <c r="DB398" s="34"/>
      <c r="DC398" s="34"/>
      <c r="DD398" s="34"/>
      <c r="DE398" s="34"/>
      <c r="DF398" s="34"/>
      <c r="DG398" s="34"/>
      <c r="DH398" s="34"/>
      <c r="DI398" s="34"/>
      <c r="DJ398" s="34"/>
      <c r="DK398" s="34"/>
      <c r="DL398" s="34"/>
      <c r="DM398" s="34"/>
      <c r="DN398" s="34"/>
      <c r="DO398" s="34"/>
      <c r="DP398" s="34"/>
      <c r="DQ398" s="34"/>
      <c r="DR398" s="34"/>
      <c r="DS398" s="34"/>
      <c r="DT398" s="34"/>
      <c r="DU398" s="34"/>
      <c r="DV398" s="34"/>
      <c r="DW398" s="34"/>
      <c r="DX398" s="34"/>
      <c r="DY398" s="34"/>
      <c r="DZ398" s="34"/>
      <c r="EA398" s="34"/>
      <c r="EB398" s="34"/>
      <c r="EC398" s="34"/>
      <c r="ED398" s="34"/>
      <c r="EE398" s="34"/>
    </row>
    <row r="399" spans="1:135" customFormat="1">
      <c r="A399" s="71">
        <f>'Old Data'!$I395-'Old Data'!$S395</f>
        <v>73</v>
      </c>
      <c r="B399" s="72">
        <f>VLOOKUP('Old Data'!$F395,$R$6:$T$135,2,FALSE)+VLOOKUP('Old Data'!$P395,$R$6:$T$135,3,FALSE)+$B$2</f>
        <v>260.33271073443024</v>
      </c>
      <c r="C399" s="72">
        <f>VLOOKUP('Old Data'!$P395,$R$6:$T$135,2,FALSE)+VLOOKUP('Old Data'!$F395,$R$6:$T$135,3,FALSE)+$B$2</f>
        <v>130.42364819969023</v>
      </c>
      <c r="D399" s="74">
        <f>('Old Data'!$I395-$B399)^2+('Old Data'!$S395-$C399)^2</f>
        <v>7211.5244267927346</v>
      </c>
      <c r="E399" s="75">
        <f>'Old Data'!$K395-'Old Data'!$U395</f>
        <v>173</v>
      </c>
      <c r="F399" s="72">
        <f>VLOOKUP('Old Data'!$F395,$V$6:$X$135,2,FALSE)+VLOOKUP('Old Data'!$P395,$V$6:$X$135,3,FALSE)+$C$2</f>
        <v>320.10254894581618</v>
      </c>
      <c r="G399" s="72">
        <f>VLOOKUP('Old Data'!$P395,$V$6:$X$135,2,FALSE)+VLOOKUP('Old Data'!$F395,$V$6:$X$135,3,FALSE)+$C$2</f>
        <v>185.9026025040435</v>
      </c>
      <c r="H399" s="74">
        <f>('Old Data'!$K395-$F399)^2+('Old Data'!$U395-$G399)^2</f>
        <v>7833.835113862674</v>
      </c>
      <c r="I399" s="75">
        <f>('Old Data'!$L395+'Old Data'!$M395)-('Old Data'!$V395+'Old Data'!$W395)</f>
        <v>-46</v>
      </c>
      <c r="J399" s="72">
        <f>VLOOKUP('Old Data'!$F395,$Z$6:$AB$135,2,FALSE)+VLOOKUP('Old Data'!$P395,$Z$6:$AB$135,3,FALSE)+$D$2</f>
        <v>65.161667423155393</v>
      </c>
      <c r="K399" s="72">
        <f>VLOOKUP('Old Data'!$P395,$Z$6:$AB$135,2,FALSE)+VLOOKUP('Old Data'!$F395,$Z$6:$AB$135,3,FALSE)+$D$2</f>
        <v>67.71602695604939</v>
      </c>
      <c r="L399" s="74">
        <f>('Old Data'!$L395+'Old Data'!$M395-$J399)^2+('Old Data'!$V395+'Old Data'!$W395-$K399)^2</f>
        <v>4214.3625618465458</v>
      </c>
      <c r="M399" s="75">
        <f>'Old Data'!$N395-'Old Data'!$X395</f>
        <v>4</v>
      </c>
      <c r="N399" s="72">
        <f>VLOOKUP('Old Data'!$F395,$AD$6:$AF$135,2,FALSE)+VLOOKUP('Old Data'!$P395,$AD$6:$AF$135,3,FALSE)+$E$2</f>
        <v>2.1777969555869561</v>
      </c>
      <c r="O399" s="72">
        <f>VLOOKUP('Old Data'!$P395,$AD$6:$AF$135,2,FALSE)+VLOOKUP('Old Data'!$F395,$AD$6:$AF$135,3,FALSE)+$E$2</f>
        <v>0.65905485541979014</v>
      </c>
      <c r="P399" s="73">
        <f>('Old Data'!$N395-$N399)^2+('Old Data'!$X395-$O399)^2</f>
        <v>3.7547772375205666</v>
      </c>
      <c r="Q399" s="62"/>
      <c r="R399" s="3"/>
      <c r="S399" s="3"/>
      <c r="T399" s="3"/>
      <c r="V399" s="3"/>
      <c r="W399" s="3"/>
      <c r="X399" s="3"/>
      <c r="Z399" s="3"/>
      <c r="AA399" s="3"/>
      <c r="AB399" s="3"/>
      <c r="AC399" s="3"/>
      <c r="AD399" s="3"/>
      <c r="AE399" s="3"/>
      <c r="AF399" s="3"/>
      <c r="AG399" s="3"/>
      <c r="AH399" s="37"/>
      <c r="AI399" s="1"/>
      <c r="AK399" s="10"/>
      <c r="AL399" s="10"/>
      <c r="AM399" s="10"/>
      <c r="AN399" s="11"/>
      <c r="AO399" s="11"/>
      <c r="AP399" s="11"/>
      <c r="AQ399" s="36"/>
      <c r="AR399" s="11"/>
      <c r="AS399" s="11"/>
      <c r="AT399" s="11"/>
      <c r="AU399" s="12"/>
      <c r="AV399" s="11"/>
      <c r="AW399" s="11"/>
      <c r="AX399" s="15"/>
      <c r="AY399" s="15"/>
      <c r="AZ399" s="15"/>
      <c r="BA399" s="15"/>
      <c r="BB399" s="15"/>
      <c r="BC399" s="15"/>
      <c r="BD399" s="15"/>
      <c r="BE399" s="12"/>
      <c r="BF399" s="11"/>
      <c r="BG399" s="11"/>
      <c r="BH399" s="10"/>
      <c r="BI399" s="10"/>
      <c r="BJ399" s="10"/>
      <c r="BK399" s="23"/>
      <c r="BL399" s="23"/>
      <c r="BM399" s="23"/>
      <c r="BN399" s="23"/>
      <c r="BO399" s="23"/>
      <c r="BP399" s="23"/>
      <c r="BQ399" s="23"/>
      <c r="BR399" s="10"/>
      <c r="BS399" s="16"/>
      <c r="BT399" s="16"/>
      <c r="BU399" s="16"/>
      <c r="BV399" s="16"/>
      <c r="BW399" s="11"/>
      <c r="BX399" s="16"/>
      <c r="BY399" s="16"/>
      <c r="BZ399" s="17"/>
      <c r="CA399" s="18"/>
      <c r="CB399" s="18"/>
      <c r="CC399" s="18"/>
      <c r="CD399" s="18"/>
      <c r="CE399" s="18"/>
      <c r="CF399" s="18"/>
      <c r="CG399" s="19"/>
      <c r="CH399" s="15"/>
      <c r="CI399" s="17"/>
      <c r="CJ399" s="10"/>
      <c r="CK399" s="10"/>
      <c r="CL399" s="10"/>
      <c r="CM399" s="17"/>
      <c r="CN399" s="17"/>
      <c r="CO399" s="10"/>
      <c r="CP399" s="10"/>
      <c r="CQ399" s="10"/>
      <c r="CR399" s="10"/>
      <c r="CS399" s="10"/>
      <c r="CT399" s="10"/>
      <c r="CU399" s="10"/>
      <c r="CV399" s="10"/>
      <c r="CW399" s="10"/>
      <c r="CX399" s="10"/>
      <c r="CY399" s="10"/>
      <c r="CZ399" s="10"/>
      <c r="DA399" s="34"/>
      <c r="DB399" s="34"/>
      <c r="DC399" s="34"/>
      <c r="DD399" s="34"/>
      <c r="DE399" s="34"/>
      <c r="DF399" s="34"/>
      <c r="DG399" s="34"/>
      <c r="DH399" s="34"/>
      <c r="DI399" s="34"/>
      <c r="DJ399" s="34"/>
      <c r="DK399" s="34"/>
      <c r="DL399" s="34"/>
      <c r="DM399" s="34"/>
      <c r="DN399" s="34"/>
      <c r="DO399" s="34"/>
      <c r="DP399" s="34"/>
      <c r="DQ399" s="34"/>
      <c r="DR399" s="34"/>
      <c r="DS399" s="34"/>
      <c r="DT399" s="34"/>
      <c r="DU399" s="34"/>
      <c r="DV399" s="34"/>
      <c r="DW399" s="34"/>
      <c r="DX399" s="34"/>
      <c r="DY399" s="34"/>
      <c r="DZ399" s="34"/>
      <c r="EA399" s="34"/>
      <c r="EB399" s="34"/>
      <c r="EC399" s="34"/>
      <c r="ED399" s="34"/>
      <c r="EE399" s="34"/>
    </row>
    <row r="400" spans="1:135" customFormat="1">
      <c r="A400" s="71">
        <f>'Old Data'!$I396-'Old Data'!$S396</f>
        <v>237</v>
      </c>
      <c r="B400" s="72">
        <f>VLOOKUP('Old Data'!$F396,$R$6:$T$135,2,FALSE)+VLOOKUP('Old Data'!$P396,$R$6:$T$135,3,FALSE)+$B$2</f>
        <v>328.33933516789295</v>
      </c>
      <c r="C400" s="72">
        <f>VLOOKUP('Old Data'!$P396,$R$6:$T$135,2,FALSE)+VLOOKUP('Old Data'!$F396,$R$6:$T$135,3,FALSE)+$B$2</f>
        <v>79.260582812418178</v>
      </c>
      <c r="D400" s="74">
        <f>('Old Data'!$I396-$B400)^2+('Old Data'!$S396-$C400)^2</f>
        <v>100.32873618150496</v>
      </c>
      <c r="E400" s="75">
        <f>'Old Data'!$K396-'Old Data'!$U396</f>
        <v>-211</v>
      </c>
      <c r="F400" s="72">
        <f>VLOOKUP('Old Data'!$F396,$V$6:$X$135,2,FALSE)+VLOOKUP('Old Data'!$P396,$V$6:$X$135,3,FALSE)+$C$2</f>
        <v>83.874976925564567</v>
      </c>
      <c r="G400" s="72">
        <f>VLOOKUP('Old Data'!$P396,$V$6:$X$135,2,FALSE)+VLOOKUP('Old Data'!$F396,$V$6:$X$135,3,FALSE)+$C$2</f>
        <v>313.05868335892239</v>
      </c>
      <c r="H400" s="74">
        <f>('Old Data'!$K396-$F400)^2+('Old Data'!$U396-$G400)^2</f>
        <v>366.65258461645737</v>
      </c>
      <c r="I400" s="75">
        <f>('Old Data'!$L396+'Old Data'!$M396)-('Old Data'!$V396+'Old Data'!$W396)</f>
        <v>-28</v>
      </c>
      <c r="J400" s="72">
        <f>VLOOKUP('Old Data'!$F396,$Z$6:$AB$135,2,FALSE)+VLOOKUP('Old Data'!$P396,$Z$6:$AB$135,3,FALSE)+$D$2</f>
        <v>40.513267973638492</v>
      </c>
      <c r="K400" s="72">
        <f>VLOOKUP('Old Data'!$P396,$Z$6:$AB$135,2,FALSE)+VLOOKUP('Old Data'!$F396,$Z$6:$AB$135,3,FALSE)+$D$2</f>
        <v>47.105808025819798</v>
      </c>
      <c r="L400" s="74">
        <f>('Old Data'!$L396+'Old Data'!$M396-$J400)^2+('Old Data'!$V396+'Old Data'!$W396-$K400)^2</f>
        <v>2567.1150542926616</v>
      </c>
      <c r="M400" s="75">
        <f>'Old Data'!$N396-'Old Data'!$X396</f>
        <v>-1</v>
      </c>
      <c r="N400" s="72">
        <f>VLOOKUP('Old Data'!$F396,$AD$6:$AF$135,2,FALSE)+VLOOKUP('Old Data'!$P396,$AD$6:$AF$135,3,FALSE)+$E$2</f>
        <v>0.85899665997333918</v>
      </c>
      <c r="O400" s="72">
        <f>VLOOKUP('Old Data'!$P396,$AD$6:$AF$135,2,FALSE)+VLOOKUP('Old Data'!$F396,$AD$6:$AF$135,3,FALSE)+$E$2</f>
        <v>1.7920289681090236</v>
      </c>
      <c r="P400" s="73">
        <f>('Old Data'!$N396-$N400)^2+('Old Data'!$X396-$O400)^2</f>
        <v>1.3651851481691972</v>
      </c>
      <c r="Q400" s="62"/>
      <c r="R400" s="3"/>
      <c r="S400" s="3"/>
      <c r="T400" s="3"/>
      <c r="V400" s="3"/>
      <c r="W400" s="3"/>
      <c r="X400" s="3"/>
      <c r="Z400" s="3"/>
      <c r="AA400" s="3"/>
      <c r="AB400" s="3"/>
      <c r="AC400" s="3"/>
      <c r="AD400" s="3"/>
      <c r="AE400" s="3"/>
      <c r="AF400" s="3"/>
      <c r="AG400" s="3"/>
      <c r="AH400" s="37"/>
      <c r="AI400" s="1"/>
      <c r="AK400" s="10"/>
      <c r="AL400" s="10"/>
      <c r="AM400" s="10"/>
      <c r="AN400" s="11"/>
      <c r="AO400" s="11"/>
      <c r="AP400" s="11"/>
      <c r="AQ400" s="36"/>
      <c r="AR400" s="11"/>
      <c r="AS400" s="11"/>
      <c r="AT400" s="11"/>
      <c r="AU400" s="12"/>
      <c r="AV400" s="11"/>
      <c r="AW400" s="11"/>
      <c r="AX400" s="15"/>
      <c r="AY400" s="15"/>
      <c r="AZ400" s="15"/>
      <c r="BA400" s="15"/>
      <c r="BB400" s="15"/>
      <c r="BC400" s="15"/>
      <c r="BD400" s="15"/>
      <c r="BE400" s="12"/>
      <c r="BF400" s="11"/>
      <c r="BG400" s="11"/>
      <c r="BH400" s="10"/>
      <c r="BI400" s="10"/>
      <c r="BJ400" s="10"/>
      <c r="BK400" s="23"/>
      <c r="BL400" s="23"/>
      <c r="BM400" s="23"/>
      <c r="BN400" s="23"/>
      <c r="BO400" s="23"/>
      <c r="BP400" s="23"/>
      <c r="BQ400" s="23"/>
      <c r="BR400" s="10"/>
      <c r="BS400" s="16"/>
      <c r="BT400" s="16"/>
      <c r="BU400" s="16"/>
      <c r="BV400" s="16"/>
      <c r="BW400" s="11"/>
      <c r="BX400" s="16"/>
      <c r="BY400" s="16"/>
      <c r="BZ400" s="17"/>
      <c r="CA400" s="18"/>
      <c r="CB400" s="18"/>
      <c r="CC400" s="18"/>
      <c r="CD400" s="18"/>
      <c r="CE400" s="18"/>
      <c r="CF400" s="18"/>
      <c r="CG400" s="19"/>
      <c r="CH400" s="15"/>
      <c r="CI400" s="17"/>
      <c r="CJ400" s="10"/>
      <c r="CK400" s="10"/>
      <c r="CL400" s="10"/>
      <c r="CM400" s="17"/>
      <c r="CN400" s="17"/>
      <c r="CO400" s="10"/>
      <c r="CP400" s="10"/>
      <c r="CQ400" s="10"/>
      <c r="CR400" s="10"/>
      <c r="CS400" s="10"/>
      <c r="CT400" s="10"/>
      <c r="CU400" s="10"/>
      <c r="CV400" s="10"/>
      <c r="CW400" s="10"/>
      <c r="CX400" s="10"/>
      <c r="CY400" s="10"/>
      <c r="CZ400" s="10"/>
      <c r="DA400" s="34"/>
      <c r="DB400" s="34"/>
      <c r="DC400" s="34"/>
      <c r="DD400" s="34"/>
      <c r="DE400" s="34"/>
      <c r="DF400" s="34"/>
      <c r="DG400" s="34"/>
      <c r="DH400" s="34"/>
      <c r="DI400" s="34"/>
      <c r="DJ400" s="34"/>
      <c r="DK400" s="34"/>
      <c r="DL400" s="34"/>
      <c r="DM400" s="34"/>
      <c r="DN400" s="34"/>
      <c r="DO400" s="34"/>
      <c r="DP400" s="34"/>
      <c r="DQ400" s="34"/>
      <c r="DR400" s="34"/>
      <c r="DS400" s="34"/>
      <c r="DT400" s="34"/>
      <c r="DU400" s="34"/>
      <c r="DV400" s="34"/>
      <c r="DW400" s="34"/>
      <c r="DX400" s="34"/>
      <c r="DY400" s="34"/>
      <c r="DZ400" s="34"/>
      <c r="EA400" s="34"/>
      <c r="EB400" s="34"/>
      <c r="EC400" s="34"/>
      <c r="ED400" s="34"/>
      <c r="EE400" s="34"/>
    </row>
    <row r="401" spans="1:135" customFormat="1">
      <c r="A401" s="71">
        <f>'Old Data'!$I397-'Old Data'!$S397</f>
        <v>-72</v>
      </c>
      <c r="B401" s="72">
        <f>VLOOKUP('Old Data'!$F397,$R$6:$T$135,2,FALSE)+VLOOKUP('Old Data'!$P397,$R$6:$T$135,3,FALSE)+$B$2</f>
        <v>231.37005372651362</v>
      </c>
      <c r="C401" s="72">
        <f>VLOOKUP('Old Data'!$P397,$R$6:$T$135,2,FALSE)+VLOOKUP('Old Data'!$F397,$R$6:$T$135,3,FALSE)+$B$2</f>
        <v>215.054700864935</v>
      </c>
      <c r="D401" s="74">
        <f>('Old Data'!$I397-$B401)^2+('Old Data'!$S397-$C401)^2</f>
        <v>10349.468960338907</v>
      </c>
      <c r="E401" s="75">
        <f>'Old Data'!$K397-'Old Data'!$U397</f>
        <v>-22</v>
      </c>
      <c r="F401" s="72">
        <f>VLOOKUP('Old Data'!$F397,$V$6:$X$135,2,FALSE)+VLOOKUP('Old Data'!$P397,$V$6:$X$135,3,FALSE)+$C$2</f>
        <v>246.39637767976041</v>
      </c>
      <c r="G401" s="72">
        <f>VLOOKUP('Old Data'!$P397,$V$6:$X$135,2,FALSE)+VLOOKUP('Old Data'!$F397,$V$6:$X$135,3,FALSE)+$C$2</f>
        <v>243.09237253945099</v>
      </c>
      <c r="H401" s="74">
        <f>('Old Data'!$K397-$F401)^2+('Old Data'!$U397-$G401)^2</f>
        <v>31442.46458104243</v>
      </c>
      <c r="I401" s="75">
        <f>('Old Data'!$L397+'Old Data'!$M397)-('Old Data'!$V397+'Old Data'!$W397)</f>
        <v>122</v>
      </c>
      <c r="J401" s="72">
        <f>VLOOKUP('Old Data'!$F397,$Z$6:$AB$135,2,FALSE)+VLOOKUP('Old Data'!$P397,$Z$6:$AB$135,3,FALSE)+$D$2</f>
        <v>73.491178920396791</v>
      </c>
      <c r="K401" s="72">
        <f>VLOOKUP('Old Data'!$P397,$Z$6:$AB$135,2,FALSE)+VLOOKUP('Old Data'!$F397,$Z$6:$AB$135,3,FALSE)+$D$2</f>
        <v>134.13669360358469</v>
      </c>
      <c r="L401" s="74">
        <f>('Old Data'!$L397+'Old Data'!$M397-$J401)^2+('Old Data'!$V397+'Old Data'!$W397-$K401)^2</f>
        <v>20011.246803338989</v>
      </c>
      <c r="M401" s="75">
        <f>'Old Data'!$N397-'Old Data'!$X397</f>
        <v>0</v>
      </c>
      <c r="N401" s="72">
        <f>VLOOKUP('Old Data'!$F397,$AD$6:$AF$135,2,FALSE)+VLOOKUP('Old Data'!$P397,$AD$6:$AF$135,3,FALSE)+$E$2</f>
        <v>2.3586605541288197</v>
      </c>
      <c r="O401" s="72">
        <f>VLOOKUP('Old Data'!$P397,$AD$6:$AF$135,2,FALSE)+VLOOKUP('Old Data'!$F397,$AD$6:$AF$135,3,FALSE)+$E$2</f>
        <v>1.2598867930247271</v>
      </c>
      <c r="P401" s="73">
        <f>('Old Data'!$N397-$N401)^2+('Old Data'!$X397-$O401)^2</f>
        <v>1.9134996465343088</v>
      </c>
      <c r="Q401" s="62"/>
      <c r="R401" s="3"/>
      <c r="S401" s="3"/>
      <c r="T401" s="3"/>
      <c r="V401" s="3"/>
      <c r="W401" s="3"/>
      <c r="X401" s="3"/>
      <c r="Z401" s="3"/>
      <c r="AA401" s="3"/>
      <c r="AB401" s="3"/>
      <c r="AC401" s="3"/>
      <c r="AD401" s="3"/>
      <c r="AE401" s="3"/>
      <c r="AF401" s="3"/>
      <c r="AG401" s="3"/>
      <c r="AH401" s="37"/>
      <c r="AI401" s="1"/>
      <c r="AK401" s="10"/>
      <c r="AL401" s="10"/>
      <c r="AM401" s="10"/>
      <c r="AN401" s="11"/>
      <c r="AO401" s="11"/>
      <c r="AP401" s="11"/>
      <c r="AQ401" s="36"/>
      <c r="AR401" s="11"/>
      <c r="AS401" s="11"/>
      <c r="AT401" s="11"/>
      <c r="AU401" s="12"/>
      <c r="AV401" s="11"/>
      <c r="AW401" s="11"/>
      <c r="AX401" s="15"/>
      <c r="AY401" s="15"/>
      <c r="AZ401" s="15"/>
      <c r="BA401" s="15"/>
      <c r="BB401" s="15"/>
      <c r="BC401" s="15"/>
      <c r="BD401" s="15"/>
      <c r="BE401" s="12"/>
      <c r="BF401" s="11"/>
      <c r="BG401" s="11"/>
      <c r="BH401" s="10"/>
      <c r="BI401" s="10"/>
      <c r="BJ401" s="10"/>
      <c r="BK401" s="23"/>
      <c r="BL401" s="23"/>
      <c r="BM401" s="23"/>
      <c r="BN401" s="23"/>
      <c r="BO401" s="23"/>
      <c r="BP401" s="23"/>
      <c r="BQ401" s="23"/>
      <c r="BR401" s="10"/>
      <c r="BS401" s="16"/>
      <c r="BT401" s="16"/>
      <c r="BU401" s="16"/>
      <c r="BV401" s="16"/>
      <c r="BW401" s="11"/>
      <c r="BX401" s="16"/>
      <c r="BY401" s="16"/>
      <c r="BZ401" s="17"/>
      <c r="CA401" s="18"/>
      <c r="CB401" s="18"/>
      <c r="CC401" s="18"/>
      <c r="CD401" s="18"/>
      <c r="CE401" s="18"/>
      <c r="CF401" s="18"/>
      <c r="CG401" s="19"/>
      <c r="CH401" s="15"/>
      <c r="CI401" s="17"/>
      <c r="CJ401" s="10"/>
      <c r="CK401" s="10"/>
      <c r="CL401" s="10"/>
      <c r="CM401" s="17"/>
      <c r="CN401" s="17"/>
      <c r="CO401" s="10"/>
      <c r="CP401" s="10"/>
      <c r="CQ401" s="10"/>
      <c r="CR401" s="10"/>
      <c r="CS401" s="10"/>
      <c r="CT401" s="10"/>
      <c r="CU401" s="10"/>
      <c r="CV401" s="10"/>
      <c r="CW401" s="10"/>
      <c r="CX401" s="10"/>
      <c r="CY401" s="10"/>
      <c r="CZ401" s="10"/>
      <c r="DA401" s="34"/>
      <c r="DB401" s="34"/>
      <c r="DC401" s="34"/>
      <c r="DD401" s="34"/>
      <c r="DE401" s="34"/>
      <c r="DF401" s="34"/>
      <c r="DG401" s="34"/>
      <c r="DH401" s="34"/>
      <c r="DI401" s="34"/>
      <c r="DJ401" s="34"/>
      <c r="DK401" s="34"/>
      <c r="DL401" s="34"/>
      <c r="DM401" s="34"/>
      <c r="DN401" s="34"/>
      <c r="DO401" s="34"/>
      <c r="DP401" s="34"/>
      <c r="DQ401" s="34"/>
      <c r="DR401" s="34"/>
      <c r="DS401" s="34"/>
      <c r="DT401" s="34"/>
      <c r="DU401" s="34"/>
      <c r="DV401" s="34"/>
      <c r="DW401" s="34"/>
      <c r="DX401" s="34"/>
      <c r="DY401" s="34"/>
      <c r="DZ401" s="34"/>
      <c r="EA401" s="34"/>
      <c r="EB401" s="34"/>
      <c r="EC401" s="34"/>
      <c r="ED401" s="34"/>
      <c r="EE401" s="34"/>
    </row>
    <row r="402" spans="1:135" customFormat="1">
      <c r="A402" s="71">
        <f>'Old Data'!$I398-'Old Data'!$S398</f>
        <v>124</v>
      </c>
      <c r="B402" s="72">
        <f>VLOOKUP('Old Data'!$F398,$R$6:$T$135,2,FALSE)+VLOOKUP('Old Data'!$P398,$R$6:$T$135,3,FALSE)+$B$2</f>
        <v>202.1082228366156</v>
      </c>
      <c r="C402" s="72">
        <f>VLOOKUP('Old Data'!$P398,$R$6:$T$135,2,FALSE)+VLOOKUP('Old Data'!$F398,$R$6:$T$135,3,FALSE)+$B$2</f>
        <v>107.17947909336067</v>
      </c>
      <c r="D402" s="74">
        <f>('Old Data'!$I398-$B402)^2+('Old Data'!$S398-$C402)^2</f>
        <v>1194.330731642</v>
      </c>
      <c r="E402" s="75">
        <f>'Old Data'!$K398-'Old Data'!$U398</f>
        <v>-93</v>
      </c>
      <c r="F402" s="72">
        <f>VLOOKUP('Old Data'!$F398,$V$6:$X$135,2,FALSE)+VLOOKUP('Old Data'!$P398,$V$6:$X$135,3,FALSE)+$C$2</f>
        <v>168.310125083343</v>
      </c>
      <c r="G402" s="72">
        <f>VLOOKUP('Old Data'!$P398,$V$6:$X$135,2,FALSE)+VLOOKUP('Old Data'!$F398,$V$6:$X$135,3,FALSE)+$C$2</f>
        <v>240.85235543027909</v>
      </c>
      <c r="H402" s="74">
        <f>('Old Data'!$K398-$F402)^2+('Old Data'!$U398-$G402)^2</f>
        <v>1084.4491879754371</v>
      </c>
      <c r="I402" s="75">
        <f>('Old Data'!$L398+'Old Data'!$M398)-('Old Data'!$V398+'Old Data'!$W398)</f>
        <v>-40</v>
      </c>
      <c r="J402" s="72">
        <f>VLOOKUP('Old Data'!$F398,$Z$6:$AB$135,2,FALSE)+VLOOKUP('Old Data'!$P398,$Z$6:$AB$135,3,FALSE)+$D$2</f>
        <v>49.994543990306795</v>
      </c>
      <c r="K402" s="72">
        <f>VLOOKUP('Old Data'!$P398,$Z$6:$AB$135,2,FALSE)+VLOOKUP('Old Data'!$F398,$Z$6:$AB$135,3,FALSE)+$D$2</f>
        <v>84.31916906948689</v>
      </c>
      <c r="L402" s="74">
        <f>('Old Data'!$L398+'Old Data'!$M398-$J402)^2+('Old Data'!$V398+'Old Data'!$W398-$K402)^2</f>
        <v>538.19296610127617</v>
      </c>
      <c r="M402" s="75">
        <f>'Old Data'!$N398-'Old Data'!$X398</f>
        <v>4</v>
      </c>
      <c r="N402" s="72">
        <f>VLOOKUP('Old Data'!$F398,$AD$6:$AF$135,2,FALSE)+VLOOKUP('Old Data'!$P398,$AD$6:$AF$135,3,FALSE)+$E$2</f>
        <v>2.3020264190886461</v>
      </c>
      <c r="O402" s="72">
        <f>VLOOKUP('Old Data'!$P398,$AD$6:$AF$135,2,FALSE)+VLOOKUP('Old Data'!$F398,$AD$6:$AF$135,3,FALSE)+$E$2</f>
        <v>1.1284133775321181</v>
      </c>
      <c r="P402" s="73">
        <f>('Old Data'!$N398-$N402)^2+('Old Data'!$X398-$O402)^2</f>
        <v>7.2955514388248401</v>
      </c>
      <c r="Q402" s="62"/>
      <c r="R402" s="3"/>
      <c r="S402" s="3"/>
      <c r="T402" s="3"/>
      <c r="V402" s="3"/>
      <c r="W402" s="3"/>
      <c r="X402" s="3"/>
      <c r="Z402" s="3"/>
      <c r="AA402" s="3"/>
      <c r="AB402" s="3"/>
      <c r="AC402" s="3"/>
      <c r="AD402" s="3"/>
      <c r="AE402" s="3"/>
      <c r="AF402" s="3"/>
      <c r="AG402" s="3"/>
      <c r="AH402" s="37"/>
      <c r="AI402" s="1"/>
      <c r="AK402" s="10"/>
      <c r="AL402" s="10"/>
      <c r="AM402" s="10"/>
      <c r="AN402" s="11"/>
      <c r="AO402" s="11"/>
      <c r="AP402" s="11"/>
      <c r="AQ402" s="36"/>
      <c r="AR402" s="11"/>
      <c r="AS402" s="11"/>
      <c r="AT402" s="11"/>
      <c r="AU402" s="12"/>
      <c r="AV402" s="11"/>
      <c r="AW402" s="11"/>
      <c r="AX402" s="15"/>
      <c r="AY402" s="15"/>
      <c r="AZ402" s="15"/>
      <c r="BA402" s="15"/>
      <c r="BB402" s="15"/>
      <c r="BC402" s="15"/>
      <c r="BD402" s="15"/>
      <c r="BE402" s="12"/>
      <c r="BF402" s="11"/>
      <c r="BG402" s="11"/>
      <c r="BH402" s="10"/>
      <c r="BI402" s="10"/>
      <c r="BJ402" s="10"/>
      <c r="BK402" s="23"/>
      <c r="BL402" s="23"/>
      <c r="BM402" s="23"/>
      <c r="BN402" s="23"/>
      <c r="BO402" s="23"/>
      <c r="BP402" s="23"/>
      <c r="BQ402" s="23"/>
      <c r="BR402" s="10"/>
      <c r="BS402" s="16"/>
      <c r="BT402" s="16"/>
      <c r="BU402" s="16"/>
      <c r="BV402" s="16"/>
      <c r="BW402" s="11"/>
      <c r="BX402" s="16"/>
      <c r="BY402" s="16"/>
      <c r="BZ402" s="17"/>
      <c r="CA402" s="18"/>
      <c r="CB402" s="18"/>
      <c r="CC402" s="18"/>
      <c r="CD402" s="18"/>
      <c r="CE402" s="18"/>
      <c r="CF402" s="18"/>
      <c r="CG402" s="19"/>
      <c r="CH402" s="15"/>
      <c r="CI402" s="17"/>
      <c r="CJ402" s="10"/>
      <c r="CK402" s="10"/>
      <c r="CL402" s="10"/>
      <c r="CM402" s="17"/>
      <c r="CN402" s="17"/>
      <c r="CO402" s="10"/>
      <c r="CP402" s="10"/>
      <c r="CQ402" s="10"/>
      <c r="CR402" s="10"/>
      <c r="CS402" s="10"/>
      <c r="CT402" s="10"/>
      <c r="CU402" s="10"/>
      <c r="CV402" s="10"/>
      <c r="CW402" s="10"/>
      <c r="CX402" s="10"/>
      <c r="CY402" s="10"/>
      <c r="CZ402" s="10"/>
      <c r="DA402" s="34"/>
      <c r="DB402" s="34"/>
      <c r="DC402" s="34"/>
      <c r="DD402" s="34"/>
      <c r="DE402" s="34"/>
      <c r="DF402" s="34"/>
      <c r="DG402" s="34"/>
      <c r="DH402" s="34"/>
      <c r="DI402" s="34"/>
      <c r="DJ402" s="34"/>
      <c r="DK402" s="34"/>
      <c r="DL402" s="34"/>
      <c r="DM402" s="34"/>
      <c r="DN402" s="34"/>
      <c r="DO402" s="34"/>
      <c r="DP402" s="34"/>
      <c r="DQ402" s="34"/>
      <c r="DR402" s="34"/>
      <c r="DS402" s="34"/>
      <c r="DT402" s="34"/>
      <c r="DU402" s="34"/>
      <c r="DV402" s="34"/>
      <c r="DW402" s="34"/>
      <c r="DX402" s="34"/>
      <c r="DY402" s="34"/>
      <c r="DZ402" s="34"/>
      <c r="EA402" s="34"/>
      <c r="EB402" s="34"/>
      <c r="EC402" s="34"/>
      <c r="ED402" s="34"/>
      <c r="EE402" s="34"/>
    </row>
    <row r="403" spans="1:135" customFormat="1">
      <c r="A403" s="71">
        <f>'Old Data'!$I399-'Old Data'!$S399</f>
        <v>108</v>
      </c>
      <c r="B403" s="72">
        <f>VLOOKUP('Old Data'!$F399,$R$6:$T$135,2,FALSE)+VLOOKUP('Old Data'!$P399,$R$6:$T$135,3,FALSE)+$B$2</f>
        <v>215.15039651252587</v>
      </c>
      <c r="C403" s="72">
        <f>VLOOKUP('Old Data'!$P399,$R$6:$T$135,2,FALSE)+VLOOKUP('Old Data'!$F399,$R$6:$T$135,3,FALSE)+$B$2</f>
        <v>167.85471122562672</v>
      </c>
      <c r="D403" s="74">
        <f>('Old Data'!$I399-$B403)^2+('Old Data'!$S399-$C403)^2</f>
        <v>1954.9303093658013</v>
      </c>
      <c r="E403" s="75">
        <f>'Old Data'!$K399-'Old Data'!$U399</f>
        <v>-58</v>
      </c>
      <c r="F403" s="72">
        <f>VLOOKUP('Old Data'!$F399,$V$6:$X$135,2,FALSE)+VLOOKUP('Old Data'!$P399,$V$6:$X$135,3,FALSE)+$C$2</f>
        <v>215.65640652596704</v>
      </c>
      <c r="G403" s="72">
        <f>VLOOKUP('Old Data'!$P399,$V$6:$X$135,2,FALSE)+VLOOKUP('Old Data'!$F399,$V$6:$X$135,3,FALSE)+$C$2</f>
        <v>241.9164849616443</v>
      </c>
      <c r="H403" s="74">
        <f>('Old Data'!$K399-$F403)^2+('Old Data'!$U399-$G403)^2</f>
        <v>37611.976036665073</v>
      </c>
      <c r="I403" s="75">
        <f>('Old Data'!$L399+'Old Data'!$M399)-('Old Data'!$V399+'Old Data'!$W399)</f>
        <v>-52</v>
      </c>
      <c r="J403" s="72">
        <f>VLOOKUP('Old Data'!$F399,$Z$6:$AB$135,2,FALSE)+VLOOKUP('Old Data'!$P399,$Z$6:$AB$135,3,FALSE)+$D$2</f>
        <v>53.308569301737798</v>
      </c>
      <c r="K403" s="72">
        <f>VLOOKUP('Old Data'!$P399,$Z$6:$AB$135,2,FALSE)+VLOOKUP('Old Data'!$F399,$Z$6:$AB$135,3,FALSE)+$D$2</f>
        <v>90.315790598822574</v>
      </c>
      <c r="L403" s="74">
        <f>('Old Data'!$L399+'Old Data'!$M399-$J403)^2+('Old Data'!$V399+'Old Data'!$W399-$K403)^2</f>
        <v>1063.9340949841039</v>
      </c>
      <c r="M403" s="75">
        <f>'Old Data'!$N399-'Old Data'!$X399</f>
        <v>1</v>
      </c>
      <c r="N403" s="72">
        <f>VLOOKUP('Old Data'!$F399,$AD$6:$AF$135,2,FALSE)+VLOOKUP('Old Data'!$P399,$AD$6:$AF$135,3,FALSE)+$E$2</f>
        <v>1.7004142902162576</v>
      </c>
      <c r="O403" s="72">
        <f>VLOOKUP('Old Data'!$P399,$AD$6:$AF$135,2,FALSE)+VLOOKUP('Old Data'!$F399,$AD$6:$AF$135,3,FALSE)+$E$2</f>
        <v>0.73680952178141212</v>
      </c>
      <c r="P403" s="73">
        <f>('Old Data'!$N399-$N403)^2+('Old Data'!$X399-$O403)^2</f>
        <v>1.0334684493268971</v>
      </c>
      <c r="Q403" s="62"/>
      <c r="R403" s="3"/>
      <c r="S403" s="3"/>
      <c r="T403" s="3"/>
      <c r="V403" s="3"/>
      <c r="W403" s="3"/>
      <c r="X403" s="3"/>
      <c r="Z403" s="3"/>
      <c r="AA403" s="3"/>
      <c r="AB403" s="3"/>
      <c r="AC403" s="3"/>
      <c r="AD403" s="3"/>
      <c r="AE403" s="3"/>
      <c r="AF403" s="3"/>
      <c r="AG403" s="3"/>
      <c r="AH403" s="37"/>
      <c r="AI403" s="1"/>
      <c r="AK403" s="10"/>
      <c r="AL403" s="10"/>
      <c r="AM403" s="10"/>
      <c r="AN403" s="11"/>
      <c r="AO403" s="11"/>
      <c r="AP403" s="11"/>
      <c r="AQ403" s="36"/>
      <c r="AR403" s="11"/>
      <c r="AS403" s="11"/>
      <c r="AT403" s="11"/>
      <c r="AU403" s="12"/>
      <c r="AV403" s="11"/>
      <c r="AW403" s="11"/>
      <c r="AX403" s="15"/>
      <c r="AY403" s="15"/>
      <c r="AZ403" s="15"/>
      <c r="BA403" s="15"/>
      <c r="BB403" s="15"/>
      <c r="BC403" s="15"/>
      <c r="BD403" s="15"/>
      <c r="BE403" s="12"/>
      <c r="BF403" s="11"/>
      <c r="BG403" s="11"/>
      <c r="BH403" s="10"/>
      <c r="BI403" s="10"/>
      <c r="BJ403" s="10"/>
      <c r="BK403" s="23"/>
      <c r="BL403" s="23"/>
      <c r="BM403" s="23"/>
      <c r="BN403" s="23"/>
      <c r="BO403" s="23"/>
      <c r="BP403" s="23"/>
      <c r="BQ403" s="23"/>
      <c r="BR403" s="10"/>
      <c r="BS403" s="16"/>
      <c r="BT403" s="16"/>
      <c r="BU403" s="16"/>
      <c r="BV403" s="16"/>
      <c r="BW403" s="11"/>
      <c r="BX403" s="16"/>
      <c r="BY403" s="16"/>
      <c r="BZ403" s="17"/>
      <c r="CA403" s="18"/>
      <c r="CB403" s="18"/>
      <c r="CC403" s="18"/>
      <c r="CD403" s="18"/>
      <c r="CE403" s="18"/>
      <c r="CF403" s="18"/>
      <c r="CG403" s="19"/>
      <c r="CH403" s="15"/>
      <c r="CI403" s="17"/>
      <c r="CJ403" s="10"/>
      <c r="CK403" s="10"/>
      <c r="CL403" s="10"/>
      <c r="CM403" s="17"/>
      <c r="CN403" s="17"/>
      <c r="CO403" s="10"/>
      <c r="CP403" s="10"/>
      <c r="CQ403" s="10"/>
      <c r="CR403" s="10"/>
      <c r="CS403" s="10"/>
      <c r="CT403" s="10"/>
      <c r="CU403" s="10"/>
      <c r="CV403" s="10"/>
      <c r="CW403" s="10"/>
      <c r="CX403" s="10"/>
      <c r="CY403" s="10"/>
      <c r="CZ403" s="10"/>
      <c r="DA403" s="34"/>
      <c r="DB403" s="34"/>
      <c r="DC403" s="34"/>
      <c r="DD403" s="34"/>
      <c r="DE403" s="34"/>
      <c r="DF403" s="34"/>
      <c r="DG403" s="34"/>
      <c r="DH403" s="34"/>
      <c r="DI403" s="34"/>
      <c r="DJ403" s="34"/>
      <c r="DK403" s="34"/>
      <c r="DL403" s="34"/>
      <c r="DM403" s="34"/>
      <c r="DN403" s="34"/>
      <c r="DO403" s="34"/>
      <c r="DP403" s="34"/>
      <c r="DQ403" s="34"/>
      <c r="DR403" s="34"/>
      <c r="DS403" s="34"/>
      <c r="DT403" s="34"/>
      <c r="DU403" s="34"/>
      <c r="DV403" s="34"/>
      <c r="DW403" s="34"/>
      <c r="DX403" s="34"/>
      <c r="DY403" s="34"/>
      <c r="DZ403" s="34"/>
      <c r="EA403" s="34"/>
      <c r="EB403" s="34"/>
      <c r="EC403" s="34"/>
      <c r="ED403" s="34"/>
      <c r="EE403" s="34"/>
    </row>
    <row r="404" spans="1:135" customFormat="1">
      <c r="A404" s="71">
        <f>'Old Data'!$I400-'Old Data'!$S400</f>
        <v>205</v>
      </c>
      <c r="B404" s="72">
        <f>VLOOKUP('Old Data'!$F400,$R$6:$T$135,2,FALSE)+VLOOKUP('Old Data'!$P400,$R$6:$T$135,3,FALSE)+$B$2</f>
        <v>253.62679934078238</v>
      </c>
      <c r="C404" s="72">
        <f>VLOOKUP('Old Data'!$P400,$R$6:$T$135,2,FALSE)+VLOOKUP('Old Data'!$F400,$R$6:$T$135,3,FALSE)+$B$2</f>
        <v>184.78743532530601</v>
      </c>
      <c r="D404" s="74">
        <f>('Old Data'!$I400-$B404)^2+('Old Data'!$S400-$C404)^2</f>
        <v>10046.600343011716</v>
      </c>
      <c r="E404" s="75">
        <f>'Old Data'!$K400-'Old Data'!$U400</f>
        <v>292</v>
      </c>
      <c r="F404" s="72">
        <f>VLOOKUP('Old Data'!$F400,$V$6:$X$135,2,FALSE)+VLOOKUP('Old Data'!$P400,$V$6:$X$135,3,FALSE)+$C$2</f>
        <v>349.08938467794979</v>
      </c>
      <c r="G404" s="72">
        <f>VLOOKUP('Old Data'!$P400,$V$6:$X$135,2,FALSE)+VLOOKUP('Old Data'!$F400,$V$6:$X$135,3,FALSE)+$C$2</f>
        <v>97.433300103656109</v>
      </c>
      <c r="H404" s="74">
        <f>('Old Data'!$K400-$F404)^2+('Old Data'!$U400-$G404)^2</f>
        <v>828.81624693909771</v>
      </c>
      <c r="I404" s="75">
        <f>('Old Data'!$L400+'Old Data'!$M400)-('Old Data'!$V400+'Old Data'!$W400)</f>
        <v>-68</v>
      </c>
      <c r="J404" s="72">
        <f>VLOOKUP('Old Data'!$F400,$Z$6:$AB$135,2,FALSE)+VLOOKUP('Old Data'!$P400,$Z$6:$AB$135,3,FALSE)+$D$2</f>
        <v>32.976296316072798</v>
      </c>
      <c r="K404" s="72">
        <f>VLOOKUP('Old Data'!$P400,$Z$6:$AB$135,2,FALSE)+VLOOKUP('Old Data'!$F400,$Z$6:$AB$135,3,FALSE)+$D$2</f>
        <v>63.411154565639791</v>
      </c>
      <c r="L404" s="74">
        <f>('Old Data'!$L400+'Old Data'!$M400-$J404)^2+('Old Data'!$V400+'Old Data'!$W400-$K404)^2</f>
        <v>2728.8481400283267</v>
      </c>
      <c r="M404" s="75">
        <f>'Old Data'!$N400-'Old Data'!$X400</f>
        <v>1</v>
      </c>
      <c r="N404" s="72">
        <f>VLOOKUP('Old Data'!$F400,$AD$6:$AF$135,2,FALSE)+VLOOKUP('Old Data'!$P400,$AD$6:$AF$135,3,FALSE)+$E$2</f>
        <v>1.744318995988043</v>
      </c>
      <c r="O404" s="72">
        <f>VLOOKUP('Old Data'!$P400,$AD$6:$AF$135,2,FALSE)+VLOOKUP('Old Data'!$F400,$AD$6:$AF$135,3,FALSE)+$E$2</f>
        <v>0.82183852624029419</v>
      </c>
      <c r="P404" s="73">
        <f>('Old Data'!$N400-$N404)^2+('Old Data'!$X400-$O404)^2</f>
        <v>1.229429331001467</v>
      </c>
      <c r="Q404" s="62"/>
      <c r="R404" s="3"/>
      <c r="S404" s="3"/>
      <c r="T404" s="3"/>
      <c r="V404" s="3"/>
      <c r="W404" s="3"/>
      <c r="X404" s="3"/>
      <c r="Z404" s="3"/>
      <c r="AA404" s="3"/>
      <c r="AB404" s="3"/>
      <c r="AC404" s="3"/>
      <c r="AD404" s="3"/>
      <c r="AE404" s="3"/>
      <c r="AF404" s="3"/>
      <c r="AG404" s="3"/>
      <c r="AH404" s="37"/>
      <c r="AI404" s="1"/>
      <c r="AK404" s="10"/>
      <c r="AL404" s="10"/>
      <c r="AM404" s="10"/>
      <c r="AN404" s="11"/>
      <c r="AO404" s="11"/>
      <c r="AP404" s="11"/>
      <c r="AQ404" s="36"/>
      <c r="AR404" s="11"/>
      <c r="AS404" s="11"/>
      <c r="AT404" s="11"/>
      <c r="AU404" s="12"/>
      <c r="AV404" s="11"/>
      <c r="AW404" s="11"/>
      <c r="AX404" s="15"/>
      <c r="AY404" s="15"/>
      <c r="AZ404" s="15"/>
      <c r="BA404" s="15"/>
      <c r="BB404" s="15"/>
      <c r="BC404" s="15"/>
      <c r="BD404" s="15"/>
      <c r="BE404" s="12"/>
      <c r="BF404" s="11"/>
      <c r="BG404" s="11"/>
      <c r="BH404" s="10"/>
      <c r="BI404" s="10"/>
      <c r="BJ404" s="10"/>
      <c r="BK404" s="23"/>
      <c r="BL404" s="23"/>
      <c r="BM404" s="23"/>
      <c r="BN404" s="23"/>
      <c r="BO404" s="23"/>
      <c r="BP404" s="23"/>
      <c r="BQ404" s="23"/>
      <c r="BR404" s="10"/>
      <c r="BS404" s="16"/>
      <c r="BT404" s="16"/>
      <c r="BU404" s="16"/>
      <c r="BV404" s="16"/>
      <c r="BW404" s="11"/>
      <c r="BX404" s="16"/>
      <c r="BY404" s="16"/>
      <c r="BZ404" s="17"/>
      <c r="CA404" s="18"/>
      <c r="CB404" s="18"/>
      <c r="CC404" s="18"/>
      <c r="CD404" s="18"/>
      <c r="CE404" s="18"/>
      <c r="CF404" s="18"/>
      <c r="CG404" s="19"/>
      <c r="CH404" s="15"/>
      <c r="CI404" s="17"/>
      <c r="CJ404" s="10"/>
      <c r="CK404" s="10"/>
      <c r="CL404" s="10"/>
      <c r="CM404" s="17"/>
      <c r="CN404" s="17"/>
      <c r="CO404" s="10"/>
      <c r="CP404" s="10"/>
      <c r="CQ404" s="10"/>
      <c r="CR404" s="10"/>
      <c r="CS404" s="10"/>
      <c r="CT404" s="10"/>
      <c r="CU404" s="10"/>
      <c r="CV404" s="10"/>
      <c r="CW404" s="10"/>
      <c r="CX404" s="10"/>
      <c r="CY404" s="10"/>
      <c r="CZ404" s="10"/>
      <c r="DA404" s="34"/>
      <c r="DB404" s="34"/>
      <c r="DC404" s="34"/>
      <c r="DD404" s="34"/>
      <c r="DE404" s="34"/>
      <c r="DF404" s="34"/>
      <c r="DG404" s="34"/>
      <c r="DH404" s="34"/>
      <c r="DI404" s="34"/>
      <c r="DJ404" s="34"/>
      <c r="DK404" s="34"/>
      <c r="DL404" s="34"/>
      <c r="DM404" s="34"/>
      <c r="DN404" s="34"/>
      <c r="DO404" s="34"/>
      <c r="DP404" s="34"/>
      <c r="DQ404" s="34"/>
      <c r="DR404" s="34"/>
      <c r="DS404" s="34"/>
      <c r="DT404" s="34"/>
      <c r="DU404" s="34"/>
      <c r="DV404" s="34"/>
      <c r="DW404" s="34"/>
      <c r="DX404" s="34"/>
      <c r="DY404" s="34"/>
      <c r="DZ404" s="34"/>
      <c r="EA404" s="34"/>
      <c r="EB404" s="34"/>
      <c r="EC404" s="34"/>
      <c r="ED404" s="34"/>
      <c r="EE404" s="34"/>
    </row>
    <row r="405" spans="1:135" customFormat="1">
      <c r="A405" s="71">
        <f>'Old Data'!$I401-'Old Data'!$S401</f>
        <v>-245</v>
      </c>
      <c r="B405" s="72">
        <f>VLOOKUP('Old Data'!$F401,$R$6:$T$135,2,FALSE)+VLOOKUP('Old Data'!$P401,$R$6:$T$135,3,FALSE)+$B$2</f>
        <v>150.25164874379001</v>
      </c>
      <c r="C405" s="72">
        <f>VLOOKUP('Old Data'!$P401,$R$6:$T$135,2,FALSE)+VLOOKUP('Old Data'!$F401,$R$6:$T$135,3,FALSE)+$B$2</f>
        <v>225.53765461674439</v>
      </c>
      <c r="D405" s="74">
        <f>('Old Data'!$I401-$B405)^2+('Old Data'!$S401-$C405)^2</f>
        <v>17081.322952495368</v>
      </c>
      <c r="E405" s="75">
        <f>'Old Data'!$K401-'Old Data'!$U401</f>
        <v>44</v>
      </c>
      <c r="F405" s="72">
        <f>VLOOKUP('Old Data'!$F401,$V$6:$X$135,2,FALSE)+VLOOKUP('Old Data'!$P401,$V$6:$X$135,3,FALSE)+$C$2</f>
        <v>248.29376877880128</v>
      </c>
      <c r="G405" s="72">
        <f>VLOOKUP('Old Data'!$P401,$V$6:$X$135,2,FALSE)+VLOOKUP('Old Data'!$F401,$V$6:$X$135,3,FALSE)+$C$2</f>
        <v>231.89674422830518</v>
      </c>
      <c r="H405" s="74">
        <f>('Old Data'!$K401-$F405)^2+('Old Data'!$U401-$G405)^2</f>
        <v>3596.2213150044126</v>
      </c>
      <c r="I405" s="75">
        <f>('Old Data'!$L401+'Old Data'!$M401)-('Old Data'!$V401+'Old Data'!$W401)</f>
        <v>115</v>
      </c>
      <c r="J405" s="72">
        <f>VLOOKUP('Old Data'!$F401,$Z$6:$AB$135,2,FALSE)+VLOOKUP('Old Data'!$P401,$Z$6:$AB$135,3,FALSE)+$D$2</f>
        <v>85.328743299242205</v>
      </c>
      <c r="K405" s="72">
        <f>VLOOKUP('Old Data'!$P401,$Z$6:$AB$135,2,FALSE)+VLOOKUP('Old Data'!$F401,$Z$6:$AB$135,3,FALSE)+$D$2</f>
        <v>45.07110882739903</v>
      </c>
      <c r="L405" s="74">
        <f>('Old Data'!$L401+'Old Data'!$M401-$J405)^2+('Old Data'!$V401+'Old Data'!$W401-$K405)^2</f>
        <v>5146.2007464956478</v>
      </c>
      <c r="M405" s="75">
        <f>'Old Data'!$N401-'Old Data'!$X401</f>
        <v>-1</v>
      </c>
      <c r="N405" s="72">
        <f>VLOOKUP('Old Data'!$F401,$AD$6:$AF$135,2,FALSE)+VLOOKUP('Old Data'!$P401,$AD$6:$AF$135,3,FALSE)+$E$2</f>
        <v>1.5759160654139857</v>
      </c>
      <c r="O405" s="72">
        <f>VLOOKUP('Old Data'!$P401,$AD$6:$AF$135,2,FALSE)+VLOOKUP('Old Data'!$F401,$AD$6:$AF$135,3,FALSE)+$E$2</f>
        <v>1.4593046044980942</v>
      </c>
      <c r="P405" s="73">
        <f>('Old Data'!$N401-$N405)^2+('Old Data'!$X401-$O405)^2</f>
        <v>0.62403082511888863</v>
      </c>
      <c r="Q405" s="62"/>
      <c r="R405" s="3"/>
      <c r="S405" s="3"/>
      <c r="T405" s="3"/>
      <c r="V405" s="3"/>
      <c r="W405" s="3"/>
      <c r="X405" s="3"/>
      <c r="Z405" s="3"/>
      <c r="AA405" s="3"/>
      <c r="AB405" s="3"/>
      <c r="AC405" s="3"/>
      <c r="AD405" s="3"/>
      <c r="AE405" s="3"/>
      <c r="AF405" s="3"/>
      <c r="AG405" s="3"/>
      <c r="AH405" s="37"/>
      <c r="AI405" s="1"/>
      <c r="AK405" s="10"/>
      <c r="AL405" s="10"/>
      <c r="AM405" s="10"/>
      <c r="AN405" s="11"/>
      <c r="AO405" s="11"/>
      <c r="AP405" s="11"/>
      <c r="AQ405" s="36"/>
      <c r="AR405" s="11"/>
      <c r="AS405" s="11"/>
      <c r="AT405" s="11"/>
      <c r="AU405" s="12"/>
      <c r="AV405" s="11"/>
      <c r="AW405" s="11"/>
      <c r="AX405" s="15"/>
      <c r="AY405" s="15"/>
      <c r="AZ405" s="15"/>
      <c r="BA405" s="15"/>
      <c r="BB405" s="15"/>
      <c r="BC405" s="15"/>
      <c r="BD405" s="15"/>
      <c r="BE405" s="12"/>
      <c r="BF405" s="11"/>
      <c r="BG405" s="11"/>
      <c r="BH405" s="10"/>
      <c r="BI405" s="10"/>
      <c r="BJ405" s="10"/>
      <c r="BK405" s="23"/>
      <c r="BL405" s="23"/>
      <c r="BM405" s="23"/>
      <c r="BN405" s="23"/>
      <c r="BO405" s="23"/>
      <c r="BP405" s="23"/>
      <c r="BQ405" s="23"/>
      <c r="BR405" s="10"/>
      <c r="BS405" s="16"/>
      <c r="BT405" s="16"/>
      <c r="BU405" s="16"/>
      <c r="BV405" s="16"/>
      <c r="BW405" s="11"/>
      <c r="BX405" s="16"/>
      <c r="BY405" s="16"/>
      <c r="BZ405" s="17"/>
      <c r="CA405" s="18"/>
      <c r="CB405" s="18"/>
      <c r="CC405" s="18"/>
      <c r="CD405" s="18"/>
      <c r="CE405" s="18"/>
      <c r="CF405" s="18"/>
      <c r="CG405" s="19"/>
      <c r="CH405" s="15"/>
      <c r="CI405" s="17"/>
      <c r="CJ405" s="10"/>
      <c r="CK405" s="10"/>
      <c r="CL405" s="10"/>
      <c r="CM405" s="17"/>
      <c r="CN405" s="17"/>
      <c r="CO405" s="10"/>
      <c r="CP405" s="10"/>
      <c r="CQ405" s="10"/>
      <c r="CR405" s="10"/>
      <c r="CS405" s="10"/>
      <c r="CT405" s="10"/>
      <c r="CU405" s="10"/>
      <c r="CV405" s="10"/>
      <c r="CW405" s="10"/>
      <c r="CX405" s="10"/>
      <c r="CY405" s="10"/>
      <c r="CZ405" s="10"/>
      <c r="DA405" s="34"/>
      <c r="DB405" s="34"/>
      <c r="DC405" s="34"/>
      <c r="DD405" s="34"/>
      <c r="DE405" s="34"/>
      <c r="DF405" s="34"/>
      <c r="DG405" s="34"/>
      <c r="DH405" s="34"/>
      <c r="DI405" s="34"/>
      <c r="DJ405" s="34"/>
      <c r="DK405" s="34"/>
      <c r="DL405" s="34"/>
      <c r="DM405" s="34"/>
      <c r="DN405" s="34"/>
      <c r="DO405" s="34"/>
      <c r="DP405" s="34"/>
      <c r="DQ405" s="34"/>
      <c r="DR405" s="34"/>
      <c r="DS405" s="34"/>
      <c r="DT405" s="34"/>
      <c r="DU405" s="34"/>
      <c r="DV405" s="34"/>
      <c r="DW405" s="34"/>
      <c r="DX405" s="34"/>
      <c r="DY405" s="34"/>
      <c r="DZ405" s="34"/>
      <c r="EA405" s="34"/>
      <c r="EB405" s="34"/>
      <c r="EC405" s="34"/>
      <c r="ED405" s="34"/>
      <c r="EE405" s="34"/>
    </row>
    <row r="406" spans="1:135" customFormat="1">
      <c r="A406" s="71">
        <f>'Old Data'!$I402-'Old Data'!$S402</f>
        <v>49</v>
      </c>
      <c r="B406" s="72">
        <f>VLOOKUP('Old Data'!$F402,$R$6:$T$135,2,FALSE)+VLOOKUP('Old Data'!$P402,$R$6:$T$135,3,FALSE)+$B$2</f>
        <v>202.4419243628717</v>
      </c>
      <c r="C406" s="72">
        <f>VLOOKUP('Old Data'!$P402,$R$6:$T$135,2,FALSE)+VLOOKUP('Old Data'!$F402,$R$6:$T$135,3,FALSE)+$B$2</f>
        <v>143.59772238928721</v>
      </c>
      <c r="D406" s="74">
        <f>('Old Data'!$I402-$B406)^2+('Old Data'!$S402-$C406)^2</f>
        <v>3829.5056747430149</v>
      </c>
      <c r="E406" s="75">
        <f>'Old Data'!$K402-'Old Data'!$U402</f>
        <v>95</v>
      </c>
      <c r="F406" s="72">
        <f>VLOOKUP('Old Data'!$F402,$V$6:$X$135,2,FALSE)+VLOOKUP('Old Data'!$P402,$V$6:$X$135,3,FALSE)+$C$2</f>
        <v>312.46067165395669</v>
      </c>
      <c r="G406" s="72">
        <f>VLOOKUP('Old Data'!$P402,$V$6:$X$135,2,FALSE)+VLOOKUP('Old Data'!$F402,$V$6:$X$135,3,FALSE)+$C$2</f>
        <v>260.19124940125499</v>
      </c>
      <c r="H406" s="74">
        <f>('Old Data'!$K402-$F406)^2+('Old Data'!$U402-$G406)^2</f>
        <v>16339.749822502112</v>
      </c>
      <c r="I406" s="75">
        <f>('Old Data'!$L402+'Old Data'!$M402)-('Old Data'!$V402+'Old Data'!$W402)</f>
        <v>-4</v>
      </c>
      <c r="J406" s="72">
        <f>VLOOKUP('Old Data'!$F402,$Z$6:$AB$135,2,FALSE)+VLOOKUP('Old Data'!$P402,$Z$6:$AB$135,3,FALSE)+$D$2</f>
        <v>20.11214823515958</v>
      </c>
      <c r="K406" s="72">
        <f>VLOOKUP('Old Data'!$P402,$Z$6:$AB$135,2,FALSE)+VLOOKUP('Old Data'!$F402,$Z$6:$AB$135,3,FALSE)+$D$2</f>
        <v>29.457563869375669</v>
      </c>
      <c r="L406" s="74">
        <f>('Old Data'!$L402+'Old Data'!$M402-$J406)^2+('Old Data'!$V402+'Old Data'!$W402-$K406)^2</f>
        <v>1052.5860647963741</v>
      </c>
      <c r="M406" s="75">
        <f>'Old Data'!$N402-'Old Data'!$X402</f>
        <v>0</v>
      </c>
      <c r="N406" s="72">
        <f>VLOOKUP('Old Data'!$F402,$AD$6:$AF$135,2,FALSE)+VLOOKUP('Old Data'!$P402,$AD$6:$AF$135,3,FALSE)+$E$2</f>
        <v>1.1651867420287112</v>
      </c>
      <c r="O406" s="72">
        <f>VLOOKUP('Old Data'!$P402,$AD$6:$AF$135,2,FALSE)+VLOOKUP('Old Data'!$F402,$AD$6:$AF$135,3,FALSE)+$E$2</f>
        <v>1.5543418978817791</v>
      </c>
      <c r="P406" s="73">
        <f>('Old Data'!$N402-$N406)^2+('Old Data'!$X402-$O406)^2</f>
        <v>3.7736388793102131</v>
      </c>
      <c r="Q406" s="62"/>
      <c r="R406" s="3"/>
      <c r="S406" s="3"/>
      <c r="T406" s="3"/>
      <c r="V406" s="3"/>
      <c r="W406" s="3"/>
      <c r="X406" s="3"/>
      <c r="Z406" s="3"/>
      <c r="AA406" s="3"/>
      <c r="AB406" s="3"/>
      <c r="AC406" s="3"/>
      <c r="AD406" s="3"/>
      <c r="AE406" s="3"/>
      <c r="AF406" s="3"/>
      <c r="AG406" s="3"/>
      <c r="AH406" s="37"/>
      <c r="AI406" s="1"/>
      <c r="AK406" s="10"/>
      <c r="AL406" s="10"/>
      <c r="AM406" s="10"/>
      <c r="AN406" s="11"/>
      <c r="AO406" s="11"/>
      <c r="AP406" s="11"/>
      <c r="AQ406" s="36"/>
      <c r="AR406" s="11"/>
      <c r="AS406" s="11"/>
      <c r="AT406" s="11"/>
      <c r="AU406" s="12"/>
      <c r="AV406" s="11"/>
      <c r="AW406" s="11"/>
      <c r="AX406" s="15"/>
      <c r="AY406" s="15"/>
      <c r="AZ406" s="15"/>
      <c r="BA406" s="15"/>
      <c r="BB406" s="15"/>
      <c r="BC406" s="15"/>
      <c r="BD406" s="15"/>
      <c r="BE406" s="12"/>
      <c r="BF406" s="11"/>
      <c r="BG406" s="11"/>
      <c r="BH406" s="10"/>
      <c r="BI406" s="10"/>
      <c r="BJ406" s="10"/>
      <c r="BK406" s="23"/>
      <c r="BL406" s="23"/>
      <c r="BM406" s="23"/>
      <c r="BN406" s="23"/>
      <c r="BO406" s="23"/>
      <c r="BP406" s="23"/>
      <c r="BQ406" s="23"/>
      <c r="BR406" s="10"/>
      <c r="BS406" s="16"/>
      <c r="BT406" s="16"/>
      <c r="BU406" s="16"/>
      <c r="BV406" s="16"/>
      <c r="BW406" s="11"/>
      <c r="BX406" s="16"/>
      <c r="BY406" s="16"/>
      <c r="BZ406" s="17"/>
      <c r="CA406" s="18"/>
      <c r="CB406" s="18"/>
      <c r="CC406" s="18"/>
      <c r="CD406" s="18"/>
      <c r="CE406" s="18"/>
      <c r="CF406" s="18"/>
      <c r="CG406" s="19"/>
      <c r="CH406" s="15"/>
      <c r="CI406" s="17"/>
      <c r="CJ406" s="10"/>
      <c r="CK406" s="10"/>
      <c r="CL406" s="10"/>
      <c r="CM406" s="17"/>
      <c r="CN406" s="17"/>
      <c r="CO406" s="10"/>
      <c r="CP406" s="10"/>
      <c r="CQ406" s="10"/>
      <c r="CR406" s="10"/>
      <c r="CS406" s="10"/>
      <c r="CT406" s="10"/>
      <c r="CU406" s="10"/>
      <c r="CV406" s="10"/>
      <c r="CW406" s="10"/>
      <c r="CX406" s="10"/>
      <c r="CY406" s="10"/>
      <c r="CZ406" s="10"/>
      <c r="DA406" s="34"/>
      <c r="DB406" s="34"/>
      <c r="DC406" s="34"/>
      <c r="DD406" s="34"/>
      <c r="DE406" s="34"/>
      <c r="DF406" s="34"/>
      <c r="DG406" s="34"/>
      <c r="DH406" s="34"/>
      <c r="DI406" s="34"/>
      <c r="DJ406" s="34"/>
      <c r="DK406" s="34"/>
      <c r="DL406" s="34"/>
      <c r="DM406" s="34"/>
      <c r="DN406" s="34"/>
      <c r="DO406" s="34"/>
      <c r="DP406" s="34"/>
      <c r="DQ406" s="34"/>
      <c r="DR406" s="34"/>
      <c r="DS406" s="34"/>
      <c r="DT406" s="34"/>
      <c r="DU406" s="34"/>
      <c r="DV406" s="34"/>
      <c r="DW406" s="34"/>
      <c r="DX406" s="34"/>
      <c r="DY406" s="34"/>
      <c r="DZ406" s="34"/>
      <c r="EA406" s="34"/>
      <c r="EB406" s="34"/>
      <c r="EC406" s="34"/>
      <c r="ED406" s="34"/>
      <c r="EE406" s="34"/>
    </row>
    <row r="407" spans="1:135" customFormat="1">
      <c r="A407" s="71">
        <f>'Old Data'!$I403-'Old Data'!$S403</f>
        <v>10</v>
      </c>
      <c r="B407" s="72">
        <f>VLOOKUP('Old Data'!$F403,$R$6:$T$135,2,FALSE)+VLOOKUP('Old Data'!$P403,$R$6:$T$135,3,FALSE)+$B$2</f>
        <v>159.09521572259771</v>
      </c>
      <c r="C407" s="72">
        <f>VLOOKUP('Old Data'!$P403,$R$6:$T$135,2,FALSE)+VLOOKUP('Old Data'!$F403,$R$6:$T$135,3,FALSE)+$B$2</f>
        <v>138.6564058452098</v>
      </c>
      <c r="D407" s="74">
        <f>('Old Data'!$I403-$B407)^2+('Old Data'!$S403-$C407)^2</f>
        <v>2383.4049551400035</v>
      </c>
      <c r="E407" s="75">
        <f>'Old Data'!$K403-'Old Data'!$U403</f>
        <v>-122</v>
      </c>
      <c r="F407" s="72">
        <f>VLOOKUP('Old Data'!$F403,$V$6:$X$135,2,FALSE)+VLOOKUP('Old Data'!$P403,$V$6:$X$135,3,FALSE)+$C$2</f>
        <v>208.36101644147891</v>
      </c>
      <c r="G407" s="72">
        <f>VLOOKUP('Old Data'!$P403,$V$6:$X$135,2,FALSE)+VLOOKUP('Old Data'!$F403,$V$6:$X$135,3,FALSE)+$C$2</f>
        <v>289.82459778939597</v>
      </c>
      <c r="H407" s="74">
        <f>('Old Data'!$K403-$F407)^2+('Old Data'!$U403-$G407)^2</f>
        <v>1105.1631033488236</v>
      </c>
      <c r="I407" s="75">
        <f>('Old Data'!$L403+'Old Data'!$M403)-('Old Data'!$V403+'Old Data'!$W403)</f>
        <v>77</v>
      </c>
      <c r="J407" s="72">
        <f>VLOOKUP('Old Data'!$F403,$Z$6:$AB$135,2,FALSE)+VLOOKUP('Old Data'!$P403,$Z$6:$AB$135,3,FALSE)+$D$2</f>
        <v>55.016088786730364</v>
      </c>
      <c r="K407" s="72">
        <f>VLOOKUP('Old Data'!$P403,$Z$6:$AB$135,2,FALSE)+VLOOKUP('Old Data'!$F403,$Z$6:$AB$135,3,FALSE)+$D$2</f>
        <v>90.165422808828041</v>
      </c>
      <c r="L407" s="74">
        <f>('Old Data'!$L403+'Old Data'!$M403-$J407)^2+('Old Data'!$V403+'Old Data'!$W403-$K407)^2</f>
        <v>9474.2321063850068</v>
      </c>
      <c r="M407" s="75">
        <f>'Old Data'!$N403-'Old Data'!$X403</f>
        <v>-1</v>
      </c>
      <c r="N407" s="72">
        <f>VLOOKUP('Old Data'!$F403,$AD$6:$AF$135,2,FALSE)+VLOOKUP('Old Data'!$P403,$AD$6:$AF$135,3,FALSE)+$E$2</f>
        <v>2.0026871083947704</v>
      </c>
      <c r="O407" s="72">
        <f>VLOOKUP('Old Data'!$P403,$AD$6:$AF$135,2,FALSE)+VLOOKUP('Old Data'!$F403,$AD$6:$AF$135,3,FALSE)+$E$2</f>
        <v>1.3412161690429774</v>
      </c>
      <c r="P407" s="73">
        <f>('Old Data'!$N403-$N407)^2+('Old Data'!$X403-$O407)^2</f>
        <v>1.4393775732714771</v>
      </c>
      <c r="Q407" s="62"/>
      <c r="R407" s="3"/>
      <c r="S407" s="3"/>
      <c r="T407" s="3"/>
      <c r="V407" s="3"/>
      <c r="W407" s="3"/>
      <c r="X407" s="3"/>
      <c r="Z407" s="3"/>
      <c r="AA407" s="3"/>
      <c r="AB407" s="3"/>
      <c r="AC407" s="3"/>
      <c r="AD407" s="3"/>
      <c r="AE407" s="3"/>
      <c r="AF407" s="3"/>
      <c r="AG407" s="3"/>
      <c r="AH407" s="37"/>
      <c r="AI407" s="1"/>
      <c r="AK407" s="10"/>
      <c r="AL407" s="10"/>
      <c r="AM407" s="10"/>
      <c r="AN407" s="11"/>
      <c r="AO407" s="11"/>
      <c r="AP407" s="11"/>
      <c r="AQ407" s="36"/>
      <c r="AR407" s="11"/>
      <c r="AS407" s="11"/>
      <c r="AT407" s="11"/>
      <c r="AU407" s="12"/>
      <c r="AV407" s="11"/>
      <c r="AW407" s="11"/>
      <c r="AX407" s="15"/>
      <c r="AY407" s="15"/>
      <c r="AZ407" s="15"/>
      <c r="BA407" s="15"/>
      <c r="BB407" s="15"/>
      <c r="BC407" s="15"/>
      <c r="BD407" s="15"/>
      <c r="BE407" s="12"/>
      <c r="BF407" s="11"/>
      <c r="BG407" s="11"/>
      <c r="BH407" s="10"/>
      <c r="BI407" s="10"/>
      <c r="BJ407" s="10"/>
      <c r="BK407" s="23"/>
      <c r="BL407" s="23"/>
      <c r="BM407" s="23"/>
      <c r="BN407" s="23"/>
      <c r="BO407" s="23"/>
      <c r="BP407" s="23"/>
      <c r="BQ407" s="23"/>
      <c r="BR407" s="10"/>
      <c r="BS407" s="16"/>
      <c r="BT407" s="16"/>
      <c r="BU407" s="16"/>
      <c r="BV407" s="16"/>
      <c r="BW407" s="11"/>
      <c r="BX407" s="16"/>
      <c r="BY407" s="16"/>
      <c r="BZ407" s="17"/>
      <c r="CA407" s="18"/>
      <c r="CB407" s="18"/>
      <c r="CC407" s="18"/>
      <c r="CD407" s="18"/>
      <c r="CE407" s="18"/>
      <c r="CF407" s="18"/>
      <c r="CG407" s="19"/>
      <c r="CH407" s="15"/>
      <c r="CI407" s="17"/>
      <c r="CJ407" s="10"/>
      <c r="CK407" s="10"/>
      <c r="CL407" s="10"/>
      <c r="CM407" s="17"/>
      <c r="CN407" s="17"/>
      <c r="CO407" s="10"/>
      <c r="CP407" s="10"/>
      <c r="CQ407" s="10"/>
      <c r="CR407" s="10"/>
      <c r="CS407" s="10"/>
      <c r="CT407" s="10"/>
      <c r="CU407" s="10"/>
      <c r="CV407" s="10"/>
      <c r="CW407" s="10"/>
      <c r="CX407" s="10"/>
      <c r="CY407" s="10"/>
      <c r="CZ407" s="10"/>
      <c r="DA407" s="34"/>
      <c r="DB407" s="34"/>
      <c r="DC407" s="34"/>
      <c r="DD407" s="34"/>
      <c r="DE407" s="34"/>
      <c r="DF407" s="34"/>
      <c r="DG407" s="34"/>
      <c r="DH407" s="34"/>
      <c r="DI407" s="34"/>
      <c r="DJ407" s="34"/>
      <c r="DK407" s="34"/>
      <c r="DL407" s="34"/>
      <c r="DM407" s="34"/>
      <c r="DN407" s="34"/>
      <c r="DO407" s="34"/>
      <c r="DP407" s="34"/>
      <c r="DQ407" s="34"/>
      <c r="DR407" s="34"/>
      <c r="DS407" s="34"/>
      <c r="DT407" s="34"/>
      <c r="DU407" s="34"/>
      <c r="DV407" s="34"/>
      <c r="DW407" s="34"/>
      <c r="DX407" s="34"/>
      <c r="DY407" s="34"/>
      <c r="DZ407" s="34"/>
      <c r="EA407" s="34"/>
      <c r="EB407" s="34"/>
      <c r="EC407" s="34"/>
      <c r="ED407" s="34"/>
      <c r="EE407" s="34"/>
    </row>
    <row r="408" spans="1:135" customFormat="1">
      <c r="A408" s="71">
        <f>'Old Data'!$I404-'Old Data'!$S404</f>
        <v>294</v>
      </c>
      <c r="B408" s="72">
        <f>VLOOKUP('Old Data'!$F404,$R$6:$T$135,2,FALSE)+VLOOKUP('Old Data'!$P404,$R$6:$T$135,3,FALSE)+$B$2</f>
        <v>261.73133475912721</v>
      </c>
      <c r="C408" s="72">
        <f>VLOOKUP('Old Data'!$P404,$R$6:$T$135,2,FALSE)+VLOOKUP('Old Data'!$F404,$R$6:$T$135,3,FALSE)+$B$2</f>
        <v>167.07725919057262</v>
      </c>
      <c r="D408" s="74">
        <f>('Old Data'!$I404-$B408)^2+('Old Data'!$S404-$C408)^2</f>
        <v>21504.827256718927</v>
      </c>
      <c r="E408" s="75">
        <f>'Old Data'!$K404-'Old Data'!$U404</f>
        <v>-232</v>
      </c>
      <c r="F408" s="72">
        <f>VLOOKUP('Old Data'!$F404,$V$6:$X$135,2,FALSE)+VLOOKUP('Old Data'!$P404,$V$6:$X$135,3,FALSE)+$C$2</f>
        <v>261.01634803058789</v>
      </c>
      <c r="G408" s="72">
        <f>VLOOKUP('Old Data'!$P404,$V$6:$X$135,2,FALSE)+VLOOKUP('Old Data'!$F404,$V$6:$X$135,3,FALSE)+$C$2</f>
        <v>356.1711408464223</v>
      </c>
      <c r="H408" s="74">
        <f>('Old Data'!$K404-$F408)^2+('Old Data'!$U404-$G408)^2</f>
        <v>9389.1353628171746</v>
      </c>
      <c r="I408" s="75">
        <f>('Old Data'!$L404+'Old Data'!$M404)-('Old Data'!$V404+'Old Data'!$W404)</f>
        <v>-139</v>
      </c>
      <c r="J408" s="72">
        <f>VLOOKUP('Old Data'!$F404,$Z$6:$AB$135,2,FALSE)+VLOOKUP('Old Data'!$P404,$Z$6:$AB$135,3,FALSE)+$D$2</f>
        <v>6.0093341878153836</v>
      </c>
      <c r="K408" s="72">
        <f>VLOOKUP('Old Data'!$P404,$Z$6:$AB$135,2,FALSE)+VLOOKUP('Old Data'!$F404,$Z$6:$AB$135,3,FALSE)+$D$2</f>
        <v>91.313325485985303</v>
      </c>
      <c r="L408" s="74">
        <f>('Old Data'!$L404+'Old Data'!$M404-$J408)^2+('Old Data'!$V404+'Old Data'!$W404-$K408)^2</f>
        <v>2776.9044268484186</v>
      </c>
      <c r="M408" s="75">
        <f>'Old Data'!$N404-'Old Data'!$X404</f>
        <v>-1</v>
      </c>
      <c r="N408" s="72">
        <f>VLOOKUP('Old Data'!$F404,$AD$6:$AF$135,2,FALSE)+VLOOKUP('Old Data'!$P404,$AD$6:$AF$135,3,FALSE)+$E$2</f>
        <v>1.6906237580854548</v>
      </c>
      <c r="O408" s="72">
        <f>VLOOKUP('Old Data'!$P404,$AD$6:$AF$135,2,FALSE)+VLOOKUP('Old Data'!$F404,$AD$6:$AF$135,3,FALSE)+$E$2</f>
        <v>1.0851152085086522</v>
      </c>
      <c r="P408" s="73">
        <f>('Old Data'!$N404-$N408)^2+('Old Data'!$X404-$O408)^2</f>
        <v>2.8654532901224581</v>
      </c>
      <c r="Q408" s="62"/>
      <c r="R408" s="3"/>
      <c r="S408" s="3"/>
      <c r="T408" s="3"/>
      <c r="V408" s="3"/>
      <c r="W408" s="3"/>
      <c r="X408" s="3"/>
      <c r="Z408" s="3"/>
      <c r="AA408" s="3"/>
      <c r="AB408" s="3"/>
      <c r="AC408" s="3"/>
      <c r="AD408" s="3"/>
      <c r="AE408" s="3"/>
      <c r="AF408" s="3"/>
      <c r="AG408" s="3"/>
      <c r="AH408" s="37"/>
      <c r="AI408" s="1"/>
      <c r="AK408" s="10"/>
      <c r="AL408" s="10"/>
      <c r="AM408" s="10"/>
      <c r="AN408" s="11"/>
      <c r="AO408" s="11"/>
      <c r="AP408" s="11"/>
      <c r="AQ408" s="36"/>
      <c r="AR408" s="11"/>
      <c r="AS408" s="11"/>
      <c r="AT408" s="11"/>
      <c r="AU408" s="12"/>
      <c r="AV408" s="11"/>
      <c r="AW408" s="11"/>
      <c r="AX408" s="15"/>
      <c r="AY408" s="15"/>
      <c r="AZ408" s="15"/>
      <c r="BA408" s="15"/>
      <c r="BB408" s="15"/>
      <c r="BC408" s="15"/>
      <c r="BD408" s="15"/>
      <c r="BE408" s="12"/>
      <c r="BF408" s="11"/>
      <c r="BG408" s="11"/>
      <c r="BH408" s="10"/>
      <c r="BI408" s="10"/>
      <c r="BJ408" s="10"/>
      <c r="BK408" s="23"/>
      <c r="BL408" s="23"/>
      <c r="BM408" s="23"/>
      <c r="BN408" s="23"/>
      <c r="BO408" s="23"/>
      <c r="BP408" s="23"/>
      <c r="BQ408" s="23"/>
      <c r="BR408" s="10"/>
      <c r="BS408" s="16"/>
      <c r="BT408" s="16"/>
      <c r="BU408" s="16"/>
      <c r="BV408" s="16"/>
      <c r="BW408" s="11"/>
      <c r="BX408" s="16"/>
      <c r="BY408" s="16"/>
      <c r="BZ408" s="17"/>
      <c r="CA408" s="18"/>
      <c r="CB408" s="18"/>
      <c r="CC408" s="18"/>
      <c r="CD408" s="18"/>
      <c r="CE408" s="18"/>
      <c r="CF408" s="18"/>
      <c r="CG408" s="19"/>
      <c r="CH408" s="15"/>
      <c r="CI408" s="17"/>
      <c r="CJ408" s="10"/>
      <c r="CK408" s="10"/>
      <c r="CL408" s="10"/>
      <c r="CM408" s="17"/>
      <c r="CN408" s="17"/>
      <c r="CO408" s="10"/>
      <c r="CP408" s="10"/>
      <c r="CQ408" s="10"/>
      <c r="CR408" s="10"/>
      <c r="CS408" s="10"/>
      <c r="CT408" s="10"/>
      <c r="CU408" s="10"/>
      <c r="CV408" s="10"/>
      <c r="CW408" s="10"/>
      <c r="CX408" s="10"/>
      <c r="CY408" s="10"/>
      <c r="CZ408" s="10"/>
      <c r="DA408" s="34"/>
      <c r="DB408" s="34"/>
      <c r="DC408" s="34"/>
      <c r="DD408" s="34"/>
      <c r="DE408" s="34"/>
      <c r="DF408" s="34"/>
      <c r="DG408" s="34"/>
      <c r="DH408" s="34"/>
      <c r="DI408" s="34"/>
      <c r="DJ408" s="34"/>
      <c r="DK408" s="34"/>
      <c r="DL408" s="34"/>
      <c r="DM408" s="34"/>
      <c r="DN408" s="34"/>
      <c r="DO408" s="34"/>
      <c r="DP408" s="34"/>
      <c r="DQ408" s="34"/>
      <c r="DR408" s="34"/>
      <c r="DS408" s="34"/>
      <c r="DT408" s="34"/>
      <c r="DU408" s="34"/>
      <c r="DV408" s="34"/>
      <c r="DW408" s="34"/>
      <c r="DX408" s="34"/>
      <c r="DY408" s="34"/>
      <c r="DZ408" s="34"/>
      <c r="EA408" s="34"/>
      <c r="EB408" s="34"/>
      <c r="EC408" s="34"/>
      <c r="ED408" s="34"/>
      <c r="EE408" s="34"/>
    </row>
    <row r="409" spans="1:135" customFormat="1">
      <c r="A409" s="71">
        <f>'Old Data'!$I405-'Old Data'!$S405</f>
        <v>194</v>
      </c>
      <c r="B409" s="72">
        <f>VLOOKUP('Old Data'!$F405,$R$6:$T$135,2,FALSE)+VLOOKUP('Old Data'!$P405,$R$6:$T$135,3,FALSE)+$B$2</f>
        <v>335.45109371494181</v>
      </c>
      <c r="C409" s="72">
        <f>VLOOKUP('Old Data'!$P405,$R$6:$T$135,2,FALSE)+VLOOKUP('Old Data'!$F405,$R$6:$T$135,3,FALSE)+$B$2</f>
        <v>111.0891658865165</v>
      </c>
      <c r="D409" s="74">
        <f>('Old Data'!$I405-$B409)^2+('Old Data'!$S405-$C409)^2</f>
        <v>14149.386177105658</v>
      </c>
      <c r="E409" s="75">
        <f>'Old Data'!$K405-'Old Data'!$U405</f>
        <v>-56</v>
      </c>
      <c r="F409" s="72">
        <f>VLOOKUP('Old Data'!$F405,$V$6:$X$135,2,FALSE)+VLOOKUP('Old Data'!$P405,$V$6:$X$135,3,FALSE)+$C$2</f>
        <v>46.903831588988879</v>
      </c>
      <c r="G409" s="72">
        <f>VLOOKUP('Old Data'!$P405,$V$6:$X$135,2,FALSE)+VLOOKUP('Old Data'!$F405,$V$6:$X$135,3,FALSE)+$C$2</f>
        <v>168.5859563446009</v>
      </c>
      <c r="H409" s="74">
        <f>('Old Data'!$K405-$F409)^2+('Old Data'!$U405-$G409)^2</f>
        <v>13936.628256155072</v>
      </c>
      <c r="I409" s="75">
        <f>('Old Data'!$L405+'Old Data'!$M405)-('Old Data'!$V405+'Old Data'!$W405)</f>
        <v>69</v>
      </c>
      <c r="J409" s="72">
        <f>VLOOKUP('Old Data'!$F405,$Z$6:$AB$135,2,FALSE)+VLOOKUP('Old Data'!$P405,$Z$6:$AB$135,3,FALSE)+$D$2</f>
        <v>17.149144491117994</v>
      </c>
      <c r="K409" s="72">
        <f>VLOOKUP('Old Data'!$P405,$Z$6:$AB$135,2,FALSE)+VLOOKUP('Old Data'!$F405,$Z$6:$AB$135,3,FALSE)+$D$2</f>
        <v>20.9367023645461</v>
      </c>
      <c r="L409" s="74">
        <f>('Old Data'!$L405+'Old Data'!$M405-$J409)^2+('Old Data'!$V405+'Old Data'!$W405-$K409)^2</f>
        <v>3190.6850291932219</v>
      </c>
      <c r="M409" s="75">
        <f>'Old Data'!$N405-'Old Data'!$X405</f>
        <v>0</v>
      </c>
      <c r="N409" s="72">
        <f>VLOOKUP('Old Data'!$F405,$AD$6:$AF$135,2,FALSE)+VLOOKUP('Old Data'!$P405,$AD$6:$AF$135,3,FALSE)+$E$2</f>
        <v>2.1601488430270681</v>
      </c>
      <c r="O409" s="72">
        <f>VLOOKUP('Old Data'!$P405,$AD$6:$AF$135,2,FALSE)+VLOOKUP('Old Data'!$F405,$AD$6:$AF$135,3,FALSE)+$E$2</f>
        <v>0.36945759389978616</v>
      </c>
      <c r="P409" s="73">
        <f>('Old Data'!$N405-$N409)^2+('Old Data'!$X405-$O409)^2</f>
        <v>7.6251033161602759</v>
      </c>
      <c r="Q409" s="62"/>
      <c r="R409" s="3"/>
      <c r="S409" s="3"/>
      <c r="T409" s="3"/>
      <c r="V409" s="3"/>
      <c r="W409" s="3"/>
      <c r="X409" s="3"/>
      <c r="Z409" s="3"/>
      <c r="AA409" s="3"/>
      <c r="AB409" s="3"/>
      <c r="AC409" s="3"/>
      <c r="AD409" s="3"/>
      <c r="AE409" s="3"/>
      <c r="AF409" s="3"/>
      <c r="AG409" s="3"/>
      <c r="AH409" s="37"/>
      <c r="AI409" s="1"/>
      <c r="AK409" s="10"/>
      <c r="AL409" s="10"/>
      <c r="AM409" s="10"/>
      <c r="AN409" s="11"/>
      <c r="AO409" s="11"/>
      <c r="AP409" s="11"/>
      <c r="AQ409" s="36"/>
      <c r="AR409" s="11"/>
      <c r="AS409" s="11"/>
      <c r="AT409" s="11"/>
      <c r="AU409" s="12"/>
      <c r="AV409" s="11"/>
      <c r="AW409" s="11"/>
      <c r="AX409" s="15"/>
      <c r="AY409" s="15"/>
      <c r="AZ409" s="15"/>
      <c r="BA409" s="15"/>
      <c r="BB409" s="15"/>
      <c r="BC409" s="15"/>
      <c r="BD409" s="15"/>
      <c r="BE409" s="12"/>
      <c r="BF409" s="11"/>
      <c r="BG409" s="11"/>
      <c r="BH409" s="10"/>
      <c r="BI409" s="10"/>
      <c r="BJ409" s="10"/>
      <c r="BK409" s="23"/>
      <c r="BL409" s="23"/>
      <c r="BM409" s="23"/>
      <c r="BN409" s="23"/>
      <c r="BO409" s="23"/>
      <c r="BP409" s="23"/>
      <c r="BQ409" s="23"/>
      <c r="BR409" s="10"/>
      <c r="BS409" s="16"/>
      <c r="BT409" s="16"/>
      <c r="BU409" s="16"/>
      <c r="BV409" s="16"/>
      <c r="BW409" s="11"/>
      <c r="BX409" s="16"/>
      <c r="BY409" s="16"/>
      <c r="BZ409" s="17"/>
      <c r="CA409" s="18"/>
      <c r="CB409" s="18"/>
      <c r="CC409" s="18"/>
      <c r="CD409" s="18"/>
      <c r="CE409" s="18"/>
      <c r="CF409" s="18"/>
      <c r="CG409" s="19"/>
      <c r="CH409" s="15"/>
      <c r="CI409" s="17"/>
      <c r="CJ409" s="10"/>
      <c r="CK409" s="10"/>
      <c r="CL409" s="10"/>
      <c r="CM409" s="17"/>
      <c r="CN409" s="17"/>
      <c r="CO409" s="10"/>
      <c r="CP409" s="10"/>
      <c r="CQ409" s="10"/>
      <c r="CR409" s="10"/>
      <c r="CS409" s="10"/>
      <c r="CT409" s="10"/>
      <c r="CU409" s="10"/>
      <c r="CV409" s="10"/>
      <c r="CW409" s="10"/>
      <c r="CX409" s="10"/>
      <c r="CY409" s="10"/>
      <c r="CZ409" s="10"/>
      <c r="DA409" s="34"/>
      <c r="DB409" s="34"/>
      <c r="DC409" s="34"/>
      <c r="DD409" s="34"/>
      <c r="DE409" s="34"/>
      <c r="DF409" s="34"/>
      <c r="DG409" s="34"/>
      <c r="DH409" s="34"/>
      <c r="DI409" s="34"/>
      <c r="DJ409" s="34"/>
      <c r="DK409" s="34"/>
      <c r="DL409" s="34"/>
      <c r="DM409" s="34"/>
      <c r="DN409" s="34"/>
      <c r="DO409" s="34"/>
      <c r="DP409" s="34"/>
      <c r="DQ409" s="34"/>
      <c r="DR409" s="34"/>
      <c r="DS409" s="34"/>
      <c r="DT409" s="34"/>
      <c r="DU409" s="34"/>
      <c r="DV409" s="34"/>
      <c r="DW409" s="34"/>
      <c r="DX409" s="34"/>
      <c r="DY409" s="34"/>
      <c r="DZ409" s="34"/>
      <c r="EA409" s="34"/>
      <c r="EB409" s="34"/>
      <c r="EC409" s="34"/>
      <c r="ED409" s="34"/>
      <c r="EE409" s="34"/>
    </row>
    <row r="410" spans="1:135" customFormat="1">
      <c r="A410" s="71">
        <f>'Old Data'!$I406-'Old Data'!$S406</f>
        <v>-67</v>
      </c>
      <c r="B410" s="72">
        <f>VLOOKUP('Old Data'!$F406,$R$6:$T$135,2,FALSE)+VLOOKUP('Old Data'!$P406,$R$6:$T$135,3,FALSE)+$B$2</f>
        <v>139.67345003513472</v>
      </c>
      <c r="C410" s="72">
        <f>VLOOKUP('Old Data'!$P406,$R$6:$T$135,2,FALSE)+VLOOKUP('Old Data'!$F406,$R$6:$T$135,3,FALSE)+$B$2</f>
        <v>213.49608619534558</v>
      </c>
      <c r="D410" s="74">
        <f>('Old Data'!$I406-$B410)^2+('Old Data'!$S406-$C410)^2</f>
        <v>6540.6156836287864</v>
      </c>
      <c r="E410" s="75">
        <f>'Old Data'!$K406-'Old Data'!$U406</f>
        <v>133</v>
      </c>
      <c r="F410" s="72">
        <f>VLOOKUP('Old Data'!$F406,$V$6:$X$135,2,FALSE)+VLOOKUP('Old Data'!$P406,$V$6:$X$135,3,FALSE)+$C$2</f>
        <v>326.91289994189043</v>
      </c>
      <c r="G410" s="72">
        <f>VLOOKUP('Old Data'!$P406,$V$6:$X$135,2,FALSE)+VLOOKUP('Old Data'!$F406,$V$6:$X$135,3,FALSE)+$C$2</f>
        <v>192.1503981504913</v>
      </c>
      <c r="H410" s="74">
        <f>('Old Data'!$K406-$F410)^2+('Old Data'!$U406-$G410)^2</f>
        <v>6266.4658232598385</v>
      </c>
      <c r="I410" s="75">
        <f>('Old Data'!$L406+'Old Data'!$M406)-('Old Data'!$V406+'Old Data'!$W406)</f>
        <v>-52</v>
      </c>
      <c r="J410" s="72">
        <f>VLOOKUP('Old Data'!$F406,$Z$6:$AB$135,2,FALSE)+VLOOKUP('Old Data'!$P406,$Z$6:$AB$135,3,FALSE)+$D$2</f>
        <v>45.040211322790206</v>
      </c>
      <c r="K410" s="72">
        <f>VLOOKUP('Old Data'!$P406,$Z$6:$AB$135,2,FALSE)+VLOOKUP('Old Data'!$F406,$Z$6:$AB$135,3,FALSE)+$D$2</f>
        <v>87.101762825047018</v>
      </c>
      <c r="L410" s="74">
        <f>('Old Data'!$L406+'Old Data'!$M406-$J410)^2+('Old Data'!$V406+'Old Data'!$W406-$K410)^2</f>
        <v>1609.4459053215892</v>
      </c>
      <c r="M410" s="75">
        <f>'Old Data'!$N406-'Old Data'!$X406</f>
        <v>-2</v>
      </c>
      <c r="N410" s="72">
        <f>VLOOKUP('Old Data'!$F406,$AD$6:$AF$135,2,FALSE)+VLOOKUP('Old Data'!$P406,$AD$6:$AF$135,3,FALSE)+$E$2</f>
        <v>1.451343720596729</v>
      </c>
      <c r="O410" s="72">
        <f>VLOOKUP('Old Data'!$P406,$AD$6:$AF$135,2,FALSE)+VLOOKUP('Old Data'!$F406,$AD$6:$AF$135,3,FALSE)+$E$2</f>
        <v>1.1684212706905948</v>
      </c>
      <c r="P410" s="73">
        <f>('Old Data'!$N406-$N410)^2+('Old Data'!$X406-$O410)^2</f>
        <v>3.5583917957807536</v>
      </c>
      <c r="Q410" s="62"/>
      <c r="R410" s="3"/>
      <c r="S410" s="3"/>
      <c r="T410" s="3"/>
      <c r="V410" s="3"/>
      <c r="W410" s="3"/>
      <c r="X410" s="3"/>
      <c r="Z410" s="3"/>
      <c r="AA410" s="3"/>
      <c r="AB410" s="3"/>
      <c r="AC410" s="3"/>
      <c r="AD410" s="3"/>
      <c r="AE410" s="3"/>
      <c r="AF410" s="3"/>
      <c r="AG410" s="3"/>
      <c r="AH410" s="37"/>
      <c r="AI410" s="1"/>
      <c r="AK410" s="10"/>
      <c r="AL410" s="10"/>
      <c r="AM410" s="10"/>
      <c r="AN410" s="11"/>
      <c r="AO410" s="11"/>
      <c r="AP410" s="11"/>
      <c r="AQ410" s="36"/>
      <c r="AR410" s="11"/>
      <c r="AS410" s="11"/>
      <c r="AT410" s="11"/>
      <c r="AU410" s="12"/>
      <c r="AV410" s="11"/>
      <c r="AW410" s="11"/>
      <c r="AX410" s="15"/>
      <c r="AY410" s="15"/>
      <c r="AZ410" s="15"/>
      <c r="BA410" s="15"/>
      <c r="BB410" s="15"/>
      <c r="BC410" s="15"/>
      <c r="BD410" s="15"/>
      <c r="BE410" s="12"/>
      <c r="BF410" s="11"/>
      <c r="BG410" s="11"/>
      <c r="BH410" s="10"/>
      <c r="BI410" s="10"/>
      <c r="BJ410" s="10"/>
      <c r="BK410" s="23"/>
      <c r="BL410" s="23"/>
      <c r="BM410" s="23"/>
      <c r="BN410" s="23"/>
      <c r="BO410" s="23"/>
      <c r="BP410" s="23"/>
      <c r="BQ410" s="23"/>
      <c r="BR410" s="10"/>
      <c r="BS410" s="16"/>
      <c r="BT410" s="16"/>
      <c r="BU410" s="16"/>
      <c r="BV410" s="16"/>
      <c r="BW410" s="11"/>
      <c r="BX410" s="16"/>
      <c r="BY410" s="16"/>
      <c r="BZ410" s="17"/>
      <c r="CA410" s="18"/>
      <c r="CB410" s="18"/>
      <c r="CC410" s="18"/>
      <c r="CD410" s="18"/>
      <c r="CE410" s="18"/>
      <c r="CF410" s="18"/>
      <c r="CG410" s="19"/>
      <c r="CH410" s="15"/>
      <c r="CI410" s="17"/>
      <c r="CJ410" s="10"/>
      <c r="CK410" s="10"/>
      <c r="CL410" s="10"/>
      <c r="CM410" s="17"/>
      <c r="CN410" s="17"/>
      <c r="CO410" s="10"/>
      <c r="CP410" s="10"/>
      <c r="CQ410" s="10"/>
      <c r="CR410" s="10"/>
      <c r="CS410" s="10"/>
      <c r="CT410" s="10"/>
      <c r="CU410" s="10"/>
      <c r="CV410" s="10"/>
      <c r="CW410" s="10"/>
      <c r="CX410" s="10"/>
      <c r="CY410" s="10"/>
      <c r="CZ410" s="10"/>
      <c r="DA410" s="34"/>
      <c r="DB410" s="34"/>
      <c r="DC410" s="34"/>
      <c r="DD410" s="34"/>
      <c r="DE410" s="34"/>
      <c r="DF410" s="34"/>
      <c r="DG410" s="34"/>
      <c r="DH410" s="34"/>
      <c r="DI410" s="34"/>
      <c r="DJ410" s="34"/>
      <c r="DK410" s="34"/>
      <c r="DL410" s="34"/>
      <c r="DM410" s="34"/>
      <c r="DN410" s="34"/>
      <c r="DO410" s="34"/>
      <c r="DP410" s="34"/>
      <c r="DQ410" s="34"/>
      <c r="DR410" s="34"/>
      <c r="DS410" s="34"/>
      <c r="DT410" s="34"/>
      <c r="DU410" s="34"/>
      <c r="DV410" s="34"/>
      <c r="DW410" s="34"/>
      <c r="DX410" s="34"/>
      <c r="DY410" s="34"/>
      <c r="DZ410" s="34"/>
      <c r="EA410" s="34"/>
      <c r="EB410" s="34"/>
      <c r="EC410" s="34"/>
      <c r="ED410" s="34"/>
      <c r="EE410" s="34"/>
    </row>
    <row r="411" spans="1:135" customFormat="1">
      <c r="A411" s="71">
        <f>'Old Data'!$I407-'Old Data'!$S407</f>
        <v>-100</v>
      </c>
      <c r="B411" s="72">
        <f>VLOOKUP('Old Data'!$F407,$R$6:$T$135,2,FALSE)+VLOOKUP('Old Data'!$P407,$R$6:$T$135,3,FALSE)+$B$2</f>
        <v>148.2447480198845</v>
      </c>
      <c r="C411" s="72">
        <f>VLOOKUP('Old Data'!$P407,$R$6:$T$135,2,FALSE)+VLOOKUP('Old Data'!$F407,$R$6:$T$135,3,FALSE)+$B$2</f>
        <v>206.96387427564139</v>
      </c>
      <c r="D411" s="74">
        <f>('Old Data'!$I407-$B411)^2+('Old Data'!$S407-$C411)^2</f>
        <v>1339.0443213364676</v>
      </c>
      <c r="E411" s="75">
        <f>'Old Data'!$K407-'Old Data'!$U407</f>
        <v>144</v>
      </c>
      <c r="F411" s="72">
        <f>VLOOKUP('Old Data'!$F407,$V$6:$X$135,2,FALSE)+VLOOKUP('Old Data'!$P407,$V$6:$X$135,3,FALSE)+$C$2</f>
        <v>321.04228148533912</v>
      </c>
      <c r="G411" s="72">
        <f>VLOOKUP('Old Data'!$P407,$V$6:$X$135,2,FALSE)+VLOOKUP('Old Data'!$F407,$V$6:$X$135,3,FALSE)+$C$2</f>
        <v>333.38468680056371</v>
      </c>
      <c r="H411" s="74">
        <f>('Old Data'!$K407-$F411)^2+('Old Data'!$U407-$G411)^2</f>
        <v>12719.902015684676</v>
      </c>
      <c r="I411" s="75">
        <f>('Old Data'!$L407+'Old Data'!$M407)-('Old Data'!$V407+'Old Data'!$W407)</f>
        <v>39</v>
      </c>
      <c r="J411" s="72">
        <f>VLOOKUP('Old Data'!$F407,$Z$6:$AB$135,2,FALSE)+VLOOKUP('Old Data'!$P407,$Z$6:$AB$135,3,FALSE)+$D$2</f>
        <v>85.081280780927159</v>
      </c>
      <c r="K411" s="72">
        <f>VLOOKUP('Old Data'!$P407,$Z$6:$AB$135,2,FALSE)+VLOOKUP('Old Data'!$F407,$Z$6:$AB$135,3,FALSE)+$D$2</f>
        <v>91.87064445354666</v>
      </c>
      <c r="L411" s="74">
        <f>('Old Data'!$L407+'Old Data'!$M407-$J411)^2+('Old Data'!$V407+'Old Data'!$W407-$K411)^2</f>
        <v>1097.8533207079815</v>
      </c>
      <c r="M411" s="75">
        <f>'Old Data'!$N407-'Old Data'!$X407</f>
        <v>0</v>
      </c>
      <c r="N411" s="72">
        <f>VLOOKUP('Old Data'!$F407,$AD$6:$AF$135,2,FALSE)+VLOOKUP('Old Data'!$P407,$AD$6:$AF$135,3,FALSE)+$E$2</f>
        <v>0.57589360289136116</v>
      </c>
      <c r="O411" s="72">
        <f>VLOOKUP('Old Data'!$P407,$AD$6:$AF$135,2,FALSE)+VLOOKUP('Old Data'!$F407,$AD$6:$AF$135,3,FALSE)+$E$2</f>
        <v>1.7527933916622978</v>
      </c>
      <c r="P411" s="73">
        <f>('Old Data'!$N407-$N411)^2+('Old Data'!$X407-$O411)^2</f>
        <v>0.74656412659889604</v>
      </c>
      <c r="Q411" s="62"/>
      <c r="R411" s="3"/>
      <c r="S411" s="3"/>
      <c r="T411" s="3"/>
      <c r="V411" s="3"/>
      <c r="W411" s="3"/>
      <c r="X411" s="3"/>
      <c r="Z411" s="3"/>
      <c r="AA411" s="3"/>
      <c r="AB411" s="3"/>
      <c r="AC411" s="3"/>
      <c r="AD411" s="3"/>
      <c r="AE411" s="3"/>
      <c r="AF411" s="3"/>
      <c r="AG411" s="3"/>
      <c r="AH411" s="37"/>
      <c r="AI411" s="1"/>
      <c r="AK411" s="10"/>
      <c r="AL411" s="10"/>
      <c r="AM411" s="10"/>
      <c r="AN411" s="11"/>
      <c r="AO411" s="11"/>
      <c r="AP411" s="11"/>
      <c r="AQ411" s="36"/>
      <c r="AR411" s="11"/>
      <c r="AS411" s="11"/>
      <c r="AT411" s="11"/>
      <c r="AU411" s="12"/>
      <c r="AV411" s="11"/>
      <c r="AW411" s="11"/>
      <c r="AX411" s="15"/>
      <c r="AY411" s="15"/>
      <c r="AZ411" s="15"/>
      <c r="BA411" s="15"/>
      <c r="BB411" s="15"/>
      <c r="BC411" s="15"/>
      <c r="BD411" s="15"/>
      <c r="BE411" s="12"/>
      <c r="BF411" s="11"/>
      <c r="BG411" s="11"/>
      <c r="BH411" s="10"/>
      <c r="BI411" s="10"/>
      <c r="BJ411" s="10"/>
      <c r="BK411" s="23"/>
      <c r="BL411" s="23"/>
      <c r="BM411" s="23"/>
      <c r="BN411" s="23"/>
      <c r="BO411" s="23"/>
      <c r="BP411" s="23"/>
      <c r="BQ411" s="23"/>
      <c r="BR411" s="10"/>
      <c r="BS411" s="16"/>
      <c r="BT411" s="16"/>
      <c r="BU411" s="16"/>
      <c r="BV411" s="16"/>
      <c r="BW411" s="11"/>
      <c r="BX411" s="16"/>
      <c r="BY411" s="16"/>
      <c r="BZ411" s="17"/>
      <c r="CA411" s="18"/>
      <c r="CB411" s="18"/>
      <c r="CC411" s="18"/>
      <c r="CD411" s="18"/>
      <c r="CE411" s="18"/>
      <c r="CF411" s="18"/>
      <c r="CG411" s="19"/>
      <c r="CH411" s="15"/>
      <c r="CI411" s="17"/>
      <c r="CJ411" s="10"/>
      <c r="CK411" s="10"/>
      <c r="CL411" s="10"/>
      <c r="CM411" s="17"/>
      <c r="CN411" s="17"/>
      <c r="CO411" s="10"/>
      <c r="CP411" s="10"/>
      <c r="CQ411" s="10"/>
      <c r="CR411" s="10"/>
      <c r="CS411" s="10"/>
      <c r="CT411" s="10"/>
      <c r="CU411" s="10"/>
      <c r="CV411" s="10"/>
      <c r="CW411" s="10"/>
      <c r="CX411" s="10"/>
      <c r="CY411" s="10"/>
      <c r="CZ411" s="10"/>
      <c r="DA411" s="34"/>
      <c r="DB411" s="34"/>
      <c r="DC411" s="34"/>
      <c r="DD411" s="34"/>
      <c r="DE411" s="34"/>
      <c r="DF411" s="34"/>
      <c r="DG411" s="34"/>
      <c r="DH411" s="34"/>
      <c r="DI411" s="34"/>
      <c r="DJ411" s="34"/>
      <c r="DK411" s="34"/>
      <c r="DL411" s="34"/>
      <c r="DM411" s="34"/>
      <c r="DN411" s="34"/>
      <c r="DO411" s="34"/>
      <c r="DP411" s="34"/>
      <c r="DQ411" s="34"/>
      <c r="DR411" s="34"/>
      <c r="DS411" s="34"/>
      <c r="DT411" s="34"/>
      <c r="DU411" s="34"/>
      <c r="DV411" s="34"/>
      <c r="DW411" s="34"/>
      <c r="DX411" s="34"/>
      <c r="DY411" s="34"/>
      <c r="DZ411" s="34"/>
      <c r="EA411" s="34"/>
      <c r="EB411" s="34"/>
      <c r="EC411" s="34"/>
      <c r="ED411" s="34"/>
      <c r="EE411" s="34"/>
    </row>
    <row r="412" spans="1:135" customFormat="1">
      <c r="A412" s="71">
        <f>'Old Data'!$I408-'Old Data'!$S408</f>
        <v>111</v>
      </c>
      <c r="B412" s="72">
        <f>VLOOKUP('Old Data'!$F408,$R$6:$T$135,2,FALSE)+VLOOKUP('Old Data'!$P408,$R$6:$T$135,3,FALSE)+$B$2</f>
        <v>164.2180246187653</v>
      </c>
      <c r="C412" s="72">
        <f>VLOOKUP('Old Data'!$P408,$R$6:$T$135,2,FALSE)+VLOOKUP('Old Data'!$F408,$R$6:$T$135,3,FALSE)+$B$2</f>
        <v>201.58665907418009</v>
      </c>
      <c r="D412" s="74">
        <f>('Old Data'!$I408-$B412)^2+('Old Data'!$S408-$C412)^2</f>
        <v>12297.183787652364</v>
      </c>
      <c r="E412" s="75">
        <f>'Old Data'!$K408-'Old Data'!$U408</f>
        <v>-182</v>
      </c>
      <c r="F412" s="72">
        <f>VLOOKUP('Old Data'!$F408,$V$6:$X$135,2,FALSE)+VLOOKUP('Old Data'!$P408,$V$6:$X$135,3,FALSE)+$C$2</f>
        <v>134.21354545767389</v>
      </c>
      <c r="G412" s="72">
        <f>VLOOKUP('Old Data'!$P408,$V$6:$X$135,2,FALSE)+VLOOKUP('Old Data'!$F408,$V$6:$X$135,3,FALSE)+$C$2</f>
        <v>268.20314445198767</v>
      </c>
      <c r="H412" s="74">
        <f>('Old Data'!$K408-$F412)^2+('Old Data'!$U408-$G412)^2</f>
        <v>22284.747996213526</v>
      </c>
      <c r="I412" s="75">
        <f>('Old Data'!$L408+'Old Data'!$M408)-('Old Data'!$V408+'Old Data'!$W408)</f>
        <v>-59</v>
      </c>
      <c r="J412" s="72">
        <f>VLOOKUP('Old Data'!$F408,$Z$6:$AB$135,2,FALSE)+VLOOKUP('Old Data'!$P408,$Z$6:$AB$135,3,FALSE)+$D$2</f>
        <v>87.376049369141953</v>
      </c>
      <c r="K412" s="72">
        <f>VLOOKUP('Old Data'!$P408,$Z$6:$AB$135,2,FALSE)+VLOOKUP('Old Data'!$F408,$Z$6:$AB$135,3,FALSE)+$D$2</f>
        <v>66.057881886032092</v>
      </c>
      <c r="L412" s="74">
        <f>('Old Data'!$L408+'Old Data'!$M408-$J412)^2+('Old Data'!$V408+'Old Data'!$W408-$K412)^2</f>
        <v>5120.6944242687614</v>
      </c>
      <c r="M412" s="75">
        <f>'Old Data'!$N408-'Old Data'!$X408</f>
        <v>2</v>
      </c>
      <c r="N412" s="72">
        <f>VLOOKUP('Old Data'!$F408,$AD$6:$AF$135,2,FALSE)+VLOOKUP('Old Data'!$P408,$AD$6:$AF$135,3,FALSE)+$E$2</f>
        <v>0.98211040976842212</v>
      </c>
      <c r="O412" s="72">
        <f>VLOOKUP('Old Data'!$P408,$AD$6:$AF$135,2,FALSE)+VLOOKUP('Old Data'!$F408,$AD$6:$AF$135,3,FALSE)+$E$2</f>
        <v>0.25306116990581318</v>
      </c>
      <c r="P412" s="73">
        <f>('Old Data'!$N408-$N412)^2+('Old Data'!$X408-$O412)^2</f>
        <v>1.1001391736159085</v>
      </c>
      <c r="Q412" s="62"/>
      <c r="R412" s="3"/>
      <c r="S412" s="3"/>
      <c r="T412" s="3"/>
      <c r="V412" s="3"/>
      <c r="W412" s="3"/>
      <c r="X412" s="3"/>
      <c r="Z412" s="3"/>
      <c r="AA412" s="3"/>
      <c r="AB412" s="3"/>
      <c r="AC412" s="3"/>
      <c r="AD412" s="3"/>
      <c r="AE412" s="3"/>
      <c r="AF412" s="3"/>
      <c r="AG412" s="3"/>
      <c r="AH412" s="37"/>
      <c r="AI412" s="1"/>
      <c r="AK412" s="10"/>
      <c r="AL412" s="10"/>
      <c r="AM412" s="10"/>
      <c r="AN412" s="11"/>
      <c r="AO412" s="11"/>
      <c r="AP412" s="11"/>
      <c r="AQ412" s="36"/>
      <c r="AR412" s="11"/>
      <c r="AS412" s="11"/>
      <c r="AT412" s="11"/>
      <c r="AU412" s="12"/>
      <c r="AV412" s="11"/>
      <c r="AW412" s="11"/>
      <c r="AX412" s="15"/>
      <c r="AY412" s="15"/>
      <c r="AZ412" s="15"/>
      <c r="BA412" s="15"/>
      <c r="BB412" s="15"/>
      <c r="BC412" s="15"/>
      <c r="BD412" s="15"/>
      <c r="BE412" s="12"/>
      <c r="BF412" s="11"/>
      <c r="BG412" s="11"/>
      <c r="BH412" s="10"/>
      <c r="BI412" s="10"/>
      <c r="BJ412" s="10"/>
      <c r="BK412" s="23"/>
      <c r="BL412" s="23"/>
      <c r="BM412" s="23"/>
      <c r="BN412" s="23"/>
      <c r="BO412" s="23"/>
      <c r="BP412" s="23"/>
      <c r="BQ412" s="23"/>
      <c r="BR412" s="10"/>
      <c r="BS412" s="16"/>
      <c r="BT412" s="16"/>
      <c r="BU412" s="16"/>
      <c r="BV412" s="16"/>
      <c r="BW412" s="11"/>
      <c r="BX412" s="16"/>
      <c r="BY412" s="16"/>
      <c r="BZ412" s="17"/>
      <c r="CA412" s="18"/>
      <c r="CB412" s="18"/>
      <c r="CC412" s="18"/>
      <c r="CD412" s="18"/>
      <c r="CE412" s="18"/>
      <c r="CF412" s="18"/>
      <c r="CG412" s="19"/>
      <c r="CH412" s="15"/>
      <c r="CI412" s="17"/>
      <c r="CJ412" s="10"/>
      <c r="CK412" s="10"/>
      <c r="CL412" s="10"/>
      <c r="CM412" s="17"/>
      <c r="CN412" s="17"/>
      <c r="CO412" s="10"/>
      <c r="CP412" s="10"/>
      <c r="CQ412" s="10"/>
      <c r="CR412" s="10"/>
      <c r="CS412" s="10"/>
      <c r="CT412" s="10"/>
      <c r="CU412" s="10"/>
      <c r="CV412" s="10"/>
      <c r="CW412" s="10"/>
      <c r="CX412" s="10"/>
      <c r="CY412" s="10"/>
      <c r="CZ412" s="10"/>
      <c r="DA412" s="34"/>
      <c r="DB412" s="34"/>
      <c r="DC412" s="34"/>
      <c r="DD412" s="34"/>
      <c r="DE412" s="34"/>
      <c r="DF412" s="34"/>
      <c r="DG412" s="34"/>
      <c r="DH412" s="34"/>
      <c r="DI412" s="34"/>
      <c r="DJ412" s="34"/>
      <c r="DK412" s="34"/>
      <c r="DL412" s="34"/>
      <c r="DM412" s="34"/>
      <c r="DN412" s="34"/>
      <c r="DO412" s="34"/>
      <c r="DP412" s="34"/>
      <c r="DQ412" s="34"/>
      <c r="DR412" s="34"/>
      <c r="DS412" s="34"/>
      <c r="DT412" s="34"/>
      <c r="DU412" s="34"/>
      <c r="DV412" s="34"/>
      <c r="DW412" s="34"/>
      <c r="DX412" s="34"/>
      <c r="DY412" s="34"/>
      <c r="DZ412" s="34"/>
      <c r="EA412" s="34"/>
      <c r="EB412" s="34"/>
      <c r="EC412" s="34"/>
      <c r="ED412" s="34"/>
      <c r="EE412" s="34"/>
    </row>
    <row r="413" spans="1:135" customFormat="1">
      <c r="A413" s="71">
        <f>'Old Data'!$I409-'Old Data'!$S409</f>
        <v>-162</v>
      </c>
      <c r="B413" s="72">
        <f>VLOOKUP('Old Data'!$F409,$R$6:$T$135,2,FALSE)+VLOOKUP('Old Data'!$P409,$R$6:$T$135,3,FALSE)+$B$2</f>
        <v>183.41665854712886</v>
      </c>
      <c r="C413" s="72">
        <f>VLOOKUP('Old Data'!$P409,$R$6:$T$135,2,FALSE)+VLOOKUP('Old Data'!$F409,$R$6:$T$135,3,FALSE)+$B$2</f>
        <v>203.8306360744005</v>
      </c>
      <c r="D413" s="74">
        <f>('Old Data'!$I409-$B413)^2+('Old Data'!$S409-$C413)^2</f>
        <v>10436.659913114538</v>
      </c>
      <c r="E413" s="75">
        <f>'Old Data'!$K409-'Old Data'!$U409</f>
        <v>31</v>
      </c>
      <c r="F413" s="72">
        <f>VLOOKUP('Old Data'!$F409,$V$6:$X$135,2,FALSE)+VLOOKUP('Old Data'!$P409,$V$6:$X$135,3,FALSE)+$C$2</f>
        <v>220.16929185730584</v>
      </c>
      <c r="G413" s="72">
        <f>VLOOKUP('Old Data'!$P409,$V$6:$X$135,2,FALSE)+VLOOKUP('Old Data'!$F409,$V$6:$X$135,3,FALSE)+$C$2</f>
        <v>205.35433043755131</v>
      </c>
      <c r="H413" s="74">
        <f>('Old Data'!$K409-$F413)^2+('Old Data'!$U409-$G413)^2</f>
        <v>873.0124742804245</v>
      </c>
      <c r="I413" s="75">
        <f>('Old Data'!$L409+'Old Data'!$M409)-('Old Data'!$V409+'Old Data'!$W409)</f>
        <v>46</v>
      </c>
      <c r="J413" s="72">
        <f>VLOOKUP('Old Data'!$F409,$Z$6:$AB$135,2,FALSE)+VLOOKUP('Old Data'!$P409,$Z$6:$AB$135,3,FALSE)+$D$2</f>
        <v>78.778801817680602</v>
      </c>
      <c r="K413" s="72">
        <f>VLOOKUP('Old Data'!$P409,$Z$6:$AB$135,2,FALSE)+VLOOKUP('Old Data'!$F409,$Z$6:$AB$135,3,FALSE)+$D$2</f>
        <v>68.541286798901893</v>
      </c>
      <c r="L413" s="74">
        <f>('Old Data'!$L409+'Old Data'!$M409-$J413)^2+('Old Data'!$V409+'Old Data'!$W409-$K413)^2</f>
        <v>2282.2739455224746</v>
      </c>
      <c r="M413" s="75">
        <f>'Old Data'!$N409-'Old Data'!$X409</f>
        <v>0</v>
      </c>
      <c r="N413" s="72">
        <f>VLOOKUP('Old Data'!$F409,$AD$6:$AF$135,2,FALSE)+VLOOKUP('Old Data'!$P409,$AD$6:$AF$135,3,FALSE)+$E$2</f>
        <v>0.83242470470930408</v>
      </c>
      <c r="O413" s="72">
        <f>VLOOKUP('Old Data'!$P409,$AD$6:$AF$135,2,FALSE)+VLOOKUP('Old Data'!$F409,$AD$6:$AF$135,3,FALSE)+$E$2</f>
        <v>0.67587423638940514</v>
      </c>
      <c r="P413" s="73">
        <f>('Old Data'!$N409-$N413)^2+('Old Data'!$X409-$O413)^2</f>
        <v>3.1165411080304963</v>
      </c>
      <c r="Q413" s="62"/>
      <c r="R413" s="3"/>
      <c r="S413" s="3"/>
      <c r="T413" s="3"/>
      <c r="V413" s="3"/>
      <c r="W413" s="3"/>
      <c r="X413" s="3"/>
      <c r="Z413" s="3"/>
      <c r="AA413" s="3"/>
      <c r="AB413" s="3"/>
      <c r="AC413" s="3"/>
      <c r="AD413" s="3"/>
      <c r="AE413" s="3"/>
      <c r="AF413" s="3"/>
      <c r="AG413" s="3"/>
      <c r="AH413" s="37"/>
      <c r="AI413" s="1"/>
      <c r="AK413" s="10"/>
      <c r="AL413" s="10"/>
      <c r="AM413" s="10"/>
      <c r="AN413" s="11"/>
      <c r="AO413" s="11"/>
      <c r="AP413" s="11"/>
      <c r="AQ413" s="36"/>
      <c r="AR413" s="11"/>
      <c r="AS413" s="11"/>
      <c r="AT413" s="11"/>
      <c r="AU413" s="12"/>
      <c r="AV413" s="11"/>
      <c r="AW413" s="11"/>
      <c r="AX413" s="15"/>
      <c r="AY413" s="15"/>
      <c r="AZ413" s="15"/>
      <c r="BA413" s="15"/>
      <c r="BB413" s="15"/>
      <c r="BC413" s="15"/>
      <c r="BD413" s="15"/>
      <c r="BE413" s="12"/>
      <c r="BF413" s="11"/>
      <c r="BG413" s="11"/>
      <c r="BH413" s="10"/>
      <c r="BI413" s="10"/>
      <c r="BJ413" s="10"/>
      <c r="BK413" s="23"/>
      <c r="BL413" s="23"/>
      <c r="BM413" s="23"/>
      <c r="BN413" s="23"/>
      <c r="BO413" s="23"/>
      <c r="BP413" s="23"/>
      <c r="BQ413" s="23"/>
      <c r="BR413" s="10"/>
      <c r="BS413" s="16"/>
      <c r="BT413" s="16"/>
      <c r="BU413" s="16"/>
      <c r="BV413" s="16"/>
      <c r="BW413" s="11"/>
      <c r="BX413" s="16"/>
      <c r="BY413" s="16"/>
      <c r="BZ413" s="17"/>
      <c r="CA413" s="18"/>
      <c r="CB413" s="18"/>
      <c r="CC413" s="18"/>
      <c r="CD413" s="18"/>
      <c r="CE413" s="18"/>
      <c r="CF413" s="18"/>
      <c r="CG413" s="19"/>
      <c r="CH413" s="15"/>
      <c r="CI413" s="17"/>
      <c r="CJ413" s="10"/>
      <c r="CK413" s="10"/>
      <c r="CL413" s="10"/>
      <c r="CM413" s="17"/>
      <c r="CN413" s="17"/>
      <c r="CO413" s="10"/>
      <c r="CP413" s="10"/>
      <c r="CQ413" s="10"/>
      <c r="CR413" s="10"/>
      <c r="CS413" s="10"/>
      <c r="CT413" s="10"/>
      <c r="CU413" s="10"/>
      <c r="CV413" s="10"/>
      <c r="CW413" s="10"/>
      <c r="CX413" s="10"/>
      <c r="CY413" s="10"/>
      <c r="CZ413" s="10"/>
      <c r="DA413" s="34"/>
      <c r="DB413" s="34"/>
      <c r="DC413" s="34"/>
      <c r="DD413" s="34"/>
      <c r="DE413" s="34"/>
      <c r="DF413" s="34"/>
      <c r="DG413" s="34"/>
      <c r="DH413" s="34"/>
      <c r="DI413" s="34"/>
      <c r="DJ413" s="34"/>
      <c r="DK413" s="34"/>
      <c r="DL413" s="34"/>
      <c r="DM413" s="34"/>
      <c r="DN413" s="34"/>
      <c r="DO413" s="34"/>
      <c r="DP413" s="34"/>
      <c r="DQ413" s="34"/>
      <c r="DR413" s="34"/>
      <c r="DS413" s="34"/>
      <c r="DT413" s="34"/>
      <c r="DU413" s="34"/>
      <c r="DV413" s="34"/>
      <c r="DW413" s="34"/>
      <c r="DX413" s="34"/>
      <c r="DY413" s="34"/>
      <c r="DZ413" s="34"/>
      <c r="EA413" s="34"/>
      <c r="EB413" s="34"/>
      <c r="EC413" s="34"/>
      <c r="ED413" s="34"/>
      <c r="EE413" s="34"/>
    </row>
    <row r="414" spans="1:135" customFormat="1">
      <c r="A414" s="71">
        <f>'Old Data'!$I410-'Old Data'!$S410</f>
        <v>172</v>
      </c>
      <c r="B414" s="72">
        <f>VLOOKUP('Old Data'!$F410,$R$6:$T$135,2,FALSE)+VLOOKUP('Old Data'!$P410,$R$6:$T$135,3,FALSE)+$B$2</f>
        <v>220.180729392355</v>
      </c>
      <c r="C414" s="72">
        <f>VLOOKUP('Old Data'!$P410,$R$6:$T$135,2,FALSE)+VLOOKUP('Old Data'!$F410,$R$6:$T$135,3,FALSE)+$B$2</f>
        <v>175.41861164590017</v>
      </c>
      <c r="D414" s="74">
        <f>('Old Data'!$I410-$B414)^2+('Old Data'!$S410-$C414)^2</f>
        <v>8443.2367369906897</v>
      </c>
      <c r="E414" s="75">
        <f>'Old Data'!$K410-'Old Data'!$U410</f>
        <v>-101</v>
      </c>
      <c r="F414" s="72">
        <f>VLOOKUP('Old Data'!$F410,$V$6:$X$135,2,FALSE)+VLOOKUP('Old Data'!$P410,$V$6:$X$135,3,FALSE)+$C$2</f>
        <v>104.4712661548725</v>
      </c>
      <c r="G414" s="72">
        <f>VLOOKUP('Old Data'!$P410,$V$6:$X$135,2,FALSE)+VLOOKUP('Old Data'!$F410,$V$6:$X$135,3,FALSE)+$C$2</f>
        <v>153.44211003437607</v>
      </c>
      <c r="H414" s="74">
        <f>('Old Data'!$K410-$F414)^2+('Old Data'!$U410-$G414)^2</f>
        <v>1831.3349570144953</v>
      </c>
      <c r="I414" s="75">
        <f>('Old Data'!$L410+'Old Data'!$M410)-('Old Data'!$V410+'Old Data'!$W410)</f>
        <v>17</v>
      </c>
      <c r="J414" s="72">
        <f>VLOOKUP('Old Data'!$F410,$Z$6:$AB$135,2,FALSE)+VLOOKUP('Old Data'!$P410,$Z$6:$AB$135,3,FALSE)+$D$2</f>
        <v>27.002099333955741</v>
      </c>
      <c r="K414" s="72">
        <f>VLOOKUP('Old Data'!$P410,$Z$6:$AB$135,2,FALSE)+VLOOKUP('Old Data'!$F410,$Z$6:$AB$135,3,FALSE)+$D$2</f>
        <v>4.0056447213622945</v>
      </c>
      <c r="L414" s="74">
        <f>('Old Data'!$L410+'Old Data'!$M410-$J414)^2+('Old Data'!$V410+'Old Data'!$W410-$K414)^2</f>
        <v>67.901323392462643</v>
      </c>
      <c r="M414" s="75">
        <f>'Old Data'!$N410-'Old Data'!$X410</f>
        <v>0</v>
      </c>
      <c r="N414" s="72">
        <f>VLOOKUP('Old Data'!$F410,$AD$6:$AF$135,2,FALSE)+VLOOKUP('Old Data'!$P410,$AD$6:$AF$135,3,FALSE)+$E$2</f>
        <v>1.191696761048715</v>
      </c>
      <c r="O414" s="72">
        <f>VLOOKUP('Old Data'!$P410,$AD$6:$AF$135,2,FALSE)+VLOOKUP('Old Data'!$F410,$AD$6:$AF$135,3,FALSE)+$E$2</f>
        <v>1.3979828372291514</v>
      </c>
      <c r="P414" s="73">
        <f>('Old Data'!$N410-$N414)^2+('Old Data'!$X410-$O414)^2</f>
        <v>1.0157787903698006</v>
      </c>
      <c r="Q414" s="62"/>
      <c r="R414" s="3"/>
      <c r="S414" s="3"/>
      <c r="T414" s="3"/>
      <c r="V414" s="3"/>
      <c r="W414" s="3"/>
      <c r="X414" s="3"/>
      <c r="Z414" s="3"/>
      <c r="AA414" s="3"/>
      <c r="AB414" s="3"/>
      <c r="AC414" s="3"/>
      <c r="AD414" s="3"/>
      <c r="AE414" s="3"/>
      <c r="AF414" s="3"/>
      <c r="AG414" s="3"/>
      <c r="AH414" s="37"/>
      <c r="AI414" s="1"/>
      <c r="AK414" s="10"/>
      <c r="AL414" s="10"/>
      <c r="AM414" s="10"/>
      <c r="AN414" s="11"/>
      <c r="AO414" s="11"/>
      <c r="AP414" s="11"/>
      <c r="AQ414" s="36"/>
      <c r="AR414" s="11"/>
      <c r="AS414" s="11"/>
      <c r="AT414" s="11"/>
      <c r="AU414" s="12"/>
      <c r="AV414" s="11"/>
      <c r="AW414" s="11"/>
      <c r="AX414" s="15"/>
      <c r="AY414" s="15"/>
      <c r="AZ414" s="15"/>
      <c r="BA414" s="15"/>
      <c r="BB414" s="15"/>
      <c r="BC414" s="15"/>
      <c r="BD414" s="15"/>
      <c r="BE414" s="12"/>
      <c r="BF414" s="11"/>
      <c r="BG414" s="11"/>
      <c r="BH414" s="10"/>
      <c r="BI414" s="10"/>
      <c r="BJ414" s="10"/>
      <c r="BK414" s="23"/>
      <c r="BL414" s="23"/>
      <c r="BM414" s="23"/>
      <c r="BN414" s="23"/>
      <c r="BO414" s="23"/>
      <c r="BP414" s="23"/>
      <c r="BQ414" s="23"/>
      <c r="BR414" s="10"/>
      <c r="BS414" s="16"/>
      <c r="BT414" s="16"/>
      <c r="BU414" s="16"/>
      <c r="BV414" s="16"/>
      <c r="BW414" s="11"/>
      <c r="BX414" s="16"/>
      <c r="BY414" s="16"/>
      <c r="BZ414" s="17"/>
      <c r="CA414" s="18"/>
      <c r="CB414" s="18"/>
      <c r="CC414" s="18"/>
      <c r="CD414" s="18"/>
      <c r="CE414" s="18"/>
      <c r="CF414" s="18"/>
      <c r="CG414" s="19"/>
      <c r="CH414" s="15"/>
      <c r="CI414" s="17"/>
      <c r="CJ414" s="10"/>
      <c r="CK414" s="10"/>
      <c r="CL414" s="10"/>
      <c r="CM414" s="17"/>
      <c r="CN414" s="17"/>
      <c r="CO414" s="10"/>
      <c r="CP414" s="10"/>
      <c r="CQ414" s="10"/>
      <c r="CR414" s="10"/>
      <c r="CS414" s="10"/>
      <c r="CT414" s="10"/>
      <c r="CU414" s="10"/>
      <c r="CV414" s="10"/>
      <c r="CW414" s="10"/>
      <c r="CX414" s="10"/>
      <c r="CY414" s="10"/>
      <c r="CZ414" s="10"/>
      <c r="DA414" s="34"/>
      <c r="DB414" s="34"/>
      <c r="DC414" s="34"/>
      <c r="DD414" s="34"/>
      <c r="DE414" s="34"/>
      <c r="DF414" s="34"/>
      <c r="DG414" s="34"/>
      <c r="DH414" s="34"/>
      <c r="DI414" s="34"/>
      <c r="DJ414" s="34"/>
      <c r="DK414" s="34"/>
      <c r="DL414" s="34"/>
      <c r="DM414" s="34"/>
      <c r="DN414" s="34"/>
      <c r="DO414" s="34"/>
      <c r="DP414" s="34"/>
      <c r="DQ414" s="34"/>
      <c r="DR414" s="34"/>
      <c r="DS414" s="34"/>
      <c r="DT414" s="34"/>
      <c r="DU414" s="34"/>
      <c r="DV414" s="34"/>
      <c r="DW414" s="34"/>
      <c r="DX414" s="34"/>
      <c r="DY414" s="34"/>
      <c r="DZ414" s="34"/>
      <c r="EA414" s="34"/>
      <c r="EB414" s="34"/>
      <c r="EC414" s="34"/>
      <c r="ED414" s="34"/>
      <c r="EE414" s="34"/>
    </row>
    <row r="415" spans="1:135" customFormat="1">
      <c r="A415" s="71">
        <f>'Old Data'!$I411-'Old Data'!$S411</f>
        <v>149</v>
      </c>
      <c r="B415" s="72">
        <f>VLOOKUP('Old Data'!$F411,$R$6:$T$135,2,FALSE)+VLOOKUP('Old Data'!$P411,$R$6:$T$135,3,FALSE)+$B$2</f>
        <v>186.135530959276</v>
      </c>
      <c r="C415" s="72">
        <f>VLOOKUP('Old Data'!$P411,$R$6:$T$135,2,FALSE)+VLOOKUP('Old Data'!$F411,$R$6:$T$135,3,FALSE)+$B$2</f>
        <v>184.2596396806932</v>
      </c>
      <c r="D415" s="74">
        <f>('Old Data'!$I411-$B415)^2+('Old Data'!$S411-$C415)^2</f>
        <v>12961.015855051039</v>
      </c>
      <c r="E415" s="75">
        <f>'Old Data'!$K411-'Old Data'!$U411</f>
        <v>-100</v>
      </c>
      <c r="F415" s="72">
        <f>VLOOKUP('Old Data'!$F411,$V$6:$X$135,2,FALSE)+VLOOKUP('Old Data'!$P411,$V$6:$X$135,3,FALSE)+$C$2</f>
        <v>243.57716404082905</v>
      </c>
      <c r="G415" s="72">
        <f>VLOOKUP('Old Data'!$P411,$V$6:$X$135,2,FALSE)+VLOOKUP('Old Data'!$F411,$V$6:$X$135,3,FALSE)+$C$2</f>
        <v>311.88239773132761</v>
      </c>
      <c r="H415" s="74">
        <f>('Old Data'!$K411-$F415)^2+('Old Data'!$U411-$G415)^2</f>
        <v>18449.741879155779</v>
      </c>
      <c r="I415" s="75">
        <f>('Old Data'!$L411+'Old Data'!$M411)-('Old Data'!$V411+'Old Data'!$W411)</f>
        <v>-41</v>
      </c>
      <c r="J415" s="72">
        <f>VLOOKUP('Old Data'!$F411,$Z$6:$AB$135,2,FALSE)+VLOOKUP('Old Data'!$P411,$Z$6:$AB$135,3,FALSE)+$D$2</f>
        <v>88.760034959663201</v>
      </c>
      <c r="K415" s="72">
        <f>VLOOKUP('Old Data'!$P411,$Z$6:$AB$135,2,FALSE)+VLOOKUP('Old Data'!$F411,$Z$6:$AB$135,3,FALSE)+$D$2</f>
        <v>131.8856803512769</v>
      </c>
      <c r="L415" s="74">
        <f>('Old Data'!$L411+'Old Data'!$M411-$J415)^2+('Old Data'!$V411+'Old Data'!$W411-$K415)^2</f>
        <v>281.81911044845793</v>
      </c>
      <c r="M415" s="75">
        <f>'Old Data'!$N411-'Old Data'!$X411</f>
        <v>2</v>
      </c>
      <c r="N415" s="72">
        <f>VLOOKUP('Old Data'!$F411,$AD$6:$AF$135,2,FALSE)+VLOOKUP('Old Data'!$P411,$AD$6:$AF$135,3,FALSE)+$E$2</f>
        <v>1.3654780739550871</v>
      </c>
      <c r="O415" s="72">
        <f>VLOOKUP('Old Data'!$P411,$AD$6:$AF$135,2,FALSE)+VLOOKUP('Old Data'!$F411,$AD$6:$AF$135,3,FALSE)+$E$2</f>
        <v>1.108624013362316</v>
      </c>
      <c r="P415" s="73">
        <f>('Old Data'!$N411-$N415)^2+('Old Data'!$X411-$O415)^2</f>
        <v>1.6316652776353144</v>
      </c>
      <c r="Q415" s="62"/>
      <c r="R415" s="3"/>
      <c r="S415" s="3"/>
      <c r="T415" s="3"/>
      <c r="V415" s="3"/>
      <c r="W415" s="3"/>
      <c r="X415" s="3"/>
      <c r="Z415" s="3"/>
      <c r="AA415" s="3"/>
      <c r="AB415" s="3"/>
      <c r="AC415" s="3"/>
      <c r="AD415" s="3"/>
      <c r="AE415" s="3"/>
      <c r="AF415" s="3"/>
      <c r="AG415" s="3"/>
      <c r="AH415" s="37"/>
      <c r="AI415" s="1"/>
      <c r="AK415" s="10"/>
      <c r="AL415" s="10"/>
      <c r="AM415" s="10"/>
      <c r="AN415" s="11"/>
      <c r="AO415" s="11"/>
      <c r="AP415" s="11"/>
      <c r="AQ415" s="36"/>
      <c r="AR415" s="11"/>
      <c r="AS415" s="11"/>
      <c r="AT415" s="11"/>
      <c r="AU415" s="12"/>
      <c r="AV415" s="11"/>
      <c r="AW415" s="11"/>
      <c r="AX415" s="15"/>
      <c r="AY415" s="15"/>
      <c r="AZ415" s="15"/>
      <c r="BA415" s="15"/>
      <c r="BB415" s="15"/>
      <c r="BC415" s="15"/>
      <c r="BD415" s="15"/>
      <c r="BE415" s="12"/>
      <c r="BF415" s="11"/>
      <c r="BG415" s="11"/>
      <c r="BH415" s="10"/>
      <c r="BI415" s="10"/>
      <c r="BJ415" s="10"/>
      <c r="BK415" s="23"/>
      <c r="BL415" s="23"/>
      <c r="BM415" s="23"/>
      <c r="BN415" s="23"/>
      <c r="BO415" s="23"/>
      <c r="BP415" s="23"/>
      <c r="BQ415" s="23"/>
      <c r="BR415" s="10"/>
      <c r="BS415" s="16"/>
      <c r="BT415" s="16"/>
      <c r="BU415" s="16"/>
      <c r="BV415" s="16"/>
      <c r="BW415" s="11"/>
      <c r="BX415" s="16"/>
      <c r="BY415" s="16"/>
      <c r="BZ415" s="17"/>
      <c r="CA415" s="18"/>
      <c r="CB415" s="18"/>
      <c r="CC415" s="18"/>
      <c r="CD415" s="18"/>
      <c r="CE415" s="18"/>
      <c r="CF415" s="18"/>
      <c r="CG415" s="19"/>
      <c r="CH415" s="15"/>
      <c r="CI415" s="17"/>
      <c r="CJ415" s="10"/>
      <c r="CK415" s="10"/>
      <c r="CL415" s="10"/>
      <c r="CM415" s="17"/>
      <c r="CN415" s="17"/>
      <c r="CO415" s="10"/>
      <c r="CP415" s="10"/>
      <c r="CQ415" s="10"/>
      <c r="CR415" s="10"/>
      <c r="CS415" s="10"/>
      <c r="CT415" s="10"/>
      <c r="CU415" s="10"/>
      <c r="CV415" s="10"/>
      <c r="CW415" s="10"/>
      <c r="CX415" s="10"/>
      <c r="CY415" s="10"/>
      <c r="CZ415" s="10"/>
      <c r="DA415" s="34"/>
      <c r="DB415" s="34"/>
      <c r="DC415" s="34"/>
      <c r="DD415" s="34"/>
      <c r="DE415" s="34"/>
      <c r="DF415" s="34"/>
      <c r="DG415" s="34"/>
      <c r="DH415" s="34"/>
      <c r="DI415" s="34"/>
      <c r="DJ415" s="34"/>
      <c r="DK415" s="34"/>
      <c r="DL415" s="34"/>
      <c r="DM415" s="34"/>
      <c r="DN415" s="34"/>
      <c r="DO415" s="34"/>
      <c r="DP415" s="34"/>
      <c r="DQ415" s="34"/>
      <c r="DR415" s="34"/>
      <c r="DS415" s="34"/>
      <c r="DT415" s="34"/>
      <c r="DU415" s="34"/>
      <c r="DV415" s="34"/>
      <c r="DW415" s="34"/>
      <c r="DX415" s="34"/>
      <c r="DY415" s="34"/>
      <c r="DZ415" s="34"/>
      <c r="EA415" s="34"/>
      <c r="EB415" s="34"/>
      <c r="EC415" s="34"/>
      <c r="ED415" s="34"/>
      <c r="EE415" s="34"/>
    </row>
    <row r="416" spans="1:135" customFormat="1">
      <c r="A416" s="71">
        <f>'Old Data'!$I412-'Old Data'!$S412</f>
        <v>57</v>
      </c>
      <c r="B416" s="72">
        <f>VLOOKUP('Old Data'!$F412,$R$6:$T$135,2,FALSE)+VLOOKUP('Old Data'!$P412,$R$6:$T$135,3,FALSE)+$B$2</f>
        <v>138.69516644916339</v>
      </c>
      <c r="C416" s="72">
        <f>VLOOKUP('Old Data'!$P412,$R$6:$T$135,2,FALSE)+VLOOKUP('Old Data'!$F412,$R$6:$T$135,3,FALSE)+$B$2</f>
        <v>136.64969508297531</v>
      </c>
      <c r="D416" s="74">
        <f>('Old Data'!$I412-$B416)^2+('Old Data'!$S412-$C416)^2</f>
        <v>2377.575389070576</v>
      </c>
      <c r="E416" s="75">
        <f>'Old Data'!$K412-'Old Data'!$U412</f>
        <v>164</v>
      </c>
      <c r="F416" s="72">
        <f>VLOOKUP('Old Data'!$F412,$V$6:$X$135,2,FALSE)+VLOOKUP('Old Data'!$P412,$V$6:$X$135,3,FALSE)+$C$2</f>
        <v>375.25555101935811</v>
      </c>
      <c r="G416" s="72">
        <f>VLOOKUP('Old Data'!$P412,$V$6:$X$135,2,FALSE)+VLOOKUP('Old Data'!$F412,$V$6:$X$135,3,FALSE)+$C$2</f>
        <v>205.86355694864992</v>
      </c>
      <c r="H416" s="74">
        <f>('Old Data'!$K412-$F416)^2+('Old Data'!$U412-$G416)^2</f>
        <v>5331.3120140881238</v>
      </c>
      <c r="I416" s="75">
        <f>('Old Data'!$L412+'Old Data'!$M412)-('Old Data'!$V412+'Old Data'!$W412)</f>
        <v>-55</v>
      </c>
      <c r="J416" s="72">
        <f>VLOOKUP('Old Data'!$F412,$Z$6:$AB$135,2,FALSE)+VLOOKUP('Old Data'!$P412,$Z$6:$AB$135,3,FALSE)+$D$2</f>
        <v>30.128721447905647</v>
      </c>
      <c r="K416" s="72">
        <f>VLOOKUP('Old Data'!$P412,$Z$6:$AB$135,2,FALSE)+VLOOKUP('Old Data'!$F412,$Z$6:$AB$135,3,FALSE)+$D$2</f>
        <v>43.632173128379961</v>
      </c>
      <c r="L416" s="74">
        <f>('Old Data'!$L412+'Old Data'!$M412-$J416)^2+('Old Data'!$V412+'Old Data'!$W412-$K416)^2</f>
        <v>872.3148198006179</v>
      </c>
      <c r="M416" s="75">
        <f>'Old Data'!$N412-'Old Data'!$X412</f>
        <v>-1</v>
      </c>
      <c r="N416" s="72">
        <f>VLOOKUP('Old Data'!$F412,$AD$6:$AF$135,2,FALSE)+VLOOKUP('Old Data'!$P412,$AD$6:$AF$135,3,FALSE)+$E$2</f>
        <v>1.5204435777996781</v>
      </c>
      <c r="O416" s="72">
        <f>VLOOKUP('Old Data'!$P412,$AD$6:$AF$135,2,FALSE)+VLOOKUP('Old Data'!$F412,$AD$6:$AF$135,3,FALSE)+$E$2</f>
        <v>1.0980223052644611</v>
      </c>
      <c r="P416" s="73">
        <f>('Old Data'!$N412-$N416)^2+('Old Data'!$X412-$O416)^2</f>
        <v>1.0844252794733666</v>
      </c>
      <c r="Q416" s="62"/>
      <c r="R416" s="3"/>
      <c r="S416" s="3"/>
      <c r="T416" s="3"/>
      <c r="V416" s="3"/>
      <c r="W416" s="3"/>
      <c r="X416" s="3"/>
      <c r="Z416" s="3"/>
      <c r="AA416" s="3"/>
      <c r="AB416" s="3"/>
      <c r="AC416" s="3"/>
      <c r="AD416" s="3"/>
      <c r="AE416" s="3"/>
      <c r="AF416" s="3"/>
      <c r="AG416" s="3"/>
      <c r="AH416" s="37"/>
      <c r="AI416" s="1"/>
      <c r="AK416" s="10"/>
      <c r="AL416" s="10"/>
      <c r="AM416" s="10"/>
      <c r="AN416" s="11"/>
      <c r="AO416" s="11"/>
      <c r="AP416" s="11"/>
      <c r="AQ416" s="36"/>
      <c r="AR416" s="11"/>
      <c r="AS416" s="11"/>
      <c r="AT416" s="11"/>
      <c r="AU416" s="12"/>
      <c r="AV416" s="11"/>
      <c r="AW416" s="11"/>
      <c r="AX416" s="15"/>
      <c r="AY416" s="15"/>
      <c r="AZ416" s="15"/>
      <c r="BA416" s="15"/>
      <c r="BB416" s="15"/>
      <c r="BC416" s="15"/>
      <c r="BD416" s="15"/>
      <c r="BE416" s="12"/>
      <c r="BF416" s="11"/>
      <c r="BG416" s="11"/>
      <c r="BH416" s="10"/>
      <c r="BI416" s="10"/>
      <c r="BJ416" s="10"/>
      <c r="BK416" s="23"/>
      <c r="BL416" s="23"/>
      <c r="BM416" s="23"/>
      <c r="BN416" s="23"/>
      <c r="BO416" s="23"/>
      <c r="BP416" s="23"/>
      <c r="BQ416" s="23"/>
      <c r="BR416" s="10"/>
      <c r="BS416" s="16"/>
      <c r="BT416" s="16"/>
      <c r="BU416" s="16"/>
      <c r="BV416" s="16"/>
      <c r="BW416" s="11"/>
      <c r="BX416" s="16"/>
      <c r="BY416" s="16"/>
      <c r="BZ416" s="17"/>
      <c r="CA416" s="18"/>
      <c r="CB416" s="18"/>
      <c r="CC416" s="18"/>
      <c r="CD416" s="18"/>
      <c r="CE416" s="18"/>
      <c r="CF416" s="18"/>
      <c r="CG416" s="19"/>
      <c r="CH416" s="15"/>
      <c r="CI416" s="17"/>
      <c r="CJ416" s="10"/>
      <c r="CK416" s="10"/>
      <c r="CL416" s="10"/>
      <c r="CM416" s="17"/>
      <c r="CN416" s="17"/>
      <c r="CO416" s="10"/>
      <c r="CP416" s="10"/>
      <c r="CQ416" s="10"/>
      <c r="CR416" s="10"/>
      <c r="CS416" s="10"/>
      <c r="CT416" s="10"/>
      <c r="CU416" s="10"/>
      <c r="CV416" s="10"/>
      <c r="CW416" s="10"/>
      <c r="CX416" s="10"/>
      <c r="CY416" s="10"/>
      <c r="CZ416" s="10"/>
      <c r="DA416" s="34"/>
      <c r="DB416" s="34"/>
      <c r="DC416" s="34"/>
      <c r="DD416" s="34"/>
      <c r="DE416" s="34"/>
      <c r="DF416" s="34"/>
      <c r="DG416" s="34"/>
      <c r="DH416" s="34"/>
      <c r="DI416" s="34"/>
      <c r="DJ416" s="34"/>
      <c r="DK416" s="34"/>
      <c r="DL416" s="34"/>
      <c r="DM416" s="34"/>
      <c r="DN416" s="34"/>
      <c r="DO416" s="34"/>
      <c r="DP416" s="34"/>
      <c r="DQ416" s="34"/>
      <c r="DR416" s="34"/>
      <c r="DS416" s="34"/>
      <c r="DT416" s="34"/>
      <c r="DU416" s="34"/>
      <c r="DV416" s="34"/>
      <c r="DW416" s="34"/>
      <c r="DX416" s="34"/>
      <c r="DY416" s="34"/>
      <c r="DZ416" s="34"/>
      <c r="EA416" s="34"/>
      <c r="EB416" s="34"/>
      <c r="EC416" s="34"/>
      <c r="ED416" s="34"/>
      <c r="EE416" s="34"/>
    </row>
    <row r="417" spans="1:135" customFormat="1">
      <c r="A417" s="71">
        <f>'Old Data'!$I413-'Old Data'!$S413</f>
        <v>-31</v>
      </c>
      <c r="B417" s="72">
        <f>VLOOKUP('Old Data'!$F413,$R$6:$T$135,2,FALSE)+VLOOKUP('Old Data'!$P413,$R$6:$T$135,3,FALSE)+$B$2</f>
        <v>84.471219070340013</v>
      </c>
      <c r="C417" s="72">
        <f>VLOOKUP('Old Data'!$P413,$R$6:$T$135,2,FALSE)+VLOOKUP('Old Data'!$F413,$R$6:$T$135,3,FALSE)+$B$2</f>
        <v>157.57390483583492</v>
      </c>
      <c r="D417" s="74">
        <f>('Old Data'!$I413-$B417)^2+('Old Data'!$S413-$C417)^2</f>
        <v>1572.4886769459308</v>
      </c>
      <c r="E417" s="75">
        <f>'Old Data'!$K413-'Old Data'!$U413</f>
        <v>-7</v>
      </c>
      <c r="F417" s="72">
        <f>VLOOKUP('Old Data'!$F413,$V$6:$X$135,2,FALSE)+VLOOKUP('Old Data'!$P413,$V$6:$X$135,3,FALSE)+$C$2</f>
        <v>273.09000319536881</v>
      </c>
      <c r="G417" s="72">
        <f>VLOOKUP('Old Data'!$P413,$V$6:$X$135,2,FALSE)+VLOOKUP('Old Data'!$F413,$V$6:$X$135,3,FALSE)+$C$2</f>
        <v>206.03889893010358</v>
      </c>
      <c r="H417" s="74">
        <f>('Old Data'!$K413-$F417)^2+('Old Data'!$U413-$G417)^2</f>
        <v>8587.7127588825842</v>
      </c>
      <c r="I417" s="75">
        <f>('Old Data'!$L413+'Old Data'!$M413)-('Old Data'!$V413+'Old Data'!$W413)</f>
        <v>3</v>
      </c>
      <c r="J417" s="72">
        <f>VLOOKUP('Old Data'!$F413,$Z$6:$AB$135,2,FALSE)+VLOOKUP('Old Data'!$P413,$Z$6:$AB$135,3,FALSE)+$D$2</f>
        <v>11.666207581517895</v>
      </c>
      <c r="K417" s="72">
        <f>VLOOKUP('Old Data'!$P413,$Z$6:$AB$135,2,FALSE)+VLOOKUP('Old Data'!$F413,$Z$6:$AB$135,3,FALSE)+$D$2</f>
        <v>89.135506466852121</v>
      </c>
      <c r="L417" s="74">
        <f>('Old Data'!$L413+'Old Data'!$M413-$J417)^2+('Old Data'!$V413+'Old Data'!$W413-$K417)^2</f>
        <v>3441.6394092405326</v>
      </c>
      <c r="M417" s="75">
        <f>'Old Data'!$N413-'Old Data'!$X413</f>
        <v>-3</v>
      </c>
      <c r="N417" s="72">
        <f>VLOOKUP('Old Data'!$F413,$AD$6:$AF$135,2,FALSE)+VLOOKUP('Old Data'!$P413,$AD$6:$AF$135,3,FALSE)+$E$2</f>
        <v>1.3372419580706931</v>
      </c>
      <c r="O417" s="72">
        <f>VLOOKUP('Old Data'!$P413,$AD$6:$AF$135,2,FALSE)+VLOOKUP('Old Data'!$F413,$AD$6:$AF$135,3,FALSE)+$E$2</f>
        <v>2.0002236879305313</v>
      </c>
      <c r="P417" s="73">
        <f>('Old Data'!$N413-$N417)^2+('Old Data'!$X413-$O417)^2</f>
        <v>4.1128374365975198</v>
      </c>
      <c r="Q417" s="62"/>
      <c r="R417" s="3"/>
      <c r="S417" s="3"/>
      <c r="T417" s="3"/>
      <c r="V417" s="3"/>
      <c r="W417" s="3"/>
      <c r="X417" s="3"/>
      <c r="Z417" s="3"/>
      <c r="AA417" s="3"/>
      <c r="AB417" s="3"/>
      <c r="AC417" s="3"/>
      <c r="AD417" s="3"/>
      <c r="AE417" s="3"/>
      <c r="AF417" s="3"/>
      <c r="AG417" s="3"/>
      <c r="AH417" s="37"/>
      <c r="AI417" s="1"/>
      <c r="AK417" s="10"/>
      <c r="AL417" s="10"/>
      <c r="AM417" s="10"/>
      <c r="AN417" s="11"/>
      <c r="AO417" s="11"/>
      <c r="AP417" s="11"/>
      <c r="AQ417" s="36"/>
      <c r="AR417" s="11"/>
      <c r="AS417" s="11"/>
      <c r="AT417" s="11"/>
      <c r="AU417" s="12"/>
      <c r="AV417" s="11"/>
      <c r="AW417" s="11"/>
      <c r="AX417" s="15"/>
      <c r="AY417" s="15"/>
      <c r="AZ417" s="15"/>
      <c r="BA417" s="15"/>
      <c r="BB417" s="15"/>
      <c r="BC417" s="15"/>
      <c r="BD417" s="15"/>
      <c r="BE417" s="12"/>
      <c r="BF417" s="11"/>
      <c r="BG417" s="11"/>
      <c r="BH417" s="10"/>
      <c r="BI417" s="10"/>
      <c r="BJ417" s="10"/>
      <c r="BK417" s="23"/>
      <c r="BL417" s="23"/>
      <c r="BM417" s="23"/>
      <c r="BN417" s="23"/>
      <c r="BO417" s="23"/>
      <c r="BP417" s="23"/>
      <c r="BQ417" s="23"/>
      <c r="BR417" s="10"/>
      <c r="BS417" s="16"/>
      <c r="BT417" s="16"/>
      <c r="BU417" s="16"/>
      <c r="BV417" s="16"/>
      <c r="BW417" s="11"/>
      <c r="BX417" s="16"/>
      <c r="BY417" s="16"/>
      <c r="BZ417" s="17"/>
      <c r="CA417" s="18"/>
      <c r="CB417" s="18"/>
      <c r="CC417" s="18"/>
      <c r="CD417" s="18"/>
      <c r="CE417" s="18"/>
      <c r="CF417" s="18"/>
      <c r="CG417" s="19"/>
      <c r="CH417" s="15"/>
      <c r="CI417" s="17"/>
      <c r="CJ417" s="10"/>
      <c r="CK417" s="10"/>
      <c r="CL417" s="10"/>
      <c r="CM417" s="17"/>
      <c r="CN417" s="17"/>
      <c r="CO417" s="10"/>
      <c r="CP417" s="10"/>
      <c r="CQ417" s="10"/>
      <c r="CR417" s="10"/>
      <c r="CS417" s="10"/>
      <c r="CT417" s="10"/>
      <c r="CU417" s="10"/>
      <c r="CV417" s="10"/>
      <c r="CW417" s="10"/>
      <c r="CX417" s="10"/>
      <c r="CY417" s="10"/>
      <c r="CZ417" s="10"/>
      <c r="DA417" s="34"/>
      <c r="DB417" s="34"/>
      <c r="DC417" s="34"/>
      <c r="DD417" s="34"/>
      <c r="DE417" s="34"/>
      <c r="DF417" s="34"/>
      <c r="DG417" s="34"/>
      <c r="DH417" s="34"/>
      <c r="DI417" s="34"/>
      <c r="DJ417" s="34"/>
      <c r="DK417" s="34"/>
      <c r="DL417" s="34"/>
      <c r="DM417" s="34"/>
      <c r="DN417" s="34"/>
      <c r="DO417" s="34"/>
      <c r="DP417" s="34"/>
      <c r="DQ417" s="34"/>
      <c r="DR417" s="34"/>
      <c r="DS417" s="34"/>
      <c r="DT417" s="34"/>
      <c r="DU417" s="34"/>
      <c r="DV417" s="34"/>
      <c r="DW417" s="34"/>
      <c r="DX417" s="34"/>
      <c r="DY417" s="34"/>
      <c r="DZ417" s="34"/>
      <c r="EA417" s="34"/>
      <c r="EB417" s="34"/>
      <c r="EC417" s="34"/>
      <c r="ED417" s="34"/>
      <c r="EE417" s="34"/>
    </row>
    <row r="418" spans="1:135" customFormat="1">
      <c r="A418" s="71">
        <f>'Old Data'!$I414-'Old Data'!$S414</f>
        <v>256</v>
      </c>
      <c r="B418" s="72">
        <f>VLOOKUP('Old Data'!$F414,$R$6:$T$135,2,FALSE)+VLOOKUP('Old Data'!$P414,$R$6:$T$135,3,FALSE)+$B$2</f>
        <v>150.49650931270699</v>
      </c>
      <c r="C418" s="72">
        <f>VLOOKUP('Old Data'!$P414,$R$6:$T$135,2,FALSE)+VLOOKUP('Old Data'!$F414,$R$6:$T$135,3,FALSE)+$B$2</f>
        <v>107.68493579679992</v>
      </c>
      <c r="D418" s="74">
        <f>('Old Data'!$I414-$B418)^2+('Old Data'!$S414-$C418)^2</f>
        <v>26939.976104470992</v>
      </c>
      <c r="E418" s="75">
        <f>'Old Data'!$K414-'Old Data'!$U414</f>
        <v>1</v>
      </c>
      <c r="F418" s="72">
        <f>VLOOKUP('Old Data'!$F414,$V$6:$X$135,2,FALSE)+VLOOKUP('Old Data'!$P414,$V$6:$X$135,3,FALSE)+$C$2</f>
        <v>211.48257397904089</v>
      </c>
      <c r="G418" s="72">
        <f>VLOOKUP('Old Data'!$P414,$V$6:$X$135,2,FALSE)+VLOOKUP('Old Data'!$F414,$V$6:$X$135,3,FALSE)+$C$2</f>
        <v>216.26532758189569</v>
      </c>
      <c r="H418" s="74">
        <f>('Old Data'!$K414-$F418)^2+('Old Data'!$U414-$G418)^2</f>
        <v>12936.664047737944</v>
      </c>
      <c r="I418" s="75">
        <f>('Old Data'!$L414+'Old Data'!$M414)-('Old Data'!$V414+'Old Data'!$W414)</f>
        <v>1</v>
      </c>
      <c r="J418" s="72">
        <f>VLOOKUP('Old Data'!$F414,$Z$6:$AB$135,2,FALSE)+VLOOKUP('Old Data'!$P414,$Z$6:$AB$135,3,FALSE)+$D$2</f>
        <v>63.733287324387398</v>
      </c>
      <c r="K418" s="72">
        <f>VLOOKUP('Old Data'!$P414,$Z$6:$AB$135,2,FALSE)+VLOOKUP('Old Data'!$F414,$Z$6:$AB$135,3,FALSE)+$D$2</f>
        <v>36.052567904933966</v>
      </c>
      <c r="L418" s="74">
        <f>('Old Data'!$L414+'Old Data'!$M414-$J418)^2+('Old Data'!$V414+'Old Data'!$W414-$K418)^2</f>
        <v>378.95430996645376</v>
      </c>
      <c r="M418" s="75">
        <f>'Old Data'!$N414-'Old Data'!$X414</f>
        <v>2</v>
      </c>
      <c r="N418" s="72">
        <f>VLOOKUP('Old Data'!$F414,$AD$6:$AF$135,2,FALSE)+VLOOKUP('Old Data'!$P414,$AD$6:$AF$135,3,FALSE)+$E$2</f>
        <v>1.2146070297269511</v>
      </c>
      <c r="O418" s="72">
        <f>VLOOKUP('Old Data'!$P414,$AD$6:$AF$135,2,FALSE)+VLOOKUP('Old Data'!$F414,$AD$6:$AF$135,3,FALSE)+$E$2</f>
        <v>1.8249137385518837</v>
      </c>
      <c r="P418" s="73">
        <f>('Old Data'!$N414-$N418)^2+('Old Data'!$X414-$O418)^2</f>
        <v>3.9471522709097351</v>
      </c>
      <c r="Q418" s="62"/>
      <c r="R418" s="3"/>
      <c r="S418" s="3"/>
      <c r="T418" s="3"/>
      <c r="V418" s="3"/>
      <c r="W418" s="3"/>
      <c r="X418" s="3"/>
      <c r="Z418" s="3"/>
      <c r="AA418" s="3"/>
      <c r="AB418" s="3"/>
      <c r="AC418" s="3"/>
      <c r="AD418" s="3"/>
      <c r="AE418" s="3"/>
      <c r="AF418" s="3"/>
      <c r="AG418" s="3"/>
      <c r="AH418" s="37"/>
      <c r="AI418" s="1"/>
      <c r="AK418" s="10"/>
      <c r="AL418" s="10"/>
      <c r="AM418" s="10"/>
      <c r="AN418" s="11"/>
      <c r="AO418" s="11"/>
      <c r="AP418" s="11"/>
      <c r="AQ418" s="36"/>
      <c r="AR418" s="11"/>
      <c r="AS418" s="11"/>
      <c r="AT418" s="11"/>
      <c r="AU418" s="12"/>
      <c r="AV418" s="11"/>
      <c r="AW418" s="11"/>
      <c r="AX418" s="15"/>
      <c r="AY418" s="15"/>
      <c r="AZ418" s="15"/>
      <c r="BA418" s="15"/>
      <c r="BB418" s="15"/>
      <c r="BC418" s="15"/>
      <c r="BD418" s="15"/>
      <c r="BE418" s="12"/>
      <c r="BF418" s="11"/>
      <c r="BG418" s="11"/>
      <c r="BH418" s="10"/>
      <c r="BI418" s="10"/>
      <c r="BJ418" s="10"/>
      <c r="BK418" s="23"/>
      <c r="BL418" s="23"/>
      <c r="BM418" s="23"/>
      <c r="BN418" s="23"/>
      <c r="BO418" s="23"/>
      <c r="BP418" s="23"/>
      <c r="BQ418" s="23"/>
      <c r="BR418" s="10"/>
      <c r="BS418" s="16"/>
      <c r="BT418" s="16"/>
      <c r="BU418" s="16"/>
      <c r="BV418" s="16"/>
      <c r="BW418" s="11"/>
      <c r="BX418" s="16"/>
      <c r="BY418" s="16"/>
      <c r="BZ418" s="17"/>
      <c r="CA418" s="18"/>
      <c r="CB418" s="18"/>
      <c r="CC418" s="18"/>
      <c r="CD418" s="18"/>
      <c r="CE418" s="18"/>
      <c r="CF418" s="18"/>
      <c r="CG418" s="19"/>
      <c r="CH418" s="15"/>
      <c r="CI418" s="17"/>
      <c r="CJ418" s="10"/>
      <c r="CK418" s="10"/>
      <c r="CL418" s="10"/>
      <c r="CM418" s="17"/>
      <c r="CN418" s="17"/>
      <c r="CO418" s="10"/>
      <c r="CP418" s="10"/>
      <c r="CQ418" s="10"/>
      <c r="CR418" s="10"/>
      <c r="CS418" s="10"/>
      <c r="CT418" s="10"/>
      <c r="CU418" s="10"/>
      <c r="CV418" s="10"/>
      <c r="CW418" s="10"/>
      <c r="CX418" s="10"/>
      <c r="CY418" s="10"/>
      <c r="CZ418" s="10"/>
      <c r="DA418" s="34"/>
      <c r="DB418" s="34"/>
      <c r="DC418" s="34"/>
      <c r="DD418" s="34"/>
      <c r="DE418" s="34"/>
      <c r="DF418" s="34"/>
      <c r="DG418" s="34"/>
      <c r="DH418" s="34"/>
      <c r="DI418" s="34"/>
      <c r="DJ418" s="34"/>
      <c r="DK418" s="34"/>
      <c r="DL418" s="34"/>
      <c r="DM418" s="34"/>
      <c r="DN418" s="34"/>
      <c r="DO418" s="34"/>
      <c r="DP418" s="34"/>
      <c r="DQ418" s="34"/>
      <c r="DR418" s="34"/>
      <c r="DS418" s="34"/>
      <c r="DT418" s="34"/>
      <c r="DU418" s="34"/>
      <c r="DV418" s="34"/>
      <c r="DW418" s="34"/>
      <c r="DX418" s="34"/>
      <c r="DY418" s="34"/>
      <c r="DZ418" s="34"/>
      <c r="EA418" s="34"/>
      <c r="EB418" s="34"/>
      <c r="EC418" s="34"/>
      <c r="ED418" s="34"/>
      <c r="EE418" s="34"/>
    </row>
    <row r="419" spans="1:135" customFormat="1">
      <c r="A419" s="71">
        <f>'Old Data'!$I415-'Old Data'!$S415</f>
        <v>242</v>
      </c>
      <c r="B419" s="72">
        <f>VLOOKUP('Old Data'!$F415,$R$6:$T$135,2,FALSE)+VLOOKUP('Old Data'!$P415,$R$6:$T$135,3,FALSE)+$B$2</f>
        <v>214.08357295337089</v>
      </c>
      <c r="C419" s="72">
        <f>VLOOKUP('Old Data'!$P415,$R$6:$T$135,2,FALSE)+VLOOKUP('Old Data'!$F415,$R$6:$T$135,3,FALSE)+$B$2</f>
        <v>117.412241903644</v>
      </c>
      <c r="D419" s="74">
        <f>('Old Data'!$I415-$B419)^2+('Old Data'!$S415-$C419)^2</f>
        <v>12906.62270048123</v>
      </c>
      <c r="E419" s="75">
        <f>'Old Data'!$K415-'Old Data'!$U415</f>
        <v>46</v>
      </c>
      <c r="F419" s="72">
        <f>VLOOKUP('Old Data'!$F415,$V$6:$X$135,2,FALSE)+VLOOKUP('Old Data'!$P415,$V$6:$X$135,3,FALSE)+$C$2</f>
        <v>311.86917163377552</v>
      </c>
      <c r="G419" s="72">
        <f>VLOOKUP('Old Data'!$P415,$V$6:$X$135,2,FALSE)+VLOOKUP('Old Data'!$F415,$V$6:$X$135,3,FALSE)+$C$2</f>
        <v>154.1453000961786</v>
      </c>
      <c r="H419" s="74">
        <f>('Old Data'!$K415-$F419)^2+('Old Data'!$U415-$G419)^2</f>
        <v>18725.398373722968</v>
      </c>
      <c r="I419" s="75">
        <f>('Old Data'!$L415+'Old Data'!$M415)-('Old Data'!$V415+'Old Data'!$W415)</f>
        <v>-112</v>
      </c>
      <c r="J419" s="72">
        <f>VLOOKUP('Old Data'!$F415,$Z$6:$AB$135,2,FALSE)+VLOOKUP('Old Data'!$P415,$Z$6:$AB$135,3,FALSE)+$D$2</f>
        <v>63.813726331464899</v>
      </c>
      <c r="K419" s="72">
        <f>VLOOKUP('Old Data'!$P415,$Z$6:$AB$135,2,FALSE)+VLOOKUP('Old Data'!$F415,$Z$6:$AB$135,3,FALSE)+$D$2</f>
        <v>119.6683420936714</v>
      </c>
      <c r="L419" s="74">
        <f>('Old Data'!$L415+'Old Data'!$M415-$J419)^2+('Old Data'!$V415+'Old Data'!$W415-$K419)^2</f>
        <v>1591.1786227136736</v>
      </c>
      <c r="M419" s="75">
        <f>'Old Data'!$N415-'Old Data'!$X415</f>
        <v>1</v>
      </c>
      <c r="N419" s="72">
        <f>VLOOKUP('Old Data'!$F415,$AD$6:$AF$135,2,FALSE)+VLOOKUP('Old Data'!$P415,$AD$6:$AF$135,3,FALSE)+$E$2</f>
        <v>1.7509294945084575</v>
      </c>
      <c r="O419" s="72">
        <f>VLOOKUP('Old Data'!$P415,$AD$6:$AF$135,2,FALSE)+VLOOKUP('Old Data'!$F415,$AD$6:$AF$135,3,FALSE)+$E$2</f>
        <v>0.97165363501982027</v>
      </c>
      <c r="P419" s="73">
        <f>('Old Data'!$N415-$N419)^2+('Old Data'!$X415-$O419)^2</f>
        <v>6.2839633113402071E-2</v>
      </c>
      <c r="Q419" s="62"/>
      <c r="R419" s="3"/>
      <c r="S419" s="3"/>
      <c r="T419" s="3"/>
      <c r="V419" s="3"/>
      <c r="W419" s="3"/>
      <c r="X419" s="3"/>
      <c r="Z419" s="3"/>
      <c r="AA419" s="3"/>
      <c r="AB419" s="3"/>
      <c r="AC419" s="3"/>
      <c r="AD419" s="3"/>
      <c r="AE419" s="3"/>
      <c r="AF419" s="3"/>
      <c r="AG419" s="3"/>
      <c r="AH419" s="37"/>
      <c r="AI419" s="1"/>
      <c r="AK419" s="10"/>
      <c r="AL419" s="10"/>
      <c r="AM419" s="10"/>
      <c r="AN419" s="11"/>
      <c r="AO419" s="11"/>
      <c r="AP419" s="11"/>
      <c r="AQ419" s="36"/>
      <c r="AR419" s="11"/>
      <c r="AS419" s="11"/>
      <c r="AT419" s="11"/>
      <c r="AU419" s="12"/>
      <c r="AV419" s="11"/>
      <c r="AW419" s="11"/>
      <c r="AX419" s="15"/>
      <c r="AY419" s="15"/>
      <c r="AZ419" s="15"/>
      <c r="BA419" s="15"/>
      <c r="BB419" s="15"/>
      <c r="BC419" s="15"/>
      <c r="BD419" s="15"/>
      <c r="BE419" s="12"/>
      <c r="BF419" s="11"/>
      <c r="BG419" s="11"/>
      <c r="BH419" s="10"/>
      <c r="BI419" s="10"/>
      <c r="BJ419" s="10"/>
      <c r="BK419" s="23"/>
      <c r="BL419" s="23"/>
      <c r="BM419" s="23"/>
      <c r="BN419" s="23"/>
      <c r="BO419" s="23"/>
      <c r="BP419" s="23"/>
      <c r="BQ419" s="23"/>
      <c r="BR419" s="10"/>
      <c r="BS419" s="16"/>
      <c r="BT419" s="16"/>
      <c r="BU419" s="16"/>
      <c r="BV419" s="16"/>
      <c r="BW419" s="11"/>
      <c r="BX419" s="16"/>
      <c r="BY419" s="16"/>
      <c r="BZ419" s="17"/>
      <c r="CA419" s="18"/>
      <c r="CB419" s="18"/>
      <c r="CC419" s="18"/>
      <c r="CD419" s="18"/>
      <c r="CE419" s="18"/>
      <c r="CF419" s="18"/>
      <c r="CG419" s="19"/>
      <c r="CH419" s="15"/>
      <c r="CI419" s="17"/>
      <c r="CJ419" s="10"/>
      <c r="CK419" s="10"/>
      <c r="CL419" s="10"/>
      <c r="CM419" s="17"/>
      <c r="CN419" s="17"/>
      <c r="CO419" s="10"/>
      <c r="CP419" s="10"/>
      <c r="CQ419" s="10"/>
      <c r="CR419" s="10"/>
      <c r="CS419" s="10"/>
      <c r="CT419" s="10"/>
      <c r="CU419" s="10"/>
      <c r="CV419" s="10"/>
      <c r="CW419" s="10"/>
      <c r="CX419" s="10"/>
      <c r="CY419" s="10"/>
      <c r="CZ419" s="10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34"/>
      <c r="DV419" s="34"/>
      <c r="DW419" s="34"/>
      <c r="DX419" s="34"/>
      <c r="DY419" s="34"/>
      <c r="DZ419" s="34"/>
      <c r="EA419" s="34"/>
      <c r="EB419" s="34"/>
      <c r="EC419" s="34"/>
      <c r="ED419" s="34"/>
      <c r="EE419" s="34"/>
    </row>
    <row r="420" spans="1:135" customFormat="1">
      <c r="A420" s="71">
        <f>'Old Data'!$I416-'Old Data'!$S416</f>
        <v>37</v>
      </c>
      <c r="B420" s="72">
        <f>VLOOKUP('Old Data'!$F416,$R$6:$T$135,2,FALSE)+VLOOKUP('Old Data'!$P416,$R$6:$T$135,3,FALSE)+$B$2</f>
        <v>162.06688022523829</v>
      </c>
      <c r="C420" s="72">
        <f>VLOOKUP('Old Data'!$P416,$R$6:$T$135,2,FALSE)+VLOOKUP('Old Data'!$F416,$R$6:$T$135,3,FALSE)+$B$2</f>
        <v>95.208522969414574</v>
      </c>
      <c r="D420" s="74">
        <f>('Old Data'!$I416-$B420)^2+('Old Data'!$S416-$C420)^2</f>
        <v>1584.5793191246753</v>
      </c>
      <c r="E420" s="75">
        <f>'Old Data'!$K416-'Old Data'!$U416</f>
        <v>-62</v>
      </c>
      <c r="F420" s="72">
        <f>VLOOKUP('Old Data'!$F416,$V$6:$X$135,2,FALSE)+VLOOKUP('Old Data'!$P416,$V$6:$X$135,3,FALSE)+$C$2</f>
        <v>175.36624872647599</v>
      </c>
      <c r="G420" s="72">
        <f>VLOOKUP('Old Data'!$P416,$V$6:$X$135,2,FALSE)+VLOOKUP('Old Data'!$F416,$V$6:$X$135,3,FALSE)+$C$2</f>
        <v>227.52308218824066</v>
      </c>
      <c r="H420" s="74">
        <f>('Old Data'!$K416-$F420)^2+('Old Data'!$U416-$G420)^2</f>
        <v>7142.1197087216551</v>
      </c>
      <c r="I420" s="75">
        <f>('Old Data'!$L416+'Old Data'!$M416)-('Old Data'!$V416+'Old Data'!$W416)</f>
        <v>-104</v>
      </c>
      <c r="J420" s="72">
        <f>VLOOKUP('Old Data'!$F416,$Z$6:$AB$135,2,FALSE)+VLOOKUP('Old Data'!$P416,$Z$6:$AB$135,3,FALSE)+$D$2</f>
        <v>50.849002711581456</v>
      </c>
      <c r="K420" s="72">
        <f>VLOOKUP('Old Data'!$P416,$Z$6:$AB$135,2,FALSE)+VLOOKUP('Old Data'!$F416,$Z$6:$AB$135,3,FALSE)+$D$2</f>
        <v>67.348968669869379</v>
      </c>
      <c r="L420" s="74">
        <f>('Old Data'!$L416+'Old Data'!$M416-$J420)^2+('Old Data'!$V416+'Old Data'!$W416-$K420)^2</f>
        <v>6126.6855210456661</v>
      </c>
      <c r="M420" s="75">
        <f>'Old Data'!$N416-'Old Data'!$X416</f>
        <v>3</v>
      </c>
      <c r="N420" s="72">
        <f>VLOOKUP('Old Data'!$F416,$AD$6:$AF$135,2,FALSE)+VLOOKUP('Old Data'!$P416,$AD$6:$AF$135,3,FALSE)+$E$2</f>
        <v>1.4758564568199282</v>
      </c>
      <c r="O420" s="72">
        <f>VLOOKUP('Old Data'!$P416,$AD$6:$AF$135,2,FALSE)+VLOOKUP('Old Data'!$F416,$AD$6:$AF$135,3,FALSE)+$E$2</f>
        <v>0.85054107197065809</v>
      </c>
      <c r="P420" s="73">
        <f>('Old Data'!$N416-$N420)^2+('Old Data'!$X416-$O420)^2</f>
        <v>3.0464336553264997</v>
      </c>
      <c r="Q420" s="62"/>
      <c r="R420" s="3"/>
      <c r="S420" s="3"/>
      <c r="T420" s="3"/>
      <c r="V420" s="3"/>
      <c r="W420" s="3"/>
      <c r="X420" s="3"/>
      <c r="Z420" s="3"/>
      <c r="AA420" s="3"/>
      <c r="AB420" s="3"/>
      <c r="AC420" s="3"/>
      <c r="AD420" s="3"/>
      <c r="AE420" s="3"/>
      <c r="AF420" s="3"/>
      <c r="AG420" s="3"/>
      <c r="AH420" s="37"/>
      <c r="AI420" s="1"/>
      <c r="AK420" s="10"/>
      <c r="AL420" s="10"/>
      <c r="AM420" s="10"/>
      <c r="AN420" s="11"/>
      <c r="AO420" s="11"/>
      <c r="AP420" s="11"/>
      <c r="AQ420" s="36"/>
      <c r="AR420" s="11"/>
      <c r="AS420" s="11"/>
      <c r="AT420" s="11"/>
      <c r="AU420" s="12"/>
      <c r="AV420" s="11"/>
      <c r="AW420" s="11"/>
      <c r="AX420" s="15"/>
      <c r="AY420" s="15"/>
      <c r="AZ420" s="15"/>
      <c r="BA420" s="15"/>
      <c r="BB420" s="15"/>
      <c r="BC420" s="15"/>
      <c r="BD420" s="15"/>
      <c r="BE420" s="12"/>
      <c r="BF420" s="11"/>
      <c r="BG420" s="11"/>
      <c r="BH420" s="10"/>
      <c r="BI420" s="10"/>
      <c r="BJ420" s="10"/>
      <c r="BK420" s="23"/>
      <c r="BL420" s="23"/>
      <c r="BM420" s="23"/>
      <c r="BN420" s="23"/>
      <c r="BO420" s="23"/>
      <c r="BP420" s="23"/>
      <c r="BQ420" s="23"/>
      <c r="BR420" s="10"/>
      <c r="BS420" s="16"/>
      <c r="BT420" s="16"/>
      <c r="BU420" s="16"/>
      <c r="BV420" s="16"/>
      <c r="BW420" s="11"/>
      <c r="BX420" s="16"/>
      <c r="BY420" s="16"/>
      <c r="BZ420" s="17"/>
      <c r="CA420" s="18"/>
      <c r="CB420" s="18"/>
      <c r="CC420" s="18"/>
      <c r="CD420" s="18"/>
      <c r="CE420" s="18"/>
      <c r="CF420" s="18"/>
      <c r="CG420" s="19"/>
      <c r="CH420" s="15"/>
      <c r="CI420" s="17"/>
      <c r="CJ420" s="10"/>
      <c r="CK420" s="10"/>
      <c r="CL420" s="10"/>
      <c r="CM420" s="17"/>
      <c r="CN420" s="17"/>
      <c r="CO420" s="10"/>
      <c r="CP420" s="10"/>
      <c r="CQ420" s="10"/>
      <c r="CR420" s="10"/>
      <c r="CS420" s="10"/>
      <c r="CT420" s="10"/>
      <c r="CU420" s="10"/>
      <c r="CV420" s="10"/>
      <c r="CW420" s="10"/>
      <c r="CX420" s="10"/>
      <c r="CY420" s="10"/>
      <c r="CZ420" s="10"/>
      <c r="DA420" s="34"/>
      <c r="DB420" s="34"/>
      <c r="DC420" s="34"/>
      <c r="DD420" s="34"/>
      <c r="DE420" s="34"/>
      <c r="DF420" s="34"/>
      <c r="DG420" s="34"/>
      <c r="DH420" s="34"/>
      <c r="DI420" s="34"/>
      <c r="DJ420" s="34"/>
      <c r="DK420" s="34"/>
      <c r="DL420" s="34"/>
      <c r="DM420" s="34"/>
      <c r="DN420" s="34"/>
      <c r="DO420" s="34"/>
      <c r="DP420" s="34"/>
      <c r="DQ420" s="34"/>
      <c r="DR420" s="34"/>
      <c r="DS420" s="34"/>
      <c r="DT420" s="34"/>
      <c r="DU420" s="34"/>
      <c r="DV420" s="34"/>
      <c r="DW420" s="34"/>
      <c r="DX420" s="34"/>
      <c r="DY420" s="34"/>
      <c r="DZ420" s="34"/>
      <c r="EA420" s="34"/>
      <c r="EB420" s="34"/>
      <c r="EC420" s="34"/>
      <c r="ED420" s="34"/>
      <c r="EE420" s="34"/>
    </row>
    <row r="421" spans="1:135" customFormat="1">
      <c r="A421" s="71">
        <f>'Old Data'!$I417-'Old Data'!$S417</f>
        <v>393</v>
      </c>
      <c r="B421" s="72">
        <f>VLOOKUP('Old Data'!$F417,$R$6:$T$135,2,FALSE)+VLOOKUP('Old Data'!$P417,$R$6:$T$135,3,FALSE)+$B$2</f>
        <v>231.93078677937942</v>
      </c>
      <c r="C421" s="72">
        <f>VLOOKUP('Old Data'!$P417,$R$6:$T$135,2,FALSE)+VLOOKUP('Old Data'!$F417,$R$6:$T$135,3,FALSE)+$B$2</f>
        <v>161.78447125001802</v>
      </c>
      <c r="D421" s="74">
        <f>('Old Data'!$I417-$B421)^2+('Old Data'!$S417-$C421)^2</f>
        <v>68188.760139866106</v>
      </c>
      <c r="E421" s="75">
        <f>'Old Data'!$K417-'Old Data'!$U417</f>
        <v>-205</v>
      </c>
      <c r="F421" s="72">
        <f>VLOOKUP('Old Data'!$F417,$V$6:$X$135,2,FALSE)+VLOOKUP('Old Data'!$P417,$V$6:$X$135,3,FALSE)+$C$2</f>
        <v>186.84325422329249</v>
      </c>
      <c r="G421" s="72">
        <f>VLOOKUP('Old Data'!$P417,$V$6:$X$135,2,FALSE)+VLOOKUP('Old Data'!$F417,$V$6:$X$135,3,FALSE)+$C$2</f>
        <v>250.5493476800244</v>
      </c>
      <c r="H421" s="74">
        <f>('Old Data'!$K417-$F421)^2+('Old Data'!$U417-$G421)^2</f>
        <v>26615.514627659806</v>
      </c>
      <c r="I421" s="75">
        <f>('Old Data'!$L417+'Old Data'!$M417)-('Old Data'!$V417+'Old Data'!$W417)</f>
        <v>-31</v>
      </c>
      <c r="J421" s="72">
        <f>VLOOKUP('Old Data'!$F417,$Z$6:$AB$135,2,FALSE)+VLOOKUP('Old Data'!$P417,$Z$6:$AB$135,3,FALSE)+$D$2</f>
        <v>-14.12674573600691</v>
      </c>
      <c r="K421" s="72">
        <f>VLOOKUP('Old Data'!$P417,$Z$6:$AB$135,2,FALSE)+VLOOKUP('Old Data'!$F417,$Z$6:$AB$135,3,FALSE)+$D$2</f>
        <v>53.387499690510296</v>
      </c>
      <c r="L421" s="74">
        <f>('Old Data'!$L417+'Old Data'!$M417-$J421)^2+('Old Data'!$V417+'Old Data'!$W417-$K421)^2</f>
        <v>2572.5123106671508</v>
      </c>
      <c r="M421" s="75">
        <f>'Old Data'!$N417-'Old Data'!$X417</f>
        <v>4</v>
      </c>
      <c r="N421" s="72">
        <f>VLOOKUP('Old Data'!$F417,$AD$6:$AF$135,2,FALSE)+VLOOKUP('Old Data'!$P417,$AD$6:$AF$135,3,FALSE)+$E$2</f>
        <v>1.3922319889970529</v>
      </c>
      <c r="O421" s="72">
        <f>VLOOKUP('Old Data'!$P417,$AD$6:$AF$135,2,FALSE)+VLOOKUP('Old Data'!$F417,$AD$6:$AF$135,3,FALSE)+$E$2</f>
        <v>0.79213374999687103</v>
      </c>
      <c r="P421" s="73">
        <f>('Old Data'!$N417-$N421)^2+('Old Data'!$X417-$O421)^2</f>
        <v>7.427929877094372</v>
      </c>
      <c r="Q421" s="62"/>
      <c r="R421" s="3"/>
      <c r="S421" s="3"/>
      <c r="T421" s="3"/>
      <c r="V421" s="3"/>
      <c r="W421" s="3"/>
      <c r="X421" s="3"/>
      <c r="Z421" s="3"/>
      <c r="AA421" s="3"/>
      <c r="AB421" s="3"/>
      <c r="AC421" s="3"/>
      <c r="AD421" s="3"/>
      <c r="AE421" s="3"/>
      <c r="AF421" s="3"/>
      <c r="AG421" s="3"/>
      <c r="AH421" s="37"/>
      <c r="AI421" s="1"/>
      <c r="AK421" s="10"/>
      <c r="AL421" s="10"/>
      <c r="AM421" s="10"/>
      <c r="AN421" s="11"/>
      <c r="AO421" s="11"/>
      <c r="AP421" s="11"/>
      <c r="AQ421" s="36"/>
      <c r="AR421" s="11"/>
      <c r="AS421" s="11"/>
      <c r="AT421" s="11"/>
      <c r="AU421" s="12"/>
      <c r="AV421" s="11"/>
      <c r="AW421" s="11"/>
      <c r="AX421" s="15"/>
      <c r="AY421" s="15"/>
      <c r="AZ421" s="15"/>
      <c r="BA421" s="15"/>
      <c r="BB421" s="15"/>
      <c r="BC421" s="15"/>
      <c r="BD421" s="15"/>
      <c r="BE421" s="12"/>
      <c r="BF421" s="11"/>
      <c r="BG421" s="11"/>
      <c r="BH421" s="10"/>
      <c r="BI421" s="10"/>
      <c r="BJ421" s="10"/>
      <c r="BK421" s="23"/>
      <c r="BL421" s="23"/>
      <c r="BM421" s="23"/>
      <c r="BN421" s="23"/>
      <c r="BO421" s="23"/>
      <c r="BP421" s="23"/>
      <c r="BQ421" s="23"/>
      <c r="BR421" s="10"/>
      <c r="BS421" s="16"/>
      <c r="BT421" s="16"/>
      <c r="BU421" s="16"/>
      <c r="BV421" s="16"/>
      <c r="BW421" s="11"/>
      <c r="BX421" s="16"/>
      <c r="BY421" s="16"/>
      <c r="BZ421" s="17"/>
      <c r="CA421" s="18"/>
      <c r="CB421" s="18"/>
      <c r="CC421" s="18"/>
      <c r="CD421" s="18"/>
      <c r="CE421" s="18"/>
      <c r="CF421" s="18"/>
      <c r="CG421" s="19"/>
      <c r="CH421" s="15"/>
      <c r="CI421" s="17"/>
      <c r="CJ421" s="10"/>
      <c r="CK421" s="10"/>
      <c r="CL421" s="10"/>
      <c r="CM421" s="17"/>
      <c r="CN421" s="17"/>
      <c r="CO421" s="10"/>
      <c r="CP421" s="10"/>
      <c r="CQ421" s="10"/>
      <c r="CR421" s="10"/>
      <c r="CS421" s="10"/>
      <c r="CT421" s="10"/>
      <c r="CU421" s="10"/>
      <c r="CV421" s="10"/>
      <c r="CW421" s="10"/>
      <c r="CX421" s="10"/>
      <c r="CY421" s="10"/>
      <c r="CZ421" s="10"/>
      <c r="DA421" s="34"/>
      <c r="DB421" s="34"/>
      <c r="DC421" s="34"/>
      <c r="DD421" s="34"/>
      <c r="DE421" s="34"/>
      <c r="DF421" s="34"/>
      <c r="DG421" s="34"/>
      <c r="DH421" s="34"/>
      <c r="DI421" s="34"/>
      <c r="DJ421" s="34"/>
      <c r="DK421" s="34"/>
      <c r="DL421" s="34"/>
      <c r="DM421" s="34"/>
      <c r="DN421" s="34"/>
      <c r="DO421" s="34"/>
      <c r="DP421" s="34"/>
      <c r="DQ421" s="34"/>
      <c r="DR421" s="34"/>
      <c r="DS421" s="34"/>
      <c r="DT421" s="34"/>
      <c r="DU421" s="34"/>
      <c r="DV421" s="34"/>
      <c r="DW421" s="34"/>
      <c r="DX421" s="34"/>
      <c r="DY421" s="34"/>
      <c r="DZ421" s="34"/>
      <c r="EA421" s="34"/>
      <c r="EB421" s="34"/>
      <c r="EC421" s="34"/>
      <c r="ED421" s="34"/>
      <c r="EE421" s="34"/>
    </row>
    <row r="422" spans="1:135" customFormat="1">
      <c r="A422" s="71">
        <f>'Old Data'!$I418-'Old Data'!$S418</f>
        <v>199</v>
      </c>
      <c r="B422" s="72">
        <f>VLOOKUP('Old Data'!$F418,$R$6:$T$135,2,FALSE)+VLOOKUP('Old Data'!$P418,$R$6:$T$135,3,FALSE)+$B$2</f>
        <v>317.7719895370858</v>
      </c>
      <c r="C422" s="72">
        <f>VLOOKUP('Old Data'!$P418,$R$6:$T$135,2,FALSE)+VLOOKUP('Old Data'!$F418,$R$6:$T$135,3,FALSE)+$B$2</f>
        <v>190.183907554657</v>
      </c>
      <c r="D422" s="74">
        <f>('Old Data'!$I418-$B422)^2+('Old Data'!$S418-$C422)^2</f>
        <v>4665.1986790441306</v>
      </c>
      <c r="E422" s="75">
        <f>'Old Data'!$K418-'Old Data'!$U418</f>
        <v>-222</v>
      </c>
      <c r="F422" s="72">
        <f>VLOOKUP('Old Data'!$F418,$V$6:$X$135,2,FALSE)+VLOOKUP('Old Data'!$P418,$V$6:$X$135,3,FALSE)+$C$2</f>
        <v>100.95208821198554</v>
      </c>
      <c r="G422" s="72">
        <f>VLOOKUP('Old Data'!$P418,$V$6:$X$135,2,FALSE)+VLOOKUP('Old Data'!$F418,$V$6:$X$135,3,FALSE)+$C$2</f>
        <v>198.58631928433823</v>
      </c>
      <c r="H422" s="74">
        <f>('Old Data'!$K418-$F422)^2+('Old Data'!$U418-$G422)^2</f>
        <v>9442.3011395154299</v>
      </c>
      <c r="I422" s="75">
        <f>('Old Data'!$L418+'Old Data'!$M418)-('Old Data'!$V418+'Old Data'!$W418)</f>
        <v>-134</v>
      </c>
      <c r="J422" s="72">
        <f>VLOOKUP('Old Data'!$F418,$Z$6:$AB$135,2,FALSE)+VLOOKUP('Old Data'!$P418,$Z$6:$AB$135,3,FALSE)+$D$2</f>
        <v>19.709410982166084</v>
      </c>
      <c r="K422" s="72">
        <f>VLOOKUP('Old Data'!$P418,$Z$6:$AB$135,2,FALSE)+VLOOKUP('Old Data'!$F418,$Z$6:$AB$135,3,FALSE)+$D$2</f>
        <v>106.7324481320413</v>
      </c>
      <c r="L422" s="74">
        <f>('Old Data'!$L418+'Old Data'!$M418-$J422)^2+('Old Data'!$V418+'Old Data'!$W418-$K422)^2</f>
        <v>1131.9802661357471</v>
      </c>
      <c r="M422" s="75">
        <f>'Old Data'!$N418-'Old Data'!$X418</f>
        <v>1</v>
      </c>
      <c r="N422" s="72">
        <f>VLOOKUP('Old Data'!$F418,$AD$6:$AF$135,2,FALSE)+VLOOKUP('Old Data'!$P418,$AD$6:$AF$135,3,FALSE)+$E$2</f>
        <v>1.6818162870575191</v>
      </c>
      <c r="O422" s="72">
        <f>VLOOKUP('Old Data'!$P418,$AD$6:$AF$135,2,FALSE)+VLOOKUP('Old Data'!$F418,$AD$6:$AF$135,3,FALSE)+$E$2</f>
        <v>0.96206832868846648</v>
      </c>
      <c r="P422" s="73">
        <f>('Old Data'!$N418-$N422)^2+('Old Data'!$X418-$O422)^2</f>
        <v>0.10267968687034933</v>
      </c>
      <c r="Q422" s="62"/>
      <c r="R422" s="3"/>
      <c r="S422" s="3"/>
      <c r="T422" s="3"/>
      <c r="V422" s="3"/>
      <c r="W422" s="3"/>
      <c r="X422" s="3"/>
      <c r="Z422" s="3"/>
      <c r="AA422" s="3"/>
      <c r="AB422" s="3"/>
      <c r="AC422" s="3"/>
      <c r="AD422" s="3"/>
      <c r="AE422" s="3"/>
      <c r="AF422" s="3"/>
      <c r="AG422" s="3"/>
      <c r="AH422" s="37"/>
      <c r="AI422" s="1"/>
      <c r="AK422" s="10"/>
      <c r="AL422" s="10"/>
      <c r="AM422" s="10"/>
      <c r="AN422" s="11"/>
      <c r="AO422" s="11"/>
      <c r="AP422" s="11"/>
      <c r="AQ422" s="36"/>
      <c r="AR422" s="11"/>
      <c r="AS422" s="11"/>
      <c r="AT422" s="11"/>
      <c r="AU422" s="12"/>
      <c r="AV422" s="11"/>
      <c r="AW422" s="11"/>
      <c r="AX422" s="15"/>
      <c r="AY422" s="15"/>
      <c r="AZ422" s="15"/>
      <c r="BA422" s="15"/>
      <c r="BB422" s="15"/>
      <c r="BC422" s="15"/>
      <c r="BD422" s="15"/>
      <c r="BE422" s="12"/>
      <c r="BF422" s="11"/>
      <c r="BG422" s="11"/>
      <c r="BH422" s="10"/>
      <c r="BI422" s="10"/>
      <c r="BJ422" s="10"/>
      <c r="BK422" s="23"/>
      <c r="BL422" s="23"/>
      <c r="BM422" s="23"/>
      <c r="BN422" s="23"/>
      <c r="BO422" s="23"/>
      <c r="BP422" s="23"/>
      <c r="BQ422" s="23"/>
      <c r="BR422" s="10"/>
      <c r="BS422" s="16"/>
      <c r="BT422" s="16"/>
      <c r="BU422" s="16"/>
      <c r="BV422" s="16"/>
      <c r="BW422" s="11"/>
      <c r="BX422" s="16"/>
      <c r="BY422" s="16"/>
      <c r="BZ422" s="17"/>
      <c r="CA422" s="18"/>
      <c r="CB422" s="18"/>
      <c r="CC422" s="18"/>
      <c r="CD422" s="18"/>
      <c r="CE422" s="18"/>
      <c r="CF422" s="18"/>
      <c r="CG422" s="19"/>
      <c r="CH422" s="15"/>
      <c r="CI422" s="17"/>
      <c r="CJ422" s="10"/>
      <c r="CK422" s="10"/>
      <c r="CL422" s="10"/>
      <c r="CM422" s="17"/>
      <c r="CN422" s="17"/>
      <c r="CO422" s="10"/>
      <c r="CP422" s="10"/>
      <c r="CQ422" s="10"/>
      <c r="CR422" s="10"/>
      <c r="CS422" s="10"/>
      <c r="CT422" s="10"/>
      <c r="CU422" s="10"/>
      <c r="CV422" s="10"/>
      <c r="CW422" s="10"/>
      <c r="CX422" s="10"/>
      <c r="CY422" s="10"/>
      <c r="CZ422" s="10"/>
      <c r="DA422" s="34"/>
      <c r="DB422" s="34"/>
      <c r="DC422" s="34"/>
      <c r="DD422" s="34"/>
      <c r="DE422" s="34"/>
      <c r="DF422" s="34"/>
      <c r="DG422" s="34"/>
      <c r="DH422" s="34"/>
      <c r="DI422" s="34"/>
      <c r="DJ422" s="34"/>
      <c r="DK422" s="34"/>
      <c r="DL422" s="34"/>
      <c r="DM422" s="34"/>
      <c r="DN422" s="34"/>
      <c r="DO422" s="34"/>
      <c r="DP422" s="34"/>
      <c r="DQ422" s="34"/>
      <c r="DR422" s="34"/>
      <c r="DS422" s="34"/>
      <c r="DT422" s="34"/>
      <c r="DU422" s="34"/>
      <c r="DV422" s="34"/>
      <c r="DW422" s="34"/>
      <c r="DX422" s="34"/>
      <c r="DY422" s="34"/>
      <c r="DZ422" s="34"/>
      <c r="EA422" s="34"/>
      <c r="EB422" s="34"/>
      <c r="EC422" s="34"/>
      <c r="ED422" s="34"/>
      <c r="EE422" s="34"/>
    </row>
    <row r="423" spans="1:135" customFormat="1">
      <c r="A423" s="71">
        <f>'Old Data'!$I419-'Old Data'!$S419</f>
        <v>105</v>
      </c>
      <c r="B423" s="72">
        <f>VLOOKUP('Old Data'!$F419,$R$6:$T$135,2,FALSE)+VLOOKUP('Old Data'!$P419,$R$6:$T$135,3,FALSE)+$B$2</f>
        <v>212.5652865419062</v>
      </c>
      <c r="C423" s="72">
        <f>VLOOKUP('Old Data'!$P419,$R$6:$T$135,2,FALSE)+VLOOKUP('Old Data'!$F419,$R$6:$T$135,3,FALSE)+$B$2</f>
        <v>147.65568544544837</v>
      </c>
      <c r="D423" s="74">
        <f>('Old Data'!$I419-$B423)^2+('Old Data'!$S419-$C423)^2</f>
        <v>2328.2979157366667</v>
      </c>
      <c r="E423" s="75">
        <f>'Old Data'!$K419-'Old Data'!$U419</f>
        <v>-2</v>
      </c>
      <c r="F423" s="72">
        <f>VLOOKUP('Old Data'!$F419,$V$6:$X$135,2,FALSE)+VLOOKUP('Old Data'!$P419,$V$6:$X$135,3,FALSE)+$C$2</f>
        <v>238.01472417733399</v>
      </c>
      <c r="G423" s="72">
        <f>VLOOKUP('Old Data'!$P419,$V$6:$X$135,2,FALSE)+VLOOKUP('Old Data'!$F419,$V$6:$X$135,3,FALSE)+$C$2</f>
        <v>189.78069050163114</v>
      </c>
      <c r="H423" s="74">
        <f>('Old Data'!$K419-$F423)^2+('Old Data'!$U419-$G423)^2</f>
        <v>1659.4783862315917</v>
      </c>
      <c r="I423" s="75">
        <f>('Old Data'!$L419+'Old Data'!$M419)-('Old Data'!$V419+'Old Data'!$W419)</f>
        <v>-15</v>
      </c>
      <c r="J423" s="72">
        <f>VLOOKUP('Old Data'!$F419,$Z$6:$AB$135,2,FALSE)+VLOOKUP('Old Data'!$P419,$Z$6:$AB$135,3,FALSE)+$D$2</f>
        <v>63.422543536091524</v>
      </c>
      <c r="K423" s="72">
        <f>VLOOKUP('Old Data'!$P419,$Z$6:$AB$135,2,FALSE)+VLOOKUP('Old Data'!$F419,$Z$6:$AB$135,3,FALSE)+$D$2</f>
        <v>101.54291960901438</v>
      </c>
      <c r="L423" s="74">
        <f>('Old Data'!$L419+'Old Data'!$M419-$J423)^2+('Old Data'!$V419+'Old Data'!$W419-$K423)^2</f>
        <v>2187.1352062704304</v>
      </c>
      <c r="M423" s="75">
        <f>'Old Data'!$N419-'Old Data'!$X419</f>
        <v>0</v>
      </c>
      <c r="N423" s="72">
        <f>VLOOKUP('Old Data'!$F419,$AD$6:$AF$135,2,FALSE)+VLOOKUP('Old Data'!$P419,$AD$6:$AF$135,3,FALSE)+$E$2</f>
        <v>2.0063652283578399</v>
      </c>
      <c r="O423" s="72">
        <f>VLOOKUP('Old Data'!$P419,$AD$6:$AF$135,2,FALSE)+VLOOKUP('Old Data'!$F419,$AD$6:$AF$135,3,FALSE)+$E$2</f>
        <v>1.173292544466517</v>
      </c>
      <c r="P423" s="73">
        <f>('Old Data'!$N419-$N423)^2+('Old Data'!$X419-$O423)^2</f>
        <v>4.3241701875179794</v>
      </c>
      <c r="Q423" s="62"/>
      <c r="R423" s="3"/>
      <c r="S423" s="3"/>
      <c r="T423" s="3"/>
      <c r="V423" s="3"/>
      <c r="W423" s="3"/>
      <c r="X423" s="3"/>
      <c r="Z423" s="3"/>
      <c r="AA423" s="3"/>
      <c r="AB423" s="3"/>
      <c r="AC423" s="3"/>
      <c r="AD423" s="3"/>
      <c r="AE423" s="3"/>
      <c r="AF423" s="3"/>
      <c r="AG423" s="3"/>
      <c r="AH423" s="37"/>
      <c r="AI423" s="1"/>
      <c r="AK423" s="10"/>
      <c r="AL423" s="10"/>
      <c r="AM423" s="10"/>
      <c r="AN423" s="11"/>
      <c r="AO423" s="11"/>
      <c r="AP423" s="11"/>
      <c r="AQ423" s="36"/>
      <c r="AR423" s="11"/>
      <c r="AS423" s="11"/>
      <c r="AT423" s="11"/>
      <c r="AU423" s="12"/>
      <c r="AV423" s="11"/>
      <c r="AW423" s="11"/>
      <c r="AX423" s="15"/>
      <c r="AY423" s="15"/>
      <c r="AZ423" s="15"/>
      <c r="BA423" s="15"/>
      <c r="BB423" s="15"/>
      <c r="BC423" s="15"/>
      <c r="BD423" s="15"/>
      <c r="BE423" s="12"/>
      <c r="BF423" s="11"/>
      <c r="BG423" s="11"/>
      <c r="BH423" s="10"/>
      <c r="BI423" s="10"/>
      <c r="BJ423" s="10"/>
      <c r="BK423" s="23"/>
      <c r="BL423" s="23"/>
      <c r="BM423" s="23"/>
      <c r="BN423" s="23"/>
      <c r="BO423" s="23"/>
      <c r="BP423" s="23"/>
      <c r="BQ423" s="23"/>
      <c r="BR423" s="10"/>
      <c r="BS423" s="16"/>
      <c r="BT423" s="16"/>
      <c r="BU423" s="16"/>
      <c r="BV423" s="16"/>
      <c r="BW423" s="11"/>
      <c r="BX423" s="16"/>
      <c r="BY423" s="16"/>
      <c r="BZ423" s="17"/>
      <c r="CA423" s="18"/>
      <c r="CB423" s="18"/>
      <c r="CC423" s="18"/>
      <c r="CD423" s="18"/>
      <c r="CE423" s="18"/>
      <c r="CF423" s="18"/>
      <c r="CG423" s="19"/>
      <c r="CH423" s="15"/>
      <c r="CI423" s="17"/>
      <c r="CJ423" s="10"/>
      <c r="CK423" s="10"/>
      <c r="CL423" s="10"/>
      <c r="CM423" s="17"/>
      <c r="CN423" s="17"/>
      <c r="CO423" s="10"/>
      <c r="CP423" s="10"/>
      <c r="CQ423" s="10"/>
      <c r="CR423" s="10"/>
      <c r="CS423" s="10"/>
      <c r="CT423" s="10"/>
      <c r="CU423" s="10"/>
      <c r="CV423" s="10"/>
      <c r="CW423" s="10"/>
      <c r="CX423" s="10"/>
      <c r="CY423" s="10"/>
      <c r="CZ423" s="10"/>
      <c r="DA423" s="34"/>
      <c r="DB423" s="34"/>
      <c r="DC423" s="34"/>
      <c r="DD423" s="34"/>
      <c r="DE423" s="34"/>
      <c r="DF423" s="34"/>
      <c r="DG423" s="34"/>
      <c r="DH423" s="34"/>
      <c r="DI423" s="34"/>
      <c r="DJ423" s="34"/>
      <c r="DK423" s="34"/>
      <c r="DL423" s="34"/>
      <c r="DM423" s="34"/>
      <c r="DN423" s="34"/>
      <c r="DO423" s="34"/>
      <c r="DP423" s="34"/>
      <c r="DQ423" s="34"/>
      <c r="DR423" s="34"/>
      <c r="DS423" s="34"/>
      <c r="DT423" s="34"/>
      <c r="DU423" s="34"/>
      <c r="DV423" s="34"/>
      <c r="DW423" s="34"/>
      <c r="DX423" s="34"/>
      <c r="DY423" s="34"/>
      <c r="DZ423" s="34"/>
      <c r="EA423" s="34"/>
      <c r="EB423" s="34"/>
      <c r="EC423" s="34"/>
      <c r="ED423" s="34"/>
      <c r="EE423" s="34"/>
    </row>
    <row r="424" spans="1:135" customFormat="1">
      <c r="A424" s="71">
        <f>'Old Data'!$I420-'Old Data'!$S420</f>
        <v>116</v>
      </c>
      <c r="B424" s="72">
        <f>VLOOKUP('Old Data'!$F420,$R$6:$T$135,2,FALSE)+VLOOKUP('Old Data'!$P420,$R$6:$T$135,3,FALSE)+$B$2</f>
        <v>191.77089934625189</v>
      </c>
      <c r="C424" s="72">
        <f>VLOOKUP('Old Data'!$P420,$R$6:$T$135,2,FALSE)+VLOOKUP('Old Data'!$F420,$R$6:$T$135,3,FALSE)+$B$2</f>
        <v>162.6815027791005</v>
      </c>
      <c r="D424" s="74">
        <f>('Old Data'!$I420-$B424)^2+('Old Data'!$S420-$C424)^2</f>
        <v>4240.4008921330214</v>
      </c>
      <c r="E424" s="75">
        <f>'Old Data'!$K420-'Old Data'!$U420</f>
        <v>-57</v>
      </c>
      <c r="F424" s="72">
        <f>VLOOKUP('Old Data'!$F420,$V$6:$X$135,2,FALSE)+VLOOKUP('Old Data'!$P420,$V$6:$X$135,3,FALSE)+$C$2</f>
        <v>226.33749519259158</v>
      </c>
      <c r="G424" s="72">
        <f>VLOOKUP('Old Data'!$P420,$V$6:$X$135,2,FALSE)+VLOOKUP('Old Data'!$F420,$V$6:$X$135,3,FALSE)+$C$2</f>
        <v>270.8544072254125</v>
      </c>
      <c r="H424" s="74">
        <f>('Old Data'!$K420-$F424)^2+('Old Data'!$U420-$G424)^2</f>
        <v>11001.530598002581</v>
      </c>
      <c r="I424" s="75">
        <f>('Old Data'!$L420+'Old Data'!$M420)-('Old Data'!$V420+'Old Data'!$W420)</f>
        <v>-12</v>
      </c>
      <c r="J424" s="72">
        <f>VLOOKUP('Old Data'!$F420,$Z$6:$AB$135,2,FALSE)+VLOOKUP('Old Data'!$P420,$Z$6:$AB$135,3,FALSE)+$D$2</f>
        <v>37.782263900353726</v>
      </c>
      <c r="K424" s="72">
        <f>VLOOKUP('Old Data'!$P420,$Z$6:$AB$135,2,FALSE)+VLOOKUP('Old Data'!$F420,$Z$6:$AB$135,3,FALSE)+$D$2</f>
        <v>89.290278953586764</v>
      </c>
      <c r="L424" s="74">
        <f>('Old Data'!$L420+'Old Data'!$M420-$J424)^2+('Old Data'!$V420+'Old Data'!$W420-$K424)^2</f>
        <v>1395.4832578439903</v>
      </c>
      <c r="M424" s="75">
        <f>'Old Data'!$N420-'Old Data'!$X420</f>
        <v>-1</v>
      </c>
      <c r="N424" s="72">
        <f>VLOOKUP('Old Data'!$F420,$AD$6:$AF$135,2,FALSE)+VLOOKUP('Old Data'!$P420,$AD$6:$AF$135,3,FALSE)+$E$2</f>
        <v>1.5124784036525021</v>
      </c>
      <c r="O424" s="72">
        <f>VLOOKUP('Old Data'!$P420,$AD$6:$AF$135,2,FALSE)+VLOOKUP('Old Data'!$F420,$AD$6:$AF$135,3,FALSE)+$E$2</f>
        <v>1.5883291337094811</v>
      </c>
      <c r="P424" s="73">
        <f>('Old Data'!$N420-$N424)^2+('Old Data'!$X420-$O424)^2</f>
        <v>0.43210701636260312</v>
      </c>
      <c r="Q424" s="62"/>
      <c r="R424" s="3"/>
      <c r="S424" s="3"/>
      <c r="T424" s="3"/>
      <c r="V424" s="3"/>
      <c r="W424" s="3"/>
      <c r="X424" s="3"/>
      <c r="Z424" s="3"/>
      <c r="AA424" s="3"/>
      <c r="AB424" s="3"/>
      <c r="AC424" s="3"/>
      <c r="AD424" s="3"/>
      <c r="AE424" s="3"/>
      <c r="AF424" s="3"/>
      <c r="AG424" s="3"/>
      <c r="AH424" s="37"/>
      <c r="AI424" s="1"/>
      <c r="AK424" s="10"/>
      <c r="AL424" s="10"/>
      <c r="AM424" s="10"/>
      <c r="AN424" s="11"/>
      <c r="AO424" s="11"/>
      <c r="AP424" s="11"/>
      <c r="AQ424" s="36"/>
      <c r="AR424" s="11"/>
      <c r="AS424" s="11"/>
      <c r="AT424" s="11"/>
      <c r="AU424" s="12"/>
      <c r="AV424" s="11"/>
      <c r="AW424" s="11"/>
      <c r="AX424" s="15"/>
      <c r="AY424" s="15"/>
      <c r="AZ424" s="15"/>
      <c r="BA424" s="15"/>
      <c r="BB424" s="15"/>
      <c r="BC424" s="15"/>
      <c r="BD424" s="15"/>
      <c r="BE424" s="12"/>
      <c r="BF424" s="11"/>
      <c r="BG424" s="11"/>
      <c r="BH424" s="10"/>
      <c r="BI424" s="10"/>
      <c r="BJ424" s="10"/>
      <c r="BK424" s="23"/>
      <c r="BL424" s="23"/>
      <c r="BM424" s="23"/>
      <c r="BN424" s="23"/>
      <c r="BO424" s="23"/>
      <c r="BP424" s="23"/>
      <c r="BQ424" s="23"/>
      <c r="BR424" s="10"/>
      <c r="BS424" s="16"/>
      <c r="BT424" s="16"/>
      <c r="BU424" s="16"/>
      <c r="BV424" s="16"/>
      <c r="BW424" s="11"/>
      <c r="BX424" s="16"/>
      <c r="BY424" s="16"/>
      <c r="BZ424" s="17"/>
      <c r="CA424" s="18"/>
      <c r="CB424" s="18"/>
      <c r="CC424" s="18"/>
      <c r="CD424" s="18"/>
      <c r="CE424" s="18"/>
      <c r="CF424" s="18"/>
      <c r="CG424" s="19"/>
      <c r="CH424" s="15"/>
      <c r="CI424" s="17"/>
      <c r="CJ424" s="10"/>
      <c r="CK424" s="10"/>
      <c r="CL424" s="10"/>
      <c r="CM424" s="17"/>
      <c r="CN424" s="17"/>
      <c r="CO424" s="10"/>
      <c r="CP424" s="10"/>
      <c r="CQ424" s="10"/>
      <c r="CR424" s="10"/>
      <c r="CS424" s="10"/>
      <c r="CT424" s="10"/>
      <c r="CU424" s="10"/>
      <c r="CV424" s="10"/>
      <c r="CW424" s="10"/>
      <c r="CX424" s="10"/>
      <c r="CY424" s="10"/>
      <c r="CZ424" s="10"/>
      <c r="DA424" s="34"/>
      <c r="DB424" s="34"/>
      <c r="DC424" s="34"/>
      <c r="DD424" s="34"/>
      <c r="DE424" s="34"/>
      <c r="DF424" s="34"/>
      <c r="DG424" s="34"/>
      <c r="DH424" s="34"/>
      <c r="DI424" s="34"/>
      <c r="DJ424" s="34"/>
      <c r="DK424" s="34"/>
      <c r="DL424" s="34"/>
      <c r="DM424" s="34"/>
      <c r="DN424" s="34"/>
      <c r="DO424" s="34"/>
      <c r="DP424" s="34"/>
      <c r="DQ424" s="34"/>
      <c r="DR424" s="34"/>
      <c r="DS424" s="34"/>
      <c r="DT424" s="34"/>
      <c r="DU424" s="34"/>
      <c r="DV424" s="34"/>
      <c r="DW424" s="34"/>
      <c r="DX424" s="34"/>
      <c r="DY424" s="34"/>
      <c r="DZ424" s="34"/>
      <c r="EA424" s="34"/>
      <c r="EB424" s="34"/>
      <c r="EC424" s="34"/>
      <c r="ED424" s="34"/>
      <c r="EE424" s="34"/>
    </row>
    <row r="425" spans="1:135" customFormat="1">
      <c r="A425" s="71">
        <f>'Old Data'!$I421-'Old Data'!$S421</f>
        <v>180</v>
      </c>
      <c r="B425" s="72">
        <f>VLOOKUP('Old Data'!$F421,$R$6:$T$135,2,FALSE)+VLOOKUP('Old Data'!$P421,$R$6:$T$135,3,FALSE)+$B$2</f>
        <v>193.87087560503241</v>
      </c>
      <c r="C425" s="72">
        <f>VLOOKUP('Old Data'!$P421,$R$6:$T$135,2,FALSE)+VLOOKUP('Old Data'!$F421,$R$6:$T$135,3,FALSE)+$B$2</f>
        <v>45.578701735207204</v>
      </c>
      <c r="D425" s="74">
        <f>('Old Data'!$I421-$B425)^2+('Old Data'!$S421-$C425)^2</f>
        <v>8765.2987019522152</v>
      </c>
      <c r="E425" s="75">
        <f>'Old Data'!$K421-'Old Data'!$U421</f>
        <v>20</v>
      </c>
      <c r="F425" s="72">
        <f>VLOOKUP('Old Data'!$F421,$V$6:$X$135,2,FALSE)+VLOOKUP('Old Data'!$P421,$V$6:$X$135,3,FALSE)+$C$2</f>
        <v>196.95594323990642</v>
      </c>
      <c r="G425" s="72">
        <f>VLOOKUP('Old Data'!$P421,$V$6:$X$135,2,FALSE)+VLOOKUP('Old Data'!$F421,$V$6:$X$135,3,FALSE)+$C$2</f>
        <v>165.46526996830863</v>
      </c>
      <c r="H425" s="74">
        <f>('Old Data'!$K421-$F425)^2+('Old Data'!$U421-$G425)^2</f>
        <v>28967.197666372304</v>
      </c>
      <c r="I425" s="75">
        <f>('Old Data'!$L421+'Old Data'!$M421)-('Old Data'!$V421+'Old Data'!$W421)</f>
        <v>-76</v>
      </c>
      <c r="J425" s="72">
        <f>VLOOKUP('Old Data'!$F421,$Z$6:$AB$135,2,FALSE)+VLOOKUP('Old Data'!$P421,$Z$6:$AB$135,3,FALSE)+$D$2</f>
        <v>-24.560397574252107</v>
      </c>
      <c r="K425" s="72">
        <f>VLOOKUP('Old Data'!$P421,$Z$6:$AB$135,2,FALSE)+VLOOKUP('Old Data'!$F421,$Z$6:$AB$135,3,FALSE)+$D$2</f>
        <v>83.491967365331718</v>
      </c>
      <c r="L425" s="74">
        <f>('Old Data'!$L421+'Old Data'!$M421-$J425)^2+('Old Data'!$V421+'Old Data'!$W421-$K425)^2</f>
        <v>2502.4904936188623</v>
      </c>
      <c r="M425" s="75">
        <f>'Old Data'!$N421-'Old Data'!$X421</f>
        <v>2</v>
      </c>
      <c r="N425" s="72">
        <f>VLOOKUP('Old Data'!$F421,$AD$6:$AF$135,2,FALSE)+VLOOKUP('Old Data'!$P421,$AD$6:$AF$135,3,FALSE)+$E$2</f>
        <v>1.6737143756615049</v>
      </c>
      <c r="O425" s="72">
        <f>VLOOKUP('Old Data'!$P421,$AD$6:$AF$135,2,FALSE)+VLOOKUP('Old Data'!$F421,$AD$6:$AF$135,3,FALSE)+$E$2</f>
        <v>1.0457834601872911</v>
      </c>
      <c r="P425" s="73">
        <f>('Old Data'!$N421-$N425)^2+('Old Data'!$X421-$O425)^2</f>
        <v>1.7611296825536729</v>
      </c>
      <c r="Q425" s="62"/>
      <c r="R425" s="3"/>
      <c r="S425" s="3"/>
      <c r="T425" s="3"/>
      <c r="V425" s="3"/>
      <c r="W425" s="3"/>
      <c r="X425" s="3"/>
      <c r="Z425" s="3"/>
      <c r="AA425" s="3"/>
      <c r="AB425" s="3"/>
      <c r="AC425" s="3"/>
      <c r="AD425" s="3"/>
      <c r="AE425" s="3"/>
      <c r="AF425" s="3"/>
      <c r="AG425" s="3"/>
      <c r="AH425" s="37"/>
      <c r="AI425" s="1"/>
      <c r="AK425" s="10"/>
      <c r="AL425" s="10"/>
      <c r="AM425" s="10"/>
      <c r="AN425" s="11"/>
      <c r="AO425" s="11"/>
      <c r="AP425" s="11"/>
      <c r="AQ425" s="36"/>
      <c r="AR425" s="11"/>
      <c r="AS425" s="11"/>
      <c r="AT425" s="11"/>
      <c r="AU425" s="12"/>
      <c r="AV425" s="11"/>
      <c r="AW425" s="11"/>
      <c r="AX425" s="15"/>
      <c r="AY425" s="15"/>
      <c r="AZ425" s="15"/>
      <c r="BA425" s="15"/>
      <c r="BB425" s="15"/>
      <c r="BC425" s="15"/>
      <c r="BD425" s="15"/>
      <c r="BE425" s="12"/>
      <c r="BF425" s="11"/>
      <c r="BG425" s="11"/>
      <c r="BH425" s="10"/>
      <c r="BI425" s="10"/>
      <c r="BJ425" s="10"/>
      <c r="BK425" s="23"/>
      <c r="BL425" s="23"/>
      <c r="BM425" s="23"/>
      <c r="BN425" s="23"/>
      <c r="BO425" s="23"/>
      <c r="BP425" s="23"/>
      <c r="BQ425" s="23"/>
      <c r="BR425" s="10"/>
      <c r="BS425" s="16"/>
      <c r="BT425" s="16"/>
      <c r="BU425" s="16"/>
      <c r="BV425" s="16"/>
      <c r="BW425" s="11"/>
      <c r="BX425" s="16"/>
      <c r="BY425" s="16"/>
      <c r="BZ425" s="17"/>
      <c r="CA425" s="18"/>
      <c r="CB425" s="18"/>
      <c r="CC425" s="18"/>
      <c r="CD425" s="18"/>
      <c r="CE425" s="18"/>
      <c r="CF425" s="18"/>
      <c r="CG425" s="19"/>
      <c r="CH425" s="15"/>
      <c r="CI425" s="17"/>
      <c r="CJ425" s="10"/>
      <c r="CK425" s="10"/>
      <c r="CL425" s="10"/>
      <c r="CM425" s="17"/>
      <c r="CN425" s="17"/>
      <c r="CO425" s="10"/>
      <c r="CP425" s="10"/>
      <c r="CQ425" s="10"/>
      <c r="CR425" s="10"/>
      <c r="CS425" s="10"/>
      <c r="CT425" s="10"/>
      <c r="CU425" s="10"/>
      <c r="CV425" s="10"/>
      <c r="CW425" s="10"/>
      <c r="CX425" s="10"/>
      <c r="CY425" s="10"/>
      <c r="CZ425" s="10"/>
      <c r="DA425" s="34"/>
      <c r="DB425" s="34"/>
      <c r="DC425" s="34"/>
      <c r="DD425" s="34"/>
      <c r="DE425" s="34"/>
      <c r="DF425" s="34"/>
      <c r="DG425" s="34"/>
      <c r="DH425" s="34"/>
      <c r="DI425" s="34"/>
      <c r="DJ425" s="34"/>
      <c r="DK425" s="34"/>
      <c r="DL425" s="34"/>
      <c r="DM425" s="34"/>
      <c r="DN425" s="34"/>
      <c r="DO425" s="34"/>
      <c r="DP425" s="34"/>
      <c r="DQ425" s="34"/>
      <c r="DR425" s="34"/>
      <c r="DS425" s="34"/>
      <c r="DT425" s="34"/>
      <c r="DU425" s="34"/>
      <c r="DV425" s="34"/>
      <c r="DW425" s="34"/>
      <c r="DX425" s="34"/>
      <c r="DY425" s="34"/>
      <c r="DZ425" s="34"/>
      <c r="EA425" s="34"/>
      <c r="EB425" s="34"/>
      <c r="EC425" s="34"/>
      <c r="ED425" s="34"/>
      <c r="EE425" s="34"/>
    </row>
    <row r="426" spans="1:135" customFormat="1">
      <c r="A426" s="71">
        <f>'Old Data'!$I422-'Old Data'!$S422</f>
        <v>-48</v>
      </c>
      <c r="B426" s="72">
        <f>VLOOKUP('Old Data'!$F422,$R$6:$T$135,2,FALSE)+VLOOKUP('Old Data'!$P422,$R$6:$T$135,3,FALSE)+$B$2</f>
        <v>229.41244598837261</v>
      </c>
      <c r="C426" s="72">
        <f>VLOOKUP('Old Data'!$P422,$R$6:$T$135,2,FALSE)+VLOOKUP('Old Data'!$F422,$R$6:$T$135,3,FALSE)+$B$2</f>
        <v>169.07895619534762</v>
      </c>
      <c r="D426" s="74">
        <f>('Old Data'!$I422-$B426)^2+('Old Data'!$S422-$C426)^2</f>
        <v>7884.743503662713</v>
      </c>
      <c r="E426" s="75">
        <f>'Old Data'!$K422-'Old Data'!$U422</f>
        <v>-30</v>
      </c>
      <c r="F426" s="72">
        <f>VLOOKUP('Old Data'!$F422,$V$6:$X$135,2,FALSE)+VLOOKUP('Old Data'!$P422,$V$6:$X$135,3,FALSE)+$C$2</f>
        <v>206.9095592563871</v>
      </c>
      <c r="G426" s="72">
        <f>VLOOKUP('Old Data'!$P422,$V$6:$X$135,2,FALSE)+VLOOKUP('Old Data'!$F422,$V$6:$X$135,3,FALSE)+$C$2</f>
        <v>390.0024183849319</v>
      </c>
      <c r="H426" s="74">
        <f>('Old Data'!$K422-$F426)^2+('Old Data'!$U422-$G426)^2</f>
        <v>11900.888056858985</v>
      </c>
      <c r="I426" s="75">
        <f>('Old Data'!$L422+'Old Data'!$M422)-('Old Data'!$V422+'Old Data'!$W422)</f>
        <v>126</v>
      </c>
      <c r="J426" s="72">
        <f>VLOOKUP('Old Data'!$F422,$Z$6:$AB$135,2,FALSE)+VLOOKUP('Old Data'!$P422,$Z$6:$AB$135,3,FALSE)+$D$2</f>
        <v>61.181930084450315</v>
      </c>
      <c r="K426" s="72">
        <f>VLOOKUP('Old Data'!$P422,$Z$6:$AB$135,2,FALSE)+VLOOKUP('Old Data'!$F422,$Z$6:$AB$135,3,FALSE)+$D$2</f>
        <v>71.796808742473445</v>
      </c>
      <c r="L426" s="74">
        <f>('Old Data'!$L422+'Old Data'!$M422-$J426)^2+('Old Data'!$V422+'Old Data'!$W422-$K426)^2</f>
        <v>10633.39708121882</v>
      </c>
      <c r="M426" s="75">
        <f>'Old Data'!$N422-'Old Data'!$X422</f>
        <v>-1</v>
      </c>
      <c r="N426" s="72">
        <f>VLOOKUP('Old Data'!$F422,$AD$6:$AF$135,2,FALSE)+VLOOKUP('Old Data'!$P422,$AD$6:$AF$135,3,FALSE)+$E$2</f>
        <v>1.3585137085804981</v>
      </c>
      <c r="O426" s="72">
        <f>VLOOKUP('Old Data'!$P422,$AD$6:$AF$135,2,FALSE)+VLOOKUP('Old Data'!$F422,$AD$6:$AF$135,3,FALSE)+$E$2</f>
        <v>2.1789165509756221</v>
      </c>
      <c r="P426" s="73">
        <f>('Old Data'!$N422-$N426)^2+('Old Data'!$X422-$O426)^2</f>
        <v>0.16054321145315473</v>
      </c>
      <c r="Q426" s="62"/>
      <c r="R426" s="3"/>
      <c r="S426" s="3"/>
      <c r="T426" s="3"/>
      <c r="V426" s="3"/>
      <c r="W426" s="3"/>
      <c r="X426" s="3"/>
      <c r="Z426" s="3"/>
      <c r="AA426" s="3"/>
      <c r="AB426" s="3"/>
      <c r="AC426" s="3"/>
      <c r="AD426" s="3"/>
      <c r="AE426" s="3"/>
      <c r="AF426" s="3"/>
      <c r="AG426" s="3"/>
      <c r="AH426" s="37"/>
      <c r="AI426" s="1"/>
      <c r="AK426" s="10"/>
      <c r="AL426" s="10"/>
      <c r="AM426" s="10"/>
      <c r="AN426" s="11"/>
      <c r="AO426" s="11"/>
      <c r="AP426" s="11"/>
      <c r="AQ426" s="36"/>
      <c r="AR426" s="11"/>
      <c r="AS426" s="11"/>
      <c r="AT426" s="11"/>
      <c r="AU426" s="12"/>
      <c r="AV426" s="11"/>
      <c r="AW426" s="11"/>
      <c r="AX426" s="15"/>
      <c r="AY426" s="15"/>
      <c r="AZ426" s="15"/>
      <c r="BA426" s="15"/>
      <c r="BB426" s="15"/>
      <c r="BC426" s="15"/>
      <c r="BD426" s="15"/>
      <c r="BE426" s="12"/>
      <c r="BF426" s="11"/>
      <c r="BG426" s="11"/>
      <c r="BH426" s="10"/>
      <c r="BI426" s="10"/>
      <c r="BJ426" s="10"/>
      <c r="BK426" s="23"/>
      <c r="BL426" s="23"/>
      <c r="BM426" s="23"/>
      <c r="BN426" s="23"/>
      <c r="BO426" s="23"/>
      <c r="BP426" s="23"/>
      <c r="BQ426" s="23"/>
      <c r="BR426" s="10"/>
      <c r="BS426" s="16"/>
      <c r="BT426" s="16"/>
      <c r="BU426" s="16"/>
      <c r="BV426" s="16"/>
      <c r="BW426" s="11"/>
      <c r="BX426" s="16"/>
      <c r="BY426" s="16"/>
      <c r="BZ426" s="17"/>
      <c r="CA426" s="18"/>
      <c r="CB426" s="18"/>
      <c r="CC426" s="18"/>
      <c r="CD426" s="18"/>
      <c r="CE426" s="18"/>
      <c r="CF426" s="18"/>
      <c r="CG426" s="19"/>
      <c r="CH426" s="15"/>
      <c r="CI426" s="17"/>
      <c r="CJ426" s="10"/>
      <c r="CK426" s="10"/>
      <c r="CL426" s="10"/>
      <c r="CM426" s="17"/>
      <c r="CN426" s="17"/>
      <c r="CO426" s="10"/>
      <c r="CP426" s="10"/>
      <c r="CQ426" s="10"/>
      <c r="CR426" s="10"/>
      <c r="CS426" s="10"/>
      <c r="CT426" s="10"/>
      <c r="CU426" s="10"/>
      <c r="CV426" s="10"/>
      <c r="CW426" s="10"/>
      <c r="CX426" s="10"/>
      <c r="CY426" s="10"/>
      <c r="CZ426" s="10"/>
      <c r="DA426" s="34"/>
      <c r="DB426" s="34"/>
      <c r="DC426" s="34"/>
      <c r="DD426" s="34"/>
      <c r="DE426" s="34"/>
      <c r="DF426" s="34"/>
      <c r="DG426" s="34"/>
      <c r="DH426" s="34"/>
      <c r="DI426" s="34"/>
      <c r="DJ426" s="34"/>
      <c r="DK426" s="34"/>
      <c r="DL426" s="34"/>
      <c r="DM426" s="34"/>
      <c r="DN426" s="34"/>
      <c r="DO426" s="34"/>
      <c r="DP426" s="34"/>
      <c r="DQ426" s="34"/>
      <c r="DR426" s="34"/>
      <c r="DS426" s="34"/>
      <c r="DT426" s="34"/>
      <c r="DU426" s="34"/>
      <c r="DV426" s="34"/>
      <c r="DW426" s="34"/>
      <c r="DX426" s="34"/>
      <c r="DY426" s="34"/>
      <c r="DZ426" s="34"/>
      <c r="EA426" s="34"/>
      <c r="EB426" s="34"/>
      <c r="EC426" s="34"/>
      <c r="ED426" s="34"/>
      <c r="EE426" s="34"/>
    </row>
    <row r="427" spans="1:135" customFormat="1">
      <c r="A427" s="71">
        <f>'Old Data'!$I423-'Old Data'!$S423</f>
        <v>-59</v>
      </c>
      <c r="B427" s="72">
        <f>VLOOKUP('Old Data'!$F423,$R$6:$T$135,2,FALSE)+VLOOKUP('Old Data'!$P423,$R$6:$T$135,3,FALSE)+$B$2</f>
        <v>128.26111865886261</v>
      </c>
      <c r="C427" s="72">
        <f>VLOOKUP('Old Data'!$P423,$R$6:$T$135,2,FALSE)+VLOOKUP('Old Data'!$F423,$R$6:$T$135,3,FALSE)+$B$2</f>
        <v>122.46904635067135</v>
      </c>
      <c r="D427" s="74">
        <f>('Old Data'!$I423-$B427)^2+('Old Data'!$S423-$C427)^2</f>
        <v>4129.7732830661562</v>
      </c>
      <c r="E427" s="75">
        <f>'Old Data'!$K423-'Old Data'!$U423</f>
        <v>-41</v>
      </c>
      <c r="F427" s="72">
        <f>VLOOKUP('Old Data'!$F423,$V$6:$X$135,2,FALSE)+VLOOKUP('Old Data'!$P423,$V$6:$X$135,3,FALSE)+$C$2</f>
        <v>82.475900744318409</v>
      </c>
      <c r="G427" s="72">
        <f>VLOOKUP('Old Data'!$P423,$V$6:$X$135,2,FALSE)+VLOOKUP('Old Data'!$F423,$V$6:$X$135,3,FALSE)+$C$2</f>
        <v>192.77659746306443</v>
      </c>
      <c r="H427" s="74">
        <f>('Old Data'!$K423-$F427)^2+('Old Data'!$U423-$G427)^2</f>
        <v>3272.7202358140944</v>
      </c>
      <c r="I427" s="75">
        <f>('Old Data'!$L423+'Old Data'!$M423)-('Old Data'!$V423+'Old Data'!$W423)</f>
        <v>22</v>
      </c>
      <c r="J427" s="72">
        <f>VLOOKUP('Old Data'!$F423,$Z$6:$AB$135,2,FALSE)+VLOOKUP('Old Data'!$P423,$Z$6:$AB$135,3,FALSE)+$D$2</f>
        <v>29.470065056210597</v>
      </c>
      <c r="K427" s="72">
        <f>VLOOKUP('Old Data'!$P423,$Z$6:$AB$135,2,FALSE)+VLOOKUP('Old Data'!$F423,$Z$6:$AB$135,3,FALSE)+$D$2</f>
        <v>44.260804906939129</v>
      </c>
      <c r="L427" s="74">
        <f>('Old Data'!$L423+'Old Data'!$M423-$J427)^2+('Old Data'!$V423+'Old Data'!$W423-$K427)^2</f>
        <v>676.8154848703598</v>
      </c>
      <c r="M427" s="75">
        <f>'Old Data'!$N423-'Old Data'!$X423</f>
        <v>-1</v>
      </c>
      <c r="N427" s="72">
        <f>VLOOKUP('Old Data'!$F423,$AD$6:$AF$135,2,FALSE)+VLOOKUP('Old Data'!$P423,$AD$6:$AF$135,3,FALSE)+$E$2</f>
        <v>0.70642338958945305</v>
      </c>
      <c r="O427" s="72">
        <f>VLOOKUP('Old Data'!$P423,$AD$6:$AF$135,2,FALSE)+VLOOKUP('Old Data'!$F423,$AD$6:$AF$135,3,FALSE)+$E$2</f>
        <v>1.9853082394459562</v>
      </c>
      <c r="P427" s="73">
        <f>('Old Data'!$N423-$N427)^2+('Old Data'!$X423-$O427)^2</f>
        <v>1.4698663320791421</v>
      </c>
      <c r="Q427" s="62"/>
      <c r="R427" s="3"/>
      <c r="S427" s="3"/>
      <c r="T427" s="3"/>
      <c r="V427" s="3"/>
      <c r="W427" s="3"/>
      <c r="X427" s="3"/>
      <c r="Z427" s="3"/>
      <c r="AA427" s="3"/>
      <c r="AB427" s="3"/>
      <c r="AC427" s="3"/>
      <c r="AD427" s="3"/>
      <c r="AE427" s="3"/>
      <c r="AF427" s="3"/>
      <c r="AG427" s="3"/>
      <c r="AH427" s="37"/>
      <c r="AI427" s="1"/>
      <c r="AK427" s="10"/>
      <c r="AL427" s="10"/>
      <c r="AM427" s="10"/>
      <c r="AN427" s="11"/>
      <c r="AO427" s="11"/>
      <c r="AP427" s="11"/>
      <c r="AQ427" s="36"/>
      <c r="AR427" s="11"/>
      <c r="AS427" s="11"/>
      <c r="AT427" s="11"/>
      <c r="AU427" s="12"/>
      <c r="AV427" s="11"/>
      <c r="AW427" s="11"/>
      <c r="AX427" s="15"/>
      <c r="AY427" s="15"/>
      <c r="AZ427" s="15"/>
      <c r="BA427" s="15"/>
      <c r="BB427" s="15"/>
      <c r="BC427" s="15"/>
      <c r="BD427" s="15"/>
      <c r="BE427" s="12"/>
      <c r="BF427" s="11"/>
      <c r="BG427" s="11"/>
      <c r="BH427" s="10"/>
      <c r="BI427" s="10"/>
      <c r="BJ427" s="10"/>
      <c r="BK427" s="23"/>
      <c r="BL427" s="23"/>
      <c r="BM427" s="23"/>
      <c r="BN427" s="23"/>
      <c r="BO427" s="23"/>
      <c r="BP427" s="23"/>
      <c r="BQ427" s="23"/>
      <c r="BR427" s="10"/>
      <c r="BS427" s="16"/>
      <c r="BT427" s="16"/>
      <c r="BU427" s="16"/>
      <c r="BV427" s="16"/>
      <c r="BW427" s="11"/>
      <c r="BX427" s="16"/>
      <c r="BY427" s="16"/>
      <c r="BZ427" s="17"/>
      <c r="CA427" s="18"/>
      <c r="CB427" s="18"/>
      <c r="CC427" s="18"/>
      <c r="CD427" s="18"/>
      <c r="CE427" s="18"/>
      <c r="CF427" s="18"/>
      <c r="CG427" s="19"/>
      <c r="CH427" s="15"/>
      <c r="CI427" s="17"/>
      <c r="CJ427" s="10"/>
      <c r="CK427" s="10"/>
      <c r="CL427" s="10"/>
      <c r="CM427" s="17"/>
      <c r="CN427" s="17"/>
      <c r="CO427" s="10"/>
      <c r="CP427" s="10"/>
      <c r="CQ427" s="10"/>
      <c r="CR427" s="10"/>
      <c r="CS427" s="10"/>
      <c r="CT427" s="10"/>
      <c r="CU427" s="10"/>
      <c r="CV427" s="10"/>
      <c r="CW427" s="10"/>
      <c r="CX427" s="10"/>
      <c r="CY427" s="10"/>
      <c r="CZ427" s="10"/>
      <c r="DA427" s="34"/>
      <c r="DB427" s="34"/>
      <c r="DC427" s="34"/>
      <c r="DD427" s="34"/>
      <c r="DE427" s="34"/>
      <c r="DF427" s="34"/>
      <c r="DG427" s="34"/>
      <c r="DH427" s="34"/>
      <c r="DI427" s="34"/>
      <c r="DJ427" s="34"/>
      <c r="DK427" s="34"/>
      <c r="DL427" s="34"/>
      <c r="DM427" s="34"/>
      <c r="DN427" s="34"/>
      <c r="DO427" s="34"/>
      <c r="DP427" s="34"/>
      <c r="DQ427" s="34"/>
      <c r="DR427" s="34"/>
      <c r="DS427" s="34"/>
      <c r="DT427" s="34"/>
      <c r="DU427" s="34"/>
      <c r="DV427" s="34"/>
      <c r="DW427" s="34"/>
      <c r="DX427" s="34"/>
      <c r="DY427" s="34"/>
      <c r="DZ427" s="34"/>
      <c r="EA427" s="34"/>
      <c r="EB427" s="34"/>
      <c r="EC427" s="34"/>
      <c r="ED427" s="34"/>
      <c r="EE427" s="34"/>
    </row>
    <row r="428" spans="1:135" customFormat="1">
      <c r="A428" s="71">
        <f>'Old Data'!$I424-'Old Data'!$S424</f>
        <v>181</v>
      </c>
      <c r="B428" s="72">
        <f>VLOOKUP('Old Data'!$F424,$R$6:$T$135,2,FALSE)+VLOOKUP('Old Data'!$P424,$R$6:$T$135,3,FALSE)+$B$2</f>
        <v>218.41742378403052</v>
      </c>
      <c r="C428" s="72">
        <f>VLOOKUP('Old Data'!$P424,$R$6:$T$135,2,FALSE)+VLOOKUP('Old Data'!$F424,$R$6:$T$135,3,FALSE)+$B$2</f>
        <v>166.406785920207</v>
      </c>
      <c r="D428" s="74">
        <f>('Old Data'!$I424-$B428)^2+('Old Data'!$S424-$C428)^2</f>
        <v>9034.4631920239081</v>
      </c>
      <c r="E428" s="75">
        <f>'Old Data'!$K424-'Old Data'!$U424</f>
        <v>59</v>
      </c>
      <c r="F428" s="72">
        <f>VLOOKUP('Old Data'!$F424,$V$6:$X$135,2,FALSE)+VLOOKUP('Old Data'!$P424,$V$6:$X$135,3,FALSE)+$C$2</f>
        <v>219.8884848759069</v>
      </c>
      <c r="G428" s="72">
        <f>VLOOKUP('Old Data'!$P424,$V$6:$X$135,2,FALSE)+VLOOKUP('Old Data'!$F424,$V$6:$X$135,3,FALSE)+$C$2</f>
        <v>170.93001818636688</v>
      </c>
      <c r="H428" s="74">
        <f>('Old Data'!$K424-$F428)^2+('Old Data'!$U424-$G428)^2</f>
        <v>6757.3790214054989</v>
      </c>
      <c r="I428" s="75">
        <f>('Old Data'!$L424+'Old Data'!$M424)-('Old Data'!$V424+'Old Data'!$W424)</f>
        <v>-60</v>
      </c>
      <c r="J428" s="72">
        <f>VLOOKUP('Old Data'!$F424,$Z$6:$AB$135,2,FALSE)+VLOOKUP('Old Data'!$P424,$Z$6:$AB$135,3,FALSE)+$D$2</f>
        <v>9.8569149996851024</v>
      </c>
      <c r="K428" s="72">
        <f>VLOOKUP('Old Data'!$P424,$Z$6:$AB$135,2,FALSE)+VLOOKUP('Old Data'!$F424,$Z$6:$AB$135,3,FALSE)+$D$2</f>
        <v>65.448180711813023</v>
      </c>
      <c r="L428" s="74">
        <f>('Old Data'!$L424+'Old Data'!$M424-$J428)^2+('Old Data'!$V424+'Old Data'!$W424-$K428)^2</f>
        <v>480.80704365067487</v>
      </c>
      <c r="M428" s="75">
        <f>'Old Data'!$N424-'Old Data'!$X424</f>
        <v>2</v>
      </c>
      <c r="N428" s="72">
        <f>VLOOKUP('Old Data'!$F424,$AD$6:$AF$135,2,FALSE)+VLOOKUP('Old Data'!$P424,$AD$6:$AF$135,3,FALSE)+$E$2</f>
        <v>1.9283651188190651</v>
      </c>
      <c r="O428" s="72">
        <f>VLOOKUP('Old Data'!$P424,$AD$6:$AF$135,2,FALSE)+VLOOKUP('Old Data'!$F424,$AD$6:$AF$135,3,FALSE)+$E$2</f>
        <v>1.0113615120515931</v>
      </c>
      <c r="P428" s="73">
        <f>('Old Data'!$N424-$N428)^2+('Old Data'!$X424-$O428)^2</f>
        <v>1.0279836642610913</v>
      </c>
      <c r="Q428" s="62"/>
      <c r="R428" s="3"/>
      <c r="S428" s="3"/>
      <c r="T428" s="3"/>
      <c r="V428" s="3"/>
      <c r="W428" s="3"/>
      <c r="X428" s="3"/>
      <c r="Z428" s="3"/>
      <c r="AA428" s="3"/>
      <c r="AB428" s="3"/>
      <c r="AC428" s="3"/>
      <c r="AD428" s="3"/>
      <c r="AE428" s="3"/>
      <c r="AF428" s="3"/>
      <c r="AG428" s="3"/>
      <c r="AH428" s="37"/>
      <c r="AI428" s="1"/>
      <c r="AK428" s="10"/>
      <c r="AL428" s="10"/>
      <c r="AM428" s="10"/>
      <c r="AN428" s="11"/>
      <c r="AO428" s="11"/>
      <c r="AP428" s="11"/>
      <c r="AQ428" s="36"/>
      <c r="AR428" s="11"/>
      <c r="AS428" s="11"/>
      <c r="AT428" s="11"/>
      <c r="AU428" s="12"/>
      <c r="AV428" s="11"/>
      <c r="AW428" s="11"/>
      <c r="AX428" s="15"/>
      <c r="AY428" s="15"/>
      <c r="AZ428" s="15"/>
      <c r="BA428" s="15"/>
      <c r="BB428" s="15"/>
      <c r="BC428" s="15"/>
      <c r="BD428" s="15"/>
      <c r="BE428" s="12"/>
      <c r="BF428" s="11"/>
      <c r="BG428" s="11"/>
      <c r="BH428" s="10"/>
      <c r="BI428" s="10"/>
      <c r="BJ428" s="10"/>
      <c r="BK428" s="23"/>
      <c r="BL428" s="23"/>
      <c r="BM428" s="23"/>
      <c r="BN428" s="23"/>
      <c r="BO428" s="23"/>
      <c r="BP428" s="23"/>
      <c r="BQ428" s="23"/>
      <c r="BR428" s="10"/>
      <c r="BS428" s="16"/>
      <c r="BT428" s="16"/>
      <c r="BU428" s="16"/>
      <c r="BV428" s="16"/>
      <c r="BW428" s="11"/>
      <c r="BX428" s="16"/>
      <c r="BY428" s="16"/>
      <c r="BZ428" s="17"/>
      <c r="CA428" s="18"/>
      <c r="CB428" s="18"/>
      <c r="CC428" s="18"/>
      <c r="CD428" s="18"/>
      <c r="CE428" s="18"/>
      <c r="CF428" s="18"/>
      <c r="CG428" s="19"/>
      <c r="CH428" s="15"/>
      <c r="CI428" s="17"/>
      <c r="CJ428" s="10"/>
      <c r="CK428" s="10"/>
      <c r="CL428" s="10"/>
      <c r="CM428" s="17"/>
      <c r="CN428" s="17"/>
      <c r="CO428" s="10"/>
      <c r="CP428" s="10"/>
      <c r="CQ428" s="10"/>
      <c r="CR428" s="10"/>
      <c r="CS428" s="10"/>
      <c r="CT428" s="10"/>
      <c r="CU428" s="10"/>
      <c r="CV428" s="10"/>
      <c r="CW428" s="10"/>
      <c r="CX428" s="10"/>
      <c r="CY428" s="10"/>
      <c r="CZ428" s="10"/>
      <c r="DA428" s="34"/>
      <c r="DB428" s="34"/>
      <c r="DC428" s="34"/>
      <c r="DD428" s="34"/>
      <c r="DE428" s="34"/>
      <c r="DF428" s="34"/>
      <c r="DG428" s="34"/>
      <c r="DH428" s="34"/>
      <c r="DI428" s="34"/>
      <c r="DJ428" s="34"/>
      <c r="DK428" s="34"/>
      <c r="DL428" s="34"/>
      <c r="DM428" s="34"/>
      <c r="DN428" s="34"/>
      <c r="DO428" s="34"/>
      <c r="DP428" s="34"/>
      <c r="DQ428" s="34"/>
      <c r="DR428" s="34"/>
      <c r="DS428" s="34"/>
      <c r="DT428" s="34"/>
      <c r="DU428" s="34"/>
      <c r="DV428" s="34"/>
      <c r="DW428" s="34"/>
      <c r="DX428" s="34"/>
      <c r="DY428" s="34"/>
      <c r="DZ428" s="34"/>
      <c r="EA428" s="34"/>
      <c r="EB428" s="34"/>
      <c r="EC428" s="34"/>
      <c r="ED428" s="34"/>
      <c r="EE428" s="34"/>
    </row>
    <row r="429" spans="1:135" customFormat="1">
      <c r="A429" s="71">
        <f>'Old Data'!$I425-'Old Data'!$S425</f>
        <v>-89</v>
      </c>
      <c r="B429" s="72">
        <f>VLOOKUP('Old Data'!$F425,$R$6:$T$135,2,FALSE)+VLOOKUP('Old Data'!$P425,$R$6:$T$135,3,FALSE)+$B$2</f>
        <v>62.971723528663105</v>
      </c>
      <c r="C429" s="72">
        <f>VLOOKUP('Old Data'!$P425,$R$6:$T$135,2,FALSE)+VLOOKUP('Old Data'!$F425,$R$6:$T$135,3,FALSE)+$B$2</f>
        <v>169.10606767170606</v>
      </c>
      <c r="D429" s="74">
        <f>('Old Data'!$I425-$B429)^2+('Old Data'!$S425-$C429)^2</f>
        <v>151.52927394265009</v>
      </c>
      <c r="E429" s="75">
        <f>'Old Data'!$K425-'Old Data'!$U425</f>
        <v>-137</v>
      </c>
      <c r="F429" s="72">
        <f>VLOOKUP('Old Data'!$F425,$V$6:$X$135,2,FALSE)+VLOOKUP('Old Data'!$P425,$V$6:$X$135,3,FALSE)+$C$2</f>
        <v>181.06269362829352</v>
      </c>
      <c r="G429" s="72">
        <f>VLOOKUP('Old Data'!$P425,$V$6:$X$135,2,FALSE)+VLOOKUP('Old Data'!$F425,$V$6:$X$135,3,FALSE)+$C$2</f>
        <v>267.56573850135078</v>
      </c>
      <c r="H429" s="74">
        <f>('Old Data'!$K425-$F429)^2+('Old Data'!$U425-$G429)^2</f>
        <v>2226.6912835917237</v>
      </c>
      <c r="I429" s="75">
        <f>('Old Data'!$L425+'Old Data'!$M425)-('Old Data'!$V425+'Old Data'!$W425)</f>
        <v>10</v>
      </c>
      <c r="J429" s="72">
        <f>VLOOKUP('Old Data'!$F425,$Z$6:$AB$135,2,FALSE)+VLOOKUP('Old Data'!$P425,$Z$6:$AB$135,3,FALSE)+$D$2</f>
        <v>90.768648081968394</v>
      </c>
      <c r="K429" s="72">
        <f>VLOOKUP('Old Data'!$P425,$Z$6:$AB$135,2,FALSE)+VLOOKUP('Old Data'!$F425,$Z$6:$AB$135,3,FALSE)+$D$2</f>
        <v>36.499407813968745</v>
      </c>
      <c r="L429" s="74">
        <f>('Old Data'!$L425+'Old Data'!$M425-$J429)^2+('Old Data'!$V425+'Old Data'!$W425-$K429)^2</f>
        <v>1601.8007002924139</v>
      </c>
      <c r="M429" s="75">
        <f>'Old Data'!$N425-'Old Data'!$X425</f>
        <v>1</v>
      </c>
      <c r="N429" s="72">
        <f>VLOOKUP('Old Data'!$F425,$AD$6:$AF$135,2,FALSE)+VLOOKUP('Old Data'!$P425,$AD$6:$AF$135,3,FALSE)+$E$2</f>
        <v>0.88599372788391728</v>
      </c>
      <c r="O429" s="72">
        <f>VLOOKUP('Old Data'!$P425,$AD$6:$AF$135,2,FALSE)+VLOOKUP('Old Data'!$F425,$AD$6:$AF$135,3,FALSE)+$E$2</f>
        <v>2.5092768158669529</v>
      </c>
      <c r="P429" s="73">
        <f>('Old Data'!$N425-$N429)^2+('Old Data'!$X425-$O429)^2</f>
        <v>3.5189264812274601</v>
      </c>
      <c r="Q429" s="62"/>
      <c r="R429" s="3"/>
      <c r="S429" s="3"/>
      <c r="T429" s="3"/>
      <c r="V429" s="3"/>
      <c r="W429" s="3"/>
      <c r="X429" s="3"/>
      <c r="Z429" s="3"/>
      <c r="AA429" s="3"/>
      <c r="AB429" s="3"/>
      <c r="AC429" s="3"/>
      <c r="AD429" s="3"/>
      <c r="AE429" s="3"/>
      <c r="AF429" s="3"/>
      <c r="AG429" s="3"/>
      <c r="AH429" s="37"/>
      <c r="AI429" s="1"/>
      <c r="AK429" s="10"/>
      <c r="AL429" s="10"/>
      <c r="AM429" s="10"/>
      <c r="AN429" s="11"/>
      <c r="AO429" s="11"/>
      <c r="AP429" s="11"/>
      <c r="AQ429" s="36"/>
      <c r="AR429" s="11"/>
      <c r="AS429" s="11"/>
      <c r="AT429" s="11"/>
      <c r="AU429" s="12"/>
      <c r="AV429" s="11"/>
      <c r="AW429" s="11"/>
      <c r="AX429" s="15"/>
      <c r="AY429" s="15"/>
      <c r="AZ429" s="15"/>
      <c r="BA429" s="15"/>
      <c r="BB429" s="15"/>
      <c r="BC429" s="15"/>
      <c r="BD429" s="15"/>
      <c r="BE429" s="12"/>
      <c r="BF429" s="11"/>
      <c r="BG429" s="11"/>
      <c r="BH429" s="10"/>
      <c r="BI429" s="10"/>
      <c r="BJ429" s="10"/>
      <c r="BK429" s="23"/>
      <c r="BL429" s="23"/>
      <c r="BM429" s="23"/>
      <c r="BN429" s="23"/>
      <c r="BO429" s="23"/>
      <c r="BP429" s="23"/>
      <c r="BQ429" s="23"/>
      <c r="BR429" s="10"/>
      <c r="BS429" s="16"/>
      <c r="BT429" s="16"/>
      <c r="BU429" s="16"/>
      <c r="BV429" s="16"/>
      <c r="BW429" s="11"/>
      <c r="BX429" s="16"/>
      <c r="BY429" s="16"/>
      <c r="BZ429" s="17"/>
      <c r="CA429" s="18"/>
      <c r="CB429" s="18"/>
      <c r="CC429" s="18"/>
      <c r="CD429" s="18"/>
      <c r="CE429" s="18"/>
      <c r="CF429" s="18"/>
      <c r="CG429" s="19"/>
      <c r="CH429" s="15"/>
      <c r="CI429" s="17"/>
      <c r="CJ429" s="10"/>
      <c r="CK429" s="10"/>
      <c r="CL429" s="10"/>
      <c r="CM429" s="17"/>
      <c r="CN429" s="17"/>
      <c r="CO429" s="10"/>
      <c r="CP429" s="10"/>
      <c r="CQ429" s="10"/>
      <c r="CR429" s="10"/>
      <c r="CS429" s="10"/>
      <c r="CT429" s="10"/>
      <c r="CU429" s="10"/>
      <c r="CV429" s="10"/>
      <c r="CW429" s="10"/>
      <c r="CX429" s="10"/>
      <c r="CY429" s="10"/>
      <c r="CZ429" s="10"/>
      <c r="DA429" s="34"/>
      <c r="DB429" s="34"/>
      <c r="DC429" s="34"/>
      <c r="DD429" s="34"/>
      <c r="DE429" s="34"/>
      <c r="DF429" s="34"/>
      <c r="DG429" s="34"/>
      <c r="DH429" s="34"/>
      <c r="DI429" s="34"/>
      <c r="DJ429" s="34"/>
      <c r="DK429" s="34"/>
      <c r="DL429" s="34"/>
      <c r="DM429" s="34"/>
      <c r="DN429" s="34"/>
      <c r="DO429" s="34"/>
      <c r="DP429" s="34"/>
      <c r="DQ429" s="34"/>
      <c r="DR429" s="34"/>
      <c r="DS429" s="34"/>
      <c r="DT429" s="34"/>
      <c r="DU429" s="34"/>
      <c r="DV429" s="34"/>
      <c r="DW429" s="34"/>
      <c r="DX429" s="34"/>
      <c r="DY429" s="34"/>
      <c r="DZ429" s="34"/>
      <c r="EA429" s="34"/>
      <c r="EB429" s="34"/>
      <c r="EC429" s="34"/>
      <c r="ED429" s="34"/>
      <c r="EE429" s="34"/>
    </row>
    <row r="430" spans="1:135" customFormat="1">
      <c r="A430" s="71">
        <f>'Old Data'!$I426-'Old Data'!$S426</f>
        <v>266</v>
      </c>
      <c r="B430" s="72">
        <f>VLOOKUP('Old Data'!$F426,$R$6:$T$135,2,FALSE)+VLOOKUP('Old Data'!$P426,$R$6:$T$135,3,FALSE)+$B$2</f>
        <v>173.48362232253612</v>
      </c>
      <c r="C430" s="72">
        <f>VLOOKUP('Old Data'!$P426,$R$6:$T$135,2,FALSE)+VLOOKUP('Old Data'!$F426,$R$6:$T$135,3,FALSE)+$B$2</f>
        <v>75.518621751969903</v>
      </c>
      <c r="D430" s="74">
        <f>('Old Data'!$I426-$B430)^2+('Old Data'!$S426-$C430)^2</f>
        <v>18822.162843915758</v>
      </c>
      <c r="E430" s="75">
        <f>'Old Data'!$K426-'Old Data'!$U426</f>
        <v>-184</v>
      </c>
      <c r="F430" s="72">
        <f>VLOOKUP('Old Data'!$F426,$V$6:$X$135,2,FALSE)+VLOOKUP('Old Data'!$P426,$V$6:$X$135,3,FALSE)+$C$2</f>
        <v>346.82298912226599</v>
      </c>
      <c r="G430" s="72">
        <f>VLOOKUP('Old Data'!$P426,$V$6:$X$135,2,FALSE)+VLOOKUP('Old Data'!$F426,$V$6:$X$135,3,FALSE)+$C$2</f>
        <v>374.39476863048776</v>
      </c>
      <c r="H430" s="74">
        <f>('Old Data'!$K426-$F430)^2+('Old Data'!$U426-$G430)^2</f>
        <v>16579.669263337735</v>
      </c>
      <c r="I430" s="75">
        <f>('Old Data'!$L426+'Old Data'!$M426)-('Old Data'!$V426+'Old Data'!$W426)</f>
        <v>-93</v>
      </c>
      <c r="J430" s="72">
        <f>VLOOKUP('Old Data'!$F426,$Z$6:$AB$135,2,FALSE)+VLOOKUP('Old Data'!$P426,$Z$6:$AB$135,3,FALSE)+$D$2</f>
        <v>80.091002938707945</v>
      </c>
      <c r="K430" s="72">
        <f>VLOOKUP('Old Data'!$P426,$Z$6:$AB$135,2,FALSE)+VLOOKUP('Old Data'!$F426,$Z$6:$AB$135,3,FALSE)+$D$2</f>
        <v>103.82414362716599</v>
      </c>
      <c r="L430" s="74">
        <f>('Old Data'!$L426+'Old Data'!$M426-$J430)^2+('Old Data'!$V426+'Old Data'!$W426-$K430)^2</f>
        <v>7307.8529894735939</v>
      </c>
      <c r="M430" s="75">
        <f>'Old Data'!$N426-'Old Data'!$X426</f>
        <v>2</v>
      </c>
      <c r="N430" s="72">
        <f>VLOOKUP('Old Data'!$F426,$AD$6:$AF$135,2,FALSE)+VLOOKUP('Old Data'!$P426,$AD$6:$AF$135,3,FALSE)+$E$2</f>
        <v>2.5027309572999483</v>
      </c>
      <c r="O430" s="72">
        <f>VLOOKUP('Old Data'!$P426,$AD$6:$AF$135,2,FALSE)+VLOOKUP('Old Data'!$F426,$AD$6:$AF$135,3,FALSE)+$E$2</f>
        <v>1.161325228393971</v>
      </c>
      <c r="P430" s="73">
        <f>('Old Data'!$N426-$N430)^2+('Old Data'!$X426-$O430)^2</f>
        <v>1.6014147015320312</v>
      </c>
      <c r="Q430" s="62"/>
      <c r="R430" s="3"/>
      <c r="S430" s="3"/>
      <c r="T430" s="3"/>
      <c r="V430" s="3"/>
      <c r="W430" s="3"/>
      <c r="X430" s="3"/>
      <c r="Z430" s="3"/>
      <c r="AA430" s="3"/>
      <c r="AB430" s="3"/>
      <c r="AC430" s="3"/>
      <c r="AD430" s="3"/>
      <c r="AE430" s="3"/>
      <c r="AF430" s="3"/>
      <c r="AG430" s="3"/>
      <c r="AH430" s="37"/>
      <c r="AI430" s="1"/>
      <c r="AK430" s="10"/>
      <c r="AL430" s="10"/>
      <c r="AM430" s="10"/>
      <c r="AN430" s="11"/>
      <c r="AO430" s="11"/>
      <c r="AP430" s="11"/>
      <c r="AQ430" s="36"/>
      <c r="AR430" s="11"/>
      <c r="AS430" s="11"/>
      <c r="AT430" s="11"/>
      <c r="AU430" s="12"/>
      <c r="AV430" s="11"/>
      <c r="AW430" s="11"/>
      <c r="AX430" s="15"/>
      <c r="AY430" s="15"/>
      <c r="AZ430" s="15"/>
      <c r="BA430" s="15"/>
      <c r="BB430" s="15"/>
      <c r="BC430" s="15"/>
      <c r="BD430" s="15"/>
      <c r="BE430" s="12"/>
      <c r="BF430" s="11"/>
      <c r="BG430" s="11"/>
      <c r="BH430" s="10"/>
      <c r="BI430" s="10"/>
      <c r="BJ430" s="10"/>
      <c r="BK430" s="23"/>
      <c r="BL430" s="23"/>
      <c r="BM430" s="23"/>
      <c r="BN430" s="23"/>
      <c r="BO430" s="23"/>
      <c r="BP430" s="23"/>
      <c r="BQ430" s="23"/>
      <c r="BR430" s="10"/>
      <c r="BS430" s="16"/>
      <c r="BT430" s="16"/>
      <c r="BU430" s="16"/>
      <c r="BV430" s="16"/>
      <c r="BW430" s="11"/>
      <c r="BX430" s="16"/>
      <c r="BY430" s="16"/>
      <c r="BZ430" s="17"/>
      <c r="CA430" s="18"/>
      <c r="CB430" s="18"/>
      <c r="CC430" s="18"/>
      <c r="CD430" s="18"/>
      <c r="CE430" s="18"/>
      <c r="CF430" s="18"/>
      <c r="CG430" s="19"/>
      <c r="CH430" s="15"/>
      <c r="CI430" s="17"/>
      <c r="CJ430" s="10"/>
      <c r="CK430" s="10"/>
      <c r="CL430" s="10"/>
      <c r="CM430" s="17"/>
      <c r="CN430" s="17"/>
      <c r="CO430" s="10"/>
      <c r="CP430" s="10"/>
      <c r="CQ430" s="10"/>
      <c r="CR430" s="10"/>
      <c r="CS430" s="10"/>
      <c r="CT430" s="10"/>
      <c r="CU430" s="10"/>
      <c r="CV430" s="10"/>
      <c r="CW430" s="10"/>
      <c r="CX430" s="10"/>
      <c r="CY430" s="10"/>
      <c r="CZ430" s="10"/>
      <c r="DA430" s="34"/>
      <c r="DB430" s="34"/>
      <c r="DC430" s="34"/>
      <c r="DD430" s="34"/>
      <c r="DE430" s="34"/>
      <c r="DF430" s="34"/>
      <c r="DG430" s="34"/>
      <c r="DH430" s="34"/>
      <c r="DI430" s="34"/>
      <c r="DJ430" s="34"/>
      <c r="DK430" s="34"/>
      <c r="DL430" s="34"/>
      <c r="DM430" s="34"/>
      <c r="DN430" s="34"/>
      <c r="DO430" s="34"/>
      <c r="DP430" s="34"/>
      <c r="DQ430" s="34"/>
      <c r="DR430" s="34"/>
      <c r="DS430" s="34"/>
      <c r="DT430" s="34"/>
      <c r="DU430" s="34"/>
      <c r="DV430" s="34"/>
      <c r="DW430" s="34"/>
      <c r="DX430" s="34"/>
      <c r="DY430" s="34"/>
      <c r="DZ430" s="34"/>
      <c r="EA430" s="34"/>
      <c r="EB430" s="34"/>
      <c r="EC430" s="34"/>
      <c r="ED430" s="34"/>
      <c r="EE430" s="34"/>
    </row>
    <row r="431" spans="1:135" customFormat="1">
      <c r="A431" s="71">
        <f>'Old Data'!$I427-'Old Data'!$S427</f>
        <v>122</v>
      </c>
      <c r="B431" s="72">
        <f>VLOOKUP('Old Data'!$F427,$R$6:$T$135,2,FALSE)+VLOOKUP('Old Data'!$P427,$R$6:$T$135,3,FALSE)+$B$2</f>
        <v>63.852413687123914</v>
      </c>
      <c r="C431" s="72">
        <f>VLOOKUP('Old Data'!$P427,$R$6:$T$135,2,FALSE)+VLOOKUP('Old Data'!$F427,$R$6:$T$135,3,FALSE)+$B$2</f>
        <v>52.521608284155008</v>
      </c>
      <c r="D431" s="74">
        <f>('Old Data'!$I427-$B431)^2+('Old Data'!$S427-$C431)^2</f>
        <v>12579.266757869471</v>
      </c>
      <c r="E431" s="75">
        <f>'Old Data'!$K427-'Old Data'!$U427</f>
        <v>-8</v>
      </c>
      <c r="F431" s="72">
        <f>VLOOKUP('Old Data'!$F427,$V$6:$X$135,2,FALSE)+VLOOKUP('Old Data'!$P427,$V$6:$X$135,3,FALSE)+$C$2</f>
        <v>206.3906066171995</v>
      </c>
      <c r="G431" s="72">
        <f>VLOOKUP('Old Data'!$P427,$V$6:$X$135,2,FALSE)+VLOOKUP('Old Data'!$F427,$V$6:$X$135,3,FALSE)+$C$2</f>
        <v>221.51532373469499</v>
      </c>
      <c r="H431" s="74">
        <f>('Old Data'!$K427-$F431)^2+('Old Data'!$U427-$G431)^2</f>
        <v>8205.3443065940082</v>
      </c>
      <c r="I431" s="75">
        <f>('Old Data'!$L427+'Old Data'!$M427)-('Old Data'!$V427+'Old Data'!$W427)</f>
        <v>-13</v>
      </c>
      <c r="J431" s="72">
        <f>VLOOKUP('Old Data'!$F427,$Z$6:$AB$135,2,FALSE)+VLOOKUP('Old Data'!$P427,$Z$6:$AB$135,3,FALSE)+$D$2</f>
        <v>37.024255497058498</v>
      </c>
      <c r="K431" s="72">
        <f>VLOOKUP('Old Data'!$P427,$Z$6:$AB$135,2,FALSE)+VLOOKUP('Old Data'!$F427,$Z$6:$AB$135,3,FALSE)+$D$2</f>
        <v>51.953279884658045</v>
      </c>
      <c r="L431" s="74">
        <f>('Old Data'!$L427+'Old Data'!$M427-$J431)^2+('Old Data'!$V427+'Old Data'!$W427-$K431)^2</f>
        <v>1152.7825181959083</v>
      </c>
      <c r="M431" s="75">
        <f>'Old Data'!$N427-'Old Data'!$X427</f>
        <v>-2</v>
      </c>
      <c r="N431" s="72">
        <f>VLOOKUP('Old Data'!$F427,$AD$6:$AF$135,2,FALSE)+VLOOKUP('Old Data'!$P427,$AD$6:$AF$135,3,FALSE)+$E$2</f>
        <v>1.0308583699255411</v>
      </c>
      <c r="O431" s="72">
        <f>VLOOKUP('Old Data'!$P427,$AD$6:$AF$135,2,FALSE)+VLOOKUP('Old Data'!$F427,$AD$6:$AF$135,3,FALSE)+$E$2</f>
        <v>1.7002840239939032</v>
      </c>
      <c r="P431" s="73">
        <f>('Old Data'!$N427-$N431)^2+('Old Data'!$X427-$O431)^2</f>
        <v>1.6902138572799423</v>
      </c>
      <c r="Q431" s="62"/>
      <c r="R431" s="3"/>
      <c r="S431" s="3"/>
      <c r="T431" s="3"/>
      <c r="V431" s="3"/>
      <c r="W431" s="3"/>
      <c r="X431" s="3"/>
      <c r="Z431" s="3"/>
      <c r="AA431" s="3"/>
      <c r="AB431" s="3"/>
      <c r="AC431" s="3"/>
      <c r="AD431" s="3"/>
      <c r="AE431" s="3"/>
      <c r="AF431" s="3"/>
      <c r="AG431" s="3"/>
      <c r="AH431" s="37"/>
      <c r="AI431" s="1"/>
      <c r="AK431" s="10"/>
      <c r="AL431" s="10"/>
      <c r="AM431" s="10"/>
      <c r="AN431" s="11"/>
      <c r="AO431" s="11"/>
      <c r="AP431" s="11"/>
      <c r="AQ431" s="36"/>
      <c r="AR431" s="11"/>
      <c r="AS431" s="11"/>
      <c r="AT431" s="11"/>
      <c r="AU431" s="12"/>
      <c r="AV431" s="11"/>
      <c r="AW431" s="11"/>
      <c r="AX431" s="15"/>
      <c r="AY431" s="15"/>
      <c r="AZ431" s="15"/>
      <c r="BA431" s="15"/>
      <c r="BB431" s="15"/>
      <c r="BC431" s="15"/>
      <c r="BD431" s="15"/>
      <c r="BE431" s="12"/>
      <c r="BF431" s="11"/>
      <c r="BG431" s="11"/>
      <c r="BH431" s="10"/>
      <c r="BI431" s="10"/>
      <c r="BJ431" s="10"/>
      <c r="BK431" s="23"/>
      <c r="BL431" s="23"/>
      <c r="BM431" s="23"/>
      <c r="BN431" s="23"/>
      <c r="BO431" s="23"/>
      <c r="BP431" s="23"/>
      <c r="BQ431" s="23"/>
      <c r="BR431" s="10"/>
      <c r="BS431" s="16"/>
      <c r="BT431" s="16"/>
      <c r="BU431" s="16"/>
      <c r="BV431" s="16"/>
      <c r="BW431" s="11"/>
      <c r="BX431" s="16"/>
      <c r="BY431" s="16"/>
      <c r="BZ431" s="17"/>
      <c r="CA431" s="18"/>
      <c r="CB431" s="18"/>
      <c r="CC431" s="18"/>
      <c r="CD431" s="18"/>
      <c r="CE431" s="18"/>
      <c r="CF431" s="18"/>
      <c r="CG431" s="19"/>
      <c r="CH431" s="15"/>
      <c r="CI431" s="17"/>
      <c r="CJ431" s="10"/>
      <c r="CK431" s="10"/>
      <c r="CL431" s="10"/>
      <c r="CM431" s="17"/>
      <c r="CN431" s="17"/>
      <c r="CO431" s="10"/>
      <c r="CP431" s="10"/>
      <c r="CQ431" s="10"/>
      <c r="CR431" s="10"/>
      <c r="CS431" s="10"/>
      <c r="CT431" s="10"/>
      <c r="CU431" s="10"/>
      <c r="CV431" s="10"/>
      <c r="CW431" s="10"/>
      <c r="CX431" s="10"/>
      <c r="CY431" s="10"/>
      <c r="CZ431" s="10"/>
      <c r="DA431" s="34"/>
      <c r="DB431" s="34"/>
      <c r="DC431" s="34"/>
      <c r="DD431" s="34"/>
      <c r="DE431" s="34"/>
      <c r="DF431" s="34"/>
      <c r="DG431" s="34"/>
      <c r="DH431" s="34"/>
      <c r="DI431" s="34"/>
      <c r="DJ431" s="34"/>
      <c r="DK431" s="34"/>
      <c r="DL431" s="34"/>
      <c r="DM431" s="34"/>
      <c r="DN431" s="34"/>
      <c r="DO431" s="34"/>
      <c r="DP431" s="34"/>
      <c r="DQ431" s="34"/>
      <c r="DR431" s="34"/>
      <c r="DS431" s="34"/>
      <c r="DT431" s="34"/>
      <c r="DU431" s="34"/>
      <c r="DV431" s="34"/>
      <c r="DW431" s="34"/>
      <c r="DX431" s="34"/>
      <c r="DY431" s="34"/>
      <c r="DZ431" s="34"/>
      <c r="EA431" s="34"/>
      <c r="EB431" s="34"/>
      <c r="EC431" s="34"/>
      <c r="ED431" s="34"/>
      <c r="EE431" s="34"/>
    </row>
    <row r="432" spans="1:135" customFormat="1">
      <c r="A432" s="71">
        <f>'Old Data'!$I428-'Old Data'!$S428</f>
        <v>-107</v>
      </c>
      <c r="B432" s="72">
        <f>VLOOKUP('Old Data'!$F428,$R$6:$T$135,2,FALSE)+VLOOKUP('Old Data'!$P428,$R$6:$T$135,3,FALSE)+$B$2</f>
        <v>155.71508096056522</v>
      </c>
      <c r="C432" s="72">
        <f>VLOOKUP('Old Data'!$P428,$R$6:$T$135,2,FALSE)+VLOOKUP('Old Data'!$F428,$R$6:$T$135,3,FALSE)+$B$2</f>
        <v>166.4721024539364</v>
      </c>
      <c r="D432" s="74">
        <f>('Old Data'!$I428-$B432)^2+('Old Data'!$S428-$C432)^2</f>
        <v>6133.5778869314518</v>
      </c>
      <c r="E432" s="75">
        <f>'Old Data'!$K428-'Old Data'!$U428</f>
        <v>110</v>
      </c>
      <c r="F432" s="72">
        <f>VLOOKUP('Old Data'!$F428,$V$6:$X$135,2,FALSE)+VLOOKUP('Old Data'!$P428,$V$6:$X$135,3,FALSE)+$C$2</f>
        <v>313.66903001055169</v>
      </c>
      <c r="G432" s="72">
        <f>VLOOKUP('Old Data'!$P428,$V$6:$X$135,2,FALSE)+VLOOKUP('Old Data'!$F428,$V$6:$X$135,3,FALSE)+$C$2</f>
        <v>223.8514002394412</v>
      </c>
      <c r="H432" s="74">
        <f>('Old Data'!$K428-$F432)^2+('Old Data'!$U428-$G432)^2</f>
        <v>70711.460801597874</v>
      </c>
      <c r="I432" s="75">
        <f>('Old Data'!$L428+'Old Data'!$M428)-('Old Data'!$V428+'Old Data'!$W428)</f>
        <v>73</v>
      </c>
      <c r="J432" s="72">
        <f>VLOOKUP('Old Data'!$F428,$Z$6:$AB$135,2,FALSE)+VLOOKUP('Old Data'!$P428,$Z$6:$AB$135,3,FALSE)+$D$2</f>
        <v>39.478237009237375</v>
      </c>
      <c r="K432" s="72">
        <f>VLOOKUP('Old Data'!$P428,$Z$6:$AB$135,2,FALSE)+VLOOKUP('Old Data'!$F428,$Z$6:$AB$135,3,FALSE)+$D$2</f>
        <v>46.016927643775801</v>
      </c>
      <c r="L432" s="74">
        <f>('Old Data'!$L428+'Old Data'!$M428-$J432)^2+('Old Data'!$V428+'Old Data'!$W428-$K432)^2</f>
        <v>3184.2952358632811</v>
      </c>
      <c r="M432" s="75">
        <f>'Old Data'!$N428-'Old Data'!$X428</f>
        <v>-2</v>
      </c>
      <c r="N432" s="72">
        <f>VLOOKUP('Old Data'!$F428,$AD$6:$AF$135,2,FALSE)+VLOOKUP('Old Data'!$P428,$AD$6:$AF$135,3,FALSE)+$E$2</f>
        <v>1.0180127577168681</v>
      </c>
      <c r="O432" s="72">
        <f>VLOOKUP('Old Data'!$P428,$AD$6:$AF$135,2,FALSE)+VLOOKUP('Old Data'!$F428,$AD$6:$AF$135,3,FALSE)+$E$2</f>
        <v>2.3741671471045671</v>
      </c>
      <c r="P432" s="73">
        <f>('Old Data'!$N428-$N432)^2+('Old Data'!$X428-$O432)^2</f>
        <v>1.1763510288466736</v>
      </c>
      <c r="Q432" s="62"/>
      <c r="R432" s="3"/>
      <c r="S432" s="3"/>
      <c r="T432" s="3"/>
      <c r="V432" s="3"/>
      <c r="W432" s="3"/>
      <c r="X432" s="3"/>
      <c r="Z432" s="3"/>
      <c r="AA432" s="3"/>
      <c r="AB432" s="3"/>
      <c r="AC432" s="3"/>
      <c r="AD432" s="3"/>
      <c r="AE432" s="3"/>
      <c r="AF432" s="3"/>
      <c r="AG432" s="3"/>
      <c r="AH432" s="37"/>
      <c r="AI432" s="1"/>
      <c r="AK432" s="10"/>
      <c r="AL432" s="10"/>
      <c r="AM432" s="10"/>
      <c r="AN432" s="11"/>
      <c r="AO432" s="11"/>
      <c r="AP432" s="11"/>
      <c r="AQ432" s="36"/>
      <c r="AR432" s="11"/>
      <c r="AS432" s="11"/>
      <c r="AT432" s="11"/>
      <c r="AU432" s="12"/>
      <c r="AV432" s="11"/>
      <c r="AW432" s="11"/>
      <c r="AX432" s="15"/>
      <c r="AY432" s="15"/>
      <c r="AZ432" s="15"/>
      <c r="BA432" s="15"/>
      <c r="BB432" s="15"/>
      <c r="BC432" s="15"/>
      <c r="BD432" s="15"/>
      <c r="BE432" s="12"/>
      <c r="BF432" s="11"/>
      <c r="BG432" s="11"/>
      <c r="BH432" s="10"/>
      <c r="BI432" s="10"/>
      <c r="BJ432" s="10"/>
      <c r="BK432" s="23"/>
      <c r="BL432" s="23"/>
      <c r="BM432" s="23"/>
      <c r="BN432" s="23"/>
      <c r="BO432" s="23"/>
      <c r="BP432" s="23"/>
      <c r="BQ432" s="23"/>
      <c r="BR432" s="10"/>
      <c r="BS432" s="16"/>
      <c r="BT432" s="16"/>
      <c r="BU432" s="16"/>
      <c r="BV432" s="16"/>
      <c r="BW432" s="11"/>
      <c r="BX432" s="16"/>
      <c r="BY432" s="16"/>
      <c r="BZ432" s="17"/>
      <c r="CA432" s="18"/>
      <c r="CB432" s="18"/>
      <c r="CC432" s="18"/>
      <c r="CD432" s="18"/>
      <c r="CE432" s="18"/>
      <c r="CF432" s="18"/>
      <c r="CG432" s="19"/>
      <c r="CH432" s="15"/>
      <c r="CI432" s="17"/>
      <c r="CJ432" s="10"/>
      <c r="CK432" s="10"/>
      <c r="CL432" s="10"/>
      <c r="CM432" s="17"/>
      <c r="CN432" s="17"/>
      <c r="CO432" s="10"/>
      <c r="CP432" s="10"/>
      <c r="CQ432" s="10"/>
      <c r="CR432" s="10"/>
      <c r="CS432" s="10"/>
      <c r="CT432" s="10"/>
      <c r="CU432" s="10"/>
      <c r="CV432" s="10"/>
      <c r="CW432" s="10"/>
      <c r="CX432" s="10"/>
      <c r="CY432" s="10"/>
      <c r="CZ432" s="10"/>
      <c r="DA432" s="34"/>
      <c r="DB432" s="34"/>
      <c r="DC432" s="34"/>
      <c r="DD432" s="34"/>
      <c r="DE432" s="34"/>
      <c r="DF432" s="34"/>
      <c r="DG432" s="34"/>
      <c r="DH432" s="34"/>
      <c r="DI432" s="34"/>
      <c r="DJ432" s="34"/>
      <c r="DK432" s="34"/>
      <c r="DL432" s="34"/>
      <c r="DM432" s="34"/>
      <c r="DN432" s="34"/>
      <c r="DO432" s="34"/>
      <c r="DP432" s="34"/>
      <c r="DQ432" s="34"/>
      <c r="DR432" s="34"/>
      <c r="DS432" s="34"/>
      <c r="DT432" s="34"/>
      <c r="DU432" s="34"/>
      <c r="DV432" s="34"/>
      <c r="DW432" s="34"/>
      <c r="DX432" s="34"/>
      <c r="DY432" s="34"/>
      <c r="DZ432" s="34"/>
      <c r="EA432" s="34"/>
      <c r="EB432" s="34"/>
      <c r="EC432" s="34"/>
      <c r="ED432" s="34"/>
      <c r="EE432" s="34"/>
    </row>
    <row r="433" spans="1:135" customFormat="1">
      <c r="A433" s="71">
        <f>'Old Data'!$I429-'Old Data'!$S429</f>
        <v>-149</v>
      </c>
      <c r="B433" s="72">
        <f>VLOOKUP('Old Data'!$F429,$R$6:$T$135,2,FALSE)+VLOOKUP('Old Data'!$P429,$R$6:$T$135,3,FALSE)+$B$2</f>
        <v>91.517586321689407</v>
      </c>
      <c r="C433" s="72">
        <f>VLOOKUP('Old Data'!$P429,$R$6:$T$135,2,FALSE)+VLOOKUP('Old Data'!$F429,$R$6:$T$135,3,FALSE)+$B$2</f>
        <v>91.809966444148301</v>
      </c>
      <c r="D433" s="74">
        <f>('Old Data'!$I429-$B433)^2+('Old Data'!$S429-$C433)^2</f>
        <v>11224.927700013912</v>
      </c>
      <c r="E433" s="75">
        <f>'Old Data'!$K429-'Old Data'!$U429</f>
        <v>-76</v>
      </c>
      <c r="F433" s="72">
        <f>VLOOKUP('Old Data'!$F429,$V$6:$X$135,2,FALSE)+VLOOKUP('Old Data'!$P429,$V$6:$X$135,3,FALSE)+$C$2</f>
        <v>169.59935508376861</v>
      </c>
      <c r="G433" s="72">
        <f>VLOOKUP('Old Data'!$P429,$V$6:$X$135,2,FALSE)+VLOOKUP('Old Data'!$F429,$V$6:$X$135,3,FALSE)+$C$2</f>
        <v>294.78340684193358</v>
      </c>
      <c r="H433" s="74">
        <f>('Old Data'!$K429-$F433)^2+('Old Data'!$U429-$G433)^2</f>
        <v>9195.836729659286</v>
      </c>
      <c r="I433" s="75">
        <f>('Old Data'!$L429+'Old Data'!$M429)-('Old Data'!$V429+'Old Data'!$W429)</f>
        <v>43</v>
      </c>
      <c r="J433" s="72">
        <f>VLOOKUP('Old Data'!$F429,$Z$6:$AB$135,2,FALSE)+VLOOKUP('Old Data'!$P429,$Z$6:$AB$135,3,FALSE)+$D$2</f>
        <v>60.341317845806898</v>
      </c>
      <c r="K433" s="72">
        <f>VLOOKUP('Old Data'!$P429,$Z$6:$AB$135,2,FALSE)+VLOOKUP('Old Data'!$F429,$Z$6:$AB$135,3,FALSE)+$D$2</f>
        <v>49.573170177498028</v>
      </c>
      <c r="L433" s="74">
        <f>('Old Data'!$L429+'Old Data'!$M429-$J433)^2+('Old Data'!$V429+'Old Data'!$W429-$K433)^2</f>
        <v>881.6409851442836</v>
      </c>
      <c r="M433" s="75">
        <f>'Old Data'!$N429-'Old Data'!$X429</f>
        <v>0</v>
      </c>
      <c r="N433" s="72">
        <f>VLOOKUP('Old Data'!$F429,$AD$6:$AF$135,2,FALSE)+VLOOKUP('Old Data'!$P429,$AD$6:$AF$135,3,FALSE)+$E$2</f>
        <v>1.2500235201667631</v>
      </c>
      <c r="O433" s="72">
        <f>VLOOKUP('Old Data'!$P429,$AD$6:$AF$135,2,FALSE)+VLOOKUP('Old Data'!$F429,$AD$6:$AF$135,3,FALSE)+$E$2</f>
        <v>1.1347723709379791</v>
      </c>
      <c r="P433" s="73">
        <f>('Old Data'!$N429-$N433)^2+('Old Data'!$X429-$O433)^2</f>
        <v>8.0675352604824044E-2</v>
      </c>
      <c r="Q433" s="62"/>
      <c r="R433" s="3"/>
      <c r="S433" s="3"/>
      <c r="T433" s="3"/>
      <c r="V433" s="3"/>
      <c r="W433" s="3"/>
      <c r="X433" s="3"/>
      <c r="Z433" s="3"/>
      <c r="AA433" s="3"/>
      <c r="AB433" s="3"/>
      <c r="AC433" s="3"/>
      <c r="AD433" s="3"/>
      <c r="AE433" s="3"/>
      <c r="AF433" s="3"/>
      <c r="AG433" s="3"/>
      <c r="AH433" s="37"/>
      <c r="AI433" s="1"/>
      <c r="AK433" s="10"/>
      <c r="AL433" s="10"/>
      <c r="AM433" s="10"/>
      <c r="AN433" s="11"/>
      <c r="AO433" s="11"/>
      <c r="AP433" s="11"/>
      <c r="AQ433" s="36"/>
      <c r="AR433" s="11"/>
      <c r="AS433" s="11"/>
      <c r="AT433" s="11"/>
      <c r="AU433" s="12"/>
      <c r="AV433" s="11"/>
      <c r="AW433" s="11"/>
      <c r="AX433" s="15"/>
      <c r="AY433" s="15"/>
      <c r="AZ433" s="15"/>
      <c r="BA433" s="15"/>
      <c r="BB433" s="15"/>
      <c r="BC433" s="15"/>
      <c r="BD433" s="15"/>
      <c r="BE433" s="12"/>
      <c r="BF433" s="11"/>
      <c r="BG433" s="11"/>
      <c r="BH433" s="10"/>
      <c r="BI433" s="10"/>
      <c r="BJ433" s="10"/>
      <c r="BK433" s="23"/>
      <c r="BL433" s="23"/>
      <c r="BM433" s="23"/>
      <c r="BN433" s="23"/>
      <c r="BO433" s="23"/>
      <c r="BP433" s="23"/>
      <c r="BQ433" s="23"/>
      <c r="BR433" s="10"/>
      <c r="BS433" s="16"/>
      <c r="BT433" s="16"/>
      <c r="BU433" s="16"/>
      <c r="BV433" s="16"/>
      <c r="BW433" s="11"/>
      <c r="BX433" s="16"/>
      <c r="BY433" s="16"/>
      <c r="BZ433" s="17"/>
      <c r="CA433" s="18"/>
      <c r="CB433" s="18"/>
      <c r="CC433" s="18"/>
      <c r="CD433" s="18"/>
      <c r="CE433" s="18"/>
      <c r="CF433" s="18"/>
      <c r="CG433" s="19"/>
      <c r="CH433" s="15"/>
      <c r="CI433" s="17"/>
      <c r="CJ433" s="10"/>
      <c r="CK433" s="10"/>
      <c r="CL433" s="10"/>
      <c r="CM433" s="17"/>
      <c r="CN433" s="17"/>
      <c r="CO433" s="10"/>
      <c r="CP433" s="10"/>
      <c r="CQ433" s="10"/>
      <c r="CR433" s="10"/>
      <c r="CS433" s="10"/>
      <c r="CT433" s="10"/>
      <c r="CU433" s="10"/>
      <c r="CV433" s="10"/>
      <c r="CW433" s="10"/>
      <c r="CX433" s="10"/>
      <c r="CY433" s="10"/>
      <c r="CZ433" s="10"/>
      <c r="DA433" s="34"/>
      <c r="DB433" s="34"/>
      <c r="DC433" s="34"/>
      <c r="DD433" s="34"/>
      <c r="DE433" s="34"/>
      <c r="DF433" s="34"/>
      <c r="DG433" s="34"/>
      <c r="DH433" s="34"/>
      <c r="DI433" s="34"/>
      <c r="DJ433" s="34"/>
      <c r="DK433" s="34"/>
      <c r="DL433" s="34"/>
      <c r="DM433" s="34"/>
      <c r="DN433" s="34"/>
      <c r="DO433" s="34"/>
      <c r="DP433" s="34"/>
      <c r="DQ433" s="34"/>
      <c r="DR433" s="34"/>
      <c r="DS433" s="34"/>
      <c r="DT433" s="34"/>
      <c r="DU433" s="34"/>
      <c r="DV433" s="34"/>
      <c r="DW433" s="34"/>
      <c r="DX433" s="34"/>
      <c r="DY433" s="34"/>
      <c r="DZ433" s="34"/>
      <c r="EA433" s="34"/>
      <c r="EB433" s="34"/>
      <c r="EC433" s="34"/>
      <c r="ED433" s="34"/>
      <c r="EE433" s="34"/>
    </row>
    <row r="434" spans="1:135" customFormat="1">
      <c r="A434" s="71">
        <f>'Old Data'!$I430-'Old Data'!$S430</f>
        <v>-226</v>
      </c>
      <c r="B434" s="72">
        <f>VLOOKUP('Old Data'!$F430,$R$6:$T$135,2,FALSE)+VLOOKUP('Old Data'!$P430,$R$6:$T$135,3,FALSE)+$B$2</f>
        <v>105.38740512879781</v>
      </c>
      <c r="C434" s="72">
        <f>VLOOKUP('Old Data'!$P430,$R$6:$T$135,2,FALSE)+VLOOKUP('Old Data'!$F430,$R$6:$T$135,3,FALSE)+$B$2</f>
        <v>212.62252701121901</v>
      </c>
      <c r="D434" s="74">
        <f>('Old Data'!$I430-$B434)^2+('Old Data'!$S430-$C434)^2</f>
        <v>10413.733750983998</v>
      </c>
      <c r="E434" s="75">
        <f>'Old Data'!$K430-'Old Data'!$U430</f>
        <v>-80</v>
      </c>
      <c r="F434" s="72">
        <f>VLOOKUP('Old Data'!$F430,$V$6:$X$135,2,FALSE)+VLOOKUP('Old Data'!$P430,$V$6:$X$135,3,FALSE)+$C$2</f>
        <v>137.05288860459171</v>
      </c>
      <c r="G434" s="72">
        <f>VLOOKUP('Old Data'!$P430,$V$6:$X$135,2,FALSE)+VLOOKUP('Old Data'!$F430,$V$6:$X$135,3,FALSE)+$C$2</f>
        <v>212.36553925908785</v>
      </c>
      <c r="H434" s="74">
        <f>('Old Data'!$K430-$F434)^2+('Old Data'!$U430-$G434)^2</f>
        <v>13692.613760389078</v>
      </c>
      <c r="I434" s="75">
        <f>('Old Data'!$L430+'Old Data'!$M430)-('Old Data'!$V430+'Old Data'!$W430)</f>
        <v>-29</v>
      </c>
      <c r="J434" s="72">
        <f>VLOOKUP('Old Data'!$F430,$Z$6:$AB$135,2,FALSE)+VLOOKUP('Old Data'!$P430,$Z$6:$AB$135,3,FALSE)+$D$2</f>
        <v>82.812019252724497</v>
      </c>
      <c r="K434" s="72">
        <f>VLOOKUP('Old Data'!$P430,$Z$6:$AB$135,2,FALSE)+VLOOKUP('Old Data'!$F430,$Z$6:$AB$135,3,FALSE)+$D$2</f>
        <v>77.907736252565158</v>
      </c>
      <c r="L434" s="74">
        <f>('Old Data'!$L430+'Old Data'!$M430-$J434)^2+('Old Data'!$V430+'Old Data'!$W430-$K434)^2</f>
        <v>591.10800439759237</v>
      </c>
      <c r="M434" s="75">
        <f>'Old Data'!$N430-'Old Data'!$X430</f>
        <v>-1</v>
      </c>
      <c r="N434" s="72">
        <f>VLOOKUP('Old Data'!$F430,$AD$6:$AF$135,2,FALSE)+VLOOKUP('Old Data'!$P430,$AD$6:$AF$135,3,FALSE)+$E$2</f>
        <v>0.68724888707316911</v>
      </c>
      <c r="O434" s="72">
        <f>VLOOKUP('Old Data'!$P430,$AD$6:$AF$135,2,FALSE)+VLOOKUP('Old Data'!$F430,$AD$6:$AF$135,3,FALSE)+$E$2</f>
        <v>1.8237125091997171</v>
      </c>
      <c r="P434" s="73">
        <f>('Old Data'!$N430-$N434)^2+('Old Data'!$X430-$O434)^2</f>
        <v>1.1508133305954034</v>
      </c>
      <c r="Q434" s="62"/>
      <c r="R434" s="3"/>
      <c r="S434" s="3"/>
      <c r="T434" s="3"/>
      <c r="V434" s="3"/>
      <c r="W434" s="3"/>
      <c r="X434" s="3"/>
      <c r="Z434" s="3"/>
      <c r="AA434" s="3"/>
      <c r="AB434" s="3"/>
      <c r="AC434" s="3"/>
      <c r="AD434" s="3"/>
      <c r="AE434" s="3"/>
      <c r="AF434" s="3"/>
      <c r="AG434" s="3"/>
      <c r="AH434" s="37"/>
      <c r="AI434" s="1"/>
      <c r="AK434" s="10"/>
      <c r="AL434" s="10"/>
      <c r="AM434" s="10"/>
      <c r="AN434" s="11"/>
      <c r="AO434" s="11"/>
      <c r="AP434" s="11"/>
      <c r="AQ434" s="36"/>
      <c r="AR434" s="11"/>
      <c r="AS434" s="11"/>
      <c r="AT434" s="11"/>
      <c r="AU434" s="12"/>
      <c r="AV434" s="11"/>
      <c r="AW434" s="11"/>
      <c r="AX434" s="15"/>
      <c r="AY434" s="15"/>
      <c r="AZ434" s="15"/>
      <c r="BA434" s="15"/>
      <c r="BB434" s="15"/>
      <c r="BC434" s="15"/>
      <c r="BD434" s="15"/>
      <c r="BE434" s="12"/>
      <c r="BF434" s="11"/>
      <c r="BG434" s="11"/>
      <c r="BH434" s="10"/>
      <c r="BI434" s="10"/>
      <c r="BJ434" s="10"/>
      <c r="BK434" s="23"/>
      <c r="BL434" s="23"/>
      <c r="BM434" s="23"/>
      <c r="BN434" s="23"/>
      <c r="BO434" s="23"/>
      <c r="BP434" s="23"/>
      <c r="BQ434" s="23"/>
      <c r="BR434" s="10"/>
      <c r="BS434" s="16"/>
      <c r="BT434" s="16"/>
      <c r="BU434" s="16"/>
      <c r="BV434" s="16"/>
      <c r="BW434" s="11"/>
      <c r="BX434" s="16"/>
      <c r="BY434" s="16"/>
      <c r="BZ434" s="17"/>
      <c r="CA434" s="18"/>
      <c r="CB434" s="18"/>
      <c r="CC434" s="18"/>
      <c r="CD434" s="18"/>
      <c r="CE434" s="18"/>
      <c r="CF434" s="18"/>
      <c r="CG434" s="19"/>
      <c r="CH434" s="15"/>
      <c r="CI434" s="17"/>
      <c r="CJ434" s="10"/>
      <c r="CK434" s="10"/>
      <c r="CL434" s="10"/>
      <c r="CM434" s="17"/>
      <c r="CN434" s="17"/>
      <c r="CO434" s="10"/>
      <c r="CP434" s="10"/>
      <c r="CQ434" s="10"/>
      <c r="CR434" s="10"/>
      <c r="CS434" s="10"/>
      <c r="CT434" s="10"/>
      <c r="CU434" s="10"/>
      <c r="CV434" s="10"/>
      <c r="CW434" s="10"/>
      <c r="CX434" s="10"/>
      <c r="CY434" s="10"/>
      <c r="CZ434" s="10"/>
      <c r="DA434" s="34"/>
      <c r="DB434" s="34"/>
      <c r="DC434" s="34"/>
      <c r="DD434" s="34"/>
      <c r="DE434" s="34"/>
      <c r="DF434" s="34"/>
      <c r="DG434" s="34"/>
      <c r="DH434" s="34"/>
      <c r="DI434" s="34"/>
      <c r="DJ434" s="34"/>
      <c r="DK434" s="34"/>
      <c r="DL434" s="34"/>
      <c r="DM434" s="34"/>
      <c r="DN434" s="34"/>
      <c r="DO434" s="34"/>
      <c r="DP434" s="34"/>
      <c r="DQ434" s="34"/>
      <c r="DR434" s="34"/>
      <c r="DS434" s="34"/>
      <c r="DT434" s="34"/>
      <c r="DU434" s="34"/>
      <c r="DV434" s="34"/>
      <c r="DW434" s="34"/>
      <c r="DX434" s="34"/>
      <c r="DY434" s="34"/>
      <c r="DZ434" s="34"/>
      <c r="EA434" s="34"/>
      <c r="EB434" s="34"/>
      <c r="EC434" s="34"/>
      <c r="ED434" s="34"/>
      <c r="EE434" s="34"/>
    </row>
    <row r="435" spans="1:135" customFormat="1">
      <c r="A435" s="71">
        <f>'Old Data'!$I431-'Old Data'!$S431</f>
        <v>-60</v>
      </c>
      <c r="B435" s="72">
        <f>VLOOKUP('Old Data'!$F431,$R$6:$T$135,2,FALSE)+VLOOKUP('Old Data'!$P431,$R$6:$T$135,3,FALSE)+$B$2</f>
        <v>155.6848569471517</v>
      </c>
      <c r="C435" s="72">
        <f>VLOOKUP('Old Data'!$P431,$R$6:$T$135,2,FALSE)+VLOOKUP('Old Data'!$F431,$R$6:$T$135,3,FALSE)+$B$2</f>
        <v>140.95046670380211</v>
      </c>
      <c r="D435" s="74">
        <f>('Old Data'!$I431-$B435)^2+('Old Data'!$S431-$C435)^2</f>
        <v>6608.9078793094286</v>
      </c>
      <c r="E435" s="75">
        <f>'Old Data'!$K431-'Old Data'!$U431</f>
        <v>39</v>
      </c>
      <c r="F435" s="72">
        <f>VLOOKUP('Old Data'!$F431,$V$6:$X$135,2,FALSE)+VLOOKUP('Old Data'!$P431,$V$6:$X$135,3,FALSE)+$C$2</f>
        <v>275.96451636701249</v>
      </c>
      <c r="G435" s="72">
        <f>VLOOKUP('Old Data'!$P431,$V$6:$X$135,2,FALSE)+VLOOKUP('Old Data'!$F431,$V$6:$X$135,3,FALSE)+$C$2</f>
        <v>289.23058868432588</v>
      </c>
      <c r="H435" s="74">
        <f>('Old Data'!$K431-$F435)^2+('Old Data'!$U431-$G435)^2</f>
        <v>1561.9880897030778</v>
      </c>
      <c r="I435" s="75">
        <f>('Old Data'!$L431+'Old Data'!$M431)-('Old Data'!$V431+'Old Data'!$W431)</f>
        <v>26</v>
      </c>
      <c r="J435" s="72">
        <f>VLOOKUP('Old Data'!$F431,$Z$6:$AB$135,2,FALSE)+VLOOKUP('Old Data'!$P431,$Z$6:$AB$135,3,FALSE)+$D$2</f>
        <v>45.8991520515644</v>
      </c>
      <c r="K435" s="72">
        <f>VLOOKUP('Old Data'!$P431,$Z$6:$AB$135,2,FALSE)+VLOOKUP('Old Data'!$F431,$Z$6:$AB$135,3,FALSE)+$D$2</f>
        <v>62.788833166520142</v>
      </c>
      <c r="L435" s="74">
        <f>('Old Data'!$L431+'Old Data'!$M431-$J435)^2+('Old Data'!$V431+'Old Data'!$W431-$K435)^2</f>
        <v>1240.1114192312491</v>
      </c>
      <c r="M435" s="75">
        <f>'Old Data'!$N431-'Old Data'!$X431</f>
        <v>2</v>
      </c>
      <c r="N435" s="72">
        <f>VLOOKUP('Old Data'!$F431,$AD$6:$AF$135,2,FALSE)+VLOOKUP('Old Data'!$P431,$AD$6:$AF$135,3,FALSE)+$E$2</f>
        <v>0.86459418615666306</v>
      </c>
      <c r="O435" s="72">
        <f>VLOOKUP('Old Data'!$P431,$AD$6:$AF$135,2,FALSE)+VLOOKUP('Old Data'!$F431,$AD$6:$AF$135,3,FALSE)+$E$2</f>
        <v>0.84566744933939109</v>
      </c>
      <c r="P435" s="73">
        <f>('Old Data'!$N431-$N435)^2+('Old Data'!$X431-$O435)^2</f>
        <v>2.0042997969814418</v>
      </c>
      <c r="Q435" s="62"/>
      <c r="R435" s="3"/>
      <c r="S435" s="3"/>
      <c r="T435" s="3"/>
      <c r="V435" s="3"/>
      <c r="W435" s="3"/>
      <c r="X435" s="3"/>
      <c r="Z435" s="3"/>
      <c r="AA435" s="3"/>
      <c r="AB435" s="3"/>
      <c r="AC435" s="3"/>
      <c r="AD435" s="3"/>
      <c r="AE435" s="3"/>
      <c r="AF435" s="3"/>
      <c r="AG435" s="3"/>
      <c r="AH435" s="37"/>
      <c r="AI435" s="1"/>
      <c r="AK435" s="10"/>
      <c r="AL435" s="10"/>
      <c r="AM435" s="10"/>
      <c r="AN435" s="11"/>
      <c r="AO435" s="11"/>
      <c r="AP435" s="11"/>
      <c r="AQ435" s="36"/>
      <c r="AR435" s="11"/>
      <c r="AS435" s="11"/>
      <c r="AT435" s="11"/>
      <c r="AU435" s="12"/>
      <c r="AV435" s="11"/>
      <c r="AW435" s="11"/>
      <c r="AX435" s="15"/>
      <c r="AY435" s="15"/>
      <c r="AZ435" s="15"/>
      <c r="BA435" s="15"/>
      <c r="BB435" s="15"/>
      <c r="BC435" s="15"/>
      <c r="BD435" s="15"/>
      <c r="BE435" s="12"/>
      <c r="BF435" s="11"/>
      <c r="BG435" s="11"/>
      <c r="BH435" s="10"/>
      <c r="BI435" s="10"/>
      <c r="BJ435" s="10"/>
      <c r="BK435" s="23"/>
      <c r="BL435" s="23"/>
      <c r="BM435" s="23"/>
      <c r="BN435" s="23"/>
      <c r="BO435" s="23"/>
      <c r="BP435" s="23"/>
      <c r="BQ435" s="23"/>
      <c r="BR435" s="10"/>
      <c r="BS435" s="16"/>
      <c r="BT435" s="16"/>
      <c r="BU435" s="16"/>
      <c r="BV435" s="16"/>
      <c r="BW435" s="11"/>
      <c r="BX435" s="16"/>
      <c r="BY435" s="16"/>
      <c r="BZ435" s="17"/>
      <c r="CA435" s="18"/>
      <c r="CB435" s="18"/>
      <c r="CC435" s="18"/>
      <c r="CD435" s="18"/>
      <c r="CE435" s="18"/>
      <c r="CF435" s="18"/>
      <c r="CG435" s="19"/>
      <c r="CH435" s="15"/>
      <c r="CI435" s="17"/>
      <c r="CJ435" s="10"/>
      <c r="CK435" s="10"/>
      <c r="CL435" s="10"/>
      <c r="CM435" s="17"/>
      <c r="CN435" s="17"/>
      <c r="CO435" s="10"/>
      <c r="CP435" s="10"/>
      <c r="CQ435" s="10"/>
      <c r="CR435" s="10"/>
      <c r="CS435" s="10"/>
      <c r="CT435" s="10"/>
      <c r="CU435" s="10"/>
      <c r="CV435" s="10"/>
      <c r="CW435" s="10"/>
      <c r="CX435" s="10"/>
      <c r="CY435" s="10"/>
      <c r="CZ435" s="10"/>
      <c r="DA435" s="34"/>
      <c r="DB435" s="34"/>
      <c r="DC435" s="34"/>
      <c r="DD435" s="34"/>
      <c r="DE435" s="34"/>
      <c r="DF435" s="34"/>
      <c r="DG435" s="34"/>
      <c r="DH435" s="34"/>
      <c r="DI435" s="34"/>
      <c r="DJ435" s="34"/>
      <c r="DK435" s="34"/>
      <c r="DL435" s="34"/>
      <c r="DM435" s="34"/>
      <c r="DN435" s="34"/>
      <c r="DO435" s="34"/>
      <c r="DP435" s="34"/>
      <c r="DQ435" s="34"/>
      <c r="DR435" s="34"/>
      <c r="DS435" s="34"/>
      <c r="DT435" s="34"/>
      <c r="DU435" s="34"/>
      <c r="DV435" s="34"/>
      <c r="DW435" s="34"/>
      <c r="DX435" s="34"/>
      <c r="DY435" s="34"/>
      <c r="DZ435" s="34"/>
      <c r="EA435" s="34"/>
      <c r="EB435" s="34"/>
      <c r="EC435" s="34"/>
      <c r="ED435" s="34"/>
      <c r="EE435" s="34"/>
    </row>
    <row r="436" spans="1:135" customFormat="1">
      <c r="A436" s="71">
        <f>'Old Data'!$I432-'Old Data'!$S432</f>
        <v>36</v>
      </c>
      <c r="B436" s="72">
        <f>VLOOKUP('Old Data'!$F432,$R$6:$T$135,2,FALSE)+VLOOKUP('Old Data'!$P432,$R$6:$T$135,3,FALSE)+$B$2</f>
        <v>184.56323058682028</v>
      </c>
      <c r="C436" s="72">
        <f>VLOOKUP('Old Data'!$P432,$R$6:$T$135,2,FALSE)+VLOOKUP('Old Data'!$F432,$R$6:$T$135,3,FALSE)+$B$2</f>
        <v>170.27119213268611</v>
      </c>
      <c r="D436" s="74">
        <f>('Old Data'!$I432-$B436)^2+('Old Data'!$S432-$C436)^2</f>
        <v>2469.0378273632309</v>
      </c>
      <c r="E436" s="75">
        <f>'Old Data'!$K432-'Old Data'!$U432</f>
        <v>-48</v>
      </c>
      <c r="F436" s="72">
        <f>VLOOKUP('Old Data'!$F432,$V$6:$X$135,2,FALSE)+VLOOKUP('Old Data'!$P432,$V$6:$X$135,3,FALSE)+$C$2</f>
        <v>239.86620402872171</v>
      </c>
      <c r="G436" s="72">
        <f>VLOOKUP('Old Data'!$P432,$V$6:$X$135,2,FALSE)+VLOOKUP('Old Data'!$F432,$V$6:$X$135,3,FALSE)+$C$2</f>
        <v>228.61661719280801</v>
      </c>
      <c r="H436" s="74">
        <f>('Old Data'!$K432-$F436)^2+('Old Data'!$U432-$G436)^2</f>
        <v>9632.5378543664756</v>
      </c>
      <c r="I436" s="75">
        <f>('Old Data'!$L432+'Old Data'!$M432)-('Old Data'!$V432+'Old Data'!$W432)</f>
        <v>41</v>
      </c>
      <c r="J436" s="72">
        <f>VLOOKUP('Old Data'!$F432,$Z$6:$AB$135,2,FALSE)+VLOOKUP('Old Data'!$P432,$Z$6:$AB$135,3,FALSE)+$D$2</f>
        <v>51.912284357993599</v>
      </c>
      <c r="K436" s="72">
        <f>VLOOKUP('Old Data'!$P432,$Z$6:$AB$135,2,FALSE)+VLOOKUP('Old Data'!$F432,$Z$6:$AB$135,3,FALSE)+$D$2</f>
        <v>31.719893313419046</v>
      </c>
      <c r="L436" s="74">
        <f>('Old Data'!$L432+'Old Data'!$M432-$J436)^2+('Old Data'!$V432+'Old Data'!$W432-$K436)^2</f>
        <v>281.09198746811524</v>
      </c>
      <c r="M436" s="75">
        <f>'Old Data'!$N432-'Old Data'!$X432</f>
        <v>2</v>
      </c>
      <c r="N436" s="72">
        <f>VLOOKUP('Old Data'!$F432,$AD$6:$AF$135,2,FALSE)+VLOOKUP('Old Data'!$P432,$AD$6:$AF$135,3,FALSE)+$E$2</f>
        <v>1.35596574208774</v>
      </c>
      <c r="O436" s="72">
        <f>VLOOKUP('Old Data'!$P432,$AD$6:$AF$135,2,FALSE)+VLOOKUP('Old Data'!$F432,$AD$6:$AF$135,3,FALSE)+$E$2</f>
        <v>2.0107380363601042</v>
      </c>
      <c r="P436" s="73">
        <f>('Old Data'!$N432-$N436)^2+('Old Data'!$X432-$O436)^2</f>
        <v>6.9910324624385067</v>
      </c>
      <c r="Q436" s="62"/>
      <c r="R436" s="3"/>
      <c r="S436" s="3"/>
      <c r="T436" s="3"/>
      <c r="V436" s="3"/>
      <c r="W436" s="3"/>
      <c r="X436" s="3"/>
      <c r="Z436" s="3"/>
      <c r="AA436" s="3"/>
      <c r="AB436" s="3"/>
      <c r="AC436" s="3"/>
      <c r="AD436" s="3"/>
      <c r="AE436" s="3"/>
      <c r="AF436" s="3"/>
      <c r="AG436" s="3"/>
      <c r="AH436" s="37"/>
      <c r="AI436" s="1"/>
      <c r="AK436" s="10"/>
      <c r="AL436" s="10"/>
      <c r="AM436" s="10"/>
      <c r="AN436" s="11"/>
      <c r="AO436" s="11"/>
      <c r="AP436" s="11"/>
      <c r="AQ436" s="36"/>
      <c r="AR436" s="11"/>
      <c r="AS436" s="11"/>
      <c r="AT436" s="11"/>
      <c r="AU436" s="12"/>
      <c r="AV436" s="11"/>
      <c r="AW436" s="11"/>
      <c r="AX436" s="15"/>
      <c r="AY436" s="15"/>
      <c r="AZ436" s="15"/>
      <c r="BA436" s="15"/>
      <c r="BB436" s="15"/>
      <c r="BC436" s="15"/>
      <c r="BD436" s="15"/>
      <c r="BE436" s="12"/>
      <c r="BF436" s="11"/>
      <c r="BG436" s="11"/>
      <c r="BH436" s="10"/>
      <c r="BI436" s="10"/>
      <c r="BJ436" s="10"/>
      <c r="BK436" s="23"/>
      <c r="BL436" s="23"/>
      <c r="BM436" s="23"/>
      <c r="BN436" s="23"/>
      <c r="BO436" s="23"/>
      <c r="BP436" s="23"/>
      <c r="BQ436" s="23"/>
      <c r="BR436" s="10"/>
      <c r="BS436" s="16"/>
      <c r="BT436" s="16"/>
      <c r="BU436" s="16"/>
      <c r="BV436" s="16"/>
      <c r="BW436" s="11"/>
      <c r="BX436" s="16"/>
      <c r="BY436" s="16"/>
      <c r="BZ436" s="17"/>
      <c r="CA436" s="18"/>
      <c r="CB436" s="18"/>
      <c r="CC436" s="18"/>
      <c r="CD436" s="18"/>
      <c r="CE436" s="18"/>
      <c r="CF436" s="18"/>
      <c r="CG436" s="19"/>
      <c r="CH436" s="15"/>
      <c r="CI436" s="17"/>
      <c r="CJ436" s="10"/>
      <c r="CK436" s="10"/>
      <c r="CL436" s="10"/>
      <c r="CM436" s="17"/>
      <c r="CN436" s="17"/>
      <c r="CO436" s="10"/>
      <c r="CP436" s="10"/>
      <c r="CQ436" s="10"/>
      <c r="CR436" s="10"/>
      <c r="CS436" s="10"/>
      <c r="CT436" s="10"/>
      <c r="CU436" s="10"/>
      <c r="CV436" s="10"/>
      <c r="CW436" s="10"/>
      <c r="CX436" s="10"/>
      <c r="CY436" s="10"/>
      <c r="CZ436" s="10"/>
      <c r="DA436" s="34"/>
      <c r="DB436" s="34"/>
      <c r="DC436" s="34"/>
      <c r="DD436" s="34"/>
      <c r="DE436" s="34"/>
      <c r="DF436" s="34"/>
      <c r="DG436" s="34"/>
      <c r="DH436" s="34"/>
      <c r="DI436" s="34"/>
      <c r="DJ436" s="34"/>
      <c r="DK436" s="34"/>
      <c r="DL436" s="34"/>
      <c r="DM436" s="34"/>
      <c r="DN436" s="34"/>
      <c r="DO436" s="34"/>
      <c r="DP436" s="34"/>
      <c r="DQ436" s="34"/>
      <c r="DR436" s="34"/>
      <c r="DS436" s="34"/>
      <c r="DT436" s="34"/>
      <c r="DU436" s="34"/>
      <c r="DV436" s="34"/>
      <c r="DW436" s="34"/>
      <c r="DX436" s="34"/>
      <c r="DY436" s="34"/>
      <c r="DZ436" s="34"/>
      <c r="EA436" s="34"/>
      <c r="EB436" s="34"/>
      <c r="EC436" s="34"/>
      <c r="ED436" s="34"/>
      <c r="EE436" s="34"/>
    </row>
    <row r="437" spans="1:135" customFormat="1">
      <c r="A437" s="71">
        <f>'Old Data'!$I433-'Old Data'!$S433</f>
        <v>-340</v>
      </c>
      <c r="B437" s="72">
        <f>VLOOKUP('Old Data'!$F433,$R$6:$T$135,2,FALSE)+VLOOKUP('Old Data'!$P433,$R$6:$T$135,3,FALSE)+$B$2</f>
        <v>139.28969459269962</v>
      </c>
      <c r="C437" s="72">
        <f>VLOOKUP('Old Data'!$P433,$R$6:$T$135,2,FALSE)+VLOOKUP('Old Data'!$F433,$R$6:$T$135,3,FALSE)+$B$2</f>
        <v>194.21075816747003</v>
      </c>
      <c r="D437" s="74">
        <f>('Old Data'!$I433-$B437)^2+('Old Data'!$S433-$C437)^2</f>
        <v>45291.08130541617</v>
      </c>
      <c r="E437" s="75">
        <f>'Old Data'!$K433-'Old Data'!$U433</f>
        <v>-8</v>
      </c>
      <c r="F437" s="72">
        <f>VLOOKUP('Old Data'!$F433,$V$6:$X$135,2,FALSE)+VLOOKUP('Old Data'!$P433,$V$6:$X$135,3,FALSE)+$C$2</f>
        <v>211.42475284650502</v>
      </c>
      <c r="G437" s="72">
        <f>VLOOKUP('Old Data'!$P433,$V$6:$X$135,2,FALSE)+VLOOKUP('Old Data'!$F433,$V$6:$X$135,3,FALSE)+$C$2</f>
        <v>295.48581449835547</v>
      </c>
      <c r="H437" s="74">
        <f>('Old Data'!$K433-$F437)^2+('Old Data'!$U433-$G437)^2</f>
        <v>4512.0488875602477</v>
      </c>
      <c r="I437" s="75">
        <f>('Old Data'!$L433+'Old Data'!$M433)-('Old Data'!$V433+'Old Data'!$W433)</f>
        <v>87</v>
      </c>
      <c r="J437" s="72">
        <f>VLOOKUP('Old Data'!$F433,$Z$6:$AB$135,2,FALSE)+VLOOKUP('Old Data'!$P433,$Z$6:$AB$135,3,FALSE)+$D$2</f>
        <v>63.767353507400429</v>
      </c>
      <c r="K437" s="72">
        <f>VLOOKUP('Old Data'!$P433,$Z$6:$AB$135,2,FALSE)+VLOOKUP('Old Data'!$F433,$Z$6:$AB$135,3,FALSE)+$D$2</f>
        <v>2.5095635313943987</v>
      </c>
      <c r="L437" s="74">
        <f>('Old Data'!$L433+'Old Data'!$M433-$J437)^2+('Old Data'!$V433+'Old Data'!$W433-$K437)^2</f>
        <v>2298.4232565388211</v>
      </c>
      <c r="M437" s="75">
        <f>'Old Data'!$N433-'Old Data'!$X433</f>
        <v>-1</v>
      </c>
      <c r="N437" s="72">
        <f>VLOOKUP('Old Data'!$F433,$AD$6:$AF$135,2,FALSE)+VLOOKUP('Old Data'!$P433,$AD$6:$AF$135,3,FALSE)+$E$2</f>
        <v>1.7636735015690661</v>
      </c>
      <c r="O437" s="72">
        <f>VLOOKUP('Old Data'!$P433,$AD$6:$AF$135,2,FALSE)+VLOOKUP('Old Data'!$F433,$AD$6:$AF$135,3,FALSE)+$E$2</f>
        <v>1.5703447808274464</v>
      </c>
      <c r="P437" s="73">
        <f>('Old Data'!$N433-$N437)^2+('Old Data'!$X433-$O437)^2</f>
        <v>0.76780082436097341</v>
      </c>
      <c r="Q437" s="62"/>
      <c r="R437" s="3"/>
      <c r="S437" s="3"/>
      <c r="T437" s="3"/>
      <c r="V437" s="3"/>
      <c r="W437" s="3"/>
      <c r="X437" s="3"/>
      <c r="Z437" s="3"/>
      <c r="AA437" s="3"/>
      <c r="AB437" s="3"/>
      <c r="AC437" s="3"/>
      <c r="AD437" s="3"/>
      <c r="AE437" s="3"/>
      <c r="AF437" s="3"/>
      <c r="AG437" s="3"/>
      <c r="AH437" s="37"/>
      <c r="AI437" s="1"/>
      <c r="AK437" s="10"/>
      <c r="AL437" s="10"/>
      <c r="AM437" s="10"/>
      <c r="AN437" s="11"/>
      <c r="AO437" s="11"/>
      <c r="AP437" s="11"/>
      <c r="AQ437" s="36"/>
      <c r="AR437" s="11"/>
      <c r="AS437" s="11"/>
      <c r="AT437" s="11"/>
      <c r="AU437" s="12"/>
      <c r="AV437" s="11"/>
      <c r="AW437" s="11"/>
      <c r="AX437" s="15"/>
      <c r="AY437" s="15"/>
      <c r="AZ437" s="15"/>
      <c r="BA437" s="15"/>
      <c r="BB437" s="15"/>
      <c r="BC437" s="15"/>
      <c r="BD437" s="15"/>
      <c r="BE437" s="12"/>
      <c r="BF437" s="11"/>
      <c r="BG437" s="11"/>
      <c r="BH437" s="10"/>
      <c r="BI437" s="10"/>
      <c r="BJ437" s="10"/>
      <c r="BK437" s="23"/>
      <c r="BL437" s="23"/>
      <c r="BM437" s="23"/>
      <c r="BN437" s="23"/>
      <c r="BO437" s="23"/>
      <c r="BP437" s="23"/>
      <c r="BQ437" s="23"/>
      <c r="BR437" s="10"/>
      <c r="BS437" s="16"/>
      <c r="BT437" s="16"/>
      <c r="BU437" s="16"/>
      <c r="BV437" s="16"/>
      <c r="BW437" s="11"/>
      <c r="BX437" s="16"/>
      <c r="BY437" s="16"/>
      <c r="BZ437" s="17"/>
      <c r="CA437" s="18"/>
      <c r="CB437" s="18"/>
      <c r="CC437" s="18"/>
      <c r="CD437" s="18"/>
      <c r="CE437" s="18"/>
      <c r="CF437" s="18"/>
      <c r="CG437" s="19"/>
      <c r="CH437" s="15"/>
      <c r="CI437" s="17"/>
      <c r="CJ437" s="10"/>
      <c r="CK437" s="10"/>
      <c r="CL437" s="10"/>
      <c r="CM437" s="17"/>
      <c r="CN437" s="17"/>
      <c r="CO437" s="10"/>
      <c r="CP437" s="10"/>
      <c r="CQ437" s="10"/>
      <c r="CR437" s="10"/>
      <c r="CS437" s="10"/>
      <c r="CT437" s="10"/>
      <c r="CU437" s="10"/>
      <c r="CV437" s="10"/>
      <c r="CW437" s="10"/>
      <c r="CX437" s="10"/>
      <c r="CY437" s="10"/>
      <c r="CZ437" s="10"/>
      <c r="DA437" s="34"/>
      <c r="DB437" s="34"/>
      <c r="DC437" s="34"/>
      <c r="DD437" s="34"/>
      <c r="DE437" s="34"/>
      <c r="DF437" s="34"/>
      <c r="DG437" s="34"/>
      <c r="DH437" s="34"/>
      <c r="DI437" s="34"/>
      <c r="DJ437" s="34"/>
      <c r="DK437" s="34"/>
      <c r="DL437" s="34"/>
      <c r="DM437" s="34"/>
      <c r="DN437" s="34"/>
      <c r="DO437" s="34"/>
      <c r="DP437" s="34"/>
      <c r="DQ437" s="34"/>
      <c r="DR437" s="34"/>
      <c r="DS437" s="34"/>
      <c r="DT437" s="34"/>
      <c r="DU437" s="34"/>
      <c r="DV437" s="34"/>
      <c r="DW437" s="34"/>
      <c r="DX437" s="34"/>
      <c r="DY437" s="34"/>
      <c r="DZ437" s="34"/>
      <c r="EA437" s="34"/>
      <c r="EB437" s="34"/>
      <c r="EC437" s="34"/>
      <c r="ED437" s="34"/>
      <c r="EE437" s="34"/>
    </row>
    <row r="438" spans="1:135" customFormat="1">
      <c r="A438" s="71">
        <f>'Old Data'!$I434-'Old Data'!$S434</f>
        <v>56</v>
      </c>
      <c r="B438" s="72">
        <f>VLOOKUP('Old Data'!$F434,$R$6:$T$135,2,FALSE)+VLOOKUP('Old Data'!$P434,$R$6:$T$135,3,FALSE)+$B$2</f>
        <v>135.14347791291871</v>
      </c>
      <c r="C438" s="72">
        <f>VLOOKUP('Old Data'!$P434,$R$6:$T$135,2,FALSE)+VLOOKUP('Old Data'!$F434,$R$6:$T$135,3,FALSE)+$B$2</f>
        <v>111.0856127907264</v>
      </c>
      <c r="D438" s="74">
        <f>('Old Data'!$I434-$B438)^2+('Old Data'!$S434-$C438)^2</f>
        <v>1095.9653154752114</v>
      </c>
      <c r="E438" s="75">
        <f>'Old Data'!$K434-'Old Data'!$U434</f>
        <v>32</v>
      </c>
      <c r="F438" s="72">
        <f>VLOOKUP('Old Data'!$F434,$V$6:$X$135,2,FALSE)+VLOOKUP('Old Data'!$P434,$V$6:$X$135,3,FALSE)+$C$2</f>
        <v>233.68180714267979</v>
      </c>
      <c r="G438" s="72">
        <f>VLOOKUP('Old Data'!$P434,$V$6:$X$135,2,FALSE)+VLOOKUP('Old Data'!$F434,$V$6:$X$135,3,FALSE)+$C$2</f>
        <v>217.05726430061179</v>
      </c>
      <c r="H438" s="74">
        <f>('Old Data'!$K434-$F438)^2+('Old Data'!$U434-$G438)^2</f>
        <v>24155.879737182699</v>
      </c>
      <c r="I438" s="75">
        <f>('Old Data'!$L434+'Old Data'!$M434)-('Old Data'!$V434+'Old Data'!$W434)</f>
        <v>80</v>
      </c>
      <c r="J438" s="72">
        <f>VLOOKUP('Old Data'!$F434,$Z$6:$AB$135,2,FALSE)+VLOOKUP('Old Data'!$P434,$Z$6:$AB$135,3,FALSE)+$D$2</f>
        <v>49.421952293106486</v>
      </c>
      <c r="K438" s="72">
        <f>VLOOKUP('Old Data'!$P434,$Z$6:$AB$135,2,FALSE)+VLOOKUP('Old Data'!$F434,$Z$6:$AB$135,3,FALSE)+$D$2</f>
        <v>38.098989496506455</v>
      </c>
      <c r="L438" s="74">
        <f>('Old Data'!$L434+'Old Data'!$M434-$J438)^2+('Old Data'!$V434+'Old Data'!$W434-$K438)^2</f>
        <v>2952.6704470562217</v>
      </c>
      <c r="M438" s="75">
        <f>'Old Data'!$N434-'Old Data'!$X434</f>
        <v>0</v>
      </c>
      <c r="N438" s="72">
        <f>VLOOKUP('Old Data'!$F434,$AD$6:$AF$135,2,FALSE)+VLOOKUP('Old Data'!$P434,$AD$6:$AF$135,3,FALSE)+$E$2</f>
        <v>0.82077065650700953</v>
      </c>
      <c r="O438" s="72">
        <f>VLOOKUP('Old Data'!$P434,$AD$6:$AF$135,2,FALSE)+VLOOKUP('Old Data'!$F434,$AD$6:$AF$135,3,FALSE)+$E$2</f>
        <v>1.6254742963084183</v>
      </c>
      <c r="P438" s="73">
        <f>('Old Data'!$N434-$N438)^2+('Old Data'!$X434-$O438)^2</f>
        <v>3.315831158542295</v>
      </c>
      <c r="Q438" s="62"/>
      <c r="R438" s="3"/>
      <c r="S438" s="3"/>
      <c r="T438" s="3"/>
      <c r="V438" s="3"/>
      <c r="W438" s="3"/>
      <c r="X438" s="3"/>
      <c r="Z438" s="3"/>
      <c r="AA438" s="3"/>
      <c r="AB438" s="3"/>
      <c r="AC438" s="3"/>
      <c r="AD438" s="3"/>
      <c r="AE438" s="3"/>
      <c r="AF438" s="3"/>
      <c r="AG438" s="3"/>
      <c r="AH438" s="37"/>
      <c r="AI438" s="1"/>
      <c r="AK438" s="10"/>
      <c r="AL438" s="10"/>
      <c r="AM438" s="10"/>
      <c r="AN438" s="11"/>
      <c r="AO438" s="11"/>
      <c r="AP438" s="11"/>
      <c r="AQ438" s="36"/>
      <c r="AR438" s="11"/>
      <c r="AS438" s="11"/>
      <c r="AT438" s="11"/>
      <c r="AU438" s="12"/>
      <c r="AV438" s="11"/>
      <c r="AW438" s="11"/>
      <c r="AX438" s="15"/>
      <c r="AY438" s="15"/>
      <c r="AZ438" s="15"/>
      <c r="BA438" s="15"/>
      <c r="BB438" s="15"/>
      <c r="BC438" s="15"/>
      <c r="BD438" s="15"/>
      <c r="BE438" s="12"/>
      <c r="BF438" s="11"/>
      <c r="BG438" s="11"/>
      <c r="BH438" s="10"/>
      <c r="BI438" s="10"/>
      <c r="BJ438" s="10"/>
      <c r="BK438" s="23"/>
      <c r="BL438" s="23"/>
      <c r="BM438" s="23"/>
      <c r="BN438" s="23"/>
      <c r="BO438" s="23"/>
      <c r="BP438" s="23"/>
      <c r="BQ438" s="23"/>
      <c r="BR438" s="10"/>
      <c r="BS438" s="16"/>
      <c r="BT438" s="16"/>
      <c r="BU438" s="16"/>
      <c r="BV438" s="16"/>
      <c r="BW438" s="11"/>
      <c r="BX438" s="16"/>
      <c r="BY438" s="16"/>
      <c r="BZ438" s="17"/>
      <c r="CA438" s="18"/>
      <c r="CB438" s="18"/>
      <c r="CC438" s="18"/>
      <c r="CD438" s="18"/>
      <c r="CE438" s="18"/>
      <c r="CF438" s="18"/>
      <c r="CG438" s="19"/>
      <c r="CH438" s="15"/>
      <c r="CI438" s="17"/>
      <c r="CJ438" s="10"/>
      <c r="CK438" s="10"/>
      <c r="CL438" s="10"/>
      <c r="CM438" s="17"/>
      <c r="CN438" s="17"/>
      <c r="CO438" s="10"/>
      <c r="CP438" s="10"/>
      <c r="CQ438" s="10"/>
      <c r="CR438" s="10"/>
      <c r="CS438" s="10"/>
      <c r="CT438" s="10"/>
      <c r="CU438" s="10"/>
      <c r="CV438" s="10"/>
      <c r="CW438" s="10"/>
      <c r="CX438" s="10"/>
      <c r="CY438" s="10"/>
      <c r="CZ438" s="10"/>
      <c r="DA438" s="34"/>
      <c r="DB438" s="34"/>
      <c r="DC438" s="34"/>
      <c r="DD438" s="34"/>
      <c r="DE438" s="34"/>
      <c r="DF438" s="34"/>
      <c r="DG438" s="34"/>
      <c r="DH438" s="34"/>
      <c r="DI438" s="34"/>
      <c r="DJ438" s="34"/>
      <c r="DK438" s="34"/>
      <c r="DL438" s="34"/>
      <c r="DM438" s="34"/>
      <c r="DN438" s="34"/>
      <c r="DO438" s="34"/>
      <c r="DP438" s="34"/>
      <c r="DQ438" s="34"/>
      <c r="DR438" s="34"/>
      <c r="DS438" s="34"/>
      <c r="DT438" s="34"/>
      <c r="DU438" s="34"/>
      <c r="DV438" s="34"/>
      <c r="DW438" s="34"/>
      <c r="DX438" s="34"/>
      <c r="DY438" s="34"/>
      <c r="DZ438" s="34"/>
      <c r="EA438" s="34"/>
      <c r="EB438" s="34"/>
      <c r="EC438" s="34"/>
      <c r="ED438" s="34"/>
      <c r="EE438" s="34"/>
    </row>
    <row r="439" spans="1:135" customFormat="1">
      <c r="A439" s="71">
        <f>'Old Data'!$I435-'Old Data'!$S435</f>
        <v>83</v>
      </c>
      <c r="B439" s="72">
        <f>VLOOKUP('Old Data'!$F435,$R$6:$T$135,2,FALSE)+VLOOKUP('Old Data'!$P435,$R$6:$T$135,3,FALSE)+$B$2</f>
        <v>148.83937703990111</v>
      </c>
      <c r="C439" s="72">
        <f>VLOOKUP('Old Data'!$P435,$R$6:$T$135,2,FALSE)+VLOOKUP('Old Data'!$F435,$R$6:$T$135,3,FALSE)+$B$2</f>
        <v>186.6008693452483</v>
      </c>
      <c r="D439" s="74">
        <f>('Old Data'!$I435-$B439)^2+('Old Data'!$S435-$C439)^2</f>
        <v>15945.653397507311</v>
      </c>
      <c r="E439" s="75">
        <f>'Old Data'!$K435-'Old Data'!$U435</f>
        <v>3</v>
      </c>
      <c r="F439" s="72">
        <f>VLOOKUP('Old Data'!$F435,$V$6:$X$135,2,FALSE)+VLOOKUP('Old Data'!$P435,$V$6:$X$135,3,FALSE)+$C$2</f>
        <v>265.72100419665804</v>
      </c>
      <c r="G439" s="72">
        <f>VLOOKUP('Old Data'!$P435,$V$6:$X$135,2,FALSE)+VLOOKUP('Old Data'!$F435,$V$6:$X$135,3,FALSE)+$C$2</f>
        <v>259.2600097332973</v>
      </c>
      <c r="H439" s="74">
        <f>('Old Data'!$K435-$F439)^2+('Old Data'!$U435-$G439)^2</f>
        <v>4057.6981678771544</v>
      </c>
      <c r="I439" s="75">
        <f>('Old Data'!$L435+'Old Data'!$M435)-('Old Data'!$V435+'Old Data'!$W435)</f>
        <v>-164</v>
      </c>
      <c r="J439" s="72">
        <f>VLOOKUP('Old Data'!$F435,$Z$6:$AB$135,2,FALSE)+VLOOKUP('Old Data'!$P435,$Z$6:$AB$135,3,FALSE)+$D$2</f>
        <v>32.962209845420873</v>
      </c>
      <c r="K439" s="72">
        <f>VLOOKUP('Old Data'!$P435,$Z$6:$AB$135,2,FALSE)+VLOOKUP('Old Data'!$F435,$Z$6:$AB$135,3,FALSE)+$D$2</f>
        <v>136.79446603041879</v>
      </c>
      <c r="L439" s="74">
        <f>('Old Data'!$L435+'Old Data'!$M435-$J439)^2+('Old Data'!$V435+'Old Data'!$W435-$K439)^2</f>
        <v>2396.3813214300117</v>
      </c>
      <c r="M439" s="75">
        <f>'Old Data'!$N435-'Old Data'!$X435</f>
        <v>2</v>
      </c>
      <c r="N439" s="72">
        <f>VLOOKUP('Old Data'!$F435,$AD$6:$AF$135,2,FALSE)+VLOOKUP('Old Data'!$P435,$AD$6:$AF$135,3,FALSE)+$E$2</f>
        <v>1.4236810131219102</v>
      </c>
      <c r="O439" s="72">
        <f>VLOOKUP('Old Data'!$P435,$AD$6:$AF$135,2,FALSE)+VLOOKUP('Old Data'!$F435,$AD$6:$AF$135,3,FALSE)+$E$2</f>
        <v>1.5208118659667302</v>
      </c>
      <c r="P439" s="73">
        <f>('Old Data'!$N435-$N439)^2+('Old Data'!$X435-$O439)^2</f>
        <v>2.6450123063013957</v>
      </c>
      <c r="Q439" s="62"/>
      <c r="R439" s="3"/>
      <c r="S439" s="3"/>
      <c r="T439" s="3"/>
      <c r="V439" s="3"/>
      <c r="W439" s="3"/>
      <c r="X439" s="3"/>
      <c r="Z439" s="3"/>
      <c r="AA439" s="3"/>
      <c r="AB439" s="3"/>
      <c r="AC439" s="3"/>
      <c r="AD439" s="3"/>
      <c r="AE439" s="3"/>
      <c r="AF439" s="3"/>
      <c r="AG439" s="3"/>
      <c r="AH439" s="37"/>
      <c r="AI439" s="1"/>
      <c r="AK439" s="10"/>
      <c r="AL439" s="10"/>
      <c r="AM439" s="10"/>
      <c r="AN439" s="11"/>
      <c r="AO439" s="11"/>
      <c r="AP439" s="11"/>
      <c r="AQ439" s="36"/>
      <c r="AR439" s="11"/>
      <c r="AS439" s="11"/>
      <c r="AT439" s="11"/>
      <c r="AU439" s="12"/>
      <c r="AV439" s="11"/>
      <c r="AW439" s="11"/>
      <c r="AX439" s="15"/>
      <c r="AY439" s="15"/>
      <c r="AZ439" s="15"/>
      <c r="BA439" s="15"/>
      <c r="BB439" s="15"/>
      <c r="BC439" s="15"/>
      <c r="BD439" s="15"/>
      <c r="BE439" s="12"/>
      <c r="BF439" s="11"/>
      <c r="BG439" s="11"/>
      <c r="BH439" s="10"/>
      <c r="BI439" s="10"/>
      <c r="BJ439" s="10"/>
      <c r="BK439" s="23"/>
      <c r="BL439" s="23"/>
      <c r="BM439" s="23"/>
      <c r="BN439" s="23"/>
      <c r="BO439" s="23"/>
      <c r="BP439" s="23"/>
      <c r="BQ439" s="23"/>
      <c r="BR439" s="10"/>
      <c r="BS439" s="16"/>
      <c r="BT439" s="16"/>
      <c r="BU439" s="16"/>
      <c r="BV439" s="16"/>
      <c r="BW439" s="11"/>
      <c r="BX439" s="16"/>
      <c r="BY439" s="16"/>
      <c r="BZ439" s="17"/>
      <c r="CA439" s="18"/>
      <c r="CB439" s="18"/>
      <c r="CC439" s="18"/>
      <c r="CD439" s="18"/>
      <c r="CE439" s="18"/>
      <c r="CF439" s="18"/>
      <c r="CG439" s="19"/>
      <c r="CH439" s="15"/>
      <c r="CI439" s="17"/>
      <c r="CJ439" s="10"/>
      <c r="CK439" s="10"/>
      <c r="CL439" s="10"/>
      <c r="CM439" s="17"/>
      <c r="CN439" s="17"/>
      <c r="CO439" s="10"/>
      <c r="CP439" s="10"/>
      <c r="CQ439" s="10"/>
      <c r="CR439" s="10"/>
      <c r="CS439" s="10"/>
      <c r="CT439" s="10"/>
      <c r="CU439" s="10"/>
      <c r="CV439" s="10"/>
      <c r="CW439" s="10"/>
      <c r="CX439" s="10"/>
      <c r="CY439" s="10"/>
      <c r="CZ439" s="10"/>
      <c r="DA439" s="34"/>
      <c r="DB439" s="34"/>
      <c r="DC439" s="34"/>
      <c r="DD439" s="34"/>
      <c r="DE439" s="34"/>
      <c r="DF439" s="34"/>
      <c r="DG439" s="34"/>
      <c r="DH439" s="34"/>
      <c r="DI439" s="34"/>
      <c r="DJ439" s="34"/>
      <c r="DK439" s="34"/>
      <c r="DL439" s="34"/>
      <c r="DM439" s="34"/>
      <c r="DN439" s="34"/>
      <c r="DO439" s="34"/>
      <c r="DP439" s="34"/>
      <c r="DQ439" s="34"/>
      <c r="DR439" s="34"/>
      <c r="DS439" s="34"/>
      <c r="DT439" s="34"/>
      <c r="DU439" s="34"/>
      <c r="DV439" s="34"/>
      <c r="DW439" s="34"/>
      <c r="DX439" s="34"/>
      <c r="DY439" s="34"/>
      <c r="DZ439" s="34"/>
      <c r="EA439" s="34"/>
      <c r="EB439" s="34"/>
      <c r="EC439" s="34"/>
      <c r="ED439" s="34"/>
      <c r="EE439" s="34"/>
    </row>
    <row r="440" spans="1:135" customFormat="1">
      <c r="A440" s="71">
        <f>'Old Data'!$I436-'Old Data'!$S436</f>
        <v>198</v>
      </c>
      <c r="B440" s="72">
        <f>VLOOKUP('Old Data'!$F436,$R$6:$T$135,2,FALSE)+VLOOKUP('Old Data'!$P436,$R$6:$T$135,3,FALSE)+$B$2</f>
        <v>216.16264304427045</v>
      </c>
      <c r="C440" s="72">
        <f>VLOOKUP('Old Data'!$P436,$R$6:$T$135,2,FALSE)+VLOOKUP('Old Data'!$F436,$R$6:$T$135,3,FALSE)+$B$2</f>
        <v>164.4835203353361</v>
      </c>
      <c r="D440" s="74">
        <f>('Old Data'!$I436-$B440)^2+('Old Data'!$S436-$C440)^2</f>
        <v>22463.599168710709</v>
      </c>
      <c r="E440" s="75">
        <f>'Old Data'!$K436-'Old Data'!$U436</f>
        <v>-148</v>
      </c>
      <c r="F440" s="72">
        <f>VLOOKUP('Old Data'!$F436,$V$6:$X$135,2,FALSE)+VLOOKUP('Old Data'!$P436,$V$6:$X$135,3,FALSE)+$C$2</f>
        <v>240.0668855547539</v>
      </c>
      <c r="G440" s="72">
        <f>VLOOKUP('Old Data'!$P436,$V$6:$X$135,2,FALSE)+VLOOKUP('Old Data'!$F436,$V$6:$X$135,3,FALSE)+$C$2</f>
        <v>318.16378558561098</v>
      </c>
      <c r="H440" s="74">
        <f>('Old Data'!$K436-$F440)^2+('Old Data'!$U436-$G440)^2</f>
        <v>11452.158230044386</v>
      </c>
      <c r="I440" s="75">
        <f>('Old Data'!$L436+'Old Data'!$M436)-('Old Data'!$V436+'Old Data'!$W436)</f>
        <v>47</v>
      </c>
      <c r="J440" s="72">
        <f>VLOOKUP('Old Data'!$F436,$Z$6:$AB$135,2,FALSE)+VLOOKUP('Old Data'!$P436,$Z$6:$AB$135,3,FALSE)+$D$2</f>
        <v>94.064907095506825</v>
      </c>
      <c r="K440" s="72">
        <f>VLOOKUP('Old Data'!$P436,$Z$6:$AB$135,2,FALSE)+VLOOKUP('Old Data'!$F436,$Z$6:$AB$135,3,FALSE)+$D$2</f>
        <v>30.41261492810985</v>
      </c>
      <c r="L440" s="74">
        <f>('Old Data'!$L436+'Old Data'!$M436-$J440)^2+('Old Data'!$V436+'Old Data'!$W436-$K440)^2</f>
        <v>153.65104097377818</v>
      </c>
      <c r="M440" s="75">
        <f>'Old Data'!$N436-'Old Data'!$X436</f>
        <v>-1</v>
      </c>
      <c r="N440" s="72">
        <f>VLOOKUP('Old Data'!$F436,$AD$6:$AF$135,2,FALSE)+VLOOKUP('Old Data'!$P436,$AD$6:$AF$135,3,FALSE)+$E$2</f>
        <v>0.50306242834527115</v>
      </c>
      <c r="O440" s="72">
        <f>VLOOKUP('Old Data'!$P436,$AD$6:$AF$135,2,FALSE)+VLOOKUP('Old Data'!$F436,$AD$6:$AF$135,3,FALSE)+$E$2</f>
        <v>1.8768117815566592</v>
      </c>
      <c r="P440" s="73">
        <f>('Old Data'!$N436-$N440)^2+('Old Data'!$X436-$O440)^2</f>
        <v>0.26212228728534304</v>
      </c>
      <c r="Q440" s="62"/>
      <c r="R440" s="3"/>
      <c r="S440" s="3"/>
      <c r="T440" s="3"/>
      <c r="V440" s="3"/>
      <c r="W440" s="3"/>
      <c r="X440" s="3"/>
      <c r="Z440" s="3"/>
      <c r="AA440" s="3"/>
      <c r="AB440" s="3"/>
      <c r="AC440" s="3"/>
      <c r="AD440" s="3"/>
      <c r="AE440" s="3"/>
      <c r="AF440" s="3"/>
      <c r="AG440" s="3"/>
      <c r="AH440" s="37"/>
      <c r="AI440" s="1"/>
      <c r="AK440" s="10"/>
      <c r="AL440" s="10"/>
      <c r="AM440" s="10"/>
      <c r="AN440" s="11"/>
      <c r="AO440" s="11"/>
      <c r="AP440" s="11"/>
      <c r="AQ440" s="36"/>
      <c r="AR440" s="11"/>
      <c r="AS440" s="11"/>
      <c r="AT440" s="11"/>
      <c r="AU440" s="12"/>
      <c r="AV440" s="11"/>
      <c r="AW440" s="11"/>
      <c r="AX440" s="15"/>
      <c r="AY440" s="15"/>
      <c r="AZ440" s="15"/>
      <c r="BA440" s="15"/>
      <c r="BB440" s="15"/>
      <c r="BC440" s="15"/>
      <c r="BD440" s="15"/>
      <c r="BE440" s="12"/>
      <c r="BF440" s="11"/>
      <c r="BG440" s="11"/>
      <c r="BH440" s="10"/>
      <c r="BI440" s="10"/>
      <c r="BJ440" s="10"/>
      <c r="BK440" s="23"/>
      <c r="BL440" s="23"/>
      <c r="BM440" s="23"/>
      <c r="BN440" s="23"/>
      <c r="BO440" s="23"/>
      <c r="BP440" s="23"/>
      <c r="BQ440" s="23"/>
      <c r="BR440" s="10"/>
      <c r="BS440" s="16"/>
      <c r="BT440" s="16"/>
      <c r="BU440" s="16"/>
      <c r="BV440" s="16"/>
      <c r="BW440" s="11"/>
      <c r="BX440" s="16"/>
      <c r="BY440" s="16"/>
      <c r="BZ440" s="17"/>
      <c r="CA440" s="18"/>
      <c r="CB440" s="18"/>
      <c r="CC440" s="18"/>
      <c r="CD440" s="18"/>
      <c r="CE440" s="18"/>
      <c r="CF440" s="18"/>
      <c r="CG440" s="19"/>
      <c r="CH440" s="15"/>
      <c r="CI440" s="17"/>
      <c r="CJ440" s="10"/>
      <c r="CK440" s="10"/>
      <c r="CL440" s="10"/>
      <c r="CM440" s="17"/>
      <c r="CN440" s="17"/>
      <c r="CO440" s="10"/>
      <c r="CP440" s="10"/>
      <c r="CQ440" s="10"/>
      <c r="CR440" s="10"/>
      <c r="CS440" s="10"/>
      <c r="CT440" s="10"/>
      <c r="CU440" s="10"/>
      <c r="CV440" s="10"/>
      <c r="CW440" s="10"/>
      <c r="CX440" s="10"/>
      <c r="CY440" s="10"/>
      <c r="CZ440" s="10"/>
      <c r="DA440" s="34"/>
      <c r="DB440" s="34"/>
      <c r="DC440" s="34"/>
      <c r="DD440" s="34"/>
      <c r="DE440" s="34"/>
      <c r="DF440" s="34"/>
      <c r="DG440" s="34"/>
      <c r="DH440" s="34"/>
      <c r="DI440" s="34"/>
      <c r="DJ440" s="34"/>
      <c r="DK440" s="34"/>
      <c r="DL440" s="34"/>
      <c r="DM440" s="34"/>
      <c r="DN440" s="34"/>
      <c r="DO440" s="34"/>
      <c r="DP440" s="34"/>
      <c r="DQ440" s="34"/>
      <c r="DR440" s="34"/>
      <c r="DS440" s="34"/>
      <c r="DT440" s="34"/>
      <c r="DU440" s="34"/>
      <c r="DV440" s="34"/>
      <c r="DW440" s="34"/>
      <c r="DX440" s="34"/>
      <c r="DY440" s="34"/>
      <c r="DZ440" s="34"/>
      <c r="EA440" s="34"/>
      <c r="EB440" s="34"/>
      <c r="EC440" s="34"/>
      <c r="ED440" s="34"/>
      <c r="EE440" s="34"/>
    </row>
    <row r="441" spans="1:135" customFormat="1">
      <c r="A441" s="71">
        <f>'Old Data'!$I437-'Old Data'!$S437</f>
        <v>-32</v>
      </c>
      <c r="B441" s="72">
        <f>VLOOKUP('Old Data'!$F437,$R$6:$T$135,2,FALSE)+VLOOKUP('Old Data'!$P437,$R$6:$T$135,3,FALSE)+$B$2</f>
        <v>152.96790900255891</v>
      </c>
      <c r="C441" s="72">
        <f>VLOOKUP('Old Data'!$P437,$R$6:$T$135,2,FALSE)+VLOOKUP('Old Data'!$F437,$R$6:$T$135,3,FALSE)+$B$2</f>
        <v>168.54439803107272</v>
      </c>
      <c r="D441" s="74">
        <f>('Old Data'!$I437-$B441)^2+('Old Data'!$S437-$C441)^2</f>
        <v>7883.4587063596646</v>
      </c>
      <c r="E441" s="75">
        <f>'Old Data'!$K437-'Old Data'!$U437</f>
        <v>40</v>
      </c>
      <c r="F441" s="72">
        <f>VLOOKUP('Old Data'!$F437,$V$6:$X$135,2,FALSE)+VLOOKUP('Old Data'!$P437,$V$6:$X$135,3,FALSE)+$C$2</f>
        <v>237.04526638012743</v>
      </c>
      <c r="G441" s="72">
        <f>VLOOKUP('Old Data'!$P437,$V$6:$X$135,2,FALSE)+VLOOKUP('Old Data'!$F437,$V$6:$X$135,3,FALSE)+$C$2</f>
        <v>156.7417913735153</v>
      </c>
      <c r="H441" s="74">
        <f>('Old Data'!$K437-$F441)^2+('Old Data'!$U437-$G441)^2</f>
        <v>1397.4477573805934</v>
      </c>
      <c r="I441" s="75">
        <f>('Old Data'!$L437+'Old Data'!$M437)-('Old Data'!$V437+'Old Data'!$W437)</f>
        <v>13</v>
      </c>
      <c r="J441" s="72">
        <f>VLOOKUP('Old Data'!$F437,$Z$6:$AB$135,2,FALSE)+VLOOKUP('Old Data'!$P437,$Z$6:$AB$135,3,FALSE)+$D$2</f>
        <v>66.578236163802188</v>
      </c>
      <c r="K441" s="72">
        <f>VLOOKUP('Old Data'!$P437,$Z$6:$AB$135,2,FALSE)+VLOOKUP('Old Data'!$F437,$Z$6:$AB$135,3,FALSE)+$D$2</f>
        <v>68.151377058338994</v>
      </c>
      <c r="L441" s="74">
        <f>('Old Data'!$L437+'Old Data'!$M437-$J441)^2+('Old Data'!$V437+'Old Data'!$W437-$K441)^2</f>
        <v>2717.6926202766658</v>
      </c>
      <c r="M441" s="75">
        <f>'Old Data'!$N437-'Old Data'!$X437</f>
        <v>3</v>
      </c>
      <c r="N441" s="72">
        <f>VLOOKUP('Old Data'!$F437,$AD$6:$AF$135,2,FALSE)+VLOOKUP('Old Data'!$P437,$AD$6:$AF$135,3,FALSE)+$E$2</f>
        <v>1.7005896970754151</v>
      </c>
      <c r="O441" s="72">
        <f>VLOOKUP('Old Data'!$P437,$AD$6:$AF$135,2,FALSE)+VLOOKUP('Old Data'!$F437,$AD$6:$AF$135,3,FALSE)+$E$2</f>
        <v>1.9056190854269039</v>
      </c>
      <c r="P441" s="73">
        <f>('Old Data'!$N437-$N441)^2+('Old Data'!$X437-$O441)^2</f>
        <v>5.319851234089831</v>
      </c>
      <c r="Q441" s="62"/>
      <c r="R441" s="3"/>
      <c r="S441" s="3"/>
      <c r="T441" s="3"/>
      <c r="V441" s="3"/>
      <c r="W441" s="3"/>
      <c r="X441" s="3"/>
      <c r="Z441" s="3"/>
      <c r="AA441" s="3"/>
      <c r="AB441" s="3"/>
      <c r="AC441" s="3"/>
      <c r="AD441" s="3"/>
      <c r="AE441" s="3"/>
      <c r="AF441" s="3"/>
      <c r="AG441" s="3"/>
      <c r="AH441" s="37"/>
      <c r="AI441" s="1"/>
      <c r="AK441" s="10"/>
      <c r="AL441" s="10"/>
      <c r="AM441" s="10"/>
      <c r="AN441" s="11"/>
      <c r="AO441" s="11"/>
      <c r="AP441" s="11"/>
      <c r="AQ441" s="36"/>
      <c r="AR441" s="11"/>
      <c r="AS441" s="11"/>
      <c r="AT441" s="11"/>
      <c r="AU441" s="12"/>
      <c r="AV441" s="11"/>
      <c r="AW441" s="11"/>
      <c r="AX441" s="15"/>
      <c r="AY441" s="15"/>
      <c r="AZ441" s="15"/>
      <c r="BA441" s="15"/>
      <c r="BB441" s="15"/>
      <c r="BC441" s="15"/>
      <c r="BD441" s="15"/>
      <c r="BE441" s="12"/>
      <c r="BF441" s="11"/>
      <c r="BG441" s="11"/>
      <c r="BH441" s="10"/>
      <c r="BI441" s="10"/>
      <c r="BJ441" s="10"/>
      <c r="BK441" s="23"/>
      <c r="BL441" s="23"/>
      <c r="BM441" s="23"/>
      <c r="BN441" s="23"/>
      <c r="BO441" s="23"/>
      <c r="BP441" s="23"/>
      <c r="BQ441" s="23"/>
      <c r="BR441" s="10"/>
      <c r="BS441" s="16"/>
      <c r="BT441" s="16"/>
      <c r="BU441" s="16"/>
      <c r="BV441" s="16"/>
      <c r="BW441" s="11"/>
      <c r="BX441" s="16"/>
      <c r="BY441" s="16"/>
      <c r="BZ441" s="17"/>
      <c r="CA441" s="18"/>
      <c r="CB441" s="18"/>
      <c r="CC441" s="18"/>
      <c r="CD441" s="18"/>
      <c r="CE441" s="18"/>
      <c r="CF441" s="18"/>
      <c r="CG441" s="19"/>
      <c r="CH441" s="15"/>
      <c r="CI441" s="17"/>
      <c r="CJ441" s="10"/>
      <c r="CK441" s="10"/>
      <c r="CL441" s="10"/>
      <c r="CM441" s="17"/>
      <c r="CN441" s="17"/>
      <c r="CO441" s="10"/>
      <c r="CP441" s="10"/>
      <c r="CQ441" s="10"/>
      <c r="CR441" s="10"/>
      <c r="CS441" s="10"/>
      <c r="CT441" s="10"/>
      <c r="CU441" s="10"/>
      <c r="CV441" s="10"/>
      <c r="CW441" s="10"/>
      <c r="CX441" s="10"/>
      <c r="CY441" s="10"/>
      <c r="CZ441" s="10"/>
      <c r="DA441" s="34"/>
      <c r="DB441" s="34"/>
      <c r="DC441" s="34"/>
      <c r="DD441" s="34"/>
      <c r="DE441" s="34"/>
      <c r="DF441" s="34"/>
      <c r="DG441" s="34"/>
      <c r="DH441" s="34"/>
      <c r="DI441" s="34"/>
      <c r="DJ441" s="34"/>
      <c r="DK441" s="34"/>
      <c r="DL441" s="34"/>
      <c r="DM441" s="34"/>
      <c r="DN441" s="34"/>
      <c r="DO441" s="34"/>
      <c r="DP441" s="34"/>
      <c r="DQ441" s="34"/>
      <c r="DR441" s="34"/>
      <c r="DS441" s="34"/>
      <c r="DT441" s="34"/>
      <c r="DU441" s="34"/>
      <c r="DV441" s="34"/>
      <c r="DW441" s="34"/>
      <c r="DX441" s="34"/>
      <c r="DY441" s="34"/>
      <c r="DZ441" s="34"/>
      <c r="EA441" s="34"/>
      <c r="EB441" s="34"/>
      <c r="EC441" s="34"/>
      <c r="ED441" s="34"/>
      <c r="EE441" s="34"/>
    </row>
    <row r="442" spans="1:135" customFormat="1">
      <c r="A442" s="71">
        <f>'Old Data'!$I438-'Old Data'!$S438</f>
        <v>101</v>
      </c>
      <c r="B442" s="72">
        <f>VLOOKUP('Old Data'!$F438,$R$6:$T$135,2,FALSE)+VLOOKUP('Old Data'!$P438,$R$6:$T$135,3,FALSE)+$B$2</f>
        <v>136.20624653204669</v>
      </c>
      <c r="C442" s="72">
        <f>VLOOKUP('Old Data'!$P438,$R$6:$T$135,2,FALSE)+VLOOKUP('Old Data'!$F438,$R$6:$T$135,3,FALSE)+$B$2</f>
        <v>136.8593435066006</v>
      </c>
      <c r="D442" s="74">
        <f>('Old Data'!$I438-$B442)^2+('Old Data'!$S438-$C442)^2</f>
        <v>6962.7428109667781</v>
      </c>
      <c r="E442" s="75">
        <f>'Old Data'!$K438-'Old Data'!$U438</f>
        <v>-91</v>
      </c>
      <c r="F442" s="72">
        <f>VLOOKUP('Old Data'!$F438,$V$6:$X$135,2,FALSE)+VLOOKUP('Old Data'!$P438,$V$6:$X$135,3,FALSE)+$C$2</f>
        <v>254.1654419685843</v>
      </c>
      <c r="G442" s="72">
        <f>VLOOKUP('Old Data'!$P438,$V$6:$X$135,2,FALSE)+VLOOKUP('Old Data'!$F438,$V$6:$X$135,3,FALSE)+$C$2</f>
        <v>289.49717423272233</v>
      </c>
      <c r="H442" s="74">
        <f>('Old Data'!$K438-$F442)^2+('Old Data'!$U438-$G442)^2</f>
        <v>6615.9591666015858</v>
      </c>
      <c r="I442" s="75">
        <f>('Old Data'!$L438+'Old Data'!$M438)-('Old Data'!$V438+'Old Data'!$W438)</f>
        <v>27</v>
      </c>
      <c r="J442" s="72">
        <f>VLOOKUP('Old Data'!$F438,$Z$6:$AB$135,2,FALSE)+VLOOKUP('Old Data'!$P438,$Z$6:$AB$135,3,FALSE)+$D$2</f>
        <v>60.252931367873096</v>
      </c>
      <c r="K442" s="72">
        <f>VLOOKUP('Old Data'!$P438,$Z$6:$AB$135,2,FALSE)+VLOOKUP('Old Data'!$F438,$Z$6:$AB$135,3,FALSE)+$D$2</f>
        <v>36.231782821417696</v>
      </c>
      <c r="L442" s="74">
        <f>('Old Data'!$L438+'Old Data'!$M438-$J442)^2+('Old Data'!$V438+'Old Data'!$W438-$K442)^2</f>
        <v>4471.0064039311674</v>
      </c>
      <c r="M442" s="75">
        <f>'Old Data'!$N438-'Old Data'!$X438</f>
        <v>-2</v>
      </c>
      <c r="N442" s="72">
        <f>VLOOKUP('Old Data'!$F438,$AD$6:$AF$135,2,FALSE)+VLOOKUP('Old Data'!$P438,$AD$6:$AF$135,3,FALSE)+$E$2</f>
        <v>1.361725169427495</v>
      </c>
      <c r="O442" s="72">
        <f>VLOOKUP('Old Data'!$P438,$AD$6:$AF$135,2,FALSE)+VLOOKUP('Old Data'!$F438,$AD$6:$AF$135,3,FALSE)+$E$2</f>
        <v>2.4840132686842411</v>
      </c>
      <c r="P442" s="73">
        <f>('Old Data'!$N438-$N442)^2+('Old Data'!$X438-$O442)^2</f>
        <v>0.39708740509127111</v>
      </c>
      <c r="Q442" s="62"/>
      <c r="R442" s="3"/>
      <c r="S442" s="3"/>
      <c r="T442" s="3"/>
      <c r="V442" s="3"/>
      <c r="W442" s="3"/>
      <c r="X442" s="3"/>
      <c r="Z442" s="3"/>
      <c r="AA442" s="3"/>
      <c r="AB442" s="3"/>
      <c r="AC442" s="3"/>
      <c r="AD442" s="3"/>
      <c r="AE442" s="3"/>
      <c r="AF442" s="3"/>
      <c r="AG442" s="3"/>
      <c r="AH442" s="37"/>
      <c r="AI442" s="1"/>
      <c r="AK442" s="10"/>
      <c r="AL442" s="10"/>
      <c r="AM442" s="10"/>
      <c r="AN442" s="11"/>
      <c r="AO442" s="11"/>
      <c r="AP442" s="11"/>
      <c r="AQ442" s="36"/>
      <c r="AR442" s="11"/>
      <c r="AS442" s="11"/>
      <c r="AT442" s="11"/>
      <c r="AU442" s="12"/>
      <c r="AV442" s="11"/>
      <c r="AW442" s="11"/>
      <c r="AX442" s="15"/>
      <c r="AY442" s="15"/>
      <c r="AZ442" s="15"/>
      <c r="BA442" s="15"/>
      <c r="BB442" s="15"/>
      <c r="BC442" s="15"/>
      <c r="BD442" s="15"/>
      <c r="BE442" s="12"/>
      <c r="BF442" s="11"/>
      <c r="BG442" s="11"/>
      <c r="BH442" s="10"/>
      <c r="BI442" s="10"/>
      <c r="BJ442" s="10"/>
      <c r="BK442" s="23"/>
      <c r="BL442" s="23"/>
      <c r="BM442" s="23"/>
      <c r="BN442" s="23"/>
      <c r="BO442" s="23"/>
      <c r="BP442" s="23"/>
      <c r="BQ442" s="23"/>
      <c r="BR442" s="10"/>
      <c r="BS442" s="16"/>
      <c r="BT442" s="16"/>
      <c r="BU442" s="16"/>
      <c r="BV442" s="16"/>
      <c r="BW442" s="11"/>
      <c r="BX442" s="16"/>
      <c r="BY442" s="16"/>
      <c r="BZ442" s="17"/>
      <c r="CA442" s="18"/>
      <c r="CB442" s="18"/>
      <c r="CC442" s="18"/>
      <c r="CD442" s="18"/>
      <c r="CE442" s="18"/>
      <c r="CF442" s="18"/>
      <c r="CG442" s="19"/>
      <c r="CH442" s="15"/>
      <c r="CI442" s="17"/>
      <c r="CJ442" s="10"/>
      <c r="CK442" s="10"/>
      <c r="CL442" s="10"/>
      <c r="CM442" s="17"/>
      <c r="CN442" s="17"/>
      <c r="CO442" s="10"/>
      <c r="CP442" s="10"/>
      <c r="CQ442" s="10"/>
      <c r="CR442" s="10"/>
      <c r="CS442" s="10"/>
      <c r="CT442" s="10"/>
      <c r="CU442" s="10"/>
      <c r="CV442" s="10"/>
      <c r="CW442" s="10"/>
      <c r="CX442" s="10"/>
      <c r="CY442" s="10"/>
      <c r="CZ442" s="10"/>
      <c r="DA442" s="34"/>
      <c r="DB442" s="34"/>
      <c r="DC442" s="34"/>
      <c r="DD442" s="34"/>
      <c r="DE442" s="34"/>
      <c r="DF442" s="34"/>
      <c r="DG442" s="34"/>
      <c r="DH442" s="34"/>
      <c r="DI442" s="34"/>
      <c r="DJ442" s="34"/>
      <c r="DK442" s="34"/>
      <c r="DL442" s="34"/>
      <c r="DM442" s="34"/>
      <c r="DN442" s="34"/>
      <c r="DO442" s="34"/>
      <c r="DP442" s="34"/>
      <c r="DQ442" s="34"/>
      <c r="DR442" s="34"/>
      <c r="DS442" s="34"/>
      <c r="DT442" s="34"/>
      <c r="DU442" s="34"/>
      <c r="DV442" s="34"/>
      <c r="DW442" s="34"/>
      <c r="DX442" s="34"/>
      <c r="DY442" s="34"/>
      <c r="DZ442" s="34"/>
      <c r="EA442" s="34"/>
      <c r="EB442" s="34"/>
      <c r="EC442" s="34"/>
      <c r="ED442" s="34"/>
      <c r="EE442" s="34"/>
    </row>
    <row r="443" spans="1:135" customFormat="1">
      <c r="A443" s="71">
        <f>'Old Data'!$I439-'Old Data'!$S439</f>
        <v>-29</v>
      </c>
      <c r="B443" s="72">
        <f>VLOOKUP('Old Data'!$F439,$R$6:$T$135,2,FALSE)+VLOOKUP('Old Data'!$P439,$R$6:$T$135,3,FALSE)+$B$2</f>
        <v>88.263952638048806</v>
      </c>
      <c r="C443" s="72">
        <f>VLOOKUP('Old Data'!$P439,$R$6:$T$135,2,FALSE)+VLOOKUP('Old Data'!$F439,$R$6:$T$135,3,FALSE)+$B$2</f>
        <v>173.4582440625571</v>
      </c>
      <c r="D443" s="74">
        <f>('Old Data'!$I439-$B443)^2+('Old Data'!$S439-$C443)^2</f>
        <v>1621.9380113824072</v>
      </c>
      <c r="E443" s="75">
        <f>'Old Data'!$K439-'Old Data'!$U439</f>
        <v>70</v>
      </c>
      <c r="F443" s="72">
        <f>VLOOKUP('Old Data'!$F439,$V$6:$X$135,2,FALSE)+VLOOKUP('Old Data'!$P439,$V$6:$X$135,3,FALSE)+$C$2</f>
        <v>145.46283364674369</v>
      </c>
      <c r="G443" s="72">
        <f>VLOOKUP('Old Data'!$P439,$V$6:$X$135,2,FALSE)+VLOOKUP('Old Data'!$F439,$V$6:$X$135,3,FALSE)+$C$2</f>
        <v>215.89771994091751</v>
      </c>
      <c r="H443" s="74">
        <f>('Old Data'!$K439-$F443)^2+('Old Data'!$U439-$G443)^2</f>
        <v>12953.059910248319</v>
      </c>
      <c r="I443" s="75">
        <f>('Old Data'!$L439+'Old Data'!$M439)-('Old Data'!$V439+'Old Data'!$W439)</f>
        <v>-82</v>
      </c>
      <c r="J443" s="72">
        <f>VLOOKUP('Old Data'!$F439,$Z$6:$AB$135,2,FALSE)+VLOOKUP('Old Data'!$P439,$Z$6:$AB$135,3,FALSE)+$D$2</f>
        <v>12.485546583833099</v>
      </c>
      <c r="K443" s="72">
        <f>VLOOKUP('Old Data'!$P439,$Z$6:$AB$135,2,FALSE)+VLOOKUP('Old Data'!$F439,$Z$6:$AB$135,3,FALSE)+$D$2</f>
        <v>80.457079175692499</v>
      </c>
      <c r="L443" s="74">
        <f>('Old Data'!$L439+'Old Data'!$M439-$J443)^2+('Old Data'!$V439+'Old Data'!$W439-$K443)^2</f>
        <v>139.41696297663614</v>
      </c>
      <c r="M443" s="75">
        <f>'Old Data'!$N439-'Old Data'!$X439</f>
        <v>1</v>
      </c>
      <c r="N443" s="72">
        <f>VLOOKUP('Old Data'!$F439,$AD$6:$AF$135,2,FALSE)+VLOOKUP('Old Data'!$P439,$AD$6:$AF$135,3,FALSE)+$E$2</f>
        <v>0.47988700724925815</v>
      </c>
      <c r="O443" s="72">
        <f>VLOOKUP('Old Data'!$P439,$AD$6:$AF$135,2,FALSE)+VLOOKUP('Old Data'!$F439,$AD$6:$AF$135,3,FALSE)+$E$2</f>
        <v>1.6520359652205017</v>
      </c>
      <c r="P443" s="73">
        <f>('Old Data'!$N439-$N443)^2+('Old Data'!$X439-$O443)^2</f>
        <v>2.9997403556101681</v>
      </c>
      <c r="Q443" s="62"/>
      <c r="R443" s="3"/>
      <c r="S443" s="3"/>
      <c r="T443" s="3"/>
      <c r="V443" s="3"/>
      <c r="W443" s="3"/>
      <c r="X443" s="3"/>
      <c r="Z443" s="3"/>
      <c r="AA443" s="3"/>
      <c r="AB443" s="3"/>
      <c r="AC443" s="3"/>
      <c r="AD443" s="3"/>
      <c r="AE443" s="3"/>
      <c r="AF443" s="3"/>
      <c r="AG443" s="3"/>
      <c r="AH443" s="37"/>
      <c r="AI443" s="1"/>
      <c r="AK443" s="10"/>
      <c r="AL443" s="10"/>
      <c r="AM443" s="10"/>
      <c r="AN443" s="11"/>
      <c r="AO443" s="11"/>
      <c r="AP443" s="11"/>
      <c r="AQ443" s="36"/>
      <c r="AR443" s="11"/>
      <c r="AS443" s="11"/>
      <c r="AT443" s="11"/>
      <c r="AU443" s="12"/>
      <c r="AV443" s="11"/>
      <c r="AW443" s="11"/>
      <c r="AX443" s="15"/>
      <c r="AY443" s="15"/>
      <c r="AZ443" s="15"/>
      <c r="BA443" s="15"/>
      <c r="BB443" s="15"/>
      <c r="BC443" s="15"/>
      <c r="BD443" s="15"/>
      <c r="BE443" s="12"/>
      <c r="BF443" s="11"/>
      <c r="BG443" s="11"/>
      <c r="BH443" s="10"/>
      <c r="BI443" s="10"/>
      <c r="BJ443" s="10"/>
      <c r="BK443" s="23"/>
      <c r="BL443" s="23"/>
      <c r="BM443" s="23"/>
      <c r="BN443" s="23"/>
      <c r="BO443" s="23"/>
      <c r="BP443" s="23"/>
      <c r="BQ443" s="23"/>
      <c r="BR443" s="10"/>
      <c r="BS443" s="16"/>
      <c r="BT443" s="16"/>
      <c r="BU443" s="16"/>
      <c r="BV443" s="16"/>
      <c r="BW443" s="11"/>
      <c r="BX443" s="16"/>
      <c r="BY443" s="16"/>
      <c r="BZ443" s="17"/>
      <c r="CA443" s="18"/>
      <c r="CB443" s="18"/>
      <c r="CC443" s="18"/>
      <c r="CD443" s="18"/>
      <c r="CE443" s="18"/>
      <c r="CF443" s="18"/>
      <c r="CG443" s="19"/>
      <c r="CH443" s="15"/>
      <c r="CI443" s="17"/>
      <c r="CJ443" s="10"/>
      <c r="CK443" s="10"/>
      <c r="CL443" s="10"/>
      <c r="CM443" s="17"/>
      <c r="CN443" s="17"/>
      <c r="CO443" s="10"/>
      <c r="CP443" s="10"/>
      <c r="CQ443" s="10"/>
      <c r="CR443" s="10"/>
      <c r="CS443" s="10"/>
      <c r="CT443" s="10"/>
      <c r="CU443" s="10"/>
      <c r="CV443" s="10"/>
      <c r="CW443" s="10"/>
      <c r="CX443" s="10"/>
      <c r="CY443" s="10"/>
      <c r="CZ443" s="10"/>
      <c r="DA443" s="34"/>
      <c r="DB443" s="34"/>
      <c r="DC443" s="34"/>
      <c r="DD443" s="34"/>
      <c r="DE443" s="34"/>
      <c r="DF443" s="34"/>
      <c r="DG443" s="34"/>
      <c r="DH443" s="34"/>
      <c r="DI443" s="34"/>
      <c r="DJ443" s="34"/>
      <c r="DK443" s="34"/>
      <c r="DL443" s="34"/>
      <c r="DM443" s="34"/>
      <c r="DN443" s="34"/>
      <c r="DO443" s="34"/>
      <c r="DP443" s="34"/>
      <c r="DQ443" s="34"/>
      <c r="DR443" s="34"/>
      <c r="DS443" s="34"/>
      <c r="DT443" s="34"/>
      <c r="DU443" s="34"/>
      <c r="DV443" s="34"/>
      <c r="DW443" s="34"/>
      <c r="DX443" s="34"/>
      <c r="DY443" s="34"/>
      <c r="DZ443" s="34"/>
      <c r="EA443" s="34"/>
      <c r="EB443" s="34"/>
      <c r="EC443" s="34"/>
      <c r="ED443" s="34"/>
      <c r="EE443" s="34"/>
    </row>
    <row r="444" spans="1:135" customFormat="1">
      <c r="A444" s="71">
        <f>'Old Data'!$I440-'Old Data'!$S440</f>
        <v>206</v>
      </c>
      <c r="B444" s="72">
        <f>VLOOKUP('Old Data'!$F440,$R$6:$T$135,2,FALSE)+VLOOKUP('Old Data'!$P440,$R$6:$T$135,3,FALSE)+$B$2</f>
        <v>187.74260243830901</v>
      </c>
      <c r="C444" s="72">
        <f>VLOOKUP('Old Data'!$P440,$R$6:$T$135,2,FALSE)+VLOOKUP('Old Data'!$F440,$R$6:$T$135,3,FALSE)+$B$2</f>
        <v>54.051887245313708</v>
      </c>
      <c r="D444" s="74">
        <f>('Old Data'!$I440-$B444)^2+('Old Data'!$S440-$C444)^2</f>
        <v>2715.2145963246112</v>
      </c>
      <c r="E444" s="75">
        <f>'Old Data'!$K440-'Old Data'!$U440</f>
        <v>182</v>
      </c>
      <c r="F444" s="72">
        <f>VLOOKUP('Old Data'!$F440,$V$6:$X$135,2,FALSE)+VLOOKUP('Old Data'!$P440,$V$6:$X$135,3,FALSE)+$C$2</f>
        <v>223.94817273266361</v>
      </c>
      <c r="G444" s="72">
        <f>VLOOKUP('Old Data'!$P440,$V$6:$X$135,2,FALSE)+VLOOKUP('Old Data'!$F440,$V$6:$X$135,3,FALSE)+$C$2</f>
        <v>110.4762046583356</v>
      </c>
      <c r="H444" s="74">
        <f>('Old Data'!$K440-$F444)^2+('Old Data'!$U440-$G444)^2</f>
        <v>2873.7157043999305</v>
      </c>
      <c r="I444" s="75">
        <f>('Old Data'!$L440+'Old Data'!$M440)-('Old Data'!$V440+'Old Data'!$W440)</f>
        <v>8</v>
      </c>
      <c r="J444" s="72">
        <f>VLOOKUP('Old Data'!$F440,$Z$6:$AB$135,2,FALSE)+VLOOKUP('Old Data'!$P440,$Z$6:$AB$135,3,FALSE)+$D$2</f>
        <v>22.436897468846873</v>
      </c>
      <c r="K444" s="72">
        <f>VLOOKUP('Old Data'!$P440,$Z$6:$AB$135,2,FALSE)+VLOOKUP('Old Data'!$F440,$Z$6:$AB$135,3,FALSE)+$D$2</f>
        <v>39.708828338723151</v>
      </c>
      <c r="L444" s="74">
        <f>('Old Data'!$L440+'Old Data'!$M440-$J444)^2+('Old Data'!$V440+'Old Data'!$W440-$K444)^2</f>
        <v>1785.2150565601801</v>
      </c>
      <c r="M444" s="75">
        <f>'Old Data'!$N440-'Old Data'!$X440</f>
        <v>0</v>
      </c>
      <c r="N444" s="72">
        <f>VLOOKUP('Old Data'!$F440,$AD$6:$AF$135,2,FALSE)+VLOOKUP('Old Data'!$P440,$AD$6:$AF$135,3,FALSE)+$E$2</f>
        <v>1.0136975323817632</v>
      </c>
      <c r="O444" s="72">
        <f>VLOOKUP('Old Data'!$P440,$AD$6:$AF$135,2,FALSE)+VLOOKUP('Old Data'!$F440,$AD$6:$AF$135,3,FALSE)+$E$2</f>
        <v>0.61454221265410214</v>
      </c>
      <c r="P444" s="73">
        <f>('Old Data'!$N440-$N444)^2+('Old Data'!$X440-$O444)^2</f>
        <v>1.4052448182906756</v>
      </c>
      <c r="Q444" s="62"/>
      <c r="R444" s="3"/>
      <c r="S444" s="3"/>
      <c r="T444" s="3"/>
      <c r="V444" s="3"/>
      <c r="W444" s="3"/>
      <c r="X444" s="3"/>
      <c r="Z444" s="3"/>
      <c r="AA444" s="3"/>
      <c r="AB444" s="3"/>
      <c r="AC444" s="3"/>
      <c r="AD444" s="3"/>
      <c r="AE444" s="3"/>
      <c r="AF444" s="3"/>
      <c r="AG444" s="3"/>
      <c r="AH444" s="37"/>
      <c r="AI444" s="1"/>
      <c r="AK444" s="10"/>
      <c r="AL444" s="10"/>
      <c r="AM444" s="10"/>
      <c r="AN444" s="11"/>
      <c r="AO444" s="11"/>
      <c r="AP444" s="11"/>
      <c r="AQ444" s="36"/>
      <c r="AR444" s="11"/>
      <c r="AS444" s="11"/>
      <c r="AT444" s="11"/>
      <c r="AU444" s="12"/>
      <c r="AV444" s="11"/>
      <c r="AW444" s="11"/>
      <c r="AX444" s="15"/>
      <c r="AY444" s="15"/>
      <c r="AZ444" s="15"/>
      <c r="BA444" s="15"/>
      <c r="BB444" s="15"/>
      <c r="BC444" s="15"/>
      <c r="BD444" s="15"/>
      <c r="BE444" s="12"/>
      <c r="BF444" s="11"/>
      <c r="BG444" s="11"/>
      <c r="BH444" s="10"/>
      <c r="BI444" s="10"/>
      <c r="BJ444" s="10"/>
      <c r="BK444" s="23"/>
      <c r="BL444" s="23"/>
      <c r="BM444" s="23"/>
      <c r="BN444" s="23"/>
      <c r="BO444" s="23"/>
      <c r="BP444" s="23"/>
      <c r="BQ444" s="23"/>
      <c r="BR444" s="10"/>
      <c r="BS444" s="16"/>
      <c r="BT444" s="16"/>
      <c r="BU444" s="16"/>
      <c r="BV444" s="16"/>
      <c r="BW444" s="11"/>
      <c r="BX444" s="16"/>
      <c r="BY444" s="16"/>
      <c r="BZ444" s="17"/>
      <c r="CA444" s="18"/>
      <c r="CB444" s="18"/>
      <c r="CC444" s="18"/>
      <c r="CD444" s="18"/>
      <c r="CE444" s="18"/>
      <c r="CF444" s="18"/>
      <c r="CG444" s="19"/>
      <c r="CH444" s="15"/>
      <c r="CI444" s="17"/>
      <c r="CJ444" s="10"/>
      <c r="CK444" s="10"/>
      <c r="CL444" s="10"/>
      <c r="CM444" s="17"/>
      <c r="CN444" s="17"/>
      <c r="CO444" s="10"/>
      <c r="CP444" s="10"/>
      <c r="CQ444" s="10"/>
      <c r="CR444" s="10"/>
      <c r="CS444" s="10"/>
      <c r="CT444" s="10"/>
      <c r="CU444" s="10"/>
      <c r="CV444" s="10"/>
      <c r="CW444" s="10"/>
      <c r="CX444" s="10"/>
      <c r="CY444" s="10"/>
      <c r="CZ444" s="10"/>
      <c r="DA444" s="34"/>
      <c r="DB444" s="34"/>
      <c r="DC444" s="34"/>
      <c r="DD444" s="34"/>
      <c r="DE444" s="34"/>
      <c r="DF444" s="34"/>
      <c r="DG444" s="34"/>
      <c r="DH444" s="34"/>
      <c r="DI444" s="34"/>
      <c r="DJ444" s="34"/>
      <c r="DK444" s="34"/>
      <c r="DL444" s="34"/>
      <c r="DM444" s="34"/>
      <c r="DN444" s="34"/>
      <c r="DO444" s="34"/>
      <c r="DP444" s="34"/>
      <c r="DQ444" s="34"/>
      <c r="DR444" s="34"/>
      <c r="DS444" s="34"/>
      <c r="DT444" s="34"/>
      <c r="DU444" s="34"/>
      <c r="DV444" s="34"/>
      <c r="DW444" s="34"/>
      <c r="DX444" s="34"/>
      <c r="DY444" s="34"/>
      <c r="DZ444" s="34"/>
      <c r="EA444" s="34"/>
      <c r="EB444" s="34"/>
      <c r="EC444" s="34"/>
      <c r="ED444" s="34"/>
      <c r="EE444" s="34"/>
    </row>
    <row r="445" spans="1:135" customFormat="1">
      <c r="A445" s="71">
        <f>'Old Data'!$I441-'Old Data'!$S441</f>
        <v>-24</v>
      </c>
      <c r="B445" s="72">
        <f>VLOOKUP('Old Data'!$F441,$R$6:$T$135,2,FALSE)+VLOOKUP('Old Data'!$P441,$R$6:$T$135,3,FALSE)+$B$2</f>
        <v>117.04313763987625</v>
      </c>
      <c r="C445" s="72">
        <f>VLOOKUP('Old Data'!$P441,$R$6:$T$135,2,FALSE)+VLOOKUP('Old Data'!$F441,$R$6:$T$135,3,FALSE)+$B$2</f>
        <v>211.30780613382271</v>
      </c>
      <c r="D445" s="74">
        <f>('Old Data'!$I441-$B445)^2+('Old Data'!$S441-$C445)^2</f>
        <v>3637.468701185795</v>
      </c>
      <c r="E445" s="75">
        <f>'Old Data'!$K441-'Old Data'!$U441</f>
        <v>-111</v>
      </c>
      <c r="F445" s="72">
        <f>VLOOKUP('Old Data'!$F441,$V$6:$X$135,2,FALSE)+VLOOKUP('Old Data'!$P441,$V$6:$X$135,3,FALSE)+$C$2</f>
        <v>207.90999280427189</v>
      </c>
      <c r="G445" s="72">
        <f>VLOOKUP('Old Data'!$P441,$V$6:$X$135,2,FALSE)+VLOOKUP('Old Data'!$F441,$V$6:$X$135,3,FALSE)+$C$2</f>
        <v>258.57565438234394</v>
      </c>
      <c r="H445" s="74">
        <f>('Old Data'!$K441-$F445)^2+('Old Data'!$U441-$G445)^2</f>
        <v>6672.6550515258323</v>
      </c>
      <c r="I445" s="75">
        <f>('Old Data'!$L441+'Old Data'!$M441)-('Old Data'!$V441+'Old Data'!$W441)</f>
        <v>106</v>
      </c>
      <c r="J445" s="72">
        <f>VLOOKUP('Old Data'!$F441,$Z$6:$AB$135,2,FALSE)+VLOOKUP('Old Data'!$P441,$Z$6:$AB$135,3,FALSE)+$D$2</f>
        <v>105.24170917939247</v>
      </c>
      <c r="K445" s="72">
        <f>VLOOKUP('Old Data'!$P441,$Z$6:$AB$135,2,FALSE)+VLOOKUP('Old Data'!$F441,$Z$6:$AB$135,3,FALSE)+$D$2</f>
        <v>47.05838178370194</v>
      </c>
      <c r="L445" s="74">
        <f>('Old Data'!$L441+'Old Data'!$M441-$J445)^2+('Old Data'!$V441+'Old Data'!$W441-$K445)^2</f>
        <v>1245.4633902502469</v>
      </c>
      <c r="M445" s="75">
        <f>'Old Data'!$N441-'Old Data'!$X441</f>
        <v>-1</v>
      </c>
      <c r="N445" s="72">
        <f>VLOOKUP('Old Data'!$F441,$AD$6:$AF$135,2,FALSE)+VLOOKUP('Old Data'!$P441,$AD$6:$AF$135,3,FALSE)+$E$2</f>
        <v>1.0106074729523442</v>
      </c>
      <c r="O445" s="72">
        <f>VLOOKUP('Old Data'!$P441,$AD$6:$AF$135,2,FALSE)+VLOOKUP('Old Data'!$F441,$AD$6:$AF$135,3,FALSE)+$E$2</f>
        <v>1.410529975487637</v>
      </c>
      <c r="P445" s="73">
        <f>('Old Data'!$N441-$N445)^2+('Old Data'!$X441-$O445)^2</f>
        <v>0.3475874282810405</v>
      </c>
      <c r="Q445" s="62"/>
      <c r="R445" s="3"/>
      <c r="S445" s="3"/>
      <c r="T445" s="3"/>
      <c r="V445" s="3"/>
      <c r="W445" s="3"/>
      <c r="X445" s="3"/>
      <c r="Z445" s="3"/>
      <c r="AA445" s="3"/>
      <c r="AB445" s="3"/>
      <c r="AC445" s="3"/>
      <c r="AD445" s="3"/>
      <c r="AE445" s="3"/>
      <c r="AF445" s="3"/>
      <c r="AG445" s="3"/>
      <c r="AH445" s="37"/>
      <c r="AI445" s="1"/>
      <c r="AK445" s="10"/>
      <c r="AL445" s="10"/>
      <c r="AM445" s="10"/>
      <c r="AN445" s="11"/>
      <c r="AO445" s="11"/>
      <c r="AP445" s="11"/>
      <c r="AQ445" s="36"/>
      <c r="AR445" s="11"/>
      <c r="AS445" s="11"/>
      <c r="AT445" s="11"/>
      <c r="AU445" s="12"/>
      <c r="AV445" s="11"/>
      <c r="AW445" s="11"/>
      <c r="AX445" s="15"/>
      <c r="AY445" s="15"/>
      <c r="AZ445" s="15"/>
      <c r="BA445" s="15"/>
      <c r="BB445" s="15"/>
      <c r="BC445" s="15"/>
      <c r="BD445" s="15"/>
      <c r="BE445" s="12"/>
      <c r="BF445" s="11"/>
      <c r="BG445" s="11"/>
      <c r="BH445" s="10"/>
      <c r="BI445" s="10"/>
      <c r="BJ445" s="10"/>
      <c r="BK445" s="23"/>
      <c r="BL445" s="23"/>
      <c r="BM445" s="23"/>
      <c r="BN445" s="23"/>
      <c r="BO445" s="23"/>
      <c r="BP445" s="23"/>
      <c r="BQ445" s="23"/>
      <c r="BR445" s="10"/>
      <c r="BS445" s="16"/>
      <c r="BT445" s="16"/>
      <c r="BU445" s="16"/>
      <c r="BV445" s="16"/>
      <c r="BW445" s="11"/>
      <c r="BX445" s="16"/>
      <c r="BY445" s="16"/>
      <c r="BZ445" s="17"/>
      <c r="CA445" s="18"/>
      <c r="CB445" s="18"/>
      <c r="CC445" s="18"/>
      <c r="CD445" s="18"/>
      <c r="CE445" s="18"/>
      <c r="CF445" s="18"/>
      <c r="CG445" s="19"/>
      <c r="CH445" s="15"/>
      <c r="CI445" s="17"/>
      <c r="CJ445" s="10"/>
      <c r="CK445" s="10"/>
      <c r="CL445" s="10"/>
      <c r="CM445" s="17"/>
      <c r="CN445" s="17"/>
      <c r="CO445" s="10"/>
      <c r="CP445" s="10"/>
      <c r="CQ445" s="10"/>
      <c r="CR445" s="10"/>
      <c r="CS445" s="10"/>
      <c r="CT445" s="10"/>
      <c r="CU445" s="10"/>
      <c r="CV445" s="10"/>
      <c r="CW445" s="10"/>
      <c r="CX445" s="10"/>
      <c r="CY445" s="10"/>
      <c r="CZ445" s="10"/>
      <c r="DA445" s="34"/>
      <c r="DB445" s="34"/>
      <c r="DC445" s="34"/>
      <c r="DD445" s="34"/>
      <c r="DE445" s="34"/>
      <c r="DF445" s="34"/>
      <c r="DG445" s="34"/>
      <c r="DH445" s="34"/>
      <c r="DI445" s="34"/>
      <c r="DJ445" s="34"/>
      <c r="DK445" s="34"/>
      <c r="DL445" s="34"/>
      <c r="DM445" s="34"/>
      <c r="DN445" s="34"/>
      <c r="DO445" s="34"/>
      <c r="DP445" s="34"/>
      <c r="DQ445" s="34"/>
      <c r="DR445" s="34"/>
      <c r="DS445" s="34"/>
      <c r="DT445" s="34"/>
      <c r="DU445" s="34"/>
      <c r="DV445" s="34"/>
      <c r="DW445" s="34"/>
      <c r="DX445" s="34"/>
      <c r="DY445" s="34"/>
      <c r="DZ445" s="34"/>
      <c r="EA445" s="34"/>
      <c r="EB445" s="34"/>
      <c r="EC445" s="34"/>
      <c r="ED445" s="34"/>
      <c r="EE445" s="34"/>
    </row>
    <row r="446" spans="1:135" customFormat="1">
      <c r="A446" s="71">
        <f>'Old Data'!$I442-'Old Data'!$S442</f>
        <v>269</v>
      </c>
      <c r="B446" s="72">
        <f>VLOOKUP('Old Data'!$F442,$R$6:$T$135,2,FALSE)+VLOOKUP('Old Data'!$P442,$R$6:$T$135,3,FALSE)+$B$2</f>
        <v>278.38674696749268</v>
      </c>
      <c r="C446" s="72">
        <f>VLOOKUP('Old Data'!$P442,$R$6:$T$135,2,FALSE)+VLOOKUP('Old Data'!$F442,$R$6:$T$135,3,FALSE)+$B$2</f>
        <v>164.8463428609584</v>
      </c>
      <c r="D446" s="74">
        <f>('Old Data'!$I442-$B446)^2+('Old Data'!$S442-$C446)^2</f>
        <v>15761.824417867103</v>
      </c>
      <c r="E446" s="75">
        <f>'Old Data'!$K442-'Old Data'!$U442</f>
        <v>39</v>
      </c>
      <c r="F446" s="72">
        <f>VLOOKUP('Old Data'!$F442,$V$6:$X$135,2,FALSE)+VLOOKUP('Old Data'!$P442,$V$6:$X$135,3,FALSE)+$C$2</f>
        <v>267.9883551567022</v>
      </c>
      <c r="G446" s="72">
        <f>VLOOKUP('Old Data'!$P442,$V$6:$X$135,2,FALSE)+VLOOKUP('Old Data'!$F442,$V$6:$X$135,3,FALSE)+$C$2</f>
        <v>155.9299872701807</v>
      </c>
      <c r="H446" s="74">
        <f>('Old Data'!$K442-$F446)^2+('Old Data'!$U442-$G446)^2</f>
        <v>9044.0385873385494</v>
      </c>
      <c r="I446" s="75">
        <f>('Old Data'!$L442+'Old Data'!$M442)-('Old Data'!$V442+'Old Data'!$W442)</f>
        <v>-19</v>
      </c>
      <c r="J446" s="72">
        <f>VLOOKUP('Old Data'!$F442,$Z$6:$AB$135,2,FALSE)+VLOOKUP('Old Data'!$P442,$Z$6:$AB$135,3,FALSE)+$D$2</f>
        <v>51.750914700466936</v>
      </c>
      <c r="K446" s="72">
        <f>VLOOKUP('Old Data'!$P442,$Z$6:$AB$135,2,FALSE)+VLOOKUP('Old Data'!$F442,$Z$6:$AB$135,3,FALSE)+$D$2</f>
        <v>87.394787044592107</v>
      </c>
      <c r="L446" s="74">
        <f>('Old Data'!$L442+'Old Data'!$M442-$J446)^2+('Old Data'!$V442+'Old Data'!$W442-$K446)^2</f>
        <v>1014.4003845105442</v>
      </c>
      <c r="M446" s="75">
        <f>'Old Data'!$N442-'Old Data'!$X442</f>
        <v>2</v>
      </c>
      <c r="N446" s="72">
        <f>VLOOKUP('Old Data'!$F442,$AD$6:$AF$135,2,FALSE)+VLOOKUP('Old Data'!$P442,$AD$6:$AF$135,3,FALSE)+$E$2</f>
        <v>2.3927802280523913</v>
      </c>
      <c r="O446" s="72">
        <f>VLOOKUP('Old Data'!$P442,$AD$6:$AF$135,2,FALSE)+VLOOKUP('Old Data'!$F442,$AD$6:$AF$135,3,FALSE)+$E$2</f>
        <v>1.250518054940948</v>
      </c>
      <c r="P446" s="73">
        <f>('Old Data'!$N442-$N446)^2+('Old Data'!$X442-$O446)^2</f>
        <v>1.7180717132821806</v>
      </c>
      <c r="Q446" s="62"/>
      <c r="R446" s="3"/>
      <c r="S446" s="3"/>
      <c r="T446" s="3"/>
      <c r="V446" s="3"/>
      <c r="W446" s="3"/>
      <c r="X446" s="3"/>
      <c r="Z446" s="3"/>
      <c r="AA446" s="3"/>
      <c r="AB446" s="3"/>
      <c r="AC446" s="3"/>
      <c r="AD446" s="3"/>
      <c r="AE446" s="3"/>
      <c r="AF446" s="3"/>
      <c r="AG446" s="3"/>
      <c r="AH446" s="37"/>
      <c r="AI446" s="1"/>
      <c r="AK446" s="10"/>
      <c r="AL446" s="10"/>
      <c r="AM446" s="10"/>
      <c r="AN446" s="11"/>
      <c r="AO446" s="11"/>
      <c r="AP446" s="11"/>
      <c r="AQ446" s="36"/>
      <c r="AR446" s="11"/>
      <c r="AS446" s="11"/>
      <c r="AT446" s="11"/>
      <c r="AU446" s="12"/>
      <c r="AV446" s="11"/>
      <c r="AW446" s="11"/>
      <c r="AX446" s="15"/>
      <c r="AY446" s="15"/>
      <c r="AZ446" s="15"/>
      <c r="BA446" s="15"/>
      <c r="BB446" s="15"/>
      <c r="BC446" s="15"/>
      <c r="BD446" s="15"/>
      <c r="BE446" s="12"/>
      <c r="BF446" s="11"/>
      <c r="BG446" s="11"/>
      <c r="BH446" s="10"/>
      <c r="BI446" s="10"/>
      <c r="BJ446" s="10"/>
      <c r="BK446" s="23"/>
      <c r="BL446" s="23"/>
      <c r="BM446" s="23"/>
      <c r="BN446" s="23"/>
      <c r="BO446" s="23"/>
      <c r="BP446" s="23"/>
      <c r="BQ446" s="23"/>
      <c r="BR446" s="10"/>
      <c r="BS446" s="16"/>
      <c r="BT446" s="16"/>
      <c r="BU446" s="16"/>
      <c r="BV446" s="16"/>
      <c r="BW446" s="11"/>
      <c r="BX446" s="16"/>
      <c r="BY446" s="16"/>
      <c r="BZ446" s="17"/>
      <c r="CA446" s="18"/>
      <c r="CB446" s="18"/>
      <c r="CC446" s="18"/>
      <c r="CD446" s="18"/>
      <c r="CE446" s="18"/>
      <c r="CF446" s="18"/>
      <c r="CG446" s="19"/>
      <c r="CH446" s="15"/>
      <c r="CI446" s="17"/>
      <c r="CJ446" s="10"/>
      <c r="CK446" s="10"/>
      <c r="CL446" s="10"/>
      <c r="CM446" s="17"/>
      <c r="CN446" s="17"/>
      <c r="CO446" s="10"/>
      <c r="CP446" s="10"/>
      <c r="CQ446" s="10"/>
      <c r="CR446" s="10"/>
      <c r="CS446" s="10"/>
      <c r="CT446" s="10"/>
      <c r="CU446" s="10"/>
      <c r="CV446" s="10"/>
      <c r="CW446" s="10"/>
      <c r="CX446" s="10"/>
      <c r="CY446" s="10"/>
      <c r="CZ446" s="10"/>
      <c r="DA446" s="34"/>
      <c r="DB446" s="34"/>
      <c r="DC446" s="34"/>
      <c r="DD446" s="34"/>
      <c r="DE446" s="34"/>
      <c r="DF446" s="34"/>
      <c r="DG446" s="34"/>
      <c r="DH446" s="34"/>
      <c r="DI446" s="34"/>
      <c r="DJ446" s="34"/>
      <c r="DK446" s="34"/>
      <c r="DL446" s="34"/>
      <c r="DM446" s="34"/>
      <c r="DN446" s="34"/>
      <c r="DO446" s="34"/>
      <c r="DP446" s="34"/>
      <c r="DQ446" s="34"/>
      <c r="DR446" s="34"/>
      <c r="DS446" s="34"/>
      <c r="DT446" s="34"/>
      <c r="DU446" s="34"/>
      <c r="DV446" s="34"/>
      <c r="DW446" s="34"/>
      <c r="DX446" s="34"/>
      <c r="DY446" s="34"/>
      <c r="DZ446" s="34"/>
      <c r="EA446" s="34"/>
      <c r="EB446" s="34"/>
      <c r="EC446" s="34"/>
      <c r="ED446" s="34"/>
      <c r="EE446" s="34"/>
    </row>
    <row r="447" spans="1:135" customFormat="1">
      <c r="A447" s="71">
        <f>'Old Data'!$I443-'Old Data'!$S443</f>
        <v>177</v>
      </c>
      <c r="B447" s="72">
        <f>VLOOKUP('Old Data'!$F443,$R$6:$T$135,2,FALSE)+VLOOKUP('Old Data'!$P443,$R$6:$T$135,3,FALSE)+$B$2</f>
        <v>214.30534567553531</v>
      </c>
      <c r="C447" s="72">
        <f>VLOOKUP('Old Data'!$P443,$R$6:$T$135,2,FALSE)+VLOOKUP('Old Data'!$F443,$R$6:$T$135,3,FALSE)+$B$2</f>
        <v>52.769753231652601</v>
      </c>
      <c r="D447" s="74">
        <f>('Old Data'!$I443-$B447)^2+('Old Data'!$S443-$C447)^2</f>
        <v>2706.16964913625</v>
      </c>
      <c r="E447" s="75">
        <f>'Old Data'!$K443-'Old Data'!$U443</f>
        <v>-33</v>
      </c>
      <c r="F447" s="72">
        <f>VLOOKUP('Old Data'!$F443,$V$6:$X$135,2,FALSE)+VLOOKUP('Old Data'!$P443,$V$6:$X$135,3,FALSE)+$C$2</f>
        <v>175.6584201002685</v>
      </c>
      <c r="G447" s="72">
        <f>VLOOKUP('Old Data'!$P443,$V$6:$X$135,2,FALSE)+VLOOKUP('Old Data'!$F443,$V$6:$X$135,3,FALSE)+$C$2</f>
        <v>273.31604330696644</v>
      </c>
      <c r="H447" s="74">
        <f>('Old Data'!$K443-$F447)^2+('Old Data'!$U443-$G447)^2</f>
        <v>2428.9683968403383</v>
      </c>
      <c r="I447" s="75">
        <f>('Old Data'!$L443+'Old Data'!$M443)-('Old Data'!$V443+'Old Data'!$W443)</f>
        <v>40</v>
      </c>
      <c r="J447" s="72">
        <f>VLOOKUP('Old Data'!$F443,$Z$6:$AB$135,2,FALSE)+VLOOKUP('Old Data'!$P443,$Z$6:$AB$135,3,FALSE)+$D$2</f>
        <v>42.692904852210702</v>
      </c>
      <c r="K447" s="72">
        <f>VLOOKUP('Old Data'!$P443,$Z$6:$AB$135,2,FALSE)+VLOOKUP('Old Data'!$F443,$Z$6:$AB$135,3,FALSE)+$D$2</f>
        <v>56.377032251934509</v>
      </c>
      <c r="L447" s="74">
        <f>('Old Data'!$L443+'Old Data'!$M443-$J447)^2+('Old Data'!$V443+'Old Data'!$W443-$K447)^2</f>
        <v>1755.2436405377866</v>
      </c>
      <c r="M447" s="75">
        <f>'Old Data'!$N443-'Old Data'!$X443</f>
        <v>1</v>
      </c>
      <c r="N447" s="72">
        <f>VLOOKUP('Old Data'!$F443,$AD$6:$AF$135,2,FALSE)+VLOOKUP('Old Data'!$P443,$AD$6:$AF$135,3,FALSE)+$E$2</f>
        <v>2.0129167756641984</v>
      </c>
      <c r="O447" s="72">
        <f>VLOOKUP('Old Data'!$P443,$AD$6:$AF$135,2,FALSE)+VLOOKUP('Old Data'!$F443,$AD$6:$AF$135,3,FALSE)+$E$2</f>
        <v>1.106615662221281</v>
      </c>
      <c r="P447" s="73">
        <f>('Old Data'!$N443-$N447)^2+('Old Data'!$X443-$O447)^2</f>
        <v>1.1533742524441521E-2</v>
      </c>
      <c r="Q447" s="62"/>
      <c r="R447" s="3"/>
      <c r="S447" s="3"/>
      <c r="T447" s="3"/>
      <c r="V447" s="3"/>
      <c r="W447" s="3"/>
      <c r="X447" s="3"/>
      <c r="Z447" s="3"/>
      <c r="AA447" s="3"/>
      <c r="AB447" s="3"/>
      <c r="AC447" s="3"/>
      <c r="AD447" s="3"/>
      <c r="AE447" s="3"/>
      <c r="AF447" s="3"/>
      <c r="AG447" s="3"/>
      <c r="AH447" s="37"/>
      <c r="AI447" s="1"/>
      <c r="AK447" s="10"/>
      <c r="AL447" s="10"/>
      <c r="AM447" s="10"/>
      <c r="AN447" s="11"/>
      <c r="AO447" s="11"/>
      <c r="AP447" s="11"/>
      <c r="AQ447" s="36"/>
      <c r="AR447" s="11"/>
      <c r="AS447" s="11"/>
      <c r="AT447" s="11"/>
      <c r="AU447" s="12"/>
      <c r="AV447" s="11"/>
      <c r="AW447" s="11"/>
      <c r="AX447" s="15"/>
      <c r="AY447" s="15"/>
      <c r="AZ447" s="15"/>
      <c r="BA447" s="15"/>
      <c r="BB447" s="15"/>
      <c r="BC447" s="15"/>
      <c r="BD447" s="15"/>
      <c r="BE447" s="12"/>
      <c r="BF447" s="11"/>
      <c r="BG447" s="11"/>
      <c r="BH447" s="10"/>
      <c r="BI447" s="10"/>
      <c r="BJ447" s="10"/>
      <c r="BK447" s="23"/>
      <c r="BL447" s="23"/>
      <c r="BM447" s="23"/>
      <c r="BN447" s="23"/>
      <c r="BO447" s="23"/>
      <c r="BP447" s="23"/>
      <c r="BQ447" s="23"/>
      <c r="BR447" s="10"/>
      <c r="BS447" s="16"/>
      <c r="BT447" s="16"/>
      <c r="BU447" s="16"/>
      <c r="BV447" s="16"/>
      <c r="BW447" s="11"/>
      <c r="BX447" s="16"/>
      <c r="BY447" s="16"/>
      <c r="BZ447" s="17"/>
      <c r="CA447" s="18"/>
      <c r="CB447" s="18"/>
      <c r="CC447" s="18"/>
      <c r="CD447" s="18"/>
      <c r="CE447" s="18"/>
      <c r="CF447" s="18"/>
      <c r="CG447" s="19"/>
      <c r="CH447" s="15"/>
      <c r="CI447" s="17"/>
      <c r="CJ447" s="10"/>
      <c r="CK447" s="10"/>
      <c r="CL447" s="10"/>
      <c r="CM447" s="17"/>
      <c r="CN447" s="17"/>
      <c r="CO447" s="10"/>
      <c r="CP447" s="10"/>
      <c r="CQ447" s="10"/>
      <c r="CR447" s="10"/>
      <c r="CS447" s="10"/>
      <c r="CT447" s="10"/>
      <c r="CU447" s="10"/>
      <c r="CV447" s="10"/>
      <c r="CW447" s="10"/>
      <c r="CX447" s="10"/>
      <c r="CY447" s="10"/>
      <c r="CZ447" s="10"/>
      <c r="DA447" s="34"/>
      <c r="DB447" s="34"/>
      <c r="DC447" s="34"/>
      <c r="DD447" s="34"/>
      <c r="DE447" s="34"/>
      <c r="DF447" s="34"/>
      <c r="DG447" s="34"/>
      <c r="DH447" s="34"/>
      <c r="DI447" s="34"/>
      <c r="DJ447" s="34"/>
      <c r="DK447" s="34"/>
      <c r="DL447" s="34"/>
      <c r="DM447" s="34"/>
      <c r="DN447" s="34"/>
      <c r="DO447" s="34"/>
      <c r="DP447" s="34"/>
      <c r="DQ447" s="34"/>
      <c r="DR447" s="34"/>
      <c r="DS447" s="34"/>
      <c r="DT447" s="34"/>
      <c r="DU447" s="34"/>
      <c r="DV447" s="34"/>
      <c r="DW447" s="34"/>
      <c r="DX447" s="34"/>
      <c r="DY447" s="34"/>
      <c r="DZ447" s="34"/>
      <c r="EA447" s="34"/>
      <c r="EB447" s="34"/>
      <c r="EC447" s="34"/>
      <c r="ED447" s="34"/>
      <c r="EE447" s="34"/>
    </row>
    <row r="448" spans="1:135" customFormat="1">
      <c r="A448" s="71">
        <f>'Old Data'!$I444-'Old Data'!$S444</f>
        <v>-140</v>
      </c>
      <c r="B448" s="72">
        <f>VLOOKUP('Old Data'!$F444,$R$6:$T$135,2,FALSE)+VLOOKUP('Old Data'!$P444,$R$6:$T$135,3,FALSE)+$B$2</f>
        <v>132.1876554799795</v>
      </c>
      <c r="C448" s="72">
        <f>VLOOKUP('Old Data'!$P444,$R$6:$T$135,2,FALSE)+VLOOKUP('Old Data'!$F444,$R$6:$T$135,3,FALSE)+$B$2</f>
        <v>188.99789292201692</v>
      </c>
      <c r="D448" s="74">
        <f>('Old Data'!$I444-$B448)^2+('Old Data'!$S444-$C448)^2</f>
        <v>6725.7560907681282</v>
      </c>
      <c r="E448" s="75">
        <f>'Old Data'!$K444-'Old Data'!$U444</f>
        <v>90</v>
      </c>
      <c r="F448" s="72">
        <f>VLOOKUP('Old Data'!$F444,$V$6:$X$135,2,FALSE)+VLOOKUP('Old Data'!$P444,$V$6:$X$135,3,FALSE)+$C$2</f>
        <v>291.29574952011205</v>
      </c>
      <c r="G448" s="72">
        <f>VLOOKUP('Old Data'!$P444,$V$6:$X$135,2,FALSE)+VLOOKUP('Old Data'!$F444,$V$6:$X$135,3,FALSE)+$C$2</f>
        <v>139.19350400032243</v>
      </c>
      <c r="H448" s="74">
        <f>('Old Data'!$K444-$F448)^2+('Old Data'!$U444-$G448)^2</f>
        <v>2874.9369789046264</v>
      </c>
      <c r="I448" s="75">
        <f>('Old Data'!$L444+'Old Data'!$M444)-('Old Data'!$V444+'Old Data'!$W444)</f>
        <v>125</v>
      </c>
      <c r="J448" s="72">
        <f>VLOOKUP('Old Data'!$F444,$Z$6:$AB$135,2,FALSE)+VLOOKUP('Old Data'!$P444,$Z$6:$AB$135,3,FALSE)+$D$2</f>
        <v>57.321788675113986</v>
      </c>
      <c r="K448" s="72">
        <f>VLOOKUP('Old Data'!$P444,$Z$6:$AB$135,2,FALSE)+VLOOKUP('Old Data'!$F444,$Z$6:$AB$135,3,FALSE)+$D$2</f>
        <v>64.6914861083727</v>
      </c>
      <c r="L448" s="74">
        <f>('Old Data'!$L444+'Old Data'!$M444-$J448)^2+('Old Data'!$V444+'Old Data'!$W444-$K448)^2</f>
        <v>10060.691473438346</v>
      </c>
      <c r="M448" s="75">
        <f>'Old Data'!$N444-'Old Data'!$X444</f>
        <v>-1</v>
      </c>
      <c r="N448" s="72">
        <f>VLOOKUP('Old Data'!$F444,$AD$6:$AF$135,2,FALSE)+VLOOKUP('Old Data'!$P444,$AD$6:$AF$135,3,FALSE)+$E$2</f>
        <v>1.2318197638826582</v>
      </c>
      <c r="O448" s="72">
        <f>VLOOKUP('Old Data'!$P444,$AD$6:$AF$135,2,FALSE)+VLOOKUP('Old Data'!$F444,$AD$6:$AF$135,3,FALSE)+$E$2</f>
        <v>0.87901786459293507</v>
      </c>
      <c r="P448" s="73">
        <f>('Old Data'!$N444-$N448)^2+('Old Data'!$X444-$O448)^2</f>
        <v>1.5320166077795812</v>
      </c>
      <c r="Q448" s="62"/>
      <c r="R448" s="3"/>
      <c r="S448" s="3"/>
      <c r="T448" s="3"/>
      <c r="V448" s="3"/>
      <c r="W448" s="3"/>
      <c r="X448" s="3"/>
      <c r="Z448" s="3"/>
      <c r="AA448" s="3"/>
      <c r="AB448" s="3"/>
      <c r="AC448" s="3"/>
      <c r="AD448" s="3"/>
      <c r="AE448" s="3"/>
      <c r="AF448" s="3"/>
      <c r="AG448" s="3"/>
      <c r="AH448" s="37"/>
      <c r="AI448" s="1"/>
      <c r="AK448" s="10"/>
      <c r="AL448" s="10"/>
      <c r="AM448" s="10"/>
      <c r="AN448" s="11"/>
      <c r="AO448" s="11"/>
      <c r="AP448" s="11"/>
      <c r="AQ448" s="36"/>
      <c r="AR448" s="11"/>
      <c r="AS448" s="11"/>
      <c r="AT448" s="11"/>
      <c r="AU448" s="12"/>
      <c r="AV448" s="11"/>
      <c r="AW448" s="11"/>
      <c r="AX448" s="15"/>
      <c r="AY448" s="15"/>
      <c r="AZ448" s="15"/>
      <c r="BA448" s="15"/>
      <c r="BB448" s="15"/>
      <c r="BC448" s="15"/>
      <c r="BD448" s="15"/>
      <c r="BE448" s="12"/>
      <c r="BF448" s="11"/>
      <c r="BG448" s="11"/>
      <c r="BH448" s="10"/>
      <c r="BI448" s="10"/>
      <c r="BJ448" s="10"/>
      <c r="BK448" s="23"/>
      <c r="BL448" s="23"/>
      <c r="BM448" s="23"/>
      <c r="BN448" s="23"/>
      <c r="BO448" s="23"/>
      <c r="BP448" s="23"/>
      <c r="BQ448" s="23"/>
      <c r="BR448" s="10"/>
      <c r="BS448" s="16"/>
      <c r="BT448" s="16"/>
      <c r="BU448" s="16"/>
      <c r="BV448" s="16"/>
      <c r="BW448" s="11"/>
      <c r="BX448" s="16"/>
      <c r="BY448" s="16"/>
      <c r="BZ448" s="17"/>
      <c r="CA448" s="18"/>
      <c r="CB448" s="18"/>
      <c r="CC448" s="18"/>
      <c r="CD448" s="18"/>
      <c r="CE448" s="18"/>
      <c r="CF448" s="18"/>
      <c r="CG448" s="19"/>
      <c r="CH448" s="15"/>
      <c r="CI448" s="17"/>
      <c r="CJ448" s="10"/>
      <c r="CK448" s="10"/>
      <c r="CL448" s="10"/>
      <c r="CM448" s="17"/>
      <c r="CN448" s="17"/>
      <c r="CO448" s="10"/>
      <c r="CP448" s="10"/>
      <c r="CQ448" s="10"/>
      <c r="CR448" s="10"/>
      <c r="CS448" s="10"/>
      <c r="CT448" s="10"/>
      <c r="CU448" s="10"/>
      <c r="CV448" s="10"/>
      <c r="CW448" s="10"/>
      <c r="CX448" s="10"/>
      <c r="CY448" s="10"/>
      <c r="CZ448" s="10"/>
      <c r="DA448" s="34"/>
      <c r="DB448" s="34"/>
      <c r="DC448" s="34"/>
      <c r="DD448" s="34"/>
      <c r="DE448" s="34"/>
      <c r="DF448" s="34"/>
      <c r="DG448" s="34"/>
      <c r="DH448" s="34"/>
      <c r="DI448" s="34"/>
      <c r="DJ448" s="34"/>
      <c r="DK448" s="34"/>
      <c r="DL448" s="34"/>
      <c r="DM448" s="34"/>
      <c r="DN448" s="34"/>
      <c r="DO448" s="34"/>
      <c r="DP448" s="34"/>
      <c r="DQ448" s="34"/>
      <c r="DR448" s="34"/>
      <c r="DS448" s="34"/>
      <c r="DT448" s="34"/>
      <c r="DU448" s="34"/>
      <c r="DV448" s="34"/>
      <c r="DW448" s="34"/>
      <c r="DX448" s="34"/>
      <c r="DY448" s="34"/>
      <c r="DZ448" s="34"/>
      <c r="EA448" s="34"/>
      <c r="EB448" s="34"/>
      <c r="EC448" s="34"/>
      <c r="ED448" s="34"/>
      <c r="EE448" s="34"/>
    </row>
    <row r="449" spans="1:135" customFormat="1">
      <c r="A449" s="71">
        <f>'Old Data'!$I445-'Old Data'!$S445</f>
        <v>-129</v>
      </c>
      <c r="B449" s="72">
        <f>VLOOKUP('Old Data'!$F445,$R$6:$T$135,2,FALSE)+VLOOKUP('Old Data'!$P445,$R$6:$T$135,3,FALSE)+$B$2</f>
        <v>149.22015637415112</v>
      </c>
      <c r="C449" s="72">
        <f>VLOOKUP('Old Data'!$P445,$R$6:$T$135,2,FALSE)+VLOOKUP('Old Data'!$F445,$R$6:$T$135,3,FALSE)+$B$2</f>
        <v>266.7301278326355</v>
      </c>
      <c r="D449" s="74">
        <f>('Old Data'!$I445-$B449)^2+('Old Data'!$S445-$C449)^2</f>
        <v>6456.1294984055812</v>
      </c>
      <c r="E449" s="75">
        <f>'Old Data'!$K445-'Old Data'!$U445</f>
        <v>26</v>
      </c>
      <c r="F449" s="72">
        <f>VLOOKUP('Old Data'!$F445,$V$6:$X$135,2,FALSE)+VLOOKUP('Old Data'!$P445,$V$6:$X$135,3,FALSE)+$C$2</f>
        <v>214.53078780463051</v>
      </c>
      <c r="G449" s="72">
        <f>VLOOKUP('Old Data'!$P445,$V$6:$X$135,2,FALSE)+VLOOKUP('Old Data'!$F445,$V$6:$X$135,3,FALSE)+$C$2</f>
        <v>287.34334613027033</v>
      </c>
      <c r="H449" s="74">
        <f>('Old Data'!$K445-$F449)^2+('Old Data'!$U445-$G449)^2</f>
        <v>6125.6754593072001</v>
      </c>
      <c r="I449" s="75">
        <f>('Old Data'!$L445+'Old Data'!$M445)-('Old Data'!$V445+'Old Data'!$W445)</f>
        <v>56</v>
      </c>
      <c r="J449" s="72">
        <f>VLOOKUP('Old Data'!$F445,$Z$6:$AB$135,2,FALSE)+VLOOKUP('Old Data'!$P445,$Z$6:$AB$135,3,FALSE)+$D$2</f>
        <v>136.02218045195497</v>
      </c>
      <c r="K449" s="72">
        <f>VLOOKUP('Old Data'!$P445,$Z$6:$AB$135,2,FALSE)+VLOOKUP('Old Data'!$F445,$Z$6:$AB$135,3,FALSE)+$D$2</f>
        <v>96.567303522734903</v>
      </c>
      <c r="L449" s="74">
        <f>('Old Data'!$L445+'Old Data'!$M445-$J449)^2+('Old Data'!$V445+'Old Data'!$W445-$K449)^2</f>
        <v>569.35977515113927</v>
      </c>
      <c r="M449" s="75">
        <f>'Old Data'!$N445-'Old Data'!$X445</f>
        <v>-2</v>
      </c>
      <c r="N449" s="72">
        <f>VLOOKUP('Old Data'!$F445,$AD$6:$AF$135,2,FALSE)+VLOOKUP('Old Data'!$P445,$AD$6:$AF$135,3,FALSE)+$E$2</f>
        <v>2.088973939593211</v>
      </c>
      <c r="O449" s="72">
        <f>VLOOKUP('Old Data'!$P445,$AD$6:$AF$135,2,FALSE)+VLOOKUP('Old Data'!$F445,$AD$6:$AF$135,3,FALSE)+$E$2</f>
        <v>1.462452836781555</v>
      </c>
      <c r="P449" s="73">
        <f>('Old Data'!$N445-$N449)^2+('Old Data'!$X445-$O449)^2</f>
        <v>3.5499155202342458</v>
      </c>
      <c r="Q449" s="62"/>
      <c r="R449" s="3"/>
      <c r="S449" s="3"/>
      <c r="T449" s="3"/>
      <c r="V449" s="3"/>
      <c r="W449" s="3"/>
      <c r="X449" s="3"/>
      <c r="Z449" s="3"/>
      <c r="AA449" s="3"/>
      <c r="AB449" s="3"/>
      <c r="AC449" s="3"/>
      <c r="AD449" s="3"/>
      <c r="AE449" s="3"/>
      <c r="AF449" s="3"/>
      <c r="AG449" s="3"/>
      <c r="AH449" s="37"/>
      <c r="AI449" s="1"/>
      <c r="AK449" s="10"/>
      <c r="AL449" s="10"/>
      <c r="AM449" s="10"/>
      <c r="AN449" s="11"/>
      <c r="AO449" s="11"/>
      <c r="AP449" s="11"/>
      <c r="AQ449" s="36"/>
      <c r="AR449" s="11"/>
      <c r="AS449" s="11"/>
      <c r="AT449" s="11"/>
      <c r="AU449" s="12"/>
      <c r="AV449" s="11"/>
      <c r="AW449" s="11"/>
      <c r="AX449" s="15"/>
      <c r="AY449" s="15"/>
      <c r="AZ449" s="15"/>
      <c r="BA449" s="15"/>
      <c r="BB449" s="15"/>
      <c r="BC449" s="15"/>
      <c r="BD449" s="15"/>
      <c r="BE449" s="12"/>
      <c r="BF449" s="11"/>
      <c r="BG449" s="11"/>
      <c r="BH449" s="10"/>
      <c r="BI449" s="10"/>
      <c r="BJ449" s="10"/>
      <c r="BK449" s="23"/>
      <c r="BL449" s="23"/>
      <c r="BM449" s="23"/>
      <c r="BN449" s="23"/>
      <c r="BO449" s="23"/>
      <c r="BP449" s="23"/>
      <c r="BQ449" s="23"/>
      <c r="BR449" s="10"/>
      <c r="BS449" s="16"/>
      <c r="BT449" s="16"/>
      <c r="BU449" s="16"/>
      <c r="BV449" s="16"/>
      <c r="BW449" s="11"/>
      <c r="BX449" s="16"/>
      <c r="BY449" s="16"/>
      <c r="BZ449" s="17"/>
      <c r="CA449" s="18"/>
      <c r="CB449" s="18"/>
      <c r="CC449" s="18"/>
      <c r="CD449" s="18"/>
      <c r="CE449" s="18"/>
      <c r="CF449" s="18"/>
      <c r="CG449" s="19"/>
      <c r="CH449" s="15"/>
      <c r="CI449" s="17"/>
      <c r="CJ449" s="10"/>
      <c r="CK449" s="10"/>
      <c r="CL449" s="10"/>
      <c r="CM449" s="17"/>
      <c r="CN449" s="17"/>
      <c r="CO449" s="10"/>
      <c r="CP449" s="10"/>
      <c r="CQ449" s="10"/>
      <c r="CR449" s="10"/>
      <c r="CS449" s="10"/>
      <c r="CT449" s="10"/>
      <c r="CU449" s="10"/>
      <c r="CV449" s="10"/>
      <c r="CW449" s="10"/>
      <c r="CX449" s="10"/>
      <c r="CY449" s="10"/>
      <c r="CZ449" s="10"/>
      <c r="DA449" s="34"/>
      <c r="DB449" s="34"/>
      <c r="DC449" s="34"/>
      <c r="DD449" s="34"/>
      <c r="DE449" s="34"/>
      <c r="DF449" s="34"/>
      <c r="DG449" s="34"/>
      <c r="DH449" s="34"/>
      <c r="DI449" s="34"/>
      <c r="DJ449" s="34"/>
      <c r="DK449" s="34"/>
      <c r="DL449" s="34"/>
      <c r="DM449" s="34"/>
      <c r="DN449" s="34"/>
      <c r="DO449" s="34"/>
      <c r="DP449" s="34"/>
      <c r="DQ449" s="34"/>
      <c r="DR449" s="34"/>
      <c r="DS449" s="34"/>
      <c r="DT449" s="34"/>
      <c r="DU449" s="34"/>
      <c r="DV449" s="34"/>
      <c r="DW449" s="34"/>
      <c r="DX449" s="34"/>
      <c r="DY449" s="34"/>
      <c r="DZ449" s="34"/>
      <c r="EA449" s="34"/>
      <c r="EB449" s="34"/>
      <c r="EC449" s="34"/>
      <c r="ED449" s="34"/>
      <c r="EE449" s="34"/>
    </row>
    <row r="450" spans="1:135" customFormat="1">
      <c r="A450" s="71">
        <f>'Old Data'!$I446-'Old Data'!$S446</f>
        <v>-185</v>
      </c>
      <c r="B450" s="72">
        <f>VLOOKUP('Old Data'!$F446,$R$6:$T$135,2,FALSE)+VLOOKUP('Old Data'!$P446,$R$6:$T$135,3,FALSE)+$B$2</f>
        <v>167.1370424272385</v>
      </c>
      <c r="C450" s="72">
        <f>VLOOKUP('Old Data'!$P446,$R$6:$T$135,2,FALSE)+VLOOKUP('Old Data'!$F446,$R$6:$T$135,3,FALSE)+$B$2</f>
        <v>194.8469766246717</v>
      </c>
      <c r="D450" s="74">
        <f>('Old Data'!$I446-$B450)^2+('Old Data'!$S446-$C450)^2</f>
        <v>20436.612108190653</v>
      </c>
      <c r="E450" s="75">
        <f>'Old Data'!$K446-'Old Data'!$U446</f>
        <v>255</v>
      </c>
      <c r="F450" s="72">
        <f>VLOOKUP('Old Data'!$F446,$V$6:$X$135,2,FALSE)+VLOOKUP('Old Data'!$P446,$V$6:$X$135,3,FALSE)+$C$2</f>
        <v>202.24857734393788</v>
      </c>
      <c r="G450" s="72">
        <f>VLOOKUP('Old Data'!$P446,$V$6:$X$135,2,FALSE)+VLOOKUP('Old Data'!$F446,$V$6:$X$135,3,FALSE)+$C$2</f>
        <v>47.188351149954684</v>
      </c>
      <c r="H450" s="74">
        <f>('Old Data'!$K446-$F450)^2+('Old Data'!$U446-$G450)^2</f>
        <v>5699.4713646853716</v>
      </c>
      <c r="I450" s="75">
        <f>('Old Data'!$L446+'Old Data'!$M446)-('Old Data'!$V446+'Old Data'!$W446)</f>
        <v>-11</v>
      </c>
      <c r="J450" s="72">
        <f>VLOOKUP('Old Data'!$F446,$Z$6:$AB$135,2,FALSE)+VLOOKUP('Old Data'!$P446,$Z$6:$AB$135,3,FALSE)+$D$2</f>
        <v>29.083457092425959</v>
      </c>
      <c r="K450" s="72">
        <f>VLOOKUP('Old Data'!$P446,$Z$6:$AB$135,2,FALSE)+VLOOKUP('Old Data'!$F446,$Z$6:$AB$135,3,FALSE)+$D$2</f>
        <v>48.420189202152301</v>
      </c>
      <c r="L450" s="74">
        <f>('Old Data'!$L446+'Old Data'!$M446-$J450)^2+('Old Data'!$V446+'Old Data'!$W446-$K450)^2</f>
        <v>1746.0888660152314</v>
      </c>
      <c r="M450" s="75">
        <f>'Old Data'!$N446-'Old Data'!$X446</f>
        <v>0</v>
      </c>
      <c r="N450" s="72">
        <f>VLOOKUP('Old Data'!$F446,$AD$6:$AF$135,2,FALSE)+VLOOKUP('Old Data'!$P446,$AD$6:$AF$135,3,FALSE)+$E$2</f>
        <v>1.0459369612341551</v>
      </c>
      <c r="O450" s="72">
        <f>VLOOKUP('Old Data'!$P446,$AD$6:$AF$135,2,FALSE)+VLOOKUP('Old Data'!$F446,$AD$6:$AF$135,3,FALSE)+$E$2</f>
        <v>0.97065271444479984</v>
      </c>
      <c r="P450" s="73">
        <f>('Old Data'!$N446-$N450)^2+('Old Data'!$X446-$O450)^2</f>
        <v>2.0361508189347965</v>
      </c>
      <c r="Q450" s="62"/>
      <c r="R450" s="3"/>
      <c r="S450" s="3"/>
      <c r="T450" s="3"/>
      <c r="V450" s="3"/>
      <c r="W450" s="3"/>
      <c r="X450" s="3"/>
      <c r="Z450" s="3"/>
      <c r="AA450" s="3"/>
      <c r="AB450" s="3"/>
      <c r="AC450" s="3"/>
      <c r="AD450" s="3"/>
      <c r="AE450" s="3"/>
      <c r="AF450" s="3"/>
      <c r="AG450" s="3"/>
      <c r="AH450" s="37"/>
      <c r="AI450" s="1"/>
      <c r="AK450" s="10"/>
      <c r="AL450" s="10"/>
      <c r="AM450" s="10"/>
      <c r="AN450" s="11"/>
      <c r="AO450" s="11"/>
      <c r="AP450" s="11"/>
      <c r="AQ450" s="36"/>
      <c r="AR450" s="11"/>
      <c r="AS450" s="11"/>
      <c r="AT450" s="11"/>
      <c r="AU450" s="12"/>
      <c r="AV450" s="11"/>
      <c r="AW450" s="11"/>
      <c r="AX450" s="15"/>
      <c r="AY450" s="15"/>
      <c r="AZ450" s="15"/>
      <c r="BA450" s="15"/>
      <c r="BB450" s="15"/>
      <c r="BC450" s="15"/>
      <c r="BD450" s="15"/>
      <c r="BE450" s="12"/>
      <c r="BF450" s="11"/>
      <c r="BG450" s="11"/>
      <c r="BH450" s="10"/>
      <c r="BI450" s="10"/>
      <c r="BJ450" s="10"/>
      <c r="BK450" s="23"/>
      <c r="BL450" s="23"/>
      <c r="BM450" s="23"/>
      <c r="BN450" s="23"/>
      <c r="BO450" s="23"/>
      <c r="BP450" s="23"/>
      <c r="BQ450" s="23"/>
      <c r="BR450" s="10"/>
      <c r="BS450" s="16"/>
      <c r="BT450" s="16"/>
      <c r="BU450" s="16"/>
      <c r="BV450" s="16"/>
      <c r="BW450" s="11"/>
      <c r="BX450" s="16"/>
      <c r="BY450" s="16"/>
      <c r="BZ450" s="17"/>
      <c r="CA450" s="18"/>
      <c r="CB450" s="18"/>
      <c r="CC450" s="18"/>
      <c r="CD450" s="18"/>
      <c r="CE450" s="18"/>
      <c r="CF450" s="18"/>
      <c r="CG450" s="19"/>
      <c r="CH450" s="15"/>
      <c r="CI450" s="17"/>
      <c r="CJ450" s="10"/>
      <c r="CK450" s="10"/>
      <c r="CL450" s="10"/>
      <c r="CM450" s="17"/>
      <c r="CN450" s="17"/>
      <c r="CO450" s="10"/>
      <c r="CP450" s="10"/>
      <c r="CQ450" s="10"/>
      <c r="CR450" s="10"/>
      <c r="CS450" s="10"/>
      <c r="CT450" s="10"/>
      <c r="CU450" s="10"/>
      <c r="CV450" s="10"/>
      <c r="CW450" s="10"/>
      <c r="CX450" s="10"/>
      <c r="CY450" s="10"/>
      <c r="CZ450" s="10"/>
      <c r="DA450" s="34"/>
      <c r="DB450" s="34"/>
      <c r="DC450" s="34"/>
      <c r="DD450" s="34"/>
      <c r="DE450" s="34"/>
      <c r="DF450" s="34"/>
      <c r="DG450" s="34"/>
      <c r="DH450" s="34"/>
      <c r="DI450" s="34"/>
      <c r="DJ450" s="34"/>
      <c r="DK450" s="34"/>
      <c r="DL450" s="34"/>
      <c r="DM450" s="34"/>
      <c r="DN450" s="34"/>
      <c r="DO450" s="34"/>
      <c r="DP450" s="34"/>
      <c r="DQ450" s="34"/>
      <c r="DR450" s="34"/>
      <c r="DS450" s="34"/>
      <c r="DT450" s="34"/>
      <c r="DU450" s="34"/>
      <c r="DV450" s="34"/>
      <c r="DW450" s="34"/>
      <c r="DX450" s="34"/>
      <c r="DY450" s="34"/>
      <c r="DZ450" s="34"/>
      <c r="EA450" s="34"/>
      <c r="EB450" s="34"/>
      <c r="EC450" s="34"/>
      <c r="ED450" s="34"/>
      <c r="EE450" s="34"/>
    </row>
    <row r="451" spans="1:135" customFormat="1">
      <c r="A451" s="71">
        <f>'Old Data'!$I447-'Old Data'!$S447</f>
        <v>114</v>
      </c>
      <c r="B451" s="72">
        <f>VLOOKUP('Old Data'!$F447,$R$6:$T$135,2,FALSE)+VLOOKUP('Old Data'!$P447,$R$6:$T$135,3,FALSE)+$B$2</f>
        <v>151.11315050278921</v>
      </c>
      <c r="C451" s="72">
        <f>VLOOKUP('Old Data'!$P447,$R$6:$T$135,2,FALSE)+VLOOKUP('Old Data'!$F447,$R$6:$T$135,3,FALSE)+$B$2</f>
        <v>66.186341661981999</v>
      </c>
      <c r="D451" s="74">
        <f>('Old Data'!$I447-$B451)^2+('Old Data'!$S447-$C451)^2</f>
        <v>636.88073440766709</v>
      </c>
      <c r="E451" s="75">
        <f>'Old Data'!$K447-'Old Data'!$U447</f>
        <v>72</v>
      </c>
      <c r="F451" s="72">
        <f>VLOOKUP('Old Data'!$F447,$V$6:$X$135,2,FALSE)+VLOOKUP('Old Data'!$P447,$V$6:$X$135,3,FALSE)+$C$2</f>
        <v>258.06982600341917</v>
      </c>
      <c r="G451" s="72">
        <f>VLOOKUP('Old Data'!$P447,$V$6:$X$135,2,FALSE)+VLOOKUP('Old Data'!$F447,$V$6:$X$135,3,FALSE)+$C$2</f>
        <v>227.99904053093221</v>
      </c>
      <c r="H451" s="74">
        <f>('Old Data'!$K447-$F451)^2+('Old Data'!$U447-$G451)^2</f>
        <v>887.30735288428764</v>
      </c>
      <c r="I451" s="75">
        <f>('Old Data'!$L447+'Old Data'!$M447)-('Old Data'!$V447+'Old Data'!$W447)</f>
        <v>-114</v>
      </c>
      <c r="J451" s="72">
        <f>VLOOKUP('Old Data'!$F447,$Z$6:$AB$135,2,FALSE)+VLOOKUP('Old Data'!$P447,$Z$6:$AB$135,3,FALSE)+$D$2</f>
        <v>28.754095232133068</v>
      </c>
      <c r="K451" s="72">
        <f>VLOOKUP('Old Data'!$P447,$Z$6:$AB$135,2,FALSE)+VLOOKUP('Old Data'!$F447,$Z$6:$AB$135,3,FALSE)+$D$2</f>
        <v>57.261655027811045</v>
      </c>
      <c r="L451" s="74">
        <f>('Old Data'!$L447+'Old Data'!$M447-$J451)^2+('Old Data'!$V447+'Old Data'!$W447-$K451)^2</f>
        <v>7181.1557682448274</v>
      </c>
      <c r="M451" s="75">
        <f>'Old Data'!$N447-'Old Data'!$X447</f>
        <v>-1</v>
      </c>
      <c r="N451" s="72">
        <f>VLOOKUP('Old Data'!$F447,$AD$6:$AF$135,2,FALSE)+VLOOKUP('Old Data'!$P447,$AD$6:$AF$135,3,FALSE)+$E$2</f>
        <v>2.7297007277990142</v>
      </c>
      <c r="O451" s="72">
        <f>VLOOKUP('Old Data'!$P447,$AD$6:$AF$135,2,FALSE)+VLOOKUP('Old Data'!$F447,$AD$6:$AF$135,3,FALSE)+$E$2</f>
        <v>1.2680268250898281</v>
      </c>
      <c r="P451" s="73">
        <f>('Old Data'!$N447-$N451)^2+('Old Data'!$X447-$O451)^2</f>
        <v>3.5321942307588317</v>
      </c>
      <c r="Q451" s="62"/>
      <c r="R451" s="3"/>
      <c r="S451" s="3"/>
      <c r="T451" s="3"/>
      <c r="V451" s="3"/>
      <c r="W451" s="3"/>
      <c r="X451" s="3"/>
      <c r="Z451" s="3"/>
      <c r="AA451" s="3"/>
      <c r="AB451" s="3"/>
      <c r="AC451" s="3"/>
      <c r="AD451" s="3"/>
      <c r="AE451" s="3"/>
      <c r="AF451" s="3"/>
      <c r="AG451" s="3"/>
      <c r="AH451" s="37"/>
      <c r="AI451" s="1"/>
      <c r="AK451" s="10"/>
      <c r="AL451" s="10"/>
      <c r="AM451" s="10"/>
      <c r="AN451" s="11"/>
      <c r="AO451" s="11"/>
      <c r="AP451" s="11"/>
      <c r="AQ451" s="36"/>
      <c r="AR451" s="11"/>
      <c r="AS451" s="11"/>
      <c r="AT451" s="11"/>
      <c r="AU451" s="12"/>
      <c r="AV451" s="11"/>
      <c r="AW451" s="11"/>
      <c r="AX451" s="15"/>
      <c r="AY451" s="15"/>
      <c r="AZ451" s="15"/>
      <c r="BA451" s="15"/>
      <c r="BB451" s="15"/>
      <c r="BC451" s="15"/>
      <c r="BD451" s="15"/>
      <c r="BE451" s="12"/>
      <c r="BF451" s="11"/>
      <c r="BG451" s="11"/>
      <c r="BH451" s="10"/>
      <c r="BI451" s="10"/>
      <c r="BJ451" s="10"/>
      <c r="BK451" s="23"/>
      <c r="BL451" s="23"/>
      <c r="BM451" s="23"/>
      <c r="BN451" s="23"/>
      <c r="BO451" s="23"/>
      <c r="BP451" s="23"/>
      <c r="BQ451" s="23"/>
      <c r="BR451" s="10"/>
      <c r="BS451" s="16"/>
      <c r="BT451" s="16"/>
      <c r="BU451" s="16"/>
      <c r="BV451" s="16"/>
      <c r="BW451" s="11"/>
      <c r="BX451" s="16"/>
      <c r="BY451" s="16"/>
      <c r="BZ451" s="17"/>
      <c r="CA451" s="18"/>
      <c r="CB451" s="18"/>
      <c r="CC451" s="18"/>
      <c r="CD451" s="18"/>
      <c r="CE451" s="18"/>
      <c r="CF451" s="18"/>
      <c r="CG451" s="19"/>
      <c r="CH451" s="15"/>
      <c r="CI451" s="17"/>
      <c r="CJ451" s="10"/>
      <c r="CK451" s="10"/>
      <c r="CL451" s="10"/>
      <c r="CM451" s="17"/>
      <c r="CN451" s="17"/>
      <c r="CO451" s="10"/>
      <c r="CP451" s="10"/>
      <c r="CQ451" s="10"/>
      <c r="CR451" s="10"/>
      <c r="CS451" s="10"/>
      <c r="CT451" s="10"/>
      <c r="CU451" s="10"/>
      <c r="CV451" s="10"/>
      <c r="CW451" s="10"/>
      <c r="CX451" s="10"/>
      <c r="CY451" s="10"/>
      <c r="CZ451" s="10"/>
      <c r="DA451" s="34"/>
      <c r="DB451" s="34"/>
      <c r="DC451" s="34"/>
      <c r="DD451" s="34"/>
      <c r="DE451" s="34"/>
      <c r="DF451" s="34"/>
      <c r="DG451" s="34"/>
      <c r="DH451" s="34"/>
      <c r="DI451" s="34"/>
      <c r="DJ451" s="34"/>
      <c r="DK451" s="34"/>
      <c r="DL451" s="34"/>
      <c r="DM451" s="34"/>
      <c r="DN451" s="34"/>
      <c r="DO451" s="34"/>
      <c r="DP451" s="34"/>
      <c r="DQ451" s="34"/>
      <c r="DR451" s="34"/>
      <c r="DS451" s="34"/>
      <c r="DT451" s="34"/>
      <c r="DU451" s="34"/>
      <c r="DV451" s="34"/>
      <c r="DW451" s="34"/>
      <c r="DX451" s="34"/>
      <c r="DY451" s="34"/>
      <c r="DZ451" s="34"/>
      <c r="EA451" s="34"/>
      <c r="EB451" s="34"/>
      <c r="EC451" s="34"/>
      <c r="ED451" s="34"/>
      <c r="EE451" s="34"/>
    </row>
    <row r="452" spans="1:135" customFormat="1">
      <c r="A452" s="71">
        <f>'Old Data'!$I448-'Old Data'!$S448</f>
        <v>-300</v>
      </c>
      <c r="B452" s="72">
        <f>VLOOKUP('Old Data'!$F448,$R$6:$T$135,2,FALSE)+VLOOKUP('Old Data'!$P448,$R$6:$T$135,3,FALSE)+$B$2</f>
        <v>49.902648339573901</v>
      </c>
      <c r="C452" s="72">
        <f>VLOOKUP('Old Data'!$P448,$R$6:$T$135,2,FALSE)+VLOOKUP('Old Data'!$F448,$R$6:$T$135,3,FALSE)+$B$2</f>
        <v>388.94010559461708</v>
      </c>
      <c r="D452" s="74">
        <f>('Old Data'!$I448-$B452)^2+('Old Data'!$S448-$C452)^2</f>
        <v>3738.5818446995622</v>
      </c>
      <c r="E452" s="75">
        <f>'Old Data'!$K448-'Old Data'!$U448</f>
        <v>40</v>
      </c>
      <c r="F452" s="72">
        <f>VLOOKUP('Old Data'!$F448,$V$6:$X$135,2,FALSE)+VLOOKUP('Old Data'!$P448,$V$6:$X$135,3,FALSE)+$C$2</f>
        <v>206.14711418523024</v>
      </c>
      <c r="G452" s="72">
        <f>VLOOKUP('Old Data'!$P448,$V$6:$X$135,2,FALSE)+VLOOKUP('Old Data'!$F448,$V$6:$X$135,3,FALSE)+$C$2</f>
        <v>142.66037805407049</v>
      </c>
      <c r="H452" s="74">
        <f>('Old Data'!$K448-$F452)^2+('Old Data'!$U448-$G452)^2</f>
        <v>500.37457964101174</v>
      </c>
      <c r="I452" s="75">
        <f>('Old Data'!$L448+'Old Data'!$M448)-('Old Data'!$V448+'Old Data'!$W448)</f>
        <v>70</v>
      </c>
      <c r="J452" s="72">
        <f>VLOOKUP('Old Data'!$F448,$Z$6:$AB$135,2,FALSE)+VLOOKUP('Old Data'!$P448,$Z$6:$AB$135,3,FALSE)+$D$2</f>
        <v>101.2769113720054</v>
      </c>
      <c r="K452" s="72">
        <f>VLOOKUP('Old Data'!$P448,$Z$6:$AB$135,2,FALSE)+VLOOKUP('Old Data'!$F448,$Z$6:$AB$135,3,FALSE)+$D$2</f>
        <v>24.014217040371662</v>
      </c>
      <c r="L452" s="74">
        <f>('Old Data'!$L448+'Old Data'!$M448-$J452)^2+('Old Data'!$V448+'Old Data'!$W448-$K452)^2</f>
        <v>26.624613941241954</v>
      </c>
      <c r="M452" s="75">
        <f>'Old Data'!$N448-'Old Data'!$X448</f>
        <v>-3</v>
      </c>
      <c r="N452" s="72">
        <f>VLOOKUP('Old Data'!$F448,$AD$6:$AF$135,2,FALSE)+VLOOKUP('Old Data'!$P448,$AD$6:$AF$135,3,FALSE)+$E$2</f>
        <v>1.1863680745171266</v>
      </c>
      <c r="O452" s="72">
        <f>VLOOKUP('Old Data'!$P448,$AD$6:$AF$135,2,FALSE)+VLOOKUP('Old Data'!$F448,$AD$6:$AF$135,3,FALSE)+$E$2</f>
        <v>1.924220653765718</v>
      </c>
      <c r="P452" s="73">
        <f>('Old Data'!$N448-$N452)^2+('Old Data'!$X448-$O452)^2</f>
        <v>2.5647704100177333</v>
      </c>
      <c r="Q452" s="62"/>
      <c r="R452" s="3"/>
      <c r="S452" s="3"/>
      <c r="T452" s="3"/>
      <c r="V452" s="3"/>
      <c r="W452" s="3"/>
      <c r="X452" s="3"/>
      <c r="Z452" s="3"/>
      <c r="AA452" s="3"/>
      <c r="AB452" s="3"/>
      <c r="AC452" s="3"/>
      <c r="AD452" s="3"/>
      <c r="AE452" s="3"/>
      <c r="AF452" s="3"/>
      <c r="AG452" s="3"/>
      <c r="AH452" s="37"/>
      <c r="AI452" s="1"/>
      <c r="AK452" s="10"/>
      <c r="AL452" s="10"/>
      <c r="AM452" s="10"/>
      <c r="AN452" s="11"/>
      <c r="AO452" s="11"/>
      <c r="AP452" s="11"/>
      <c r="AQ452" s="36"/>
      <c r="AR452" s="11"/>
      <c r="AS452" s="11"/>
      <c r="AT452" s="11"/>
      <c r="AU452" s="12"/>
      <c r="AV452" s="11"/>
      <c r="AW452" s="11"/>
      <c r="AX452" s="15"/>
      <c r="AY452" s="15"/>
      <c r="AZ452" s="15"/>
      <c r="BA452" s="15"/>
      <c r="BB452" s="15"/>
      <c r="BC452" s="15"/>
      <c r="BD452" s="15"/>
      <c r="BE452" s="12"/>
      <c r="BF452" s="11"/>
      <c r="BG452" s="11"/>
      <c r="BH452" s="10"/>
      <c r="BI452" s="10"/>
      <c r="BJ452" s="10"/>
      <c r="BK452" s="23"/>
      <c r="BL452" s="23"/>
      <c r="BM452" s="23"/>
      <c r="BN452" s="23"/>
      <c r="BO452" s="23"/>
      <c r="BP452" s="23"/>
      <c r="BQ452" s="23"/>
      <c r="BR452" s="10"/>
      <c r="BS452" s="16"/>
      <c r="BT452" s="16"/>
      <c r="BU452" s="16"/>
      <c r="BV452" s="16"/>
      <c r="BW452" s="11"/>
      <c r="BX452" s="16"/>
      <c r="BY452" s="16"/>
      <c r="BZ452" s="17"/>
      <c r="CA452" s="18"/>
      <c r="CB452" s="18"/>
      <c r="CC452" s="18"/>
      <c r="CD452" s="18"/>
      <c r="CE452" s="18"/>
      <c r="CF452" s="18"/>
      <c r="CG452" s="19"/>
      <c r="CH452" s="15"/>
      <c r="CI452" s="17"/>
      <c r="CJ452" s="10"/>
      <c r="CK452" s="10"/>
      <c r="CL452" s="10"/>
      <c r="CM452" s="17"/>
      <c r="CN452" s="17"/>
      <c r="CO452" s="10"/>
      <c r="CP452" s="10"/>
      <c r="CQ452" s="10"/>
      <c r="CR452" s="10"/>
      <c r="CS452" s="10"/>
      <c r="CT452" s="10"/>
      <c r="CU452" s="10"/>
      <c r="CV452" s="10"/>
      <c r="CW452" s="10"/>
      <c r="CX452" s="10"/>
      <c r="CY452" s="10"/>
      <c r="CZ452" s="10"/>
      <c r="DA452" s="34"/>
      <c r="DB452" s="34"/>
      <c r="DC452" s="34"/>
      <c r="DD452" s="34"/>
      <c r="DE452" s="34"/>
      <c r="DF452" s="34"/>
      <c r="DG452" s="34"/>
      <c r="DH452" s="34"/>
      <c r="DI452" s="34"/>
      <c r="DJ452" s="34"/>
      <c r="DK452" s="34"/>
      <c r="DL452" s="34"/>
      <c r="DM452" s="34"/>
      <c r="DN452" s="34"/>
      <c r="DO452" s="34"/>
      <c r="DP452" s="34"/>
      <c r="DQ452" s="34"/>
      <c r="DR452" s="34"/>
      <c r="DS452" s="34"/>
      <c r="DT452" s="34"/>
      <c r="DU452" s="34"/>
      <c r="DV452" s="34"/>
      <c r="DW452" s="34"/>
      <c r="DX452" s="34"/>
      <c r="DY452" s="34"/>
      <c r="DZ452" s="34"/>
      <c r="EA452" s="34"/>
      <c r="EB452" s="34"/>
      <c r="EC452" s="34"/>
      <c r="ED452" s="34"/>
      <c r="EE452" s="34"/>
    </row>
    <row r="453" spans="1:135" customFormat="1">
      <c r="A453" s="71">
        <f>'Old Data'!$I449-'Old Data'!$S449</f>
        <v>199</v>
      </c>
      <c r="B453" s="72">
        <f>VLOOKUP('Old Data'!$F449,$R$6:$T$135,2,FALSE)+VLOOKUP('Old Data'!$P449,$R$6:$T$135,3,FALSE)+$B$2</f>
        <v>258.05501347917277</v>
      </c>
      <c r="C453" s="72">
        <f>VLOOKUP('Old Data'!$P449,$R$6:$T$135,2,FALSE)+VLOOKUP('Old Data'!$F449,$R$6:$T$135,3,FALSE)+$B$2</f>
        <v>209.90360482503439</v>
      </c>
      <c r="D453" s="74">
        <f>('Old Data'!$I449-$B453)^2+('Old Data'!$S449-$C453)^2</f>
        <v>11437.694413084031</v>
      </c>
      <c r="E453" s="75">
        <f>'Old Data'!$K449-'Old Data'!$U449</f>
        <v>-198</v>
      </c>
      <c r="F453" s="72">
        <f>VLOOKUP('Old Data'!$F449,$V$6:$X$135,2,FALSE)+VLOOKUP('Old Data'!$P449,$V$6:$X$135,3,FALSE)+$C$2</f>
        <v>99.816137480968507</v>
      </c>
      <c r="G453" s="72">
        <f>VLOOKUP('Old Data'!$P449,$V$6:$X$135,2,FALSE)+VLOOKUP('Old Data'!$F449,$V$6:$X$135,3,FALSE)+$C$2</f>
        <v>44.712809819987285</v>
      </c>
      <c r="H453" s="74">
        <f>('Old Data'!$K449-$F453)^2+('Old Data'!$U449-$G453)^2</f>
        <v>35683.297661272409</v>
      </c>
      <c r="I453" s="75">
        <f>('Old Data'!$L449+'Old Data'!$M449)-('Old Data'!$V449+'Old Data'!$W449)</f>
        <v>16</v>
      </c>
      <c r="J453" s="72">
        <f>VLOOKUP('Old Data'!$F449,$Z$6:$AB$135,2,FALSE)+VLOOKUP('Old Data'!$P449,$Z$6:$AB$135,3,FALSE)+$D$2</f>
        <v>11.238050872100999</v>
      </c>
      <c r="K453" s="72">
        <f>VLOOKUP('Old Data'!$P449,$Z$6:$AB$135,2,FALSE)+VLOOKUP('Old Data'!$F449,$Z$6:$AB$135,3,FALSE)+$D$2</f>
        <v>33.929265710652096</v>
      </c>
      <c r="L453" s="74">
        <f>('Old Data'!$L449+'Old Data'!$M449-$J453)^2+('Old Data'!$V449+'Old Data'!$W449-$K453)^2</f>
        <v>810.85953267117441</v>
      </c>
      <c r="M453" s="75">
        <f>'Old Data'!$N449-'Old Data'!$X449</f>
        <v>-1</v>
      </c>
      <c r="N453" s="72">
        <f>VLOOKUP('Old Data'!$F449,$AD$6:$AF$135,2,FALSE)+VLOOKUP('Old Data'!$P449,$AD$6:$AF$135,3,FALSE)+$E$2</f>
        <v>0.92002228735439751</v>
      </c>
      <c r="O453" s="72">
        <f>VLOOKUP('Old Data'!$P449,$AD$6:$AF$135,2,FALSE)+VLOOKUP('Old Data'!$F449,$AD$6:$AF$135,3,FALSE)+$E$2</f>
        <v>0.94827803391396559</v>
      </c>
      <c r="P453" s="73">
        <f>('Old Data'!$N449-$N453)^2+('Old Data'!$X449-$O453)^2</f>
        <v>0.84911617100462244</v>
      </c>
      <c r="Q453" s="62"/>
      <c r="R453" s="3"/>
      <c r="S453" s="3"/>
      <c r="T453" s="3"/>
      <c r="V453" s="3"/>
      <c r="W453" s="3"/>
      <c r="X453" s="3"/>
      <c r="Z453" s="3"/>
      <c r="AA453" s="3"/>
      <c r="AB453" s="3"/>
      <c r="AC453" s="3"/>
      <c r="AD453" s="3"/>
      <c r="AE453" s="3"/>
      <c r="AF453" s="3"/>
      <c r="AG453" s="3"/>
      <c r="AH453" s="37"/>
      <c r="AI453" s="1"/>
      <c r="AK453" s="10"/>
      <c r="AL453" s="10"/>
      <c r="AM453" s="10"/>
      <c r="AN453" s="11"/>
      <c r="AO453" s="11"/>
      <c r="AP453" s="11"/>
      <c r="AQ453" s="36"/>
      <c r="AR453" s="11"/>
      <c r="AS453" s="11"/>
      <c r="AT453" s="11"/>
      <c r="AU453" s="12"/>
      <c r="AV453" s="11"/>
      <c r="AW453" s="11"/>
      <c r="AX453" s="15"/>
      <c r="AY453" s="15"/>
      <c r="AZ453" s="15"/>
      <c r="BA453" s="15"/>
      <c r="BB453" s="15"/>
      <c r="BC453" s="15"/>
      <c r="BD453" s="15"/>
      <c r="BE453" s="12"/>
      <c r="BF453" s="11"/>
      <c r="BG453" s="11"/>
      <c r="BH453" s="10"/>
      <c r="BI453" s="10"/>
      <c r="BJ453" s="10"/>
      <c r="BK453" s="23"/>
      <c r="BL453" s="23"/>
      <c r="BM453" s="23"/>
      <c r="BN453" s="23"/>
      <c r="BO453" s="23"/>
      <c r="BP453" s="23"/>
      <c r="BQ453" s="23"/>
      <c r="BR453" s="10"/>
      <c r="BS453" s="16"/>
      <c r="BT453" s="16"/>
      <c r="BU453" s="16"/>
      <c r="BV453" s="16"/>
      <c r="BW453" s="11"/>
      <c r="BX453" s="16"/>
      <c r="BY453" s="16"/>
      <c r="BZ453" s="17"/>
      <c r="CA453" s="18"/>
      <c r="CB453" s="18"/>
      <c r="CC453" s="18"/>
      <c r="CD453" s="18"/>
      <c r="CE453" s="18"/>
      <c r="CF453" s="18"/>
      <c r="CG453" s="19"/>
      <c r="CH453" s="15"/>
      <c r="CI453" s="17"/>
      <c r="CJ453" s="10"/>
      <c r="CK453" s="10"/>
      <c r="CL453" s="10"/>
      <c r="CM453" s="17"/>
      <c r="CN453" s="17"/>
      <c r="CO453" s="10"/>
      <c r="CP453" s="10"/>
      <c r="CQ453" s="10"/>
      <c r="CR453" s="10"/>
      <c r="CS453" s="10"/>
      <c r="CT453" s="10"/>
      <c r="CU453" s="10"/>
      <c r="CV453" s="10"/>
      <c r="CW453" s="10"/>
      <c r="CX453" s="10"/>
      <c r="CY453" s="10"/>
      <c r="CZ453" s="10"/>
      <c r="DA453" s="34"/>
      <c r="DB453" s="34"/>
      <c r="DC453" s="34"/>
      <c r="DD453" s="34"/>
      <c r="DE453" s="34"/>
      <c r="DF453" s="34"/>
      <c r="DG453" s="34"/>
      <c r="DH453" s="34"/>
      <c r="DI453" s="34"/>
      <c r="DJ453" s="34"/>
      <c r="DK453" s="34"/>
      <c r="DL453" s="34"/>
      <c r="DM453" s="34"/>
      <c r="DN453" s="34"/>
      <c r="DO453" s="34"/>
      <c r="DP453" s="34"/>
      <c r="DQ453" s="34"/>
      <c r="DR453" s="34"/>
      <c r="DS453" s="34"/>
      <c r="DT453" s="34"/>
      <c r="DU453" s="34"/>
      <c r="DV453" s="34"/>
      <c r="DW453" s="34"/>
      <c r="DX453" s="34"/>
      <c r="DY453" s="34"/>
      <c r="DZ453" s="34"/>
      <c r="EA453" s="34"/>
      <c r="EB453" s="34"/>
      <c r="EC453" s="34"/>
      <c r="ED453" s="34"/>
      <c r="EE453" s="34"/>
    </row>
    <row r="454" spans="1:135" customFormat="1">
      <c r="A454" s="71">
        <f>'Old Data'!$I450-'Old Data'!$S450</f>
        <v>-279</v>
      </c>
      <c r="B454" s="72">
        <f>VLOOKUP('Old Data'!$F450,$R$6:$T$135,2,FALSE)+VLOOKUP('Old Data'!$P450,$R$6:$T$135,3,FALSE)+$B$2</f>
        <v>125.79722959606252</v>
      </c>
      <c r="C454" s="72">
        <f>VLOOKUP('Old Data'!$P450,$R$6:$T$135,2,FALSE)+VLOOKUP('Old Data'!$F450,$R$6:$T$135,3,FALSE)+$B$2</f>
        <v>310.54238665020841</v>
      </c>
      <c r="D454" s="74">
        <f>('Old Data'!$I450-$B454)^2+('Old Data'!$S450-$C454)^2</f>
        <v>26630.886351008012</v>
      </c>
      <c r="E454" s="75">
        <f>'Old Data'!$K450-'Old Data'!$U450</f>
        <v>-79</v>
      </c>
      <c r="F454" s="72">
        <f>VLOOKUP('Old Data'!$F450,$V$6:$X$135,2,FALSE)+VLOOKUP('Old Data'!$P450,$V$6:$X$135,3,FALSE)+$C$2</f>
        <v>213.32421527925175</v>
      </c>
      <c r="G454" s="72">
        <f>VLOOKUP('Old Data'!$P450,$V$6:$X$135,2,FALSE)+VLOOKUP('Old Data'!$F450,$V$6:$X$135,3,FALSE)+$C$2</f>
        <v>172.28593335732501</v>
      </c>
      <c r="H454" s="74">
        <f>('Old Data'!$K450-$F454)^2+('Old Data'!$U450-$G454)^2</f>
        <v>12676.236162267322</v>
      </c>
      <c r="I454" s="75">
        <f>('Old Data'!$L450+'Old Data'!$M450)-('Old Data'!$V450+'Old Data'!$W450)</f>
        <v>127</v>
      </c>
      <c r="J454" s="72">
        <f>VLOOKUP('Old Data'!$F450,$Z$6:$AB$135,2,FALSE)+VLOOKUP('Old Data'!$P450,$Z$6:$AB$135,3,FALSE)+$D$2</f>
        <v>87.686143145350428</v>
      </c>
      <c r="K454" s="72">
        <f>VLOOKUP('Old Data'!$P450,$Z$6:$AB$135,2,FALSE)+VLOOKUP('Old Data'!$F450,$Z$6:$AB$135,3,FALSE)+$D$2</f>
        <v>15.346726483023197</v>
      </c>
      <c r="L454" s="74">
        <f>('Old Data'!$L450+'Old Data'!$M450-$J454)^2+('Old Data'!$V450+'Old Data'!$W450-$K454)^2</f>
        <v>4533.3263946004272</v>
      </c>
      <c r="M454" s="75">
        <f>'Old Data'!$N450-'Old Data'!$X450</f>
        <v>-1</v>
      </c>
      <c r="N454" s="72">
        <f>VLOOKUP('Old Data'!$F450,$AD$6:$AF$135,2,FALSE)+VLOOKUP('Old Data'!$P450,$AD$6:$AF$135,3,FALSE)+$E$2</f>
        <v>1.716351676412899</v>
      </c>
      <c r="O454" s="72">
        <f>VLOOKUP('Old Data'!$P450,$AD$6:$AF$135,2,FALSE)+VLOOKUP('Old Data'!$F450,$AD$6:$AF$135,3,FALSE)+$E$2</f>
        <v>2.5457993745306071</v>
      </c>
      <c r="P454" s="73">
        <f>('Old Data'!$N450-$N454)^2+('Old Data'!$X450-$O454)^2</f>
        <v>0.8110566815375726</v>
      </c>
      <c r="Q454" s="62"/>
      <c r="R454" s="3"/>
      <c r="S454" s="3"/>
      <c r="T454" s="3"/>
      <c r="V454" s="3"/>
      <c r="W454" s="3"/>
      <c r="X454" s="3"/>
      <c r="Z454" s="3"/>
      <c r="AA454" s="3"/>
      <c r="AB454" s="3"/>
      <c r="AC454" s="3"/>
      <c r="AD454" s="3"/>
      <c r="AE454" s="3"/>
      <c r="AF454" s="3"/>
      <c r="AG454" s="3"/>
      <c r="AH454" s="37"/>
      <c r="AI454" s="1"/>
      <c r="AK454" s="10"/>
      <c r="AL454" s="10"/>
      <c r="AM454" s="10"/>
      <c r="AN454" s="11"/>
      <c r="AO454" s="11"/>
      <c r="AP454" s="11"/>
      <c r="AQ454" s="36"/>
      <c r="AR454" s="11"/>
      <c r="AS454" s="11"/>
      <c r="AT454" s="11"/>
      <c r="AU454" s="12"/>
      <c r="AV454" s="11"/>
      <c r="AW454" s="11"/>
      <c r="AX454" s="15"/>
      <c r="AY454" s="15"/>
      <c r="AZ454" s="15"/>
      <c r="BA454" s="15"/>
      <c r="BB454" s="15"/>
      <c r="BC454" s="15"/>
      <c r="BD454" s="15"/>
      <c r="BE454" s="12"/>
      <c r="BF454" s="11"/>
      <c r="BG454" s="11"/>
      <c r="BH454" s="10"/>
      <c r="BI454" s="10"/>
      <c r="BJ454" s="10"/>
      <c r="BK454" s="23"/>
      <c r="BL454" s="23"/>
      <c r="BM454" s="23"/>
      <c r="BN454" s="23"/>
      <c r="BO454" s="23"/>
      <c r="BP454" s="23"/>
      <c r="BQ454" s="23"/>
      <c r="BR454" s="10"/>
      <c r="BS454" s="16"/>
      <c r="BT454" s="16"/>
      <c r="BU454" s="16"/>
      <c r="BV454" s="16"/>
      <c r="BW454" s="11"/>
      <c r="BX454" s="16"/>
      <c r="BY454" s="16"/>
      <c r="BZ454" s="17"/>
      <c r="CA454" s="18"/>
      <c r="CB454" s="18"/>
      <c r="CC454" s="18"/>
      <c r="CD454" s="18"/>
      <c r="CE454" s="18"/>
      <c r="CF454" s="18"/>
      <c r="CG454" s="19"/>
      <c r="CH454" s="15"/>
      <c r="CI454" s="17"/>
      <c r="CJ454" s="10"/>
      <c r="CK454" s="10"/>
      <c r="CL454" s="10"/>
      <c r="CM454" s="17"/>
      <c r="CN454" s="17"/>
      <c r="CO454" s="10"/>
      <c r="CP454" s="10"/>
      <c r="CQ454" s="10"/>
      <c r="CR454" s="10"/>
      <c r="CS454" s="10"/>
      <c r="CT454" s="10"/>
      <c r="CU454" s="10"/>
      <c r="CV454" s="10"/>
      <c r="CW454" s="10"/>
      <c r="CX454" s="10"/>
      <c r="CY454" s="10"/>
      <c r="CZ454" s="10"/>
      <c r="DA454" s="34"/>
      <c r="DB454" s="34"/>
      <c r="DC454" s="34"/>
      <c r="DD454" s="34"/>
      <c r="DE454" s="34"/>
      <c r="DF454" s="34"/>
      <c r="DG454" s="34"/>
      <c r="DH454" s="34"/>
      <c r="DI454" s="34"/>
      <c r="DJ454" s="34"/>
      <c r="DK454" s="34"/>
      <c r="DL454" s="34"/>
      <c r="DM454" s="34"/>
      <c r="DN454" s="34"/>
      <c r="DO454" s="34"/>
      <c r="DP454" s="34"/>
      <c r="DQ454" s="34"/>
      <c r="DR454" s="34"/>
      <c r="DS454" s="34"/>
      <c r="DT454" s="34"/>
      <c r="DU454" s="34"/>
      <c r="DV454" s="34"/>
      <c r="DW454" s="34"/>
      <c r="DX454" s="34"/>
      <c r="DY454" s="34"/>
      <c r="DZ454" s="34"/>
      <c r="EA454" s="34"/>
      <c r="EB454" s="34"/>
      <c r="EC454" s="34"/>
      <c r="ED454" s="34"/>
      <c r="EE454" s="34"/>
    </row>
    <row r="455" spans="1:135" customFormat="1">
      <c r="A455" s="71">
        <f>'Old Data'!$I451-'Old Data'!$S451</f>
        <v>-96</v>
      </c>
      <c r="B455" s="72">
        <f>VLOOKUP('Old Data'!$F451,$R$6:$T$135,2,FALSE)+VLOOKUP('Old Data'!$P451,$R$6:$T$135,3,FALSE)+$B$2</f>
        <v>152.76605816377904</v>
      </c>
      <c r="C455" s="72">
        <f>VLOOKUP('Old Data'!$P451,$R$6:$T$135,2,FALSE)+VLOOKUP('Old Data'!$F451,$R$6:$T$135,3,FALSE)+$B$2</f>
        <v>207.20116814088186</v>
      </c>
      <c r="D455" s="74">
        <f>('Old Data'!$I451-$B455)^2+('Old Data'!$S451-$C455)^2</f>
        <v>1376.8693366161729</v>
      </c>
      <c r="E455" s="75">
        <f>'Old Data'!$K451-'Old Data'!$U451</f>
        <v>50</v>
      </c>
      <c r="F455" s="72">
        <f>VLOOKUP('Old Data'!$F451,$V$6:$X$135,2,FALSE)+VLOOKUP('Old Data'!$P451,$V$6:$X$135,3,FALSE)+$C$2</f>
        <v>302.76641123476747</v>
      </c>
      <c r="G455" s="72">
        <f>VLOOKUP('Old Data'!$P451,$V$6:$X$135,2,FALSE)+VLOOKUP('Old Data'!$F451,$V$6:$X$135,3,FALSE)+$C$2</f>
        <v>265.10173944663461</v>
      </c>
      <c r="H455" s="74">
        <f>('Old Data'!$K451-$F455)^2+('Old Data'!$U451-$G455)^2</f>
        <v>9616.2840591351633</v>
      </c>
      <c r="I455" s="75">
        <f>('Old Data'!$L451+'Old Data'!$M451)-('Old Data'!$V451+'Old Data'!$W451)</f>
        <v>65</v>
      </c>
      <c r="J455" s="72">
        <f>VLOOKUP('Old Data'!$F451,$Z$6:$AB$135,2,FALSE)+VLOOKUP('Old Data'!$P451,$Z$6:$AB$135,3,FALSE)+$D$2</f>
        <v>99.517663049312972</v>
      </c>
      <c r="K455" s="72">
        <f>VLOOKUP('Old Data'!$P451,$Z$6:$AB$135,2,FALSE)+VLOOKUP('Old Data'!$F451,$Z$6:$AB$135,3,FALSE)+$D$2</f>
        <v>35.949988677535387</v>
      </c>
      <c r="L455" s="74">
        <f>('Old Data'!$L451+'Old Data'!$M451-$J455)^2+('Old Data'!$V451+'Old Data'!$W451-$K455)^2</f>
        <v>1175.5824103101647</v>
      </c>
      <c r="M455" s="75">
        <f>'Old Data'!$N451-'Old Data'!$X451</f>
        <v>0</v>
      </c>
      <c r="N455" s="72">
        <f>VLOOKUP('Old Data'!$F451,$AD$6:$AF$135,2,FALSE)+VLOOKUP('Old Data'!$P451,$AD$6:$AF$135,3,FALSE)+$E$2</f>
        <v>0.17592186479697802</v>
      </c>
      <c r="O455" s="72">
        <f>VLOOKUP('Old Data'!$P451,$AD$6:$AF$135,2,FALSE)+VLOOKUP('Old Data'!$F451,$AD$6:$AF$135,3,FALSE)+$E$2</f>
        <v>1.1898568165082632</v>
      </c>
      <c r="P455" s="73">
        <f>('Old Data'!$N451-$N455)^2+('Old Data'!$X451-$O455)^2</f>
        <v>1.446707746304825</v>
      </c>
      <c r="Q455" s="62"/>
      <c r="R455" s="3"/>
      <c r="S455" s="3"/>
      <c r="T455" s="3"/>
      <c r="V455" s="3"/>
      <c r="W455" s="3"/>
      <c r="X455" s="3"/>
      <c r="Z455" s="3"/>
      <c r="AA455" s="3"/>
      <c r="AB455" s="3"/>
      <c r="AC455" s="3"/>
      <c r="AD455" s="3"/>
      <c r="AE455" s="3"/>
      <c r="AF455" s="3"/>
      <c r="AG455" s="3"/>
      <c r="AH455" s="37"/>
      <c r="AI455" s="1"/>
      <c r="AK455" s="10"/>
      <c r="AL455" s="10"/>
      <c r="AM455" s="10"/>
      <c r="AN455" s="11"/>
      <c r="AO455" s="11"/>
      <c r="AP455" s="11"/>
      <c r="AQ455" s="36"/>
      <c r="AR455" s="11"/>
      <c r="AS455" s="11"/>
      <c r="AT455" s="11"/>
      <c r="AU455" s="12"/>
      <c r="AV455" s="11"/>
      <c r="AW455" s="11"/>
      <c r="AX455" s="15"/>
      <c r="AY455" s="15"/>
      <c r="AZ455" s="15"/>
      <c r="BA455" s="15"/>
      <c r="BB455" s="15"/>
      <c r="BC455" s="15"/>
      <c r="BD455" s="15"/>
      <c r="BE455" s="12"/>
      <c r="BF455" s="11"/>
      <c r="BG455" s="11"/>
      <c r="BH455" s="10"/>
      <c r="BI455" s="10"/>
      <c r="BJ455" s="10"/>
      <c r="BK455" s="23"/>
      <c r="BL455" s="23"/>
      <c r="BM455" s="23"/>
      <c r="BN455" s="23"/>
      <c r="BO455" s="23"/>
      <c r="BP455" s="23"/>
      <c r="BQ455" s="23"/>
      <c r="BR455" s="10"/>
      <c r="BS455" s="16"/>
      <c r="BT455" s="16"/>
      <c r="BU455" s="16"/>
      <c r="BV455" s="16"/>
      <c r="BW455" s="11"/>
      <c r="BX455" s="16"/>
      <c r="BY455" s="16"/>
      <c r="BZ455" s="17"/>
      <c r="CA455" s="18"/>
      <c r="CB455" s="18"/>
      <c r="CC455" s="18"/>
      <c r="CD455" s="18"/>
      <c r="CE455" s="18"/>
      <c r="CF455" s="18"/>
      <c r="CG455" s="19"/>
      <c r="CH455" s="15"/>
      <c r="CI455" s="17"/>
      <c r="CJ455" s="10"/>
      <c r="CK455" s="10"/>
      <c r="CL455" s="10"/>
      <c r="CM455" s="17"/>
      <c r="CN455" s="17"/>
      <c r="CO455" s="10"/>
      <c r="CP455" s="10"/>
      <c r="CQ455" s="10"/>
      <c r="CR455" s="10"/>
      <c r="CS455" s="10"/>
      <c r="CT455" s="10"/>
      <c r="CU455" s="10"/>
      <c r="CV455" s="10"/>
      <c r="CW455" s="10"/>
      <c r="CX455" s="10"/>
      <c r="CY455" s="10"/>
      <c r="CZ455" s="10"/>
      <c r="DA455" s="34"/>
      <c r="DB455" s="34"/>
      <c r="DC455" s="34"/>
      <c r="DD455" s="34"/>
      <c r="DE455" s="34"/>
      <c r="DF455" s="34"/>
      <c r="DG455" s="34"/>
      <c r="DH455" s="34"/>
      <c r="DI455" s="34"/>
      <c r="DJ455" s="34"/>
      <c r="DK455" s="34"/>
      <c r="DL455" s="34"/>
      <c r="DM455" s="34"/>
      <c r="DN455" s="34"/>
      <c r="DO455" s="34"/>
      <c r="DP455" s="34"/>
      <c r="DQ455" s="34"/>
      <c r="DR455" s="34"/>
      <c r="DS455" s="34"/>
      <c r="DT455" s="34"/>
      <c r="DU455" s="34"/>
      <c r="DV455" s="34"/>
      <c r="DW455" s="34"/>
      <c r="DX455" s="34"/>
      <c r="DY455" s="34"/>
      <c r="DZ455" s="34"/>
      <c r="EA455" s="34"/>
      <c r="EB455" s="34"/>
      <c r="EC455" s="34"/>
      <c r="ED455" s="34"/>
      <c r="EE455" s="34"/>
    </row>
    <row r="456" spans="1:135" customFormat="1">
      <c r="A456" s="71">
        <f>'Old Data'!$I452-'Old Data'!$S452</f>
        <v>0</v>
      </c>
      <c r="B456" s="72">
        <f>VLOOKUP('Old Data'!$F452,$R$6:$T$135,2,FALSE)+VLOOKUP('Old Data'!$P452,$R$6:$T$135,3,FALSE)+$B$2</f>
        <v>179.5690877415278</v>
      </c>
      <c r="C456" s="72">
        <f>VLOOKUP('Old Data'!$P452,$R$6:$T$135,2,FALSE)+VLOOKUP('Old Data'!$F452,$R$6:$T$135,3,FALSE)+$B$2</f>
        <v>203.9795241835088</v>
      </c>
      <c r="D456" s="74">
        <f>('Old Data'!$I452-$B456)^2+('Old Data'!$S452-$C456)^2</f>
        <v>1525.4671754929366</v>
      </c>
      <c r="E456" s="75">
        <f>'Old Data'!$K452-'Old Data'!$U452</f>
        <v>241</v>
      </c>
      <c r="F456" s="72">
        <f>VLOOKUP('Old Data'!$F452,$V$6:$X$135,2,FALSE)+VLOOKUP('Old Data'!$P452,$V$6:$X$135,3,FALSE)+$C$2</f>
        <v>254.25555486016253</v>
      </c>
      <c r="G456" s="72">
        <f>VLOOKUP('Old Data'!$P452,$V$6:$X$135,2,FALSE)+VLOOKUP('Old Data'!$F452,$V$6:$X$135,3,FALSE)+$C$2</f>
        <v>168.15740818580329</v>
      </c>
      <c r="H456" s="74">
        <f>('Old Data'!$K452-$F456)^2+('Old Data'!$U452-$G456)^2</f>
        <v>12134.85697931641</v>
      </c>
      <c r="I456" s="75">
        <f>('Old Data'!$L452+'Old Data'!$M452)-('Old Data'!$V452+'Old Data'!$W452)</f>
        <v>-76</v>
      </c>
      <c r="J456" s="72">
        <f>VLOOKUP('Old Data'!$F452,$Z$6:$AB$135,2,FALSE)+VLOOKUP('Old Data'!$P452,$Z$6:$AB$135,3,FALSE)+$D$2</f>
        <v>61.385211039781268</v>
      </c>
      <c r="K456" s="72">
        <f>VLOOKUP('Old Data'!$P452,$Z$6:$AB$135,2,FALSE)+VLOOKUP('Old Data'!$F452,$Z$6:$AB$135,3,FALSE)+$D$2</f>
        <v>33.883519179617352</v>
      </c>
      <c r="L456" s="74">
        <f>('Old Data'!$L452+'Old Data'!$M452-$J456)^2+('Old Data'!$V452+'Old Data'!$W452-$K456)^2</f>
        <v>8148.6814504686736</v>
      </c>
      <c r="M456" s="75">
        <f>'Old Data'!$N452-'Old Data'!$X452</f>
        <v>0</v>
      </c>
      <c r="N456" s="72">
        <f>VLOOKUP('Old Data'!$F452,$AD$6:$AF$135,2,FALSE)+VLOOKUP('Old Data'!$P452,$AD$6:$AF$135,3,FALSE)+$E$2</f>
        <v>1.6191689357244952</v>
      </c>
      <c r="O456" s="72">
        <f>VLOOKUP('Old Data'!$P452,$AD$6:$AF$135,2,FALSE)+VLOOKUP('Old Data'!$F452,$AD$6:$AF$135,3,FALSE)+$E$2</f>
        <v>1.0159512855392652</v>
      </c>
      <c r="P456" s="73">
        <f>('Old Data'!$N452-$N456)^2+('Old Data'!$X452-$O456)^2</f>
        <v>0.38362461447655921</v>
      </c>
      <c r="Q456" s="62"/>
      <c r="R456" s="3"/>
      <c r="S456" s="3"/>
      <c r="T456" s="3"/>
      <c r="V456" s="3"/>
      <c r="W456" s="3"/>
      <c r="X456" s="3"/>
      <c r="Z456" s="3"/>
      <c r="AA456" s="3"/>
      <c r="AB456" s="3"/>
      <c r="AC456" s="3"/>
      <c r="AD456" s="3"/>
      <c r="AE456" s="3"/>
      <c r="AF456" s="3"/>
      <c r="AG456" s="3"/>
      <c r="AH456" s="37"/>
      <c r="AI456" s="1"/>
      <c r="AK456" s="10"/>
      <c r="AL456" s="10"/>
      <c r="AM456" s="10"/>
      <c r="AN456" s="11"/>
      <c r="AO456" s="11"/>
      <c r="AP456" s="11"/>
      <c r="AQ456" s="36"/>
      <c r="AR456" s="11"/>
      <c r="AS456" s="11"/>
      <c r="AT456" s="11"/>
      <c r="AU456" s="12"/>
      <c r="AV456" s="11"/>
      <c r="AW456" s="11"/>
      <c r="AX456" s="15"/>
      <c r="AY456" s="15"/>
      <c r="AZ456" s="15"/>
      <c r="BA456" s="15"/>
      <c r="BB456" s="15"/>
      <c r="BC456" s="15"/>
      <c r="BD456" s="15"/>
      <c r="BE456" s="12"/>
      <c r="BF456" s="11"/>
      <c r="BG456" s="11"/>
      <c r="BH456" s="10"/>
      <c r="BI456" s="10"/>
      <c r="BJ456" s="10"/>
      <c r="BK456" s="23"/>
      <c r="BL456" s="23"/>
      <c r="BM456" s="23"/>
      <c r="BN456" s="23"/>
      <c r="BO456" s="23"/>
      <c r="BP456" s="23"/>
      <c r="BQ456" s="23"/>
      <c r="BR456" s="10"/>
      <c r="BS456" s="16"/>
      <c r="BT456" s="16"/>
      <c r="BU456" s="16"/>
      <c r="BV456" s="16"/>
      <c r="BW456" s="11"/>
      <c r="BX456" s="16"/>
      <c r="BY456" s="16"/>
      <c r="BZ456" s="17"/>
      <c r="CA456" s="18"/>
      <c r="CB456" s="18"/>
      <c r="CC456" s="18"/>
      <c r="CD456" s="18"/>
      <c r="CE456" s="18"/>
      <c r="CF456" s="18"/>
      <c r="CG456" s="19"/>
      <c r="CH456" s="15"/>
      <c r="CI456" s="17"/>
      <c r="CJ456" s="10"/>
      <c r="CK456" s="10"/>
      <c r="CL456" s="10"/>
      <c r="CM456" s="17"/>
      <c r="CN456" s="17"/>
      <c r="CO456" s="10"/>
      <c r="CP456" s="10"/>
      <c r="CQ456" s="10"/>
      <c r="CR456" s="10"/>
      <c r="CS456" s="10"/>
      <c r="CT456" s="10"/>
      <c r="CU456" s="10"/>
      <c r="CV456" s="10"/>
      <c r="CW456" s="10"/>
      <c r="CX456" s="10"/>
      <c r="CY456" s="10"/>
      <c r="CZ456" s="10"/>
      <c r="DA456" s="34"/>
      <c r="DB456" s="34"/>
      <c r="DC456" s="34"/>
      <c r="DD456" s="34"/>
      <c r="DE456" s="34"/>
      <c r="DF456" s="34"/>
      <c r="DG456" s="34"/>
      <c r="DH456" s="34"/>
      <c r="DI456" s="34"/>
      <c r="DJ456" s="34"/>
      <c r="DK456" s="34"/>
      <c r="DL456" s="34"/>
      <c r="DM456" s="34"/>
      <c r="DN456" s="34"/>
      <c r="DO456" s="34"/>
      <c r="DP456" s="34"/>
      <c r="DQ456" s="34"/>
      <c r="DR456" s="34"/>
      <c r="DS456" s="34"/>
      <c r="DT456" s="34"/>
      <c r="DU456" s="34"/>
      <c r="DV456" s="34"/>
      <c r="DW456" s="34"/>
      <c r="DX456" s="34"/>
      <c r="DY456" s="34"/>
      <c r="DZ456" s="34"/>
      <c r="EA456" s="34"/>
      <c r="EB456" s="34"/>
      <c r="EC456" s="34"/>
      <c r="ED456" s="34"/>
      <c r="EE456" s="34"/>
    </row>
    <row r="457" spans="1:135" customFormat="1">
      <c r="A457" s="71">
        <f>'Old Data'!$I453-'Old Data'!$S453</f>
        <v>117</v>
      </c>
      <c r="B457" s="72">
        <f>VLOOKUP('Old Data'!$F453,$R$6:$T$135,2,FALSE)+VLOOKUP('Old Data'!$P453,$R$6:$T$135,3,FALSE)+$B$2</f>
        <v>205.18767956875291</v>
      </c>
      <c r="C457" s="72">
        <f>VLOOKUP('Old Data'!$P453,$R$6:$T$135,2,FALSE)+VLOOKUP('Old Data'!$F453,$R$6:$T$135,3,FALSE)+$B$2</f>
        <v>114.760465683296</v>
      </c>
      <c r="D457" s="74">
        <f>('Old Data'!$I453-$B457)^2+('Old Data'!$S453-$C457)^2</f>
        <v>6507.8019483794988</v>
      </c>
      <c r="E457" s="75">
        <f>'Old Data'!$K453-'Old Data'!$U453</f>
        <v>49</v>
      </c>
      <c r="F457" s="72">
        <f>VLOOKUP('Old Data'!$F453,$V$6:$X$135,2,FALSE)+VLOOKUP('Old Data'!$P453,$V$6:$X$135,3,FALSE)+$C$2</f>
        <v>128.44405534708943</v>
      </c>
      <c r="G457" s="72">
        <f>VLOOKUP('Old Data'!$P453,$V$6:$X$135,2,FALSE)+VLOOKUP('Old Data'!$F453,$V$6:$X$135,3,FALSE)+$C$2</f>
        <v>204.59995516481581</v>
      </c>
      <c r="H457" s="74">
        <f>('Old Data'!$K453-$F457)^2+('Old Data'!$U453-$G457)^2</f>
        <v>17920.250090745507</v>
      </c>
      <c r="I457" s="75">
        <f>('Old Data'!$L453+'Old Data'!$M453)-('Old Data'!$V453+'Old Data'!$W453)</f>
        <v>-85</v>
      </c>
      <c r="J457" s="72">
        <f>VLOOKUP('Old Data'!$F453,$Z$6:$AB$135,2,FALSE)+VLOOKUP('Old Data'!$P453,$Z$6:$AB$135,3,FALSE)+$D$2</f>
        <v>39.506373124764892</v>
      </c>
      <c r="K457" s="72">
        <f>VLOOKUP('Old Data'!$P453,$Z$6:$AB$135,2,FALSE)+VLOOKUP('Old Data'!$F453,$Z$6:$AB$135,3,FALSE)+$D$2</f>
        <v>67.898079330381705</v>
      </c>
      <c r="L457" s="74">
        <f>('Old Data'!$L453+'Old Data'!$M453-$J457)^2+('Old Data'!$V453+'Old Data'!$W453-$K457)^2</f>
        <v>2641.7264411130946</v>
      </c>
      <c r="M457" s="75">
        <f>'Old Data'!$N453-'Old Data'!$X453</f>
        <v>3</v>
      </c>
      <c r="N457" s="72">
        <f>VLOOKUP('Old Data'!$F453,$AD$6:$AF$135,2,FALSE)+VLOOKUP('Old Data'!$P453,$AD$6:$AF$135,3,FALSE)+$E$2</f>
        <v>1.963200048673909</v>
      </c>
      <c r="O457" s="72">
        <f>VLOOKUP('Old Data'!$P453,$AD$6:$AF$135,2,FALSE)+VLOOKUP('Old Data'!$F453,$AD$6:$AF$135,3,FALSE)+$E$2</f>
        <v>1.3764020904683569</v>
      </c>
      <c r="P457" s="73">
        <f>('Old Data'!$N453-$N457)^2+('Old Data'!$X453-$O457)^2</f>
        <v>4.2902325754309159</v>
      </c>
      <c r="Q457" s="62"/>
      <c r="R457" s="3"/>
      <c r="S457" s="3"/>
      <c r="T457" s="3"/>
      <c r="V457" s="3"/>
      <c r="W457" s="3"/>
      <c r="X457" s="3"/>
      <c r="Z457" s="3"/>
      <c r="AA457" s="3"/>
      <c r="AB457" s="3"/>
      <c r="AC457" s="3"/>
      <c r="AD457" s="3"/>
      <c r="AE457" s="3"/>
      <c r="AF457" s="3"/>
      <c r="AG457" s="3"/>
      <c r="AH457" s="37"/>
      <c r="AI457" s="1"/>
      <c r="AK457" s="10"/>
      <c r="AL457" s="10"/>
      <c r="AM457" s="10"/>
      <c r="AN457" s="11"/>
      <c r="AO457" s="11"/>
      <c r="AP457" s="11"/>
      <c r="AQ457" s="36"/>
      <c r="AR457" s="11"/>
      <c r="AS457" s="11"/>
      <c r="AT457" s="11"/>
      <c r="AU457" s="12"/>
      <c r="AV457" s="11"/>
      <c r="AW457" s="11"/>
      <c r="AX457" s="15"/>
      <c r="AY457" s="15"/>
      <c r="AZ457" s="15"/>
      <c r="BA457" s="15"/>
      <c r="BB457" s="15"/>
      <c r="BC457" s="15"/>
      <c r="BD457" s="15"/>
      <c r="BE457" s="12"/>
      <c r="BF457" s="11"/>
      <c r="BG457" s="11"/>
      <c r="BH457" s="10"/>
      <c r="BI457" s="10"/>
      <c r="BJ457" s="10"/>
      <c r="BK457" s="23"/>
      <c r="BL457" s="23"/>
      <c r="BM457" s="23"/>
      <c r="BN457" s="23"/>
      <c r="BO457" s="23"/>
      <c r="BP457" s="23"/>
      <c r="BQ457" s="23"/>
      <c r="BR457" s="10"/>
      <c r="BS457" s="16"/>
      <c r="BT457" s="16"/>
      <c r="BU457" s="16"/>
      <c r="BV457" s="16"/>
      <c r="BW457" s="11"/>
      <c r="BX457" s="16"/>
      <c r="BY457" s="16"/>
      <c r="BZ457" s="17"/>
      <c r="CA457" s="18"/>
      <c r="CB457" s="18"/>
      <c r="CC457" s="18"/>
      <c r="CD457" s="18"/>
      <c r="CE457" s="18"/>
      <c r="CF457" s="18"/>
      <c r="CG457" s="19"/>
      <c r="CH457" s="15"/>
      <c r="CI457" s="17"/>
      <c r="CJ457" s="10"/>
      <c r="CK457" s="10"/>
      <c r="CL457" s="10"/>
      <c r="CM457" s="17"/>
      <c r="CN457" s="17"/>
      <c r="CO457" s="10"/>
      <c r="CP457" s="10"/>
      <c r="CQ457" s="10"/>
      <c r="CR457" s="10"/>
      <c r="CS457" s="10"/>
      <c r="CT457" s="10"/>
      <c r="CU457" s="10"/>
      <c r="CV457" s="10"/>
      <c r="CW457" s="10"/>
      <c r="CX457" s="10"/>
      <c r="CY457" s="10"/>
      <c r="CZ457" s="10"/>
      <c r="DA457" s="34"/>
      <c r="DB457" s="34"/>
      <c r="DC457" s="34"/>
      <c r="DD457" s="34"/>
      <c r="DE457" s="34"/>
      <c r="DF457" s="34"/>
      <c r="DG457" s="34"/>
      <c r="DH457" s="34"/>
      <c r="DI457" s="34"/>
      <c r="DJ457" s="34"/>
      <c r="DK457" s="34"/>
      <c r="DL457" s="34"/>
      <c r="DM457" s="34"/>
      <c r="DN457" s="34"/>
      <c r="DO457" s="34"/>
      <c r="DP457" s="34"/>
      <c r="DQ457" s="34"/>
      <c r="DR457" s="34"/>
      <c r="DS457" s="34"/>
      <c r="DT457" s="34"/>
      <c r="DU457" s="34"/>
      <c r="DV457" s="34"/>
      <c r="DW457" s="34"/>
      <c r="DX457" s="34"/>
      <c r="DY457" s="34"/>
      <c r="DZ457" s="34"/>
      <c r="EA457" s="34"/>
      <c r="EB457" s="34"/>
      <c r="EC457" s="34"/>
      <c r="ED457" s="34"/>
      <c r="EE457" s="34"/>
    </row>
    <row r="458" spans="1:135" customFormat="1">
      <c r="A458" s="71">
        <f>'Old Data'!$I454-'Old Data'!$S454</f>
        <v>-69</v>
      </c>
      <c r="B458" s="72">
        <f>VLOOKUP('Old Data'!$F454,$R$6:$T$135,2,FALSE)+VLOOKUP('Old Data'!$P454,$R$6:$T$135,3,FALSE)+$B$2</f>
        <v>207.08947768579461</v>
      </c>
      <c r="C458" s="72">
        <f>VLOOKUP('Old Data'!$P454,$R$6:$T$135,2,FALSE)+VLOOKUP('Old Data'!$F454,$R$6:$T$135,3,FALSE)+$B$2</f>
        <v>203.00945866941379</v>
      </c>
      <c r="D458" s="74">
        <f>('Old Data'!$I454-$B458)^2+('Old Data'!$S454-$C458)^2</f>
        <v>2670.7505475632734</v>
      </c>
      <c r="E458" s="75">
        <f>'Old Data'!$K454-'Old Data'!$U454</f>
        <v>125</v>
      </c>
      <c r="F458" s="72">
        <f>VLOOKUP('Old Data'!$F454,$V$6:$X$135,2,FALSE)+VLOOKUP('Old Data'!$P454,$V$6:$X$135,3,FALSE)+$C$2</f>
        <v>339.1815822777441</v>
      </c>
      <c r="G458" s="72">
        <f>VLOOKUP('Old Data'!$P454,$V$6:$X$135,2,FALSE)+VLOOKUP('Old Data'!$F454,$V$6:$X$135,3,FALSE)+$C$2</f>
        <v>202.9914956834449</v>
      </c>
      <c r="H458" s="74">
        <f>('Old Data'!$K454-$F458)^2+('Old Data'!$U454-$G458)^2</f>
        <v>1813.3355966944328</v>
      </c>
      <c r="I458" s="75">
        <f>('Old Data'!$L454+'Old Data'!$M454)-('Old Data'!$V454+'Old Data'!$W454)</f>
        <v>-16</v>
      </c>
      <c r="J458" s="72">
        <f>VLOOKUP('Old Data'!$F454,$Z$6:$AB$135,2,FALSE)+VLOOKUP('Old Data'!$P454,$Z$6:$AB$135,3,FALSE)+$D$2</f>
        <v>24.425080352377599</v>
      </c>
      <c r="K458" s="72">
        <f>VLOOKUP('Old Data'!$P454,$Z$6:$AB$135,2,FALSE)+VLOOKUP('Old Data'!$F454,$Z$6:$AB$135,3,FALSE)+$D$2</f>
        <v>67.850849313384032</v>
      </c>
      <c r="L458" s="74">
        <f>('Old Data'!$L454+'Old Data'!$M454-$J458)^2+('Old Data'!$V454+'Old Data'!$W454-$K458)^2</f>
        <v>581.64306345670832</v>
      </c>
      <c r="M458" s="75">
        <f>'Old Data'!$N454-'Old Data'!$X454</f>
        <v>0</v>
      </c>
      <c r="N458" s="72">
        <f>VLOOKUP('Old Data'!$F454,$AD$6:$AF$135,2,FALSE)+VLOOKUP('Old Data'!$P454,$AD$6:$AF$135,3,FALSE)+$E$2</f>
        <v>1.8279290704311244</v>
      </c>
      <c r="O458" s="72">
        <f>VLOOKUP('Old Data'!$P454,$AD$6:$AF$135,2,FALSE)+VLOOKUP('Old Data'!$F454,$AD$6:$AF$135,3,FALSE)+$E$2</f>
        <v>1.251560372111123</v>
      </c>
      <c r="P458" s="73">
        <f>('Old Data'!$N454-$N458)^2+('Old Data'!$X454-$O458)^2</f>
        <v>0.74874916648163248</v>
      </c>
      <c r="Q458" s="62"/>
      <c r="R458" s="3"/>
      <c r="S458" s="3"/>
      <c r="T458" s="3"/>
      <c r="V458" s="3"/>
      <c r="W458" s="3"/>
      <c r="X458" s="3"/>
      <c r="Z458" s="3"/>
      <c r="AA458" s="3"/>
      <c r="AB458" s="3"/>
      <c r="AC458" s="3"/>
      <c r="AD458" s="3"/>
      <c r="AE458" s="3"/>
      <c r="AF458" s="3"/>
      <c r="AG458" s="3"/>
      <c r="AH458" s="37"/>
      <c r="AI458" s="1"/>
      <c r="AK458" s="10"/>
      <c r="AL458" s="10"/>
      <c r="AM458" s="10"/>
      <c r="AN458" s="11"/>
      <c r="AO458" s="11"/>
      <c r="AP458" s="11"/>
      <c r="AQ458" s="36"/>
      <c r="AR458" s="11"/>
      <c r="AS458" s="11"/>
      <c r="AT458" s="11"/>
      <c r="AU458" s="12"/>
      <c r="AV458" s="11"/>
      <c r="AW458" s="11"/>
      <c r="AX458" s="15"/>
      <c r="AY458" s="15"/>
      <c r="AZ458" s="15"/>
      <c r="BA458" s="15"/>
      <c r="BB458" s="15"/>
      <c r="BC458" s="15"/>
      <c r="BD458" s="15"/>
      <c r="BE458" s="12"/>
      <c r="BF458" s="11"/>
      <c r="BG458" s="11"/>
      <c r="BH458" s="10"/>
      <c r="BI458" s="10"/>
      <c r="BJ458" s="10"/>
      <c r="BK458" s="23"/>
      <c r="BL458" s="23"/>
      <c r="BM458" s="23"/>
      <c r="BN458" s="23"/>
      <c r="BO458" s="23"/>
      <c r="BP458" s="23"/>
      <c r="BQ458" s="23"/>
      <c r="BR458" s="10"/>
      <c r="BS458" s="16"/>
      <c r="BT458" s="16"/>
      <c r="BU458" s="16"/>
      <c r="BV458" s="16"/>
      <c r="BW458" s="11"/>
      <c r="BX458" s="16"/>
      <c r="BY458" s="16"/>
      <c r="BZ458" s="17"/>
      <c r="CA458" s="18"/>
      <c r="CB458" s="18"/>
      <c r="CC458" s="18"/>
      <c r="CD458" s="18"/>
      <c r="CE458" s="18"/>
      <c r="CF458" s="18"/>
      <c r="CG458" s="19"/>
      <c r="CH458" s="15"/>
      <c r="CI458" s="17"/>
      <c r="CJ458" s="10"/>
      <c r="CK458" s="10"/>
      <c r="CL458" s="10"/>
      <c r="CM458" s="17"/>
      <c r="CN458" s="17"/>
      <c r="CO458" s="10"/>
      <c r="CP458" s="10"/>
      <c r="CQ458" s="10"/>
      <c r="CR458" s="10"/>
      <c r="CS458" s="10"/>
      <c r="CT458" s="10"/>
      <c r="CU458" s="10"/>
      <c r="CV458" s="10"/>
      <c r="CW458" s="10"/>
      <c r="CX458" s="10"/>
      <c r="CY458" s="10"/>
      <c r="CZ458" s="10"/>
      <c r="DA458" s="34"/>
      <c r="DB458" s="34"/>
      <c r="DC458" s="34"/>
      <c r="DD458" s="34"/>
      <c r="DE458" s="34"/>
      <c r="DF458" s="34"/>
      <c r="DG458" s="34"/>
      <c r="DH458" s="34"/>
      <c r="DI458" s="34"/>
      <c r="DJ458" s="34"/>
      <c r="DK458" s="34"/>
      <c r="DL458" s="34"/>
      <c r="DM458" s="34"/>
      <c r="DN458" s="34"/>
      <c r="DO458" s="34"/>
      <c r="DP458" s="34"/>
      <c r="DQ458" s="34"/>
      <c r="DR458" s="34"/>
      <c r="DS458" s="34"/>
      <c r="DT458" s="34"/>
      <c r="DU458" s="34"/>
      <c r="DV458" s="34"/>
      <c r="DW458" s="34"/>
      <c r="DX458" s="34"/>
      <c r="DY458" s="34"/>
      <c r="DZ458" s="34"/>
      <c r="EA458" s="34"/>
      <c r="EB458" s="34"/>
      <c r="EC458" s="34"/>
      <c r="ED458" s="34"/>
      <c r="EE458" s="34"/>
    </row>
    <row r="459" spans="1:135" customFormat="1">
      <c r="A459" s="71">
        <f>'Old Data'!$I455-'Old Data'!$S455</f>
        <v>33</v>
      </c>
      <c r="B459" s="72">
        <f>VLOOKUP('Old Data'!$F455,$R$6:$T$135,2,FALSE)+VLOOKUP('Old Data'!$P455,$R$6:$T$135,3,FALSE)+$B$2</f>
        <v>226.67940910660127</v>
      </c>
      <c r="C459" s="72">
        <f>VLOOKUP('Old Data'!$P455,$R$6:$T$135,2,FALSE)+VLOOKUP('Old Data'!$F455,$R$6:$T$135,3,FALSE)+$B$2</f>
        <v>221.93781360248562</v>
      </c>
      <c r="D459" s="74">
        <f>('Old Data'!$I455-$B459)^2+('Old Data'!$S455-$C459)^2</f>
        <v>502.70085362651133</v>
      </c>
      <c r="E459" s="75">
        <f>'Old Data'!$K455-'Old Data'!$U455</f>
        <v>74</v>
      </c>
      <c r="F459" s="72">
        <f>VLOOKUP('Old Data'!$F455,$V$6:$X$135,2,FALSE)+VLOOKUP('Old Data'!$P455,$V$6:$X$135,3,FALSE)+$C$2</f>
        <v>266.98621620899911</v>
      </c>
      <c r="G459" s="72">
        <f>VLOOKUP('Old Data'!$P455,$V$6:$X$135,2,FALSE)+VLOOKUP('Old Data'!$F455,$V$6:$X$135,3,FALSE)+$C$2</f>
        <v>230.2938728584227</v>
      </c>
      <c r="H459" s="74">
        <f>('Old Data'!$K455-$F459)^2+('Old Data'!$U455-$G459)^2</f>
        <v>18232.846502886365</v>
      </c>
      <c r="I459" s="75">
        <f>('Old Data'!$L455+'Old Data'!$M455)-('Old Data'!$V455+'Old Data'!$W455)</f>
        <v>45</v>
      </c>
      <c r="J459" s="72">
        <f>VLOOKUP('Old Data'!$F455,$Z$6:$AB$135,2,FALSE)+VLOOKUP('Old Data'!$P455,$Z$6:$AB$135,3,FALSE)+$D$2</f>
        <v>44.824530885426498</v>
      </c>
      <c r="K459" s="72">
        <f>VLOOKUP('Old Data'!$P455,$Z$6:$AB$135,2,FALSE)+VLOOKUP('Old Data'!$F455,$Z$6:$AB$135,3,FALSE)+$D$2</f>
        <v>6.0387791167871825</v>
      </c>
      <c r="L459" s="74">
        <f>('Old Data'!$L455+'Old Data'!$M455-$J459)^2+('Old Data'!$V455+'Old Data'!$W455-$K459)^2</f>
        <v>36.497642631514189</v>
      </c>
      <c r="M459" s="75">
        <f>'Old Data'!$N455-'Old Data'!$X455</f>
        <v>2</v>
      </c>
      <c r="N459" s="72">
        <f>VLOOKUP('Old Data'!$F455,$AD$6:$AF$135,2,FALSE)+VLOOKUP('Old Data'!$P455,$AD$6:$AF$135,3,FALSE)+$E$2</f>
        <v>1.0060306832274346</v>
      </c>
      <c r="O459" s="72">
        <f>VLOOKUP('Old Data'!$P455,$AD$6:$AF$135,2,FALSE)+VLOOKUP('Old Data'!$F455,$AD$6:$AF$135,3,FALSE)+$E$2</f>
        <v>1.2057524683109935</v>
      </c>
      <c r="P459" s="73">
        <f>('Old Data'!$N455-$N459)^2+('Old Data'!$X455-$O459)^2</f>
        <v>2.4418140175233738</v>
      </c>
      <c r="Q459" s="62"/>
      <c r="R459" s="3"/>
      <c r="S459" s="3"/>
      <c r="T459" s="3"/>
      <c r="V459" s="3"/>
      <c r="W459" s="3"/>
      <c r="X459" s="3"/>
      <c r="Z459" s="3"/>
      <c r="AA459" s="3"/>
      <c r="AB459" s="3"/>
      <c r="AC459" s="3"/>
      <c r="AD459" s="3"/>
      <c r="AE459" s="3"/>
      <c r="AF459" s="3"/>
      <c r="AG459" s="3"/>
      <c r="AH459" s="37"/>
      <c r="AI459" s="1"/>
      <c r="AK459" s="10"/>
      <c r="AL459" s="10"/>
      <c r="AM459" s="10"/>
      <c r="AN459" s="11"/>
      <c r="AO459" s="11"/>
      <c r="AP459" s="11"/>
      <c r="AQ459" s="36"/>
      <c r="AR459" s="11"/>
      <c r="AS459" s="11"/>
      <c r="AT459" s="11"/>
      <c r="AU459" s="12"/>
      <c r="AV459" s="11"/>
      <c r="AW459" s="11"/>
      <c r="AX459" s="15"/>
      <c r="AY459" s="15"/>
      <c r="AZ459" s="15"/>
      <c r="BA459" s="15"/>
      <c r="BB459" s="15"/>
      <c r="BC459" s="15"/>
      <c r="BD459" s="15"/>
      <c r="BE459" s="12"/>
      <c r="BF459" s="11"/>
      <c r="BG459" s="11"/>
      <c r="BH459" s="10"/>
      <c r="BI459" s="10"/>
      <c r="BJ459" s="10"/>
      <c r="BK459" s="23"/>
      <c r="BL459" s="23"/>
      <c r="BM459" s="23"/>
      <c r="BN459" s="23"/>
      <c r="BO459" s="23"/>
      <c r="BP459" s="23"/>
      <c r="BQ459" s="23"/>
      <c r="BR459" s="10"/>
      <c r="BS459" s="16"/>
      <c r="BT459" s="16"/>
      <c r="BU459" s="16"/>
      <c r="BV459" s="16"/>
      <c r="BW459" s="11"/>
      <c r="BX459" s="16"/>
      <c r="BY459" s="16"/>
      <c r="BZ459" s="17"/>
      <c r="CA459" s="18"/>
      <c r="CB459" s="18"/>
      <c r="CC459" s="18"/>
      <c r="CD459" s="18"/>
      <c r="CE459" s="18"/>
      <c r="CF459" s="18"/>
      <c r="CG459" s="19"/>
      <c r="CH459" s="15"/>
      <c r="CI459" s="17"/>
      <c r="CJ459" s="10"/>
      <c r="CK459" s="10"/>
      <c r="CL459" s="10"/>
      <c r="CM459" s="17"/>
      <c r="CN459" s="17"/>
      <c r="CO459" s="10"/>
      <c r="CP459" s="10"/>
      <c r="CQ459" s="10"/>
      <c r="CR459" s="10"/>
      <c r="CS459" s="10"/>
      <c r="CT459" s="10"/>
      <c r="CU459" s="10"/>
      <c r="CV459" s="10"/>
      <c r="CW459" s="10"/>
      <c r="CX459" s="10"/>
      <c r="CY459" s="10"/>
      <c r="CZ459" s="10"/>
      <c r="DA459" s="34"/>
      <c r="DB459" s="34"/>
      <c r="DC459" s="34"/>
      <c r="DD459" s="34"/>
      <c r="DE459" s="34"/>
      <c r="DF459" s="34"/>
      <c r="DG459" s="34"/>
      <c r="DH459" s="34"/>
      <c r="DI459" s="34"/>
      <c r="DJ459" s="34"/>
      <c r="DK459" s="34"/>
      <c r="DL459" s="34"/>
      <c r="DM459" s="34"/>
      <c r="DN459" s="34"/>
      <c r="DO459" s="34"/>
      <c r="DP459" s="34"/>
      <c r="DQ459" s="34"/>
      <c r="DR459" s="34"/>
      <c r="DS459" s="34"/>
      <c r="DT459" s="34"/>
      <c r="DU459" s="34"/>
      <c r="DV459" s="34"/>
      <c r="DW459" s="34"/>
      <c r="DX459" s="34"/>
      <c r="DY459" s="34"/>
      <c r="DZ459" s="34"/>
      <c r="EA459" s="34"/>
      <c r="EB459" s="34"/>
      <c r="EC459" s="34"/>
      <c r="ED459" s="34"/>
      <c r="EE459" s="34"/>
    </row>
    <row r="460" spans="1:135" customFormat="1">
      <c r="A460" s="71">
        <f>'Old Data'!$I456-'Old Data'!$S456</f>
        <v>305</v>
      </c>
      <c r="B460" s="72">
        <f>VLOOKUP('Old Data'!$F456,$R$6:$T$135,2,FALSE)+VLOOKUP('Old Data'!$P456,$R$6:$T$135,3,FALSE)+$B$2</f>
        <v>193.53770247383247</v>
      </c>
      <c r="C460" s="72">
        <f>VLOOKUP('Old Data'!$P456,$R$6:$T$135,2,FALSE)+VLOOKUP('Old Data'!$F456,$R$6:$T$135,3,FALSE)+$B$2</f>
        <v>112.661950872413</v>
      </c>
      <c r="D460" s="74">
        <f>('Old Data'!$I456-$B460)^2+('Old Data'!$S456-$C460)^2</f>
        <v>26031.774196955092</v>
      </c>
      <c r="E460" s="75">
        <f>'Old Data'!$K456-'Old Data'!$U456</f>
        <v>59</v>
      </c>
      <c r="F460" s="72">
        <f>VLOOKUP('Old Data'!$F456,$V$6:$X$135,2,FALSE)+VLOOKUP('Old Data'!$P456,$V$6:$X$135,3,FALSE)+$C$2</f>
        <v>247.77824680233741</v>
      </c>
      <c r="G460" s="72">
        <f>VLOOKUP('Old Data'!$P456,$V$6:$X$135,2,FALSE)+VLOOKUP('Old Data'!$F456,$V$6:$X$135,3,FALSE)+$C$2</f>
        <v>245.54961631451209</v>
      </c>
      <c r="H460" s="74">
        <f>('Old Data'!$K456-$F460)^2+('Old Data'!$U456-$G460)^2</f>
        <v>1891.679230451246</v>
      </c>
      <c r="I460" s="75">
        <f>('Old Data'!$L456+'Old Data'!$M456)-('Old Data'!$V456+'Old Data'!$W456)</f>
        <v>62</v>
      </c>
      <c r="J460" s="72">
        <f>VLOOKUP('Old Data'!$F456,$Z$6:$AB$135,2,FALSE)+VLOOKUP('Old Data'!$P456,$Z$6:$AB$135,3,FALSE)+$D$2</f>
        <v>78.570587533071219</v>
      </c>
      <c r="K460" s="72">
        <f>VLOOKUP('Old Data'!$P456,$Z$6:$AB$135,2,FALSE)+VLOOKUP('Old Data'!$F456,$Z$6:$AB$135,3,FALSE)+$D$2</f>
        <v>28.915591434179493</v>
      </c>
      <c r="L460" s="74">
        <f>('Old Data'!$L456+'Old Data'!$M456-$J460)^2+('Old Data'!$V456+'Old Data'!$W456-$K460)^2</f>
        <v>510.91693570355841</v>
      </c>
      <c r="M460" s="75">
        <f>'Old Data'!$N456-'Old Data'!$X456</f>
        <v>4</v>
      </c>
      <c r="N460" s="72">
        <f>VLOOKUP('Old Data'!$F456,$AD$6:$AF$135,2,FALSE)+VLOOKUP('Old Data'!$P456,$AD$6:$AF$135,3,FALSE)+$E$2</f>
        <v>1.4894264155821151</v>
      </c>
      <c r="O460" s="72">
        <f>VLOOKUP('Old Data'!$P456,$AD$6:$AF$135,2,FALSE)+VLOOKUP('Old Data'!$F456,$AD$6:$AF$135,3,FALSE)+$E$2</f>
        <v>1.6136243999229092</v>
      </c>
      <c r="P460" s="73">
        <f>('Old Data'!$N456-$N460)^2+('Old Data'!$X456-$O460)^2</f>
        <v>8.9067634268034332</v>
      </c>
      <c r="Q460" s="62"/>
      <c r="R460" s="3"/>
      <c r="S460" s="3"/>
      <c r="T460" s="3"/>
      <c r="V460" s="3"/>
      <c r="W460" s="3"/>
      <c r="X460" s="3"/>
      <c r="Z460" s="3"/>
      <c r="AA460" s="3"/>
      <c r="AB460" s="3"/>
      <c r="AC460" s="3"/>
      <c r="AD460" s="3"/>
      <c r="AE460" s="3"/>
      <c r="AF460" s="3"/>
      <c r="AG460" s="3"/>
      <c r="AH460" s="37"/>
      <c r="AI460" s="1"/>
      <c r="AK460" s="10"/>
      <c r="AL460" s="10"/>
      <c r="AM460" s="10"/>
      <c r="AN460" s="11"/>
      <c r="AO460" s="11"/>
      <c r="AP460" s="11"/>
      <c r="AQ460" s="36"/>
      <c r="AR460" s="11"/>
      <c r="AS460" s="11"/>
      <c r="AT460" s="11"/>
      <c r="AU460" s="12"/>
      <c r="AV460" s="11"/>
      <c r="AW460" s="11"/>
      <c r="AX460" s="15"/>
      <c r="AY460" s="15"/>
      <c r="AZ460" s="15"/>
      <c r="BA460" s="15"/>
      <c r="BB460" s="15"/>
      <c r="BC460" s="15"/>
      <c r="BD460" s="15"/>
      <c r="BE460" s="12"/>
      <c r="BF460" s="11"/>
      <c r="BG460" s="11"/>
      <c r="BH460" s="10"/>
      <c r="BI460" s="10"/>
      <c r="BJ460" s="10"/>
      <c r="BK460" s="23"/>
      <c r="BL460" s="23"/>
      <c r="BM460" s="23"/>
      <c r="BN460" s="23"/>
      <c r="BO460" s="23"/>
      <c r="BP460" s="23"/>
      <c r="BQ460" s="23"/>
      <c r="BR460" s="10"/>
      <c r="BS460" s="16"/>
      <c r="BT460" s="16"/>
      <c r="BU460" s="16"/>
      <c r="BV460" s="16"/>
      <c r="BW460" s="11"/>
      <c r="BX460" s="16"/>
      <c r="BY460" s="16"/>
      <c r="BZ460" s="17"/>
      <c r="CA460" s="18"/>
      <c r="CB460" s="18"/>
      <c r="CC460" s="18"/>
      <c r="CD460" s="18"/>
      <c r="CE460" s="18"/>
      <c r="CF460" s="18"/>
      <c r="CG460" s="19"/>
      <c r="CH460" s="15"/>
      <c r="CI460" s="17"/>
      <c r="CJ460" s="10"/>
      <c r="CK460" s="10"/>
      <c r="CL460" s="10"/>
      <c r="CM460" s="17"/>
      <c r="CN460" s="17"/>
      <c r="CO460" s="10"/>
      <c r="CP460" s="10"/>
      <c r="CQ460" s="10"/>
      <c r="CR460" s="10"/>
      <c r="CS460" s="10"/>
      <c r="CT460" s="10"/>
      <c r="CU460" s="10"/>
      <c r="CV460" s="10"/>
      <c r="CW460" s="10"/>
      <c r="CX460" s="10"/>
      <c r="CY460" s="10"/>
      <c r="CZ460" s="10"/>
      <c r="DA460" s="34"/>
      <c r="DB460" s="34"/>
      <c r="DC460" s="34"/>
      <c r="DD460" s="34"/>
      <c r="DE460" s="34"/>
      <c r="DF460" s="34"/>
      <c r="DG460" s="34"/>
      <c r="DH460" s="34"/>
      <c r="DI460" s="34"/>
      <c r="DJ460" s="34"/>
      <c r="DK460" s="34"/>
      <c r="DL460" s="34"/>
      <c r="DM460" s="34"/>
      <c r="DN460" s="34"/>
      <c r="DO460" s="34"/>
      <c r="DP460" s="34"/>
      <c r="DQ460" s="34"/>
      <c r="DR460" s="34"/>
      <c r="DS460" s="34"/>
      <c r="DT460" s="34"/>
      <c r="DU460" s="34"/>
      <c r="DV460" s="34"/>
      <c r="DW460" s="34"/>
      <c r="DX460" s="34"/>
      <c r="DY460" s="34"/>
      <c r="DZ460" s="34"/>
      <c r="EA460" s="34"/>
      <c r="EB460" s="34"/>
      <c r="EC460" s="34"/>
      <c r="ED460" s="34"/>
      <c r="EE460" s="34"/>
    </row>
    <row r="461" spans="1:135" customFormat="1">
      <c r="A461" s="71">
        <f>'Old Data'!$I457-'Old Data'!$S457</f>
        <v>67</v>
      </c>
      <c r="B461" s="72">
        <f>VLOOKUP('Old Data'!$F457,$R$6:$T$135,2,FALSE)+VLOOKUP('Old Data'!$P457,$R$6:$T$135,3,FALSE)+$B$2</f>
        <v>171.1227638549868</v>
      </c>
      <c r="C461" s="72">
        <f>VLOOKUP('Old Data'!$P457,$R$6:$T$135,2,FALSE)+VLOOKUP('Old Data'!$F457,$R$6:$T$135,3,FALSE)+$B$2</f>
        <v>161.75942648318031</v>
      </c>
      <c r="D461" s="74">
        <f>('Old Data'!$I457-$B461)^2+('Old Data'!$S457-$C461)^2</f>
        <v>3006.8732766009989</v>
      </c>
      <c r="E461" s="75">
        <f>'Old Data'!$K457-'Old Data'!$U457</f>
        <v>-26</v>
      </c>
      <c r="F461" s="72">
        <f>VLOOKUP('Old Data'!$F457,$V$6:$X$135,2,FALSE)+VLOOKUP('Old Data'!$P457,$V$6:$X$135,3,FALSE)+$C$2</f>
        <v>295.49976669410108</v>
      </c>
      <c r="G461" s="72">
        <f>VLOOKUP('Old Data'!$P457,$V$6:$X$135,2,FALSE)+VLOOKUP('Old Data'!$F457,$V$6:$X$135,3,FALSE)+$C$2</f>
        <v>177.4975931390301</v>
      </c>
      <c r="H461" s="74">
        <f>('Old Data'!$K457-$F461)^2+('Old Data'!$U457-$G461)^2</f>
        <v>12228.974047956632</v>
      </c>
      <c r="I461" s="75">
        <f>('Old Data'!$L457+'Old Data'!$M457)-('Old Data'!$V457+'Old Data'!$W457)</f>
        <v>128</v>
      </c>
      <c r="J461" s="72">
        <f>VLOOKUP('Old Data'!$F457,$Z$6:$AB$135,2,FALSE)+VLOOKUP('Old Data'!$P457,$Z$6:$AB$135,3,FALSE)+$D$2</f>
        <v>93.480043216056742</v>
      </c>
      <c r="K461" s="72">
        <f>VLOOKUP('Old Data'!$P457,$Z$6:$AB$135,2,FALSE)+VLOOKUP('Old Data'!$F457,$Z$6:$AB$135,3,FALSE)+$D$2</f>
        <v>42.331539431056243</v>
      </c>
      <c r="L461" s="74">
        <f>('Old Data'!$L457+'Old Data'!$M457-$J461)^2+('Old Data'!$V457+'Old Data'!$W457-$K461)^2</f>
        <v>4531.6453575531477</v>
      </c>
      <c r="M461" s="75">
        <f>'Old Data'!$N457-'Old Data'!$X457</f>
        <v>0</v>
      </c>
      <c r="N461" s="72">
        <f>VLOOKUP('Old Data'!$F457,$AD$6:$AF$135,2,FALSE)+VLOOKUP('Old Data'!$P457,$AD$6:$AF$135,3,FALSE)+$E$2</f>
        <v>1.486955024378352</v>
      </c>
      <c r="O461" s="72">
        <f>VLOOKUP('Old Data'!$P457,$AD$6:$AF$135,2,FALSE)+VLOOKUP('Old Data'!$F457,$AD$6:$AF$135,3,FALSE)+$E$2</f>
        <v>1.8285937639706082</v>
      </c>
      <c r="P461" s="73">
        <f>('Old Data'!$N457-$N461)^2+('Old Data'!$X457-$O461)^2</f>
        <v>5.5547903981562214</v>
      </c>
      <c r="Q461" s="62"/>
      <c r="R461" s="3"/>
      <c r="S461" s="3"/>
      <c r="T461" s="3"/>
      <c r="V461" s="3"/>
      <c r="W461" s="3"/>
      <c r="X461" s="3"/>
      <c r="Z461" s="3"/>
      <c r="AA461" s="3"/>
      <c r="AB461" s="3"/>
      <c r="AC461" s="3"/>
      <c r="AD461" s="3"/>
      <c r="AE461" s="3"/>
      <c r="AF461" s="3"/>
      <c r="AG461" s="3"/>
      <c r="AH461" s="37"/>
      <c r="AI461" s="1"/>
      <c r="AK461" s="10"/>
      <c r="AL461" s="10"/>
      <c r="AM461" s="10"/>
      <c r="AN461" s="11"/>
      <c r="AO461" s="11"/>
      <c r="AP461" s="11"/>
      <c r="AQ461" s="36"/>
      <c r="AR461" s="11"/>
      <c r="AS461" s="11"/>
      <c r="AT461" s="11"/>
      <c r="AU461" s="12"/>
      <c r="AV461" s="11"/>
      <c r="AW461" s="11"/>
      <c r="AX461" s="15"/>
      <c r="AY461" s="15"/>
      <c r="AZ461" s="15"/>
      <c r="BA461" s="15"/>
      <c r="BB461" s="15"/>
      <c r="BC461" s="15"/>
      <c r="BD461" s="15"/>
      <c r="BE461" s="12"/>
      <c r="BF461" s="11"/>
      <c r="BG461" s="11"/>
      <c r="BH461" s="10"/>
      <c r="BI461" s="10"/>
      <c r="BJ461" s="10"/>
      <c r="BK461" s="23"/>
      <c r="BL461" s="23"/>
      <c r="BM461" s="23"/>
      <c r="BN461" s="23"/>
      <c r="BO461" s="23"/>
      <c r="BP461" s="23"/>
      <c r="BQ461" s="23"/>
      <c r="BR461" s="10"/>
      <c r="BS461" s="16"/>
      <c r="BT461" s="16"/>
      <c r="BU461" s="16"/>
      <c r="BV461" s="16"/>
      <c r="BW461" s="11"/>
      <c r="BX461" s="16"/>
      <c r="BY461" s="16"/>
      <c r="BZ461" s="17"/>
      <c r="CA461" s="18"/>
      <c r="CB461" s="18"/>
      <c r="CC461" s="18"/>
      <c r="CD461" s="18"/>
      <c r="CE461" s="18"/>
      <c r="CF461" s="18"/>
      <c r="CG461" s="19"/>
      <c r="CH461" s="15"/>
      <c r="CI461" s="17"/>
      <c r="CJ461" s="10"/>
      <c r="CK461" s="10"/>
      <c r="CL461" s="10"/>
      <c r="CM461" s="17"/>
      <c r="CN461" s="17"/>
      <c r="CO461" s="10"/>
      <c r="CP461" s="10"/>
      <c r="CQ461" s="10"/>
      <c r="CR461" s="10"/>
      <c r="CS461" s="10"/>
      <c r="CT461" s="10"/>
      <c r="CU461" s="10"/>
      <c r="CV461" s="10"/>
      <c r="CW461" s="10"/>
      <c r="CX461" s="10"/>
      <c r="CY461" s="10"/>
      <c r="CZ461" s="10"/>
      <c r="DA461" s="34"/>
      <c r="DB461" s="34"/>
      <c r="DC461" s="34"/>
      <c r="DD461" s="34"/>
      <c r="DE461" s="34"/>
      <c r="DF461" s="34"/>
      <c r="DG461" s="34"/>
      <c r="DH461" s="34"/>
      <c r="DI461" s="34"/>
      <c r="DJ461" s="34"/>
      <c r="DK461" s="34"/>
      <c r="DL461" s="34"/>
      <c r="DM461" s="34"/>
      <c r="DN461" s="34"/>
      <c r="DO461" s="34"/>
      <c r="DP461" s="34"/>
      <c r="DQ461" s="34"/>
      <c r="DR461" s="34"/>
      <c r="DS461" s="34"/>
      <c r="DT461" s="34"/>
      <c r="DU461" s="34"/>
      <c r="DV461" s="34"/>
      <c r="DW461" s="34"/>
      <c r="DX461" s="34"/>
      <c r="DY461" s="34"/>
      <c r="DZ461" s="34"/>
      <c r="EA461" s="34"/>
      <c r="EB461" s="34"/>
      <c r="EC461" s="34"/>
      <c r="ED461" s="34"/>
      <c r="EE461" s="34"/>
    </row>
    <row r="462" spans="1:135" customFormat="1">
      <c r="A462" s="71">
        <f>'Old Data'!$I458-'Old Data'!$S458</f>
        <v>76</v>
      </c>
      <c r="B462" s="72">
        <f>VLOOKUP('Old Data'!$F458,$R$6:$T$135,2,FALSE)+VLOOKUP('Old Data'!$P458,$R$6:$T$135,3,FALSE)+$B$2</f>
        <v>156.2389511869882</v>
      </c>
      <c r="C462" s="72">
        <f>VLOOKUP('Old Data'!$P458,$R$6:$T$135,2,FALSE)+VLOOKUP('Old Data'!$F458,$R$6:$T$135,3,FALSE)+$B$2</f>
        <v>136.07070207243521</v>
      </c>
      <c r="D462" s="74">
        <f>('Old Data'!$I458-$B462)^2+('Old Data'!$S458-$C462)^2</f>
        <v>1652.3050004059144</v>
      </c>
      <c r="E462" s="75">
        <f>'Old Data'!$K458-'Old Data'!$U458</f>
        <v>-100</v>
      </c>
      <c r="F462" s="72">
        <f>VLOOKUP('Old Data'!$F458,$V$6:$X$135,2,FALSE)+VLOOKUP('Old Data'!$P458,$V$6:$X$135,3,FALSE)+$C$2</f>
        <v>273.62707854619077</v>
      </c>
      <c r="G462" s="72">
        <f>VLOOKUP('Old Data'!$P458,$V$6:$X$135,2,FALSE)+VLOOKUP('Old Data'!$F458,$V$6:$X$135,3,FALSE)+$C$2</f>
        <v>328.71270770206888</v>
      </c>
      <c r="H462" s="74">
        <f>('Old Data'!$K458-$F462)^2+('Old Data'!$U458-$G462)^2</f>
        <v>3297.60261662725</v>
      </c>
      <c r="I462" s="75">
        <f>('Old Data'!$L458+'Old Data'!$M458)-('Old Data'!$V458+'Old Data'!$W458)</f>
        <v>-57</v>
      </c>
      <c r="J462" s="72">
        <f>VLOOKUP('Old Data'!$F458,$Z$6:$AB$135,2,FALSE)+VLOOKUP('Old Data'!$P458,$Z$6:$AB$135,3,FALSE)+$D$2</f>
        <v>35.165473993220786</v>
      </c>
      <c r="K462" s="72">
        <f>VLOOKUP('Old Data'!$P458,$Z$6:$AB$135,2,FALSE)+VLOOKUP('Old Data'!$F458,$Z$6:$AB$135,3,FALSE)+$D$2</f>
        <v>108.2252538508897</v>
      </c>
      <c r="L462" s="74">
        <f>('Old Data'!$L458+'Old Data'!$M458-$J462)^2+('Old Data'!$V458+'Old Data'!$W458-$K462)^2</f>
        <v>263.28624416824346</v>
      </c>
      <c r="M462" s="75">
        <f>'Old Data'!$N458-'Old Data'!$X458</f>
        <v>0</v>
      </c>
      <c r="N462" s="72">
        <f>VLOOKUP('Old Data'!$F458,$AD$6:$AF$135,2,FALSE)+VLOOKUP('Old Data'!$P458,$AD$6:$AF$135,3,FALSE)+$E$2</f>
        <v>1.5470568817583152</v>
      </c>
      <c r="O462" s="72">
        <f>VLOOKUP('Old Data'!$P458,$AD$6:$AF$135,2,FALSE)+VLOOKUP('Old Data'!$F458,$AD$6:$AF$135,3,FALSE)+$E$2</f>
        <v>1.4105640457142141</v>
      </c>
      <c r="P462" s="73">
        <f>('Old Data'!$N458-$N462)^2+('Old Data'!$X458-$O462)^2</f>
        <v>0.46783406751235457</v>
      </c>
      <c r="Q462" s="62"/>
      <c r="R462" s="3"/>
      <c r="S462" s="3"/>
      <c r="T462" s="3"/>
      <c r="V462" s="3"/>
      <c r="W462" s="3"/>
      <c r="X462" s="3"/>
      <c r="Z462" s="3"/>
      <c r="AA462" s="3"/>
      <c r="AB462" s="3"/>
      <c r="AC462" s="3"/>
      <c r="AD462" s="3"/>
      <c r="AE462" s="3"/>
      <c r="AF462" s="3"/>
      <c r="AG462" s="3"/>
      <c r="AH462" s="37"/>
      <c r="AI462" s="1"/>
      <c r="AK462" s="10"/>
      <c r="AL462" s="10"/>
      <c r="AM462" s="10"/>
      <c r="AN462" s="11"/>
      <c r="AO462" s="11"/>
      <c r="AP462" s="11"/>
      <c r="AQ462" s="36"/>
      <c r="AR462" s="11"/>
      <c r="AS462" s="11"/>
      <c r="AT462" s="11"/>
      <c r="AU462" s="12"/>
      <c r="AV462" s="11"/>
      <c r="AW462" s="11"/>
      <c r="AX462" s="15"/>
      <c r="AY462" s="15"/>
      <c r="AZ462" s="15"/>
      <c r="BA462" s="15"/>
      <c r="BB462" s="15"/>
      <c r="BC462" s="15"/>
      <c r="BD462" s="15"/>
      <c r="BE462" s="12"/>
      <c r="BF462" s="11"/>
      <c r="BG462" s="11"/>
      <c r="BH462" s="10"/>
      <c r="BI462" s="10"/>
      <c r="BJ462" s="10"/>
      <c r="BK462" s="23"/>
      <c r="BL462" s="23"/>
      <c r="BM462" s="23"/>
      <c r="BN462" s="23"/>
      <c r="BO462" s="23"/>
      <c r="BP462" s="23"/>
      <c r="BQ462" s="23"/>
      <c r="BR462" s="10"/>
      <c r="BS462" s="16"/>
      <c r="BT462" s="16"/>
      <c r="BU462" s="16"/>
      <c r="BV462" s="16"/>
      <c r="BW462" s="11"/>
      <c r="BX462" s="16"/>
      <c r="BY462" s="16"/>
      <c r="BZ462" s="17"/>
      <c r="CA462" s="18"/>
      <c r="CB462" s="18"/>
      <c r="CC462" s="18"/>
      <c r="CD462" s="18"/>
      <c r="CE462" s="18"/>
      <c r="CF462" s="18"/>
      <c r="CG462" s="19"/>
      <c r="CH462" s="15"/>
      <c r="CI462" s="17"/>
      <c r="CJ462" s="10"/>
      <c r="CK462" s="10"/>
      <c r="CL462" s="10"/>
      <c r="CM462" s="17"/>
      <c r="CN462" s="17"/>
      <c r="CO462" s="10"/>
      <c r="CP462" s="10"/>
      <c r="CQ462" s="10"/>
      <c r="CR462" s="10"/>
      <c r="CS462" s="10"/>
      <c r="CT462" s="10"/>
      <c r="CU462" s="10"/>
      <c r="CV462" s="10"/>
      <c r="CW462" s="10"/>
      <c r="CX462" s="10"/>
      <c r="CY462" s="10"/>
      <c r="CZ462" s="10"/>
      <c r="DA462" s="34"/>
      <c r="DB462" s="34"/>
      <c r="DC462" s="34"/>
      <c r="DD462" s="34"/>
      <c r="DE462" s="34"/>
      <c r="DF462" s="34"/>
      <c r="DG462" s="34"/>
      <c r="DH462" s="34"/>
      <c r="DI462" s="34"/>
      <c r="DJ462" s="34"/>
      <c r="DK462" s="34"/>
      <c r="DL462" s="34"/>
      <c r="DM462" s="34"/>
      <c r="DN462" s="34"/>
      <c r="DO462" s="34"/>
      <c r="DP462" s="34"/>
      <c r="DQ462" s="34"/>
      <c r="DR462" s="34"/>
      <c r="DS462" s="34"/>
      <c r="DT462" s="34"/>
      <c r="DU462" s="34"/>
      <c r="DV462" s="34"/>
      <c r="DW462" s="34"/>
      <c r="DX462" s="34"/>
      <c r="DY462" s="34"/>
      <c r="DZ462" s="34"/>
      <c r="EA462" s="34"/>
      <c r="EB462" s="34"/>
      <c r="EC462" s="34"/>
      <c r="ED462" s="34"/>
      <c r="EE462" s="34"/>
    </row>
    <row r="463" spans="1:135" customFormat="1">
      <c r="A463" s="71">
        <f>'Old Data'!$I459-'Old Data'!$S459</f>
        <v>-223</v>
      </c>
      <c r="B463" s="72">
        <f>VLOOKUP('Old Data'!$F459,$R$6:$T$135,2,FALSE)+VLOOKUP('Old Data'!$P459,$R$6:$T$135,3,FALSE)+$B$2</f>
        <v>69.84119322910891</v>
      </c>
      <c r="C463" s="72">
        <f>VLOOKUP('Old Data'!$P459,$R$6:$T$135,2,FALSE)+VLOOKUP('Old Data'!$F459,$R$6:$T$135,3,FALSE)+$B$2</f>
        <v>275.7509451508227</v>
      </c>
      <c r="D463" s="74">
        <f>('Old Data'!$I459-$B463)^2+('Old Data'!$S459-$C463)^2</f>
        <v>3624.4739797049215</v>
      </c>
      <c r="E463" s="75">
        <f>'Old Data'!$K459-'Old Data'!$U459</f>
        <v>374</v>
      </c>
      <c r="F463" s="72">
        <f>VLOOKUP('Old Data'!$F459,$V$6:$X$135,2,FALSE)+VLOOKUP('Old Data'!$P459,$V$6:$X$135,3,FALSE)+$C$2</f>
        <v>290.51333083904387</v>
      </c>
      <c r="G463" s="72">
        <f>VLOOKUP('Old Data'!$P459,$V$6:$X$135,2,FALSE)+VLOOKUP('Old Data'!$F459,$V$6:$X$135,3,FALSE)+$C$2</f>
        <v>245.68405974802829</v>
      </c>
      <c r="H463" s="74">
        <f>('Old Data'!$K459-$F463)^2+('Old Data'!$U459-$G463)^2</f>
        <v>66945.121372826441</v>
      </c>
      <c r="I463" s="75">
        <f>('Old Data'!$L459+'Old Data'!$M459)-('Old Data'!$V459+'Old Data'!$W459)</f>
        <v>60</v>
      </c>
      <c r="J463" s="72">
        <f>VLOOKUP('Old Data'!$F459,$Z$6:$AB$135,2,FALSE)+VLOOKUP('Old Data'!$P459,$Z$6:$AB$135,3,FALSE)+$D$2</f>
        <v>75.913121751052699</v>
      </c>
      <c r="K463" s="72">
        <f>VLOOKUP('Old Data'!$P459,$Z$6:$AB$135,2,FALSE)+VLOOKUP('Old Data'!$F459,$Z$6:$AB$135,3,FALSE)+$D$2</f>
        <v>50.587194206606682</v>
      </c>
      <c r="L463" s="74">
        <f>('Old Data'!$L459+'Old Data'!$M459-$J463)^2+('Old Data'!$V459+'Old Data'!$W459-$K463)^2</f>
        <v>1421.2834466616232</v>
      </c>
      <c r="M463" s="75">
        <f>'Old Data'!$N459-'Old Data'!$X459</f>
        <v>1</v>
      </c>
      <c r="N463" s="72">
        <f>VLOOKUP('Old Data'!$F459,$AD$6:$AF$135,2,FALSE)+VLOOKUP('Old Data'!$P459,$AD$6:$AF$135,3,FALSE)+$E$2</f>
        <v>1.3992070673771211</v>
      </c>
      <c r="O463" s="72">
        <f>VLOOKUP('Old Data'!$P459,$AD$6:$AF$135,2,FALSE)+VLOOKUP('Old Data'!$F459,$AD$6:$AF$135,3,FALSE)+$E$2</f>
        <v>2.0278615199656271</v>
      </c>
      <c r="P463" s="73">
        <f>('Old Data'!$N459-$N463)^2+('Old Data'!$X459-$O463)^2</f>
        <v>1.4174514521156485</v>
      </c>
      <c r="Q463" s="62"/>
      <c r="R463" s="3"/>
      <c r="S463" s="3"/>
      <c r="T463" s="3"/>
      <c r="V463" s="3"/>
      <c r="W463" s="3"/>
      <c r="X463" s="3"/>
      <c r="Z463" s="3"/>
      <c r="AA463" s="3"/>
      <c r="AB463" s="3"/>
      <c r="AC463" s="3"/>
      <c r="AD463" s="3"/>
      <c r="AE463" s="3"/>
      <c r="AF463" s="3"/>
      <c r="AG463" s="3"/>
      <c r="AH463" s="37"/>
      <c r="AI463" s="1"/>
      <c r="AK463" s="10"/>
      <c r="AL463" s="10"/>
      <c r="AM463" s="10"/>
      <c r="AN463" s="11"/>
      <c r="AO463" s="11"/>
      <c r="AP463" s="11"/>
      <c r="AQ463" s="36"/>
      <c r="AR463" s="11"/>
      <c r="AS463" s="11"/>
      <c r="AT463" s="11"/>
      <c r="AU463" s="12"/>
      <c r="AV463" s="11"/>
      <c r="AW463" s="11"/>
      <c r="AX463" s="15"/>
      <c r="AY463" s="15"/>
      <c r="AZ463" s="15"/>
      <c r="BA463" s="15"/>
      <c r="BB463" s="15"/>
      <c r="BC463" s="15"/>
      <c r="BD463" s="15"/>
      <c r="BE463" s="12"/>
      <c r="BF463" s="11"/>
      <c r="BG463" s="11"/>
      <c r="BH463" s="10"/>
      <c r="BI463" s="10"/>
      <c r="BJ463" s="10"/>
      <c r="BK463" s="23"/>
      <c r="BL463" s="23"/>
      <c r="BM463" s="23"/>
      <c r="BN463" s="23"/>
      <c r="BO463" s="23"/>
      <c r="BP463" s="23"/>
      <c r="BQ463" s="23"/>
      <c r="BR463" s="10"/>
      <c r="BS463" s="16"/>
      <c r="BT463" s="16"/>
      <c r="BU463" s="16"/>
      <c r="BV463" s="16"/>
      <c r="BW463" s="11"/>
      <c r="BX463" s="16"/>
      <c r="BY463" s="16"/>
      <c r="BZ463" s="17"/>
      <c r="CA463" s="18"/>
      <c r="CB463" s="18"/>
      <c r="CC463" s="18"/>
      <c r="CD463" s="18"/>
      <c r="CE463" s="18"/>
      <c r="CF463" s="18"/>
      <c r="CG463" s="19"/>
      <c r="CH463" s="15"/>
      <c r="CI463" s="17"/>
      <c r="CJ463" s="10"/>
      <c r="CK463" s="10"/>
      <c r="CL463" s="10"/>
      <c r="CM463" s="17"/>
      <c r="CN463" s="17"/>
      <c r="CO463" s="10"/>
      <c r="CP463" s="10"/>
      <c r="CQ463" s="10"/>
      <c r="CR463" s="10"/>
      <c r="CS463" s="10"/>
      <c r="CT463" s="10"/>
      <c r="CU463" s="10"/>
      <c r="CV463" s="10"/>
      <c r="CW463" s="10"/>
      <c r="CX463" s="10"/>
      <c r="CY463" s="10"/>
      <c r="CZ463" s="10"/>
      <c r="DA463" s="34"/>
      <c r="DB463" s="34"/>
      <c r="DC463" s="34"/>
      <c r="DD463" s="34"/>
      <c r="DE463" s="34"/>
      <c r="DF463" s="34"/>
      <c r="DG463" s="34"/>
      <c r="DH463" s="34"/>
      <c r="DI463" s="34"/>
      <c r="DJ463" s="34"/>
      <c r="DK463" s="34"/>
      <c r="DL463" s="34"/>
      <c r="DM463" s="34"/>
      <c r="DN463" s="34"/>
      <c r="DO463" s="34"/>
      <c r="DP463" s="34"/>
      <c r="DQ463" s="34"/>
      <c r="DR463" s="34"/>
      <c r="DS463" s="34"/>
      <c r="DT463" s="34"/>
      <c r="DU463" s="34"/>
      <c r="DV463" s="34"/>
      <c r="DW463" s="34"/>
      <c r="DX463" s="34"/>
      <c r="DY463" s="34"/>
      <c r="DZ463" s="34"/>
      <c r="EA463" s="34"/>
      <c r="EB463" s="34"/>
      <c r="EC463" s="34"/>
      <c r="ED463" s="34"/>
      <c r="EE463" s="34"/>
    </row>
    <row r="464" spans="1:135" customFormat="1">
      <c r="A464" s="71">
        <f>'Old Data'!$I460-'Old Data'!$S460</f>
        <v>-227</v>
      </c>
      <c r="B464" s="72">
        <f>VLOOKUP('Old Data'!$F460,$R$6:$T$135,2,FALSE)+VLOOKUP('Old Data'!$P460,$R$6:$T$135,3,FALSE)+$B$2</f>
        <v>54.614538359537804</v>
      </c>
      <c r="C464" s="72">
        <f>VLOOKUP('Old Data'!$P460,$R$6:$T$135,2,FALSE)+VLOOKUP('Old Data'!$F460,$R$6:$T$135,3,FALSE)+$B$2</f>
        <v>258.35991405793771</v>
      </c>
      <c r="D464" s="74">
        <f>('Old Data'!$I460-$B464)^2+('Old Data'!$S460-$C464)^2</f>
        <v>917.46938907288984</v>
      </c>
      <c r="E464" s="75">
        <f>'Old Data'!$K460-'Old Data'!$U460</f>
        <v>-23</v>
      </c>
      <c r="F464" s="72">
        <f>VLOOKUP('Old Data'!$F460,$V$6:$X$135,2,FALSE)+VLOOKUP('Old Data'!$P460,$V$6:$X$135,3,FALSE)+$C$2</f>
        <v>268.64081469950008</v>
      </c>
      <c r="G464" s="72">
        <f>VLOOKUP('Old Data'!$P460,$V$6:$X$135,2,FALSE)+VLOOKUP('Old Data'!$F460,$V$6:$X$135,3,FALSE)+$C$2</f>
        <v>164.29435913841471</v>
      </c>
      <c r="H464" s="74">
        <f>('Old Data'!$K460-$F464)^2+('Old Data'!$U460-$G464)^2</f>
        <v>8905.9689267179838</v>
      </c>
      <c r="I464" s="75">
        <f>('Old Data'!$L460+'Old Data'!$M460)-('Old Data'!$V460+'Old Data'!$W460)</f>
        <v>12</v>
      </c>
      <c r="J464" s="72">
        <f>VLOOKUP('Old Data'!$F460,$Z$6:$AB$135,2,FALSE)+VLOOKUP('Old Data'!$P460,$Z$6:$AB$135,3,FALSE)+$D$2</f>
        <v>35.510367216688792</v>
      </c>
      <c r="K464" s="72">
        <f>VLOOKUP('Old Data'!$P460,$Z$6:$AB$135,2,FALSE)+VLOOKUP('Old Data'!$F460,$Z$6:$AB$135,3,FALSE)+$D$2</f>
        <v>26.75453514806253</v>
      </c>
      <c r="L464" s="74">
        <f>('Old Data'!$L460+'Old Data'!$M460-$J464)^2+('Old Data'!$V460+'Old Data'!$W460-$K464)^2</f>
        <v>74.11857103788644</v>
      </c>
      <c r="M464" s="75">
        <f>'Old Data'!$N460-'Old Data'!$X460</f>
        <v>-1</v>
      </c>
      <c r="N464" s="72">
        <f>VLOOKUP('Old Data'!$F460,$AD$6:$AF$135,2,FALSE)+VLOOKUP('Old Data'!$P460,$AD$6:$AF$135,3,FALSE)+$E$2</f>
        <v>1.4106250323096581</v>
      </c>
      <c r="O464" s="72">
        <f>VLOOKUP('Old Data'!$P460,$AD$6:$AF$135,2,FALSE)+VLOOKUP('Old Data'!$F460,$AD$6:$AF$135,3,FALSE)+$E$2</f>
        <v>1.462379911912669</v>
      </c>
      <c r="P464" s="73">
        <f>('Old Data'!$N460-$N464)^2+('Old Data'!$X460-$O464)^2</f>
        <v>2.2036581647189917</v>
      </c>
      <c r="Q464" s="62"/>
      <c r="R464" s="3"/>
      <c r="S464" s="3"/>
      <c r="T464" s="3"/>
      <c r="V464" s="3"/>
      <c r="W464" s="3"/>
      <c r="X464" s="3"/>
      <c r="Z464" s="3"/>
      <c r="AA464" s="3"/>
      <c r="AB464" s="3"/>
      <c r="AC464" s="3"/>
      <c r="AD464" s="3"/>
      <c r="AE464" s="3"/>
      <c r="AF464" s="3"/>
      <c r="AG464" s="3"/>
      <c r="AH464" s="37"/>
      <c r="AI464" s="1"/>
      <c r="AK464" s="10"/>
      <c r="AL464" s="10"/>
      <c r="AM464" s="10"/>
      <c r="AN464" s="11"/>
      <c r="AO464" s="11"/>
      <c r="AP464" s="11"/>
      <c r="AQ464" s="36"/>
      <c r="AR464" s="11"/>
      <c r="AS464" s="11"/>
      <c r="AT464" s="11"/>
      <c r="AU464" s="12"/>
      <c r="AV464" s="11"/>
      <c r="AW464" s="11"/>
      <c r="AX464" s="15"/>
      <c r="AY464" s="15"/>
      <c r="AZ464" s="15"/>
      <c r="BA464" s="15"/>
      <c r="BB464" s="15"/>
      <c r="BC464" s="15"/>
      <c r="BD464" s="15"/>
      <c r="BE464" s="12"/>
      <c r="BF464" s="11"/>
      <c r="BG464" s="11"/>
      <c r="BH464" s="10"/>
      <c r="BI464" s="10"/>
      <c r="BJ464" s="10"/>
      <c r="BK464" s="23"/>
      <c r="BL464" s="23"/>
      <c r="BM464" s="23"/>
      <c r="BN464" s="23"/>
      <c r="BO464" s="23"/>
      <c r="BP464" s="23"/>
      <c r="BQ464" s="23"/>
      <c r="BR464" s="10"/>
      <c r="BS464" s="16"/>
      <c r="BT464" s="16"/>
      <c r="BU464" s="16"/>
      <c r="BV464" s="16"/>
      <c r="BW464" s="11"/>
      <c r="BX464" s="16"/>
      <c r="BY464" s="16"/>
      <c r="BZ464" s="17"/>
      <c r="CA464" s="18"/>
      <c r="CB464" s="18"/>
      <c r="CC464" s="18"/>
      <c r="CD464" s="18"/>
      <c r="CE464" s="18"/>
      <c r="CF464" s="18"/>
      <c r="CG464" s="19"/>
      <c r="CH464" s="15"/>
      <c r="CI464" s="17"/>
      <c r="CJ464" s="10"/>
      <c r="CK464" s="10"/>
      <c r="CL464" s="10"/>
      <c r="CM464" s="17"/>
      <c r="CN464" s="17"/>
      <c r="CO464" s="10"/>
      <c r="CP464" s="10"/>
      <c r="CQ464" s="10"/>
      <c r="CR464" s="10"/>
      <c r="CS464" s="10"/>
      <c r="CT464" s="10"/>
      <c r="CU464" s="10"/>
      <c r="CV464" s="10"/>
      <c r="CW464" s="10"/>
      <c r="CX464" s="10"/>
      <c r="CY464" s="10"/>
      <c r="CZ464" s="10"/>
      <c r="DA464" s="34"/>
      <c r="DB464" s="34"/>
      <c r="DC464" s="34"/>
      <c r="DD464" s="34"/>
      <c r="DE464" s="34"/>
      <c r="DF464" s="34"/>
      <c r="DG464" s="34"/>
      <c r="DH464" s="34"/>
      <c r="DI464" s="34"/>
      <c r="DJ464" s="34"/>
      <c r="DK464" s="34"/>
      <c r="DL464" s="34"/>
      <c r="DM464" s="34"/>
      <c r="DN464" s="34"/>
      <c r="DO464" s="34"/>
      <c r="DP464" s="34"/>
      <c r="DQ464" s="34"/>
      <c r="DR464" s="34"/>
      <c r="DS464" s="34"/>
      <c r="DT464" s="34"/>
      <c r="DU464" s="34"/>
      <c r="DV464" s="34"/>
      <c r="DW464" s="34"/>
      <c r="DX464" s="34"/>
      <c r="DY464" s="34"/>
      <c r="DZ464" s="34"/>
      <c r="EA464" s="34"/>
      <c r="EB464" s="34"/>
      <c r="EC464" s="34"/>
      <c r="ED464" s="34"/>
      <c r="EE464" s="34"/>
    </row>
    <row r="465" spans="1:135" customFormat="1">
      <c r="A465" s="71">
        <f>'Old Data'!$I461-'Old Data'!$S461</f>
        <v>57</v>
      </c>
      <c r="B465" s="72">
        <f>VLOOKUP('Old Data'!$F461,$R$6:$T$135,2,FALSE)+VLOOKUP('Old Data'!$P461,$R$6:$T$135,3,FALSE)+$B$2</f>
        <v>115.00831512268077</v>
      </c>
      <c r="C465" s="72">
        <f>VLOOKUP('Old Data'!$P461,$R$6:$T$135,2,FALSE)+VLOOKUP('Old Data'!$F461,$R$6:$T$135,3,FALSE)+$B$2</f>
        <v>139.26089103435751</v>
      </c>
      <c r="D465" s="74">
        <f>('Old Data'!$I461-$B465)^2+('Old Data'!$S461-$C465)^2</f>
        <v>4615.2562961278418</v>
      </c>
      <c r="E465" s="75">
        <f>'Old Data'!$K461-'Old Data'!$U461</f>
        <v>83</v>
      </c>
      <c r="F465" s="72">
        <f>VLOOKUP('Old Data'!$F461,$V$6:$X$135,2,FALSE)+VLOOKUP('Old Data'!$P461,$V$6:$X$135,3,FALSE)+$C$2</f>
        <v>195.33662218523011</v>
      </c>
      <c r="G465" s="72">
        <f>VLOOKUP('Old Data'!$P461,$V$6:$X$135,2,FALSE)+VLOOKUP('Old Data'!$F461,$V$6:$X$135,3,FALSE)+$C$2</f>
        <v>116.08936185816899</v>
      </c>
      <c r="H465" s="74">
        <f>('Old Data'!$K461-$F465)^2+('Old Data'!$U461-$G465)^2</f>
        <v>6010.2740139551388</v>
      </c>
      <c r="I465" s="75">
        <f>('Old Data'!$L461+'Old Data'!$M461)-('Old Data'!$V461+'Old Data'!$W461)</f>
        <v>18</v>
      </c>
      <c r="J465" s="72">
        <f>VLOOKUP('Old Data'!$F461,$Z$6:$AB$135,2,FALSE)+VLOOKUP('Old Data'!$P461,$Z$6:$AB$135,3,FALSE)+$D$2</f>
        <v>46.423503492281448</v>
      </c>
      <c r="K465" s="72">
        <f>VLOOKUP('Old Data'!$P461,$Z$6:$AB$135,2,FALSE)+VLOOKUP('Old Data'!$F461,$Z$6:$AB$135,3,FALSE)+$D$2</f>
        <v>48.990433019161493</v>
      </c>
      <c r="L465" s="74">
        <f>('Old Data'!$L461+'Old Data'!$M461-$J465)^2+('Old Data'!$V461+'Old Data'!$W461-$K465)^2</f>
        <v>363.12188749410785</v>
      </c>
      <c r="M465" s="75">
        <f>'Old Data'!$N461-'Old Data'!$X461</f>
        <v>1</v>
      </c>
      <c r="N465" s="72">
        <f>VLOOKUP('Old Data'!$F461,$AD$6:$AF$135,2,FALSE)+VLOOKUP('Old Data'!$P461,$AD$6:$AF$135,3,FALSE)+$E$2</f>
        <v>1.1805020054508237</v>
      </c>
      <c r="O465" s="72">
        <f>VLOOKUP('Old Data'!$P461,$AD$6:$AF$135,2,FALSE)+VLOOKUP('Old Data'!$F461,$AD$6:$AF$135,3,FALSE)+$E$2</f>
        <v>1.3504528774587037</v>
      </c>
      <c r="P465" s="73">
        <f>('Old Data'!$N461-$N465)^2+('Old Data'!$X461-$O465)^2</f>
        <v>0.79439418238920689</v>
      </c>
      <c r="Q465" s="62"/>
      <c r="R465" s="3"/>
      <c r="S465" s="3"/>
      <c r="T465" s="3"/>
      <c r="V465" s="3"/>
      <c r="W465" s="3"/>
      <c r="X465" s="3"/>
      <c r="Z465" s="3"/>
      <c r="AA465" s="3"/>
      <c r="AB465" s="3"/>
      <c r="AC465" s="3"/>
      <c r="AD465" s="3"/>
      <c r="AE465" s="3"/>
      <c r="AF465" s="3"/>
      <c r="AG465" s="3"/>
      <c r="AH465" s="37"/>
      <c r="AI465" s="1"/>
      <c r="AK465" s="10"/>
      <c r="AL465" s="10"/>
      <c r="AM465" s="10"/>
      <c r="AN465" s="11"/>
      <c r="AO465" s="11"/>
      <c r="AP465" s="11"/>
      <c r="AQ465" s="36"/>
      <c r="AR465" s="11"/>
      <c r="AS465" s="11"/>
      <c r="AT465" s="11"/>
      <c r="AU465" s="12"/>
      <c r="AV465" s="11"/>
      <c r="AW465" s="11"/>
      <c r="AX465" s="15"/>
      <c r="AY465" s="15"/>
      <c r="AZ465" s="15"/>
      <c r="BA465" s="15"/>
      <c r="BB465" s="15"/>
      <c r="BC465" s="15"/>
      <c r="BD465" s="15"/>
      <c r="BE465" s="12"/>
      <c r="BF465" s="11"/>
      <c r="BG465" s="11"/>
      <c r="BH465" s="10"/>
      <c r="BI465" s="10"/>
      <c r="BJ465" s="10"/>
      <c r="BK465" s="23"/>
      <c r="BL465" s="23"/>
      <c r="BM465" s="23"/>
      <c r="BN465" s="23"/>
      <c r="BO465" s="23"/>
      <c r="BP465" s="23"/>
      <c r="BQ465" s="23"/>
      <c r="BR465" s="10"/>
      <c r="BS465" s="16"/>
      <c r="BT465" s="16"/>
      <c r="BU465" s="16"/>
      <c r="BV465" s="16"/>
      <c r="BW465" s="11"/>
      <c r="BX465" s="16"/>
      <c r="BY465" s="16"/>
      <c r="BZ465" s="17"/>
      <c r="CA465" s="18"/>
      <c r="CB465" s="18"/>
      <c r="CC465" s="18"/>
      <c r="CD465" s="18"/>
      <c r="CE465" s="18"/>
      <c r="CF465" s="18"/>
      <c r="CG465" s="19"/>
      <c r="CH465" s="15"/>
      <c r="CI465" s="17"/>
      <c r="CJ465" s="10"/>
      <c r="CK465" s="10"/>
      <c r="CL465" s="10"/>
      <c r="CM465" s="17"/>
      <c r="CN465" s="17"/>
      <c r="CO465" s="10"/>
      <c r="CP465" s="10"/>
      <c r="CQ465" s="10"/>
      <c r="CR465" s="10"/>
      <c r="CS465" s="10"/>
      <c r="CT465" s="10"/>
      <c r="CU465" s="10"/>
      <c r="CV465" s="10"/>
      <c r="CW465" s="10"/>
      <c r="CX465" s="10"/>
      <c r="CY465" s="10"/>
      <c r="CZ465" s="10"/>
      <c r="DA465" s="34"/>
      <c r="DB465" s="34"/>
      <c r="DC465" s="34"/>
      <c r="DD465" s="34"/>
      <c r="DE465" s="34"/>
      <c r="DF465" s="34"/>
      <c r="DG465" s="34"/>
      <c r="DH465" s="34"/>
      <c r="DI465" s="34"/>
      <c r="DJ465" s="34"/>
      <c r="DK465" s="34"/>
      <c r="DL465" s="34"/>
      <c r="DM465" s="34"/>
      <c r="DN465" s="34"/>
      <c r="DO465" s="34"/>
      <c r="DP465" s="34"/>
      <c r="DQ465" s="34"/>
      <c r="DR465" s="34"/>
      <c r="DS465" s="34"/>
      <c r="DT465" s="34"/>
      <c r="DU465" s="34"/>
      <c r="DV465" s="34"/>
      <c r="DW465" s="34"/>
      <c r="DX465" s="34"/>
      <c r="DY465" s="34"/>
      <c r="DZ465" s="34"/>
      <c r="EA465" s="34"/>
      <c r="EB465" s="34"/>
      <c r="EC465" s="34"/>
      <c r="ED465" s="34"/>
      <c r="EE465" s="34"/>
    </row>
    <row r="466" spans="1:135" customFormat="1">
      <c r="A466" s="71">
        <f>'Old Data'!$I462-'Old Data'!$S462</f>
        <v>-9</v>
      </c>
      <c r="B466" s="72">
        <f>VLOOKUP('Old Data'!$F462,$R$6:$T$135,2,FALSE)+VLOOKUP('Old Data'!$P462,$R$6:$T$135,3,FALSE)+$B$2</f>
        <v>93.567676518446504</v>
      </c>
      <c r="C466" s="72">
        <f>VLOOKUP('Old Data'!$P462,$R$6:$T$135,2,FALSE)+VLOOKUP('Old Data'!$F462,$R$6:$T$135,3,FALSE)+$B$2</f>
        <v>101.10731511607841</v>
      </c>
      <c r="D466" s="74">
        <f>('Old Data'!$I462-$B466)^2+('Old Data'!$S462-$C466)^2</f>
        <v>7648.8181056126668</v>
      </c>
      <c r="E466" s="75">
        <f>'Old Data'!$K462-'Old Data'!$U462</f>
        <v>-141</v>
      </c>
      <c r="F466" s="72">
        <f>VLOOKUP('Old Data'!$F462,$V$6:$X$135,2,FALSE)+VLOOKUP('Old Data'!$P462,$V$6:$X$135,3,FALSE)+$C$2</f>
        <v>214.03162168642569</v>
      </c>
      <c r="G466" s="72">
        <f>VLOOKUP('Old Data'!$P462,$V$6:$X$135,2,FALSE)+VLOOKUP('Old Data'!$F462,$V$6:$X$135,3,FALSE)+$C$2</f>
        <v>271.5395500855102</v>
      </c>
      <c r="H466" s="74">
        <f>('Old Data'!$K462-$F466)^2+('Old Data'!$U462-$G466)^2</f>
        <v>3485.6261287027282</v>
      </c>
      <c r="I466" s="75">
        <f>('Old Data'!$L462+'Old Data'!$M462)-('Old Data'!$V462+'Old Data'!$W462)</f>
        <v>-27</v>
      </c>
      <c r="J466" s="72">
        <f>VLOOKUP('Old Data'!$F462,$Z$6:$AB$135,2,FALSE)+VLOOKUP('Old Data'!$P462,$Z$6:$AB$135,3,FALSE)+$D$2</f>
        <v>41.638201295793777</v>
      </c>
      <c r="K466" s="72">
        <f>VLOOKUP('Old Data'!$P462,$Z$6:$AB$135,2,FALSE)+VLOOKUP('Old Data'!$F462,$Z$6:$AB$135,3,FALSE)+$D$2</f>
        <v>28.686888905677918</v>
      </c>
      <c r="L466" s="74">
        <f>('Old Data'!$L462+'Old Data'!$M462-$J466)^2+('Old Data'!$V462+'Old Data'!$W462-$K466)^2</f>
        <v>937.07998924084006</v>
      </c>
      <c r="M466" s="75">
        <f>'Old Data'!$N462-'Old Data'!$X462</f>
        <v>-1</v>
      </c>
      <c r="N466" s="72">
        <f>VLOOKUP('Old Data'!$F462,$AD$6:$AF$135,2,FALSE)+VLOOKUP('Old Data'!$P462,$AD$6:$AF$135,3,FALSE)+$E$2</f>
        <v>1.556965593202408</v>
      </c>
      <c r="O466" s="72">
        <f>VLOOKUP('Old Data'!$P462,$AD$6:$AF$135,2,FALSE)+VLOOKUP('Old Data'!$F462,$AD$6:$AF$135,3,FALSE)+$E$2</f>
        <v>1.146753208893764</v>
      </c>
      <c r="P466" s="73">
        <f>('Old Data'!$N462-$N466)^2+('Old Data'!$X462-$O466)^2</f>
        <v>1.0382407585443989</v>
      </c>
      <c r="Q466" s="62"/>
      <c r="R466" s="3"/>
      <c r="S466" s="3"/>
      <c r="T466" s="3"/>
      <c r="V466" s="3"/>
      <c r="W466" s="3"/>
      <c r="X466" s="3"/>
      <c r="Z466" s="3"/>
      <c r="AA466" s="3"/>
      <c r="AB466" s="3"/>
      <c r="AC466" s="3"/>
      <c r="AD466" s="3"/>
      <c r="AE466" s="3"/>
      <c r="AF466" s="3"/>
      <c r="AG466" s="3"/>
      <c r="AH466" s="37"/>
      <c r="AI466" s="1"/>
      <c r="AK466" s="10"/>
      <c r="AL466" s="10"/>
      <c r="AM466" s="10"/>
      <c r="AN466" s="11"/>
      <c r="AO466" s="11"/>
      <c r="AP466" s="11"/>
      <c r="AQ466" s="36"/>
      <c r="AR466" s="11"/>
      <c r="AS466" s="11"/>
      <c r="AT466" s="11"/>
      <c r="AU466" s="12"/>
      <c r="AV466" s="11"/>
      <c r="AW466" s="11"/>
      <c r="AX466" s="15"/>
      <c r="AY466" s="15"/>
      <c r="AZ466" s="15"/>
      <c r="BA466" s="15"/>
      <c r="BB466" s="15"/>
      <c r="BC466" s="15"/>
      <c r="BD466" s="15"/>
      <c r="BE466" s="12"/>
      <c r="BF466" s="11"/>
      <c r="BG466" s="11"/>
      <c r="BH466" s="10"/>
      <c r="BI466" s="10"/>
      <c r="BJ466" s="10"/>
      <c r="BK466" s="23"/>
      <c r="BL466" s="23"/>
      <c r="BM466" s="23"/>
      <c r="BN466" s="23"/>
      <c r="BO466" s="23"/>
      <c r="BP466" s="23"/>
      <c r="BQ466" s="23"/>
      <c r="BR466" s="10"/>
      <c r="BS466" s="16"/>
      <c r="BT466" s="16"/>
      <c r="BU466" s="16"/>
      <c r="BV466" s="16"/>
      <c r="BW466" s="11"/>
      <c r="BX466" s="16"/>
      <c r="BY466" s="16"/>
      <c r="BZ466" s="17"/>
      <c r="CA466" s="18"/>
      <c r="CB466" s="18"/>
      <c r="CC466" s="18"/>
      <c r="CD466" s="18"/>
      <c r="CE466" s="18"/>
      <c r="CF466" s="18"/>
      <c r="CG466" s="19"/>
      <c r="CH466" s="15"/>
      <c r="CI466" s="17"/>
      <c r="CJ466" s="10"/>
      <c r="CK466" s="10"/>
      <c r="CL466" s="10"/>
      <c r="CM466" s="17"/>
      <c r="CN466" s="17"/>
      <c r="CO466" s="10"/>
      <c r="CP466" s="10"/>
      <c r="CQ466" s="10"/>
      <c r="CR466" s="10"/>
      <c r="CS466" s="10"/>
      <c r="CT466" s="10"/>
      <c r="CU466" s="10"/>
      <c r="CV466" s="10"/>
      <c r="CW466" s="10"/>
      <c r="CX466" s="10"/>
      <c r="CY466" s="10"/>
      <c r="CZ466" s="10"/>
      <c r="DA466" s="34"/>
      <c r="DB466" s="34"/>
      <c r="DC466" s="34"/>
      <c r="DD466" s="34"/>
      <c r="DE466" s="34"/>
      <c r="DF466" s="34"/>
      <c r="DG466" s="34"/>
      <c r="DH466" s="34"/>
      <c r="DI466" s="34"/>
      <c r="DJ466" s="34"/>
      <c r="DK466" s="34"/>
      <c r="DL466" s="34"/>
      <c r="DM466" s="34"/>
      <c r="DN466" s="34"/>
      <c r="DO466" s="34"/>
      <c r="DP466" s="34"/>
      <c r="DQ466" s="34"/>
      <c r="DR466" s="34"/>
      <c r="DS466" s="34"/>
      <c r="DT466" s="34"/>
      <c r="DU466" s="34"/>
      <c r="DV466" s="34"/>
      <c r="DW466" s="34"/>
      <c r="DX466" s="34"/>
      <c r="DY466" s="34"/>
      <c r="DZ466" s="34"/>
      <c r="EA466" s="34"/>
      <c r="EB466" s="34"/>
      <c r="EC466" s="34"/>
      <c r="ED466" s="34"/>
      <c r="EE466" s="34"/>
    </row>
    <row r="467" spans="1:135" customFormat="1">
      <c r="A467" s="71">
        <f>'Old Data'!$I463-'Old Data'!$S463</f>
        <v>-73</v>
      </c>
      <c r="B467" s="72">
        <f>VLOOKUP('Old Data'!$F463,$R$6:$T$135,2,FALSE)+VLOOKUP('Old Data'!$P463,$R$6:$T$135,3,FALSE)+$B$2</f>
        <v>116.67184440639781</v>
      </c>
      <c r="C467" s="72">
        <f>VLOOKUP('Old Data'!$P463,$R$6:$T$135,2,FALSE)+VLOOKUP('Old Data'!$F463,$R$6:$T$135,3,FALSE)+$B$2</f>
        <v>158.62503895095011</v>
      </c>
      <c r="D467" s="74">
        <f>('Old Data'!$I463-$B467)^2+('Old Data'!$S463-$C467)^2</f>
        <v>940.90263507858117</v>
      </c>
      <c r="E467" s="75">
        <f>'Old Data'!$K463-'Old Data'!$U463</f>
        <v>-96</v>
      </c>
      <c r="F467" s="72">
        <f>VLOOKUP('Old Data'!$F463,$V$6:$X$135,2,FALSE)+VLOOKUP('Old Data'!$P463,$V$6:$X$135,3,FALSE)+$C$2</f>
        <v>136.83533530861558</v>
      </c>
      <c r="G467" s="72">
        <f>VLOOKUP('Old Data'!$P463,$V$6:$X$135,2,FALSE)+VLOOKUP('Old Data'!$F463,$V$6:$X$135,3,FALSE)+$C$2</f>
        <v>239.79777942000919</v>
      </c>
      <c r="H467" s="74">
        <f>('Old Data'!$K463-$F467)^2+('Old Data'!$U463-$G467)^2</f>
        <v>2112.9575737639261</v>
      </c>
      <c r="I467" s="75">
        <f>('Old Data'!$L463+'Old Data'!$M463)-('Old Data'!$V463+'Old Data'!$W463)</f>
        <v>-8</v>
      </c>
      <c r="J467" s="72">
        <f>VLOOKUP('Old Data'!$F463,$Z$6:$AB$135,2,FALSE)+VLOOKUP('Old Data'!$P463,$Z$6:$AB$135,3,FALSE)+$D$2</f>
        <v>65.334694276778222</v>
      </c>
      <c r="K467" s="72">
        <f>VLOOKUP('Old Data'!$P463,$Z$6:$AB$135,2,FALSE)+VLOOKUP('Old Data'!$F463,$Z$6:$AB$135,3,FALSE)+$D$2</f>
        <v>61.606324975882295</v>
      </c>
      <c r="L467" s="74">
        <f>('Old Data'!$L463+'Old Data'!$M463-$J467)^2+('Old Data'!$V463+'Old Data'!$W463-$K467)^2</f>
        <v>334.63561978218547</v>
      </c>
      <c r="M467" s="75">
        <f>'Old Data'!$N463-'Old Data'!$X463</f>
        <v>1</v>
      </c>
      <c r="N467" s="72">
        <f>VLOOKUP('Old Data'!$F463,$AD$6:$AF$135,2,FALSE)+VLOOKUP('Old Data'!$P463,$AD$6:$AF$135,3,FALSE)+$E$2</f>
        <v>1.5439668693221282</v>
      </c>
      <c r="O467" s="72">
        <f>VLOOKUP('Old Data'!$P463,$AD$6:$AF$135,2,FALSE)+VLOOKUP('Old Data'!$F463,$AD$6:$AF$135,3,FALSE)+$E$2</f>
        <v>1.605967940392528</v>
      </c>
      <c r="P467" s="73">
        <f>('Old Data'!$N463-$N467)^2+('Old Data'!$X463-$O467)^2</f>
        <v>2.2752937416301107</v>
      </c>
      <c r="Q467" s="62"/>
      <c r="R467" s="3"/>
      <c r="S467" s="3"/>
      <c r="T467" s="3"/>
      <c r="V467" s="3"/>
      <c r="W467" s="3"/>
      <c r="X467" s="3"/>
      <c r="Z467" s="3"/>
      <c r="AA467" s="3"/>
      <c r="AB467" s="3"/>
      <c r="AC467" s="3"/>
      <c r="AD467" s="3"/>
      <c r="AE467" s="3"/>
      <c r="AF467" s="3"/>
      <c r="AG467" s="3"/>
      <c r="AH467" s="37"/>
      <c r="AI467" s="1"/>
      <c r="AK467" s="10"/>
      <c r="AL467" s="10"/>
      <c r="AM467" s="10"/>
      <c r="AN467" s="11"/>
      <c r="AO467" s="11"/>
      <c r="AP467" s="11"/>
      <c r="AQ467" s="36"/>
      <c r="AR467" s="11"/>
      <c r="AS467" s="11"/>
      <c r="AT467" s="11"/>
      <c r="AU467" s="12"/>
      <c r="AV467" s="11"/>
      <c r="AW467" s="11"/>
      <c r="AX467" s="15"/>
      <c r="AY467" s="15"/>
      <c r="AZ467" s="15"/>
      <c r="BA467" s="15"/>
      <c r="BB467" s="15"/>
      <c r="BC467" s="15"/>
      <c r="BD467" s="15"/>
      <c r="BE467" s="12"/>
      <c r="BF467" s="11"/>
      <c r="BG467" s="11"/>
      <c r="BH467" s="10"/>
      <c r="BI467" s="10"/>
      <c r="BJ467" s="10"/>
      <c r="BK467" s="23"/>
      <c r="BL467" s="23"/>
      <c r="BM467" s="23"/>
      <c r="BN467" s="23"/>
      <c r="BO467" s="23"/>
      <c r="BP467" s="23"/>
      <c r="BQ467" s="23"/>
      <c r="BR467" s="10"/>
      <c r="BS467" s="16"/>
      <c r="BT467" s="16"/>
      <c r="BU467" s="16"/>
      <c r="BV467" s="16"/>
      <c r="BW467" s="11"/>
      <c r="BX467" s="16"/>
      <c r="BY467" s="16"/>
      <c r="BZ467" s="17"/>
      <c r="CA467" s="18"/>
      <c r="CB467" s="18"/>
      <c r="CC467" s="18"/>
      <c r="CD467" s="18"/>
      <c r="CE467" s="18"/>
      <c r="CF467" s="18"/>
      <c r="CG467" s="19"/>
      <c r="CH467" s="15"/>
      <c r="CI467" s="17"/>
      <c r="CJ467" s="10"/>
      <c r="CK467" s="10"/>
      <c r="CL467" s="10"/>
      <c r="CM467" s="17"/>
      <c r="CN467" s="17"/>
      <c r="CO467" s="10"/>
      <c r="CP467" s="10"/>
      <c r="CQ467" s="10"/>
      <c r="CR467" s="10"/>
      <c r="CS467" s="10"/>
      <c r="CT467" s="10"/>
      <c r="CU467" s="10"/>
      <c r="CV467" s="10"/>
      <c r="CW467" s="10"/>
      <c r="CX467" s="10"/>
      <c r="CY467" s="10"/>
      <c r="CZ467" s="10"/>
      <c r="DA467" s="34"/>
      <c r="DB467" s="34"/>
      <c r="DC467" s="34"/>
      <c r="DD467" s="34"/>
      <c r="DE467" s="34"/>
      <c r="DF467" s="34"/>
      <c r="DG467" s="34"/>
      <c r="DH467" s="34"/>
      <c r="DI467" s="34"/>
      <c r="DJ467" s="34"/>
      <c r="DK467" s="34"/>
      <c r="DL467" s="34"/>
      <c r="DM467" s="34"/>
      <c r="DN467" s="34"/>
      <c r="DO467" s="34"/>
      <c r="DP467" s="34"/>
      <c r="DQ467" s="34"/>
      <c r="DR467" s="34"/>
      <c r="DS467" s="34"/>
      <c r="DT467" s="34"/>
      <c r="DU467" s="34"/>
      <c r="DV467" s="34"/>
      <c r="DW467" s="34"/>
      <c r="DX467" s="34"/>
      <c r="DY467" s="34"/>
      <c r="DZ467" s="34"/>
      <c r="EA467" s="34"/>
      <c r="EB467" s="34"/>
      <c r="EC467" s="34"/>
      <c r="ED467" s="34"/>
      <c r="EE467" s="34"/>
    </row>
    <row r="468" spans="1:135" customFormat="1">
      <c r="A468" s="71">
        <f>'Old Data'!$I464-'Old Data'!$S464</f>
        <v>-81</v>
      </c>
      <c r="B468" s="72">
        <f>VLOOKUP('Old Data'!$F464,$R$6:$T$135,2,FALSE)+VLOOKUP('Old Data'!$P464,$R$6:$T$135,3,FALSE)+$B$2</f>
        <v>179.25831446925892</v>
      </c>
      <c r="C468" s="72">
        <f>VLOOKUP('Old Data'!$P464,$R$6:$T$135,2,FALSE)+VLOOKUP('Old Data'!$F464,$R$6:$T$135,3,FALSE)+$B$2</f>
        <v>177.47228068886579</v>
      </c>
      <c r="D468" s="74">
        <f>('Old Data'!$I464-$B468)^2+('Old Data'!$S464-$C468)^2</f>
        <v>13547.055471574899</v>
      </c>
      <c r="E468" s="75">
        <f>'Old Data'!$K464-'Old Data'!$U464</f>
        <v>122</v>
      </c>
      <c r="F468" s="72">
        <f>VLOOKUP('Old Data'!$F464,$V$6:$X$135,2,FALSE)+VLOOKUP('Old Data'!$P464,$V$6:$X$135,3,FALSE)+$C$2</f>
        <v>335.3915042412234</v>
      </c>
      <c r="G468" s="72">
        <f>VLOOKUP('Old Data'!$P464,$V$6:$X$135,2,FALSE)+VLOOKUP('Old Data'!$F464,$V$6:$X$135,3,FALSE)+$C$2</f>
        <v>244.02369443227678</v>
      </c>
      <c r="H468" s="74">
        <f>('Old Data'!$K464-$F468)^2+('Old Data'!$U464-$G468)^2</f>
        <v>513.48852098117334</v>
      </c>
      <c r="I468" s="75">
        <f>('Old Data'!$L464+'Old Data'!$M464)-('Old Data'!$V464+'Old Data'!$W464)</f>
        <v>72</v>
      </c>
      <c r="J468" s="72">
        <f>VLOOKUP('Old Data'!$F464,$Z$6:$AB$135,2,FALSE)+VLOOKUP('Old Data'!$P464,$Z$6:$AB$135,3,FALSE)+$D$2</f>
        <v>104.46672353468169</v>
      </c>
      <c r="K468" s="72">
        <f>VLOOKUP('Old Data'!$P464,$Z$6:$AB$135,2,FALSE)+VLOOKUP('Old Data'!$F464,$Z$6:$AB$135,3,FALSE)+$D$2</f>
        <v>58.585715722392628</v>
      </c>
      <c r="L468" s="74">
        <f>('Old Data'!$L464+'Old Data'!$M464-$J468)^2+('Old Data'!$V464+'Old Data'!$W464-$K468)^2</f>
        <v>520.60590550428162</v>
      </c>
      <c r="M468" s="75">
        <f>'Old Data'!$N464-'Old Data'!$X464</f>
        <v>1</v>
      </c>
      <c r="N468" s="72">
        <f>VLOOKUP('Old Data'!$F464,$AD$6:$AF$135,2,FALSE)+VLOOKUP('Old Data'!$P464,$AD$6:$AF$135,3,FALSE)+$E$2</f>
        <v>1.2011295758530651</v>
      </c>
      <c r="O468" s="72">
        <f>VLOOKUP('Old Data'!$P464,$AD$6:$AF$135,2,FALSE)+VLOOKUP('Old Data'!$F464,$AD$6:$AF$135,3,FALSE)+$E$2</f>
        <v>1.874279398110323</v>
      </c>
      <c r="P468" s="73">
        <f>('Old Data'!$N464-$N468)^2+('Old Data'!$X464-$O468)^2</f>
        <v>1.4025584205368522</v>
      </c>
      <c r="Q468" s="62"/>
      <c r="R468" s="3"/>
      <c r="S468" s="3"/>
      <c r="T468" s="3"/>
      <c r="V468" s="3"/>
      <c r="W468" s="3"/>
      <c r="X468" s="3"/>
      <c r="Z468" s="3"/>
      <c r="AA468" s="3"/>
      <c r="AB468" s="3"/>
      <c r="AC468" s="3"/>
      <c r="AD468" s="3"/>
      <c r="AE468" s="3"/>
      <c r="AF468" s="3"/>
      <c r="AG468" s="3"/>
      <c r="AH468" s="37"/>
      <c r="AI468" s="1"/>
      <c r="AK468" s="10"/>
      <c r="AL468" s="10"/>
      <c r="AM468" s="10"/>
      <c r="AN468" s="11"/>
      <c r="AO468" s="11"/>
      <c r="AP468" s="11"/>
      <c r="AQ468" s="36"/>
      <c r="AR468" s="11"/>
      <c r="AS468" s="11"/>
      <c r="AT468" s="11"/>
      <c r="AU468" s="12"/>
      <c r="AV468" s="11"/>
      <c r="AW468" s="11"/>
      <c r="AX468" s="15"/>
      <c r="AY468" s="15"/>
      <c r="AZ468" s="15"/>
      <c r="BA468" s="15"/>
      <c r="BB468" s="15"/>
      <c r="BC468" s="15"/>
      <c r="BD468" s="15"/>
      <c r="BE468" s="12"/>
      <c r="BF468" s="11"/>
      <c r="BG468" s="11"/>
      <c r="BH468" s="10"/>
      <c r="BI468" s="10"/>
      <c r="BJ468" s="10"/>
      <c r="BK468" s="23"/>
      <c r="BL468" s="23"/>
      <c r="BM468" s="23"/>
      <c r="BN468" s="23"/>
      <c r="BO468" s="23"/>
      <c r="BP468" s="23"/>
      <c r="BQ468" s="23"/>
      <c r="BR468" s="10"/>
      <c r="BS468" s="16"/>
      <c r="BT468" s="16"/>
      <c r="BU468" s="16"/>
      <c r="BV468" s="16"/>
      <c r="BW468" s="11"/>
      <c r="BX468" s="16"/>
      <c r="BY468" s="16"/>
      <c r="BZ468" s="17"/>
      <c r="CA468" s="18"/>
      <c r="CB468" s="18"/>
      <c r="CC468" s="18"/>
      <c r="CD468" s="18"/>
      <c r="CE468" s="18"/>
      <c r="CF468" s="18"/>
      <c r="CG468" s="19"/>
      <c r="CH468" s="15"/>
      <c r="CI468" s="17"/>
      <c r="CJ468" s="10"/>
      <c r="CK468" s="10"/>
      <c r="CL468" s="10"/>
      <c r="CM468" s="17"/>
      <c r="CN468" s="17"/>
      <c r="CO468" s="10"/>
      <c r="CP468" s="10"/>
      <c r="CQ468" s="10"/>
      <c r="CR468" s="10"/>
      <c r="CS468" s="10"/>
      <c r="CT468" s="10"/>
      <c r="CU468" s="10"/>
      <c r="CV468" s="10"/>
      <c r="CW468" s="10"/>
      <c r="CX468" s="10"/>
      <c r="CY468" s="10"/>
      <c r="CZ468" s="10"/>
      <c r="DA468" s="34"/>
      <c r="DB468" s="34"/>
      <c r="DC468" s="34"/>
      <c r="DD468" s="34"/>
      <c r="DE468" s="34"/>
      <c r="DF468" s="34"/>
      <c r="DG468" s="34"/>
      <c r="DH468" s="34"/>
      <c r="DI468" s="34"/>
      <c r="DJ468" s="34"/>
      <c r="DK468" s="34"/>
      <c r="DL468" s="34"/>
      <c r="DM468" s="34"/>
      <c r="DN468" s="34"/>
      <c r="DO468" s="34"/>
      <c r="DP468" s="34"/>
      <c r="DQ468" s="34"/>
      <c r="DR468" s="34"/>
      <c r="DS468" s="34"/>
      <c r="DT468" s="34"/>
      <c r="DU468" s="34"/>
      <c r="DV468" s="34"/>
      <c r="DW468" s="34"/>
      <c r="DX468" s="34"/>
      <c r="DY468" s="34"/>
      <c r="DZ468" s="34"/>
      <c r="EA468" s="34"/>
      <c r="EB468" s="34"/>
      <c r="EC468" s="34"/>
      <c r="ED468" s="34"/>
      <c r="EE468" s="34"/>
    </row>
    <row r="469" spans="1:135" customFormat="1">
      <c r="A469" s="71">
        <f>'Old Data'!$I465-'Old Data'!$S465</f>
        <v>19</v>
      </c>
      <c r="B469" s="72">
        <f>VLOOKUP('Old Data'!$F465,$R$6:$T$135,2,FALSE)+VLOOKUP('Old Data'!$P465,$R$6:$T$135,3,FALSE)+$B$2</f>
        <v>179.186355433595</v>
      </c>
      <c r="C469" s="72">
        <f>VLOOKUP('Old Data'!$P465,$R$6:$T$135,2,FALSE)+VLOOKUP('Old Data'!$F465,$R$6:$T$135,3,FALSE)+$B$2</f>
        <v>194.5209464000977</v>
      </c>
      <c r="D469" s="74">
        <f>('Old Data'!$I465-$B469)^2+('Old Data'!$S465-$C469)^2</f>
        <v>706.36537702141379</v>
      </c>
      <c r="E469" s="75">
        <f>'Old Data'!$K465-'Old Data'!$U465</f>
        <v>34</v>
      </c>
      <c r="F469" s="72">
        <f>VLOOKUP('Old Data'!$F465,$V$6:$X$135,2,FALSE)+VLOOKUP('Old Data'!$P465,$V$6:$X$135,3,FALSE)+$C$2</f>
        <v>190.47863240691316</v>
      </c>
      <c r="G469" s="72">
        <f>VLOOKUP('Old Data'!$P465,$V$6:$X$135,2,FALSE)+VLOOKUP('Old Data'!$F465,$V$6:$X$135,3,FALSE)+$C$2</f>
        <v>126.7937990438314</v>
      </c>
      <c r="H469" s="74">
        <f>('Old Data'!$K465-$F469)^2+('Old Data'!$U465-$G469)^2</f>
        <v>6631.3716663772893</v>
      </c>
      <c r="I469" s="75">
        <f>('Old Data'!$L465+'Old Data'!$M465)-('Old Data'!$V465+'Old Data'!$W465)</f>
        <v>41</v>
      </c>
      <c r="J469" s="72">
        <f>VLOOKUP('Old Data'!$F465,$Z$6:$AB$135,2,FALSE)+VLOOKUP('Old Data'!$P465,$Z$6:$AB$135,3,FALSE)+$D$2</f>
        <v>62.693065938131198</v>
      </c>
      <c r="K469" s="72">
        <f>VLOOKUP('Old Data'!$P465,$Z$6:$AB$135,2,FALSE)+VLOOKUP('Old Data'!$F465,$Z$6:$AB$135,3,FALSE)+$D$2</f>
        <v>50.11157057934571</v>
      </c>
      <c r="L469" s="74">
        <f>('Old Data'!$L465+'Old Data'!$M465-$J469)^2+('Old Data'!$V465+'Old Data'!$W465-$K469)^2</f>
        <v>1851.27515841027</v>
      </c>
      <c r="M469" s="75">
        <f>'Old Data'!$N465-'Old Data'!$X465</f>
        <v>3</v>
      </c>
      <c r="N469" s="72">
        <f>VLOOKUP('Old Data'!$F465,$AD$6:$AF$135,2,FALSE)+VLOOKUP('Old Data'!$P465,$AD$6:$AF$135,3,FALSE)+$E$2</f>
        <v>2.507326311333919</v>
      </c>
      <c r="O469" s="72">
        <f>VLOOKUP('Old Data'!$P465,$AD$6:$AF$135,2,FALSE)+VLOOKUP('Old Data'!$F465,$AD$6:$AF$135,3,FALSE)+$E$2</f>
        <v>0.78687255868844508</v>
      </c>
      <c r="P469" s="73">
        <f>('Old Data'!$N465-$N469)^2+('Old Data'!$X465-$O469)^2</f>
        <v>0.861895787120743</v>
      </c>
      <c r="Q469" s="62"/>
      <c r="R469" s="3"/>
      <c r="S469" s="3"/>
      <c r="T469" s="3"/>
      <c r="V469" s="3"/>
      <c r="W469" s="3"/>
      <c r="X469" s="3"/>
      <c r="Z469" s="3"/>
      <c r="AA469" s="3"/>
      <c r="AB469" s="3"/>
      <c r="AC469" s="3"/>
      <c r="AD469" s="3"/>
      <c r="AE469" s="3"/>
      <c r="AF469" s="3"/>
      <c r="AG469" s="3"/>
      <c r="AH469" s="37"/>
      <c r="AI469" s="1"/>
      <c r="AK469" s="10"/>
      <c r="AL469" s="10"/>
      <c r="AM469" s="10"/>
      <c r="AN469" s="11"/>
      <c r="AO469" s="11"/>
      <c r="AP469" s="11"/>
      <c r="AQ469" s="36"/>
      <c r="AR469" s="11"/>
      <c r="AS469" s="11"/>
      <c r="AT469" s="11"/>
      <c r="AU469" s="12"/>
      <c r="AV469" s="11"/>
      <c r="AW469" s="11"/>
      <c r="AX469" s="15"/>
      <c r="AY469" s="15"/>
      <c r="AZ469" s="15"/>
      <c r="BA469" s="15"/>
      <c r="BB469" s="15"/>
      <c r="BC469" s="15"/>
      <c r="BD469" s="15"/>
      <c r="BE469" s="12"/>
      <c r="BF469" s="11"/>
      <c r="BG469" s="11"/>
      <c r="BH469" s="10"/>
      <c r="BI469" s="10"/>
      <c r="BJ469" s="10"/>
      <c r="BK469" s="23"/>
      <c r="BL469" s="23"/>
      <c r="BM469" s="23"/>
      <c r="BN469" s="23"/>
      <c r="BO469" s="23"/>
      <c r="BP469" s="23"/>
      <c r="BQ469" s="23"/>
      <c r="BR469" s="10"/>
      <c r="BS469" s="16"/>
      <c r="BT469" s="16"/>
      <c r="BU469" s="16"/>
      <c r="BV469" s="16"/>
      <c r="BW469" s="11"/>
      <c r="BX469" s="16"/>
      <c r="BY469" s="16"/>
      <c r="BZ469" s="17"/>
      <c r="CA469" s="18"/>
      <c r="CB469" s="18"/>
      <c r="CC469" s="18"/>
      <c r="CD469" s="18"/>
      <c r="CE469" s="18"/>
      <c r="CF469" s="18"/>
      <c r="CG469" s="19"/>
      <c r="CH469" s="15"/>
      <c r="CI469" s="17"/>
      <c r="CJ469" s="10"/>
      <c r="CK469" s="10"/>
      <c r="CL469" s="10"/>
      <c r="CM469" s="17"/>
      <c r="CN469" s="17"/>
      <c r="CO469" s="10"/>
      <c r="CP469" s="10"/>
      <c r="CQ469" s="10"/>
      <c r="CR469" s="10"/>
      <c r="CS469" s="10"/>
      <c r="CT469" s="10"/>
      <c r="CU469" s="10"/>
      <c r="CV469" s="10"/>
      <c r="CW469" s="10"/>
      <c r="CX469" s="10"/>
      <c r="CY469" s="10"/>
      <c r="CZ469" s="10"/>
      <c r="DA469" s="34"/>
      <c r="DB469" s="34"/>
      <c r="DC469" s="34"/>
      <c r="DD469" s="34"/>
      <c r="DE469" s="34"/>
      <c r="DF469" s="34"/>
      <c r="DG469" s="34"/>
      <c r="DH469" s="34"/>
      <c r="DI469" s="34"/>
      <c r="DJ469" s="34"/>
      <c r="DK469" s="34"/>
      <c r="DL469" s="34"/>
      <c r="DM469" s="34"/>
      <c r="DN469" s="34"/>
      <c r="DO469" s="34"/>
      <c r="DP469" s="34"/>
      <c r="DQ469" s="34"/>
      <c r="DR469" s="34"/>
      <c r="DS469" s="34"/>
      <c r="DT469" s="34"/>
      <c r="DU469" s="34"/>
      <c r="DV469" s="34"/>
      <c r="DW469" s="34"/>
      <c r="DX469" s="34"/>
      <c r="DY469" s="34"/>
      <c r="DZ469" s="34"/>
      <c r="EA469" s="34"/>
      <c r="EB469" s="34"/>
      <c r="EC469" s="34"/>
      <c r="ED469" s="34"/>
      <c r="EE469" s="34"/>
    </row>
    <row r="470" spans="1:135" customFormat="1">
      <c r="A470" s="71">
        <f>'Old Data'!$I466-'Old Data'!$S466</f>
        <v>57</v>
      </c>
      <c r="B470" s="72">
        <f>VLOOKUP('Old Data'!$F466,$R$6:$T$135,2,FALSE)+VLOOKUP('Old Data'!$P466,$R$6:$T$135,3,FALSE)+$B$2</f>
        <v>116.16953713105531</v>
      </c>
      <c r="C470" s="72">
        <f>VLOOKUP('Old Data'!$P466,$R$6:$T$135,2,FALSE)+VLOOKUP('Old Data'!$F466,$R$6:$T$135,3,FALSE)+$B$2</f>
        <v>154.695033354223</v>
      </c>
      <c r="D470" s="74">
        <f>('Old Data'!$I466-$B470)^2+('Old Data'!$S466-$C470)^2</f>
        <v>5357.1522043290743</v>
      </c>
      <c r="E470" s="75">
        <f>'Old Data'!$K466-'Old Data'!$U466</f>
        <v>158</v>
      </c>
      <c r="F470" s="72">
        <f>VLOOKUP('Old Data'!$F466,$V$6:$X$135,2,FALSE)+VLOOKUP('Old Data'!$P466,$V$6:$X$135,3,FALSE)+$C$2</f>
        <v>251.8608237112322</v>
      </c>
      <c r="G470" s="72">
        <f>VLOOKUP('Old Data'!$P466,$V$6:$X$135,2,FALSE)+VLOOKUP('Old Data'!$F466,$V$6:$X$135,3,FALSE)+$C$2</f>
        <v>127.42396987748526</v>
      </c>
      <c r="H470" s="74">
        <f>('Old Data'!$K466-$F470)^2+('Old Data'!$U466-$G470)^2</f>
        <v>566.9285632165687</v>
      </c>
      <c r="I470" s="75">
        <f>('Old Data'!$L466+'Old Data'!$M466)-('Old Data'!$V466+'Old Data'!$W466)</f>
        <v>18</v>
      </c>
      <c r="J470" s="72">
        <f>VLOOKUP('Old Data'!$F466,$Z$6:$AB$135,2,FALSE)+VLOOKUP('Old Data'!$P466,$Z$6:$AB$135,3,FALSE)+$D$2</f>
        <v>53.018701433355368</v>
      </c>
      <c r="K470" s="72">
        <f>VLOOKUP('Old Data'!$P466,$Z$6:$AB$135,2,FALSE)+VLOOKUP('Old Data'!$F466,$Z$6:$AB$135,3,FALSE)+$D$2</f>
        <v>31.605893994694995</v>
      </c>
      <c r="L470" s="74">
        <f>('Old Data'!$L466+'Old Data'!$M466-$J470)^2+('Old Data'!$V466+'Old Data'!$W466-$K470)^2</f>
        <v>2225.2419852823823</v>
      </c>
      <c r="M470" s="75">
        <f>'Old Data'!$N466-'Old Data'!$X466</f>
        <v>3</v>
      </c>
      <c r="N470" s="72">
        <f>VLOOKUP('Old Data'!$F466,$AD$6:$AF$135,2,FALSE)+VLOOKUP('Old Data'!$P466,$AD$6:$AF$135,3,FALSE)+$E$2</f>
        <v>1.7309655800633772</v>
      </c>
      <c r="O470" s="72">
        <f>VLOOKUP('Old Data'!$P466,$AD$6:$AF$135,2,FALSE)+VLOOKUP('Old Data'!$F466,$AD$6:$AF$135,3,FALSE)+$E$2</f>
        <v>0.96764522626921412</v>
      </c>
      <c r="P470" s="73">
        <f>('Old Data'!$N466-$N470)^2+('Old Data'!$X466-$O470)^2</f>
        <v>2.5467856429054794</v>
      </c>
      <c r="Q470" s="62"/>
      <c r="R470" s="3"/>
      <c r="S470" s="3"/>
      <c r="T470" s="3"/>
      <c r="V470" s="3"/>
      <c r="W470" s="3"/>
      <c r="X470" s="3"/>
      <c r="Z470" s="3"/>
      <c r="AA470" s="3"/>
      <c r="AB470" s="3"/>
      <c r="AC470" s="3"/>
      <c r="AD470" s="3"/>
      <c r="AE470" s="3"/>
      <c r="AF470" s="3"/>
      <c r="AG470" s="3"/>
      <c r="AH470" s="37"/>
      <c r="AI470" s="1"/>
      <c r="AK470" s="10"/>
      <c r="AL470" s="10"/>
      <c r="AM470" s="10"/>
      <c r="AN470" s="11"/>
      <c r="AO470" s="11"/>
      <c r="AP470" s="11"/>
      <c r="AQ470" s="36"/>
      <c r="AR470" s="11"/>
      <c r="AS470" s="11"/>
      <c r="AT470" s="11"/>
      <c r="AU470" s="12"/>
      <c r="AV470" s="11"/>
      <c r="AW470" s="11"/>
      <c r="AX470" s="15"/>
      <c r="AY470" s="15"/>
      <c r="AZ470" s="15"/>
      <c r="BA470" s="15"/>
      <c r="BB470" s="15"/>
      <c r="BC470" s="15"/>
      <c r="BD470" s="15"/>
      <c r="BE470" s="12"/>
      <c r="BF470" s="11"/>
      <c r="BG470" s="11"/>
      <c r="BH470" s="10"/>
      <c r="BI470" s="10"/>
      <c r="BJ470" s="10"/>
      <c r="BK470" s="23"/>
      <c r="BL470" s="23"/>
      <c r="BM470" s="23"/>
      <c r="BN470" s="23"/>
      <c r="BO470" s="23"/>
      <c r="BP470" s="23"/>
      <c r="BQ470" s="23"/>
      <c r="BR470" s="10"/>
      <c r="BS470" s="16"/>
      <c r="BT470" s="16"/>
      <c r="BU470" s="16"/>
      <c r="BV470" s="16"/>
      <c r="BW470" s="11"/>
      <c r="BX470" s="16"/>
      <c r="BY470" s="16"/>
      <c r="BZ470" s="17"/>
      <c r="CA470" s="18"/>
      <c r="CB470" s="18"/>
      <c r="CC470" s="18"/>
      <c r="CD470" s="18"/>
      <c r="CE470" s="18"/>
      <c r="CF470" s="18"/>
      <c r="CG470" s="19"/>
      <c r="CH470" s="15"/>
      <c r="CI470" s="17"/>
      <c r="CJ470" s="10"/>
      <c r="CK470" s="10"/>
      <c r="CL470" s="10"/>
      <c r="CM470" s="17"/>
      <c r="CN470" s="17"/>
      <c r="CO470" s="10"/>
      <c r="CP470" s="10"/>
      <c r="CQ470" s="10"/>
      <c r="CR470" s="10"/>
      <c r="CS470" s="10"/>
      <c r="CT470" s="10"/>
      <c r="CU470" s="10"/>
      <c r="CV470" s="10"/>
      <c r="CW470" s="10"/>
      <c r="CX470" s="10"/>
      <c r="CY470" s="10"/>
      <c r="CZ470" s="10"/>
      <c r="DA470" s="34"/>
      <c r="DB470" s="34"/>
      <c r="DC470" s="34"/>
      <c r="DD470" s="34"/>
      <c r="DE470" s="34"/>
      <c r="DF470" s="34"/>
      <c r="DG470" s="34"/>
      <c r="DH470" s="34"/>
      <c r="DI470" s="34"/>
      <c r="DJ470" s="34"/>
      <c r="DK470" s="34"/>
      <c r="DL470" s="34"/>
      <c r="DM470" s="34"/>
      <c r="DN470" s="34"/>
      <c r="DO470" s="34"/>
      <c r="DP470" s="34"/>
      <c r="DQ470" s="34"/>
      <c r="DR470" s="34"/>
      <c r="DS470" s="34"/>
      <c r="DT470" s="34"/>
      <c r="DU470" s="34"/>
      <c r="DV470" s="34"/>
      <c r="DW470" s="34"/>
      <c r="DX470" s="34"/>
      <c r="DY470" s="34"/>
      <c r="DZ470" s="34"/>
      <c r="EA470" s="34"/>
      <c r="EB470" s="34"/>
      <c r="EC470" s="34"/>
      <c r="ED470" s="34"/>
      <c r="EE470" s="34"/>
    </row>
    <row r="471" spans="1:135" customFormat="1">
      <c r="A471" s="71">
        <f>'Old Data'!$I467-'Old Data'!$S467</f>
        <v>-281</v>
      </c>
      <c r="B471" s="72">
        <f>VLOOKUP('Old Data'!$F467,$R$6:$T$135,2,FALSE)+VLOOKUP('Old Data'!$P467,$R$6:$T$135,3,FALSE)+$B$2</f>
        <v>117.4893310991506</v>
      </c>
      <c r="C471" s="72">
        <f>VLOOKUP('Old Data'!$P467,$R$6:$T$135,2,FALSE)+VLOOKUP('Old Data'!$F467,$R$6:$T$135,3,FALSE)+$B$2</f>
        <v>247.0827757408824</v>
      </c>
      <c r="D471" s="74">
        <f>('Old Data'!$I467-$B471)^2+('Old Data'!$S467-$C471)^2</f>
        <v>12200.323989085085</v>
      </c>
      <c r="E471" s="75">
        <f>'Old Data'!$K467-'Old Data'!$U467</f>
        <v>51</v>
      </c>
      <c r="F471" s="72">
        <f>VLOOKUP('Old Data'!$F467,$V$6:$X$135,2,FALSE)+VLOOKUP('Old Data'!$P467,$V$6:$X$135,3,FALSE)+$C$2</f>
        <v>202.99919805520611</v>
      </c>
      <c r="G471" s="72">
        <f>VLOOKUP('Old Data'!$P467,$V$6:$X$135,2,FALSE)+VLOOKUP('Old Data'!$F467,$V$6:$X$135,3,FALSE)+$C$2</f>
        <v>182.20855199341909</v>
      </c>
      <c r="H471" s="74">
        <f>('Old Data'!$K467-$F471)^2+('Old Data'!$U467-$G471)^2</f>
        <v>3360.1131164189796</v>
      </c>
      <c r="I471" s="75">
        <f>('Old Data'!$L467+'Old Data'!$M467)-('Old Data'!$V467+'Old Data'!$W467)</f>
        <v>32</v>
      </c>
      <c r="J471" s="72">
        <f>VLOOKUP('Old Data'!$F467,$Z$6:$AB$135,2,FALSE)+VLOOKUP('Old Data'!$P467,$Z$6:$AB$135,3,FALSE)+$D$2</f>
        <v>78.887601493449935</v>
      </c>
      <c r="K471" s="72">
        <f>VLOOKUP('Old Data'!$P467,$Z$6:$AB$135,2,FALSE)+VLOOKUP('Old Data'!$F467,$Z$6:$AB$135,3,FALSE)+$D$2</f>
        <v>97.777100624742161</v>
      </c>
      <c r="L471" s="74">
        <f>('Old Data'!$L467+'Old Data'!$M467-$J471)^2+('Old Data'!$V467+'Old Data'!$W467-$K471)^2</f>
        <v>4878.9264532979969</v>
      </c>
      <c r="M471" s="75">
        <f>'Old Data'!$N467-'Old Data'!$X467</f>
        <v>-2</v>
      </c>
      <c r="N471" s="72">
        <f>VLOOKUP('Old Data'!$F467,$AD$6:$AF$135,2,FALSE)+VLOOKUP('Old Data'!$P467,$AD$6:$AF$135,3,FALSE)+$E$2</f>
        <v>0.23965756924626902</v>
      </c>
      <c r="O471" s="72">
        <f>VLOOKUP('Old Data'!$P467,$AD$6:$AF$135,2,FALSE)+VLOOKUP('Old Data'!$F467,$AD$6:$AF$135,3,FALSE)+$E$2</f>
        <v>1.188478506981512</v>
      </c>
      <c r="P471" s="73">
        <f>('Old Data'!$N467-$N471)^2+('Old Data'!$X467-$O471)^2</f>
        <v>0.71600288412798607</v>
      </c>
      <c r="Q471" s="62"/>
      <c r="R471" s="3"/>
      <c r="S471" s="3"/>
      <c r="T471" s="3"/>
      <c r="V471" s="3"/>
      <c r="W471" s="3"/>
      <c r="X471" s="3"/>
      <c r="Z471" s="3"/>
      <c r="AA471" s="3"/>
      <c r="AB471" s="3"/>
      <c r="AC471" s="3"/>
      <c r="AD471" s="3"/>
      <c r="AE471" s="3"/>
      <c r="AF471" s="3"/>
      <c r="AG471" s="3"/>
      <c r="AH471" s="37"/>
      <c r="AI471" s="1"/>
      <c r="AK471" s="10"/>
      <c r="AL471" s="10"/>
      <c r="AM471" s="10"/>
      <c r="AN471" s="11"/>
      <c r="AO471" s="11"/>
      <c r="AP471" s="11"/>
      <c r="AQ471" s="36"/>
      <c r="AR471" s="11"/>
      <c r="AS471" s="11"/>
      <c r="AT471" s="11"/>
      <c r="AU471" s="12"/>
      <c r="AV471" s="11"/>
      <c r="AW471" s="11"/>
      <c r="AX471" s="15"/>
      <c r="AY471" s="15"/>
      <c r="AZ471" s="15"/>
      <c r="BA471" s="15"/>
      <c r="BB471" s="15"/>
      <c r="BC471" s="15"/>
      <c r="BD471" s="15"/>
      <c r="BE471" s="12"/>
      <c r="BF471" s="11"/>
      <c r="BG471" s="11"/>
      <c r="BH471" s="10"/>
      <c r="BI471" s="10"/>
      <c r="BJ471" s="10"/>
      <c r="BK471" s="23"/>
      <c r="BL471" s="23"/>
      <c r="BM471" s="23"/>
      <c r="BN471" s="23"/>
      <c r="BO471" s="23"/>
      <c r="BP471" s="23"/>
      <c r="BQ471" s="23"/>
      <c r="BR471" s="10"/>
      <c r="BS471" s="16"/>
      <c r="BT471" s="16"/>
      <c r="BU471" s="16"/>
      <c r="BV471" s="16"/>
      <c r="BW471" s="11"/>
      <c r="BX471" s="16"/>
      <c r="BY471" s="16"/>
      <c r="BZ471" s="17"/>
      <c r="CA471" s="18"/>
      <c r="CB471" s="18"/>
      <c r="CC471" s="18"/>
      <c r="CD471" s="18"/>
      <c r="CE471" s="18"/>
      <c r="CF471" s="18"/>
      <c r="CG471" s="19"/>
      <c r="CH471" s="15"/>
      <c r="CI471" s="17"/>
      <c r="CJ471" s="10"/>
      <c r="CK471" s="10"/>
      <c r="CL471" s="10"/>
      <c r="CM471" s="17"/>
      <c r="CN471" s="17"/>
      <c r="CO471" s="10"/>
      <c r="CP471" s="10"/>
      <c r="CQ471" s="10"/>
      <c r="CR471" s="10"/>
      <c r="CS471" s="10"/>
      <c r="CT471" s="10"/>
      <c r="CU471" s="10"/>
      <c r="CV471" s="10"/>
      <c r="CW471" s="10"/>
      <c r="CX471" s="10"/>
      <c r="CY471" s="10"/>
      <c r="CZ471" s="10"/>
      <c r="DA471" s="34"/>
      <c r="DB471" s="34"/>
      <c r="DC471" s="34"/>
      <c r="DD471" s="34"/>
      <c r="DE471" s="34"/>
      <c r="DF471" s="34"/>
      <c r="DG471" s="34"/>
      <c r="DH471" s="34"/>
      <c r="DI471" s="34"/>
      <c r="DJ471" s="34"/>
      <c r="DK471" s="34"/>
      <c r="DL471" s="34"/>
      <c r="DM471" s="34"/>
      <c r="DN471" s="34"/>
      <c r="DO471" s="34"/>
      <c r="DP471" s="34"/>
      <c r="DQ471" s="34"/>
      <c r="DR471" s="34"/>
      <c r="DS471" s="34"/>
      <c r="DT471" s="34"/>
      <c r="DU471" s="34"/>
      <c r="DV471" s="34"/>
      <c r="DW471" s="34"/>
      <c r="DX471" s="34"/>
      <c r="DY471" s="34"/>
      <c r="DZ471" s="34"/>
      <c r="EA471" s="34"/>
      <c r="EB471" s="34"/>
      <c r="EC471" s="34"/>
      <c r="ED471" s="34"/>
      <c r="EE471" s="34"/>
    </row>
    <row r="472" spans="1:135" customFormat="1">
      <c r="A472" s="71">
        <f>'Old Data'!$I468-'Old Data'!$S468</f>
        <v>238</v>
      </c>
      <c r="B472" s="72">
        <f>VLOOKUP('Old Data'!$F468,$R$6:$T$135,2,FALSE)+VLOOKUP('Old Data'!$P468,$R$6:$T$135,3,FALSE)+$B$2</f>
        <v>290.67981880285902</v>
      </c>
      <c r="C472" s="72">
        <f>VLOOKUP('Old Data'!$P468,$R$6:$T$135,2,FALSE)+VLOOKUP('Old Data'!$F468,$R$6:$T$135,3,FALSE)+$B$2</f>
        <v>80.448411771578606</v>
      </c>
      <c r="D472" s="74">
        <f>('Old Data'!$I468-$B472)^2+('Old Data'!$S468-$C472)^2</f>
        <v>532.23551903676139</v>
      </c>
      <c r="E472" s="75">
        <f>'Old Data'!$K468-'Old Data'!$U468</f>
        <v>-23</v>
      </c>
      <c r="F472" s="72">
        <f>VLOOKUP('Old Data'!$F468,$V$6:$X$135,2,FALSE)+VLOOKUP('Old Data'!$P468,$V$6:$X$135,3,FALSE)+$C$2</f>
        <v>189.9033580749275</v>
      </c>
      <c r="G472" s="72">
        <f>VLOOKUP('Old Data'!$P468,$V$6:$X$135,2,FALSE)+VLOOKUP('Old Data'!$F468,$V$6:$X$135,3,FALSE)+$C$2</f>
        <v>215.53117456744621</v>
      </c>
      <c r="H472" s="74">
        <f>('Old Data'!$K468-$F472)^2+('Old Data'!$U468-$G472)^2</f>
        <v>138.4996413458002</v>
      </c>
      <c r="I472" s="75">
        <f>('Old Data'!$L468+'Old Data'!$M468)-('Old Data'!$V468+'Old Data'!$W468)</f>
        <v>-19</v>
      </c>
      <c r="J472" s="72">
        <f>VLOOKUP('Old Data'!$F468,$Z$6:$AB$135,2,FALSE)+VLOOKUP('Old Data'!$P468,$Z$6:$AB$135,3,FALSE)+$D$2</f>
        <v>79.437034974314798</v>
      </c>
      <c r="K472" s="72">
        <f>VLOOKUP('Old Data'!$P468,$Z$6:$AB$135,2,FALSE)+VLOOKUP('Old Data'!$F468,$Z$6:$AB$135,3,FALSE)+$D$2</f>
        <v>74.19553280201292</v>
      </c>
      <c r="L472" s="74">
        <f>('Old Data'!$L468+'Old Data'!$M468-$J472)^2+('Old Data'!$V468+'Old Data'!$W468-$K472)^2</f>
        <v>597.2069114125477</v>
      </c>
      <c r="M472" s="75">
        <f>'Old Data'!$N468-'Old Data'!$X468</f>
        <v>1</v>
      </c>
      <c r="N472" s="72">
        <f>VLOOKUP('Old Data'!$F468,$AD$6:$AF$135,2,FALSE)+VLOOKUP('Old Data'!$P468,$AD$6:$AF$135,3,FALSE)+$E$2</f>
        <v>2.2752096618265618</v>
      </c>
      <c r="O472" s="72">
        <f>VLOOKUP('Old Data'!$P468,$AD$6:$AF$135,2,FALSE)+VLOOKUP('Old Data'!$F468,$AD$6:$AF$135,3,FALSE)+$E$2</f>
        <v>0.71688393243668314</v>
      </c>
      <c r="P472" s="73">
        <f>('Old Data'!$N468-$N472)^2+('Old Data'!$X468-$O472)^2</f>
        <v>0.15589506567520711</v>
      </c>
      <c r="Q472" s="62"/>
      <c r="R472" s="3"/>
      <c r="S472" s="3"/>
      <c r="T472" s="3"/>
      <c r="V472" s="3"/>
      <c r="W472" s="3"/>
      <c r="X472" s="3"/>
      <c r="Z472" s="3"/>
      <c r="AA472" s="3"/>
      <c r="AB472" s="3"/>
      <c r="AC472" s="3"/>
      <c r="AD472" s="3"/>
      <c r="AE472" s="3"/>
      <c r="AF472" s="3"/>
      <c r="AG472" s="3"/>
      <c r="AH472" s="37"/>
      <c r="AI472" s="1"/>
      <c r="AK472" s="10"/>
      <c r="AL472" s="10"/>
      <c r="AM472" s="10"/>
      <c r="AN472" s="11"/>
      <c r="AO472" s="11"/>
      <c r="AP472" s="11"/>
      <c r="AQ472" s="36"/>
      <c r="AR472" s="11"/>
      <c r="AS472" s="11"/>
      <c r="AT472" s="11"/>
      <c r="AU472" s="12"/>
      <c r="AV472" s="11"/>
      <c r="AW472" s="11"/>
      <c r="AX472" s="15"/>
      <c r="AY472" s="15"/>
      <c r="AZ472" s="15"/>
      <c r="BA472" s="15"/>
      <c r="BB472" s="15"/>
      <c r="BC472" s="15"/>
      <c r="BD472" s="15"/>
      <c r="BE472" s="12"/>
      <c r="BF472" s="11"/>
      <c r="BG472" s="11"/>
      <c r="BH472" s="10"/>
      <c r="BI472" s="10"/>
      <c r="BJ472" s="10"/>
      <c r="BK472" s="23"/>
      <c r="BL472" s="23"/>
      <c r="BM472" s="23"/>
      <c r="BN472" s="23"/>
      <c r="BO472" s="23"/>
      <c r="BP472" s="23"/>
      <c r="BQ472" s="23"/>
      <c r="BR472" s="10"/>
      <c r="BS472" s="16"/>
      <c r="BT472" s="16"/>
      <c r="BU472" s="16"/>
      <c r="BV472" s="16"/>
      <c r="BW472" s="11"/>
      <c r="BX472" s="16"/>
      <c r="BY472" s="16"/>
      <c r="BZ472" s="17"/>
      <c r="CA472" s="18"/>
      <c r="CB472" s="18"/>
      <c r="CC472" s="18"/>
      <c r="CD472" s="18"/>
      <c r="CE472" s="18"/>
      <c r="CF472" s="18"/>
      <c r="CG472" s="19"/>
      <c r="CH472" s="15"/>
      <c r="CI472" s="17"/>
      <c r="CJ472" s="10"/>
      <c r="CK472" s="10"/>
      <c r="CL472" s="10"/>
      <c r="CM472" s="17"/>
      <c r="CN472" s="17"/>
      <c r="CO472" s="10"/>
      <c r="CP472" s="10"/>
      <c r="CQ472" s="10"/>
      <c r="CR472" s="10"/>
      <c r="CS472" s="10"/>
      <c r="CT472" s="10"/>
      <c r="CU472" s="10"/>
      <c r="CV472" s="10"/>
      <c r="CW472" s="10"/>
      <c r="CX472" s="10"/>
      <c r="CY472" s="10"/>
      <c r="CZ472" s="10"/>
      <c r="DA472" s="34"/>
      <c r="DB472" s="34"/>
      <c r="DC472" s="34"/>
      <c r="DD472" s="34"/>
      <c r="DE472" s="34"/>
      <c r="DF472" s="34"/>
      <c r="DG472" s="34"/>
      <c r="DH472" s="34"/>
      <c r="DI472" s="34"/>
      <c r="DJ472" s="34"/>
      <c r="DK472" s="34"/>
      <c r="DL472" s="34"/>
      <c r="DM472" s="34"/>
      <c r="DN472" s="34"/>
      <c r="DO472" s="34"/>
      <c r="DP472" s="34"/>
      <c r="DQ472" s="34"/>
      <c r="DR472" s="34"/>
      <c r="DS472" s="34"/>
      <c r="DT472" s="34"/>
      <c r="DU472" s="34"/>
      <c r="DV472" s="34"/>
      <c r="DW472" s="34"/>
      <c r="DX472" s="34"/>
      <c r="DY472" s="34"/>
      <c r="DZ472" s="34"/>
      <c r="EA472" s="34"/>
      <c r="EB472" s="34"/>
      <c r="EC472" s="34"/>
      <c r="ED472" s="34"/>
      <c r="EE472" s="34"/>
    </row>
    <row r="473" spans="1:135" customFormat="1">
      <c r="A473" s="71">
        <f>'Old Data'!$I469-'Old Data'!$S469</f>
        <v>15</v>
      </c>
      <c r="B473" s="72">
        <f>VLOOKUP('Old Data'!$F469,$R$6:$T$135,2,FALSE)+VLOOKUP('Old Data'!$P469,$R$6:$T$135,3,FALSE)+$B$2</f>
        <v>245.18705894062151</v>
      </c>
      <c r="C473" s="72">
        <f>VLOOKUP('Old Data'!$P469,$R$6:$T$135,2,FALSE)+VLOOKUP('Old Data'!$F469,$R$6:$T$135,3,FALSE)+$B$2</f>
        <v>195.952206951037</v>
      </c>
      <c r="D473" s="74">
        <f>('Old Data'!$I469-$B473)^2+('Old Data'!$S469-$C473)^2</f>
        <v>634.62958395208398</v>
      </c>
      <c r="E473" s="75">
        <f>'Old Data'!$K469-'Old Data'!$U469</f>
        <v>-92</v>
      </c>
      <c r="F473" s="72">
        <f>VLOOKUP('Old Data'!$F469,$V$6:$X$135,2,FALSE)+VLOOKUP('Old Data'!$P469,$V$6:$X$135,3,FALSE)+$C$2</f>
        <v>302.29952246924756</v>
      </c>
      <c r="G473" s="72">
        <f>VLOOKUP('Old Data'!$P469,$V$6:$X$135,2,FALSE)+VLOOKUP('Old Data'!$F469,$V$6:$X$135,3,FALSE)+$C$2</f>
        <v>320.39347683224833</v>
      </c>
      <c r="H473" s="74">
        <f>('Old Data'!$K469-$F473)^2+('Old Data'!$U469-$G473)^2</f>
        <v>7800.5918450146328</v>
      </c>
      <c r="I473" s="75">
        <f>('Old Data'!$L469+'Old Data'!$M469)-('Old Data'!$V469+'Old Data'!$W469)</f>
        <v>6</v>
      </c>
      <c r="J473" s="72">
        <f>VLOOKUP('Old Data'!$F469,$Z$6:$AB$135,2,FALSE)+VLOOKUP('Old Data'!$P469,$Z$6:$AB$135,3,FALSE)+$D$2</f>
        <v>66.135134885397591</v>
      </c>
      <c r="K473" s="72">
        <f>VLOOKUP('Old Data'!$P469,$Z$6:$AB$135,2,FALSE)+VLOOKUP('Old Data'!$F469,$Z$6:$AB$135,3,FALSE)+$D$2</f>
        <v>85.268260595402964</v>
      </c>
      <c r="L473" s="74">
        <f>('Old Data'!$L469+'Old Data'!$M469-$J473)^2+('Old Data'!$V469+'Old Data'!$W469-$K473)^2</f>
        <v>2587.4458651480686</v>
      </c>
      <c r="M473" s="75">
        <f>'Old Data'!$N469-'Old Data'!$X469</f>
        <v>1</v>
      </c>
      <c r="N473" s="72">
        <f>VLOOKUP('Old Data'!$F469,$AD$6:$AF$135,2,FALSE)+VLOOKUP('Old Data'!$P469,$AD$6:$AF$135,3,FALSE)+$E$2</f>
        <v>2.1121312096094282</v>
      </c>
      <c r="O473" s="72">
        <f>VLOOKUP('Old Data'!$P469,$AD$6:$AF$135,2,FALSE)+VLOOKUP('Old Data'!$F469,$AD$6:$AF$135,3,FALSE)+$E$2</f>
        <v>1.5975334631030784</v>
      </c>
      <c r="P473" s="73">
        <f>('Old Data'!$N469-$N473)^2+('Old Data'!$X469-$O473)^2</f>
        <v>0.36961964769643152</v>
      </c>
      <c r="Q473" s="62"/>
      <c r="R473" s="3"/>
      <c r="S473" s="3"/>
      <c r="T473" s="3"/>
      <c r="V473" s="3"/>
      <c r="W473" s="3"/>
      <c r="X473" s="3"/>
      <c r="Z473" s="3"/>
      <c r="AA473" s="3"/>
      <c r="AB473" s="3"/>
      <c r="AC473" s="3"/>
      <c r="AD473" s="3"/>
      <c r="AE473" s="3"/>
      <c r="AF473" s="3"/>
      <c r="AG473" s="3"/>
      <c r="AH473" s="37"/>
      <c r="AI473" s="1"/>
      <c r="AK473" s="10"/>
      <c r="AL473" s="10"/>
      <c r="AM473" s="10"/>
      <c r="AN473" s="11"/>
      <c r="AO473" s="11"/>
      <c r="AP473" s="11"/>
      <c r="AQ473" s="36"/>
      <c r="AR473" s="11"/>
      <c r="AS473" s="11"/>
      <c r="AT473" s="11"/>
      <c r="AU473" s="12"/>
      <c r="AV473" s="11"/>
      <c r="AW473" s="11"/>
      <c r="AX473" s="15"/>
      <c r="AY473" s="15"/>
      <c r="AZ473" s="15"/>
      <c r="BA473" s="15"/>
      <c r="BB473" s="15"/>
      <c r="BC473" s="15"/>
      <c r="BD473" s="15"/>
      <c r="BE473" s="12"/>
      <c r="BF473" s="11"/>
      <c r="BG473" s="11"/>
      <c r="BH473" s="10"/>
      <c r="BI473" s="10"/>
      <c r="BJ473" s="10"/>
      <c r="BK473" s="23"/>
      <c r="BL473" s="23"/>
      <c r="BM473" s="23"/>
      <c r="BN473" s="23"/>
      <c r="BO473" s="23"/>
      <c r="BP473" s="23"/>
      <c r="BQ473" s="23"/>
      <c r="BR473" s="10"/>
      <c r="BS473" s="16"/>
      <c r="BT473" s="16"/>
      <c r="BU473" s="16"/>
      <c r="BV473" s="16"/>
      <c r="BW473" s="11"/>
      <c r="BX473" s="16"/>
      <c r="BY473" s="16"/>
      <c r="BZ473" s="17"/>
      <c r="CA473" s="18"/>
      <c r="CB473" s="18"/>
      <c r="CC473" s="18"/>
      <c r="CD473" s="18"/>
      <c r="CE473" s="18"/>
      <c r="CF473" s="18"/>
      <c r="CG473" s="19"/>
      <c r="CH473" s="15"/>
      <c r="CI473" s="17"/>
      <c r="CJ473" s="10"/>
      <c r="CK473" s="10"/>
      <c r="CL473" s="10"/>
      <c r="CM473" s="17"/>
      <c r="CN473" s="17"/>
      <c r="CO473" s="10"/>
      <c r="CP473" s="10"/>
      <c r="CQ473" s="10"/>
      <c r="CR473" s="10"/>
      <c r="CS473" s="10"/>
      <c r="CT473" s="10"/>
      <c r="CU473" s="10"/>
      <c r="CV473" s="10"/>
      <c r="CW473" s="10"/>
      <c r="CX473" s="10"/>
      <c r="CY473" s="10"/>
      <c r="CZ473" s="10"/>
      <c r="DA473" s="34"/>
      <c r="DB473" s="34"/>
      <c r="DC473" s="34"/>
      <c r="DD473" s="34"/>
      <c r="DE473" s="34"/>
      <c r="DF473" s="34"/>
      <c r="DG473" s="34"/>
      <c r="DH473" s="34"/>
      <c r="DI473" s="34"/>
      <c r="DJ473" s="34"/>
      <c r="DK473" s="34"/>
      <c r="DL473" s="34"/>
      <c r="DM473" s="34"/>
      <c r="DN473" s="34"/>
      <c r="DO473" s="34"/>
      <c r="DP473" s="34"/>
      <c r="DQ473" s="34"/>
      <c r="DR473" s="34"/>
      <c r="DS473" s="34"/>
      <c r="DT473" s="34"/>
      <c r="DU473" s="34"/>
      <c r="DV473" s="34"/>
      <c r="DW473" s="34"/>
      <c r="DX473" s="34"/>
      <c r="DY473" s="34"/>
      <c r="DZ473" s="34"/>
      <c r="EA473" s="34"/>
      <c r="EB473" s="34"/>
      <c r="EC473" s="34"/>
      <c r="ED473" s="34"/>
      <c r="EE473" s="34"/>
    </row>
    <row r="474" spans="1:135" customFormat="1">
      <c r="A474" s="71">
        <f>'Old Data'!$I470-'Old Data'!$S470</f>
        <v>-26</v>
      </c>
      <c r="B474" s="72">
        <f>VLOOKUP('Old Data'!$F470,$R$6:$T$135,2,FALSE)+VLOOKUP('Old Data'!$P470,$R$6:$T$135,3,FALSE)+$B$2</f>
        <v>113.01101107305101</v>
      </c>
      <c r="C474" s="72">
        <f>VLOOKUP('Old Data'!$P470,$R$6:$T$135,2,FALSE)+VLOOKUP('Old Data'!$F470,$R$6:$T$135,3,FALSE)+$B$2</f>
        <v>191.74049127464997</v>
      </c>
      <c r="D474" s="74">
        <f>('Old Data'!$I470-$B474)^2+('Old Data'!$S470-$C474)^2</f>
        <v>1605.5114660087279</v>
      </c>
      <c r="E474" s="75">
        <f>'Old Data'!$K470-'Old Data'!$U470</f>
        <v>-72</v>
      </c>
      <c r="F474" s="72">
        <f>VLOOKUP('Old Data'!$F470,$V$6:$X$135,2,FALSE)+VLOOKUP('Old Data'!$P470,$V$6:$X$135,3,FALSE)+$C$2</f>
        <v>127.45432173910339</v>
      </c>
      <c r="G474" s="72">
        <f>VLOOKUP('Old Data'!$P470,$V$6:$X$135,2,FALSE)+VLOOKUP('Old Data'!$F470,$V$6:$X$135,3,FALSE)+$C$2</f>
        <v>306.90609096644687</v>
      </c>
      <c r="H474" s="74">
        <f>('Old Data'!$K470-$F474)^2+('Old Data'!$U470-$G474)^2</f>
        <v>17686.50986035704</v>
      </c>
      <c r="I474" s="75">
        <f>('Old Data'!$L470+'Old Data'!$M470)-('Old Data'!$V470+'Old Data'!$W470)</f>
        <v>-21</v>
      </c>
      <c r="J474" s="72">
        <f>VLOOKUP('Old Data'!$F470,$Z$6:$AB$135,2,FALSE)+VLOOKUP('Old Data'!$P470,$Z$6:$AB$135,3,FALSE)+$D$2</f>
        <v>90.822913201186395</v>
      </c>
      <c r="K474" s="72">
        <f>VLOOKUP('Old Data'!$P470,$Z$6:$AB$135,2,FALSE)+VLOOKUP('Old Data'!$F470,$Z$6:$AB$135,3,FALSE)+$D$2</f>
        <v>102.19877189018939</v>
      </c>
      <c r="L474" s="74">
        <f>('Old Data'!$L470+'Old Data'!$M470-$J474)^2+('Old Data'!$V470+'Old Data'!$W470-$K474)^2</f>
        <v>1727.0545478088179</v>
      </c>
      <c r="M474" s="75">
        <f>'Old Data'!$N470-'Old Data'!$X470</f>
        <v>-1</v>
      </c>
      <c r="N474" s="72">
        <f>VLOOKUP('Old Data'!$F470,$AD$6:$AF$135,2,FALSE)+VLOOKUP('Old Data'!$P470,$AD$6:$AF$135,3,FALSE)+$E$2</f>
        <v>1.4030566715140678</v>
      </c>
      <c r="O474" s="72">
        <f>VLOOKUP('Old Data'!$P470,$AD$6:$AF$135,2,FALSE)+VLOOKUP('Old Data'!$F470,$AD$6:$AF$135,3,FALSE)+$E$2</f>
        <v>1.8687201077415401</v>
      </c>
      <c r="P474" s="73">
        <f>('Old Data'!$N470-$N474)^2+('Old Data'!$X470-$O474)^2</f>
        <v>2.7232426490746073</v>
      </c>
      <c r="Q474" s="62"/>
      <c r="R474" s="3"/>
      <c r="S474" s="3"/>
      <c r="T474" s="3"/>
      <c r="V474" s="3"/>
      <c r="W474" s="3"/>
      <c r="X474" s="3"/>
      <c r="Z474" s="3"/>
      <c r="AA474" s="3"/>
      <c r="AB474" s="3"/>
      <c r="AC474" s="3"/>
      <c r="AD474" s="3"/>
      <c r="AE474" s="3"/>
      <c r="AF474" s="3"/>
      <c r="AG474" s="3"/>
      <c r="AH474" s="37"/>
      <c r="AI474" s="1"/>
      <c r="AK474" s="10"/>
      <c r="AL474" s="10"/>
      <c r="AM474" s="10"/>
      <c r="AN474" s="11"/>
      <c r="AO474" s="11"/>
      <c r="AP474" s="11"/>
      <c r="AQ474" s="36"/>
      <c r="AR474" s="11"/>
      <c r="AS474" s="11"/>
      <c r="AT474" s="11"/>
      <c r="AU474" s="12"/>
      <c r="AV474" s="11"/>
      <c r="AW474" s="11"/>
      <c r="AX474" s="15"/>
      <c r="AY474" s="15"/>
      <c r="AZ474" s="15"/>
      <c r="BA474" s="15"/>
      <c r="BB474" s="15"/>
      <c r="BC474" s="15"/>
      <c r="BD474" s="15"/>
      <c r="BE474" s="12"/>
      <c r="BF474" s="11"/>
      <c r="BG474" s="11"/>
      <c r="BH474" s="10"/>
      <c r="BI474" s="10"/>
      <c r="BJ474" s="10"/>
      <c r="BK474" s="23"/>
      <c r="BL474" s="23"/>
      <c r="BM474" s="23"/>
      <c r="BN474" s="23"/>
      <c r="BO474" s="23"/>
      <c r="BP474" s="23"/>
      <c r="BQ474" s="23"/>
      <c r="BR474" s="10"/>
      <c r="BS474" s="16"/>
      <c r="BT474" s="16"/>
      <c r="BU474" s="16"/>
      <c r="BV474" s="16"/>
      <c r="BW474" s="11"/>
      <c r="BX474" s="16"/>
      <c r="BY474" s="16"/>
      <c r="BZ474" s="17"/>
      <c r="CA474" s="18"/>
      <c r="CB474" s="18"/>
      <c r="CC474" s="18"/>
      <c r="CD474" s="18"/>
      <c r="CE474" s="18"/>
      <c r="CF474" s="18"/>
      <c r="CG474" s="19"/>
      <c r="CH474" s="15"/>
      <c r="CI474" s="17"/>
      <c r="CJ474" s="10"/>
      <c r="CK474" s="10"/>
      <c r="CL474" s="10"/>
      <c r="CM474" s="17"/>
      <c r="CN474" s="17"/>
      <c r="CO474" s="10"/>
      <c r="CP474" s="10"/>
      <c r="CQ474" s="10"/>
      <c r="CR474" s="10"/>
      <c r="CS474" s="10"/>
      <c r="CT474" s="10"/>
      <c r="CU474" s="10"/>
      <c r="CV474" s="10"/>
      <c r="CW474" s="10"/>
      <c r="CX474" s="10"/>
      <c r="CY474" s="10"/>
      <c r="CZ474" s="10"/>
      <c r="DA474" s="34"/>
      <c r="DB474" s="34"/>
      <c r="DC474" s="34"/>
      <c r="DD474" s="34"/>
      <c r="DE474" s="34"/>
      <c r="DF474" s="34"/>
      <c r="DG474" s="34"/>
      <c r="DH474" s="34"/>
      <c r="DI474" s="34"/>
      <c r="DJ474" s="34"/>
      <c r="DK474" s="34"/>
      <c r="DL474" s="34"/>
      <c r="DM474" s="34"/>
      <c r="DN474" s="34"/>
      <c r="DO474" s="34"/>
      <c r="DP474" s="34"/>
      <c r="DQ474" s="34"/>
      <c r="DR474" s="34"/>
      <c r="DS474" s="34"/>
      <c r="DT474" s="34"/>
      <c r="DU474" s="34"/>
      <c r="DV474" s="34"/>
      <c r="DW474" s="34"/>
      <c r="DX474" s="34"/>
      <c r="DY474" s="34"/>
      <c r="DZ474" s="34"/>
      <c r="EA474" s="34"/>
      <c r="EB474" s="34"/>
      <c r="EC474" s="34"/>
      <c r="ED474" s="34"/>
      <c r="EE474" s="34"/>
    </row>
    <row r="475" spans="1:135" customFormat="1">
      <c r="A475" s="71">
        <f>'Old Data'!$I471-'Old Data'!$S471</f>
        <v>67</v>
      </c>
      <c r="B475" s="72">
        <f>VLOOKUP('Old Data'!$F471,$R$6:$T$135,2,FALSE)+VLOOKUP('Old Data'!$P471,$R$6:$T$135,3,FALSE)+$B$2</f>
        <v>188.68322187474496</v>
      </c>
      <c r="C475" s="72">
        <f>VLOOKUP('Old Data'!$P471,$R$6:$T$135,2,FALSE)+VLOOKUP('Old Data'!$F471,$R$6:$T$135,3,FALSE)+$B$2</f>
        <v>163.0172157516142</v>
      </c>
      <c r="D475" s="74">
        <f>('Old Data'!$I471-$B475)^2+('Old Data'!$S471-$C475)^2</f>
        <v>4967.534217713066</v>
      </c>
      <c r="E475" s="75">
        <f>'Old Data'!$K471-'Old Data'!$U471</f>
        <v>-106</v>
      </c>
      <c r="F475" s="72">
        <f>VLOOKUP('Old Data'!$F471,$V$6:$X$135,2,FALSE)+VLOOKUP('Old Data'!$P471,$V$6:$X$135,3,FALSE)+$C$2</f>
        <v>345.25159968936549</v>
      </c>
      <c r="G475" s="72">
        <f>VLOOKUP('Old Data'!$P471,$V$6:$X$135,2,FALSE)+VLOOKUP('Old Data'!$F471,$V$6:$X$135,3,FALSE)+$C$2</f>
        <v>309.83091049616337</v>
      </c>
      <c r="H475" s="74">
        <f>('Old Data'!$K471-$F475)^2+('Old Data'!$U471-$G475)^2</f>
        <v>21387.950031890639</v>
      </c>
      <c r="I475" s="75">
        <f>('Old Data'!$L471+'Old Data'!$M471)-('Old Data'!$V471+'Old Data'!$W471)</f>
        <v>96</v>
      </c>
      <c r="J475" s="72">
        <f>VLOOKUP('Old Data'!$F471,$Z$6:$AB$135,2,FALSE)+VLOOKUP('Old Data'!$P471,$Z$6:$AB$135,3,FALSE)+$D$2</f>
        <v>123.75379541236759</v>
      </c>
      <c r="K475" s="72">
        <f>VLOOKUP('Old Data'!$P471,$Z$6:$AB$135,2,FALSE)+VLOOKUP('Old Data'!$F471,$Z$6:$AB$135,3,FALSE)+$D$2</f>
        <v>86.667784749281068</v>
      </c>
      <c r="L475" s="74">
        <f>('Old Data'!$L471+'Old Data'!$M471-$J475)^2+('Old Data'!$V471+'Old Data'!$W471-$K475)^2</f>
        <v>10657.026193050404</v>
      </c>
      <c r="M475" s="75">
        <f>'Old Data'!$N471-'Old Data'!$X471</f>
        <v>0</v>
      </c>
      <c r="N475" s="72">
        <f>VLOOKUP('Old Data'!$F471,$AD$6:$AF$135,2,FALSE)+VLOOKUP('Old Data'!$P471,$AD$6:$AF$135,3,FALSE)+$E$2</f>
        <v>1.3028746423809565</v>
      </c>
      <c r="O475" s="72">
        <f>VLOOKUP('Old Data'!$P471,$AD$6:$AF$135,2,FALSE)+VLOOKUP('Old Data'!$F471,$AD$6:$AF$135,3,FALSE)+$E$2</f>
        <v>1.4035482759227869</v>
      </c>
      <c r="P475" s="73">
        <f>('Old Data'!$N471-$N475)^2+('Old Data'!$X471-$O475)^2</f>
        <v>3.6674300966051327</v>
      </c>
      <c r="Q475" s="62"/>
      <c r="R475" s="3"/>
      <c r="S475" s="3"/>
      <c r="T475" s="3"/>
      <c r="V475" s="3"/>
      <c r="W475" s="3"/>
      <c r="X475" s="3"/>
      <c r="Z475" s="3"/>
      <c r="AA475" s="3"/>
      <c r="AB475" s="3"/>
      <c r="AC475" s="3"/>
      <c r="AD475" s="3"/>
      <c r="AE475" s="3"/>
      <c r="AF475" s="3"/>
      <c r="AG475" s="3"/>
      <c r="AH475" s="37"/>
      <c r="AI475" s="1"/>
      <c r="AK475" s="10"/>
      <c r="AL475" s="10"/>
      <c r="AM475" s="10"/>
      <c r="AN475" s="11"/>
      <c r="AO475" s="11"/>
      <c r="AP475" s="11"/>
      <c r="AQ475" s="36"/>
      <c r="AR475" s="11"/>
      <c r="AS475" s="11"/>
      <c r="AT475" s="11"/>
      <c r="AU475" s="12"/>
      <c r="AV475" s="11"/>
      <c r="AW475" s="11"/>
      <c r="AX475" s="15"/>
      <c r="AY475" s="15"/>
      <c r="AZ475" s="15"/>
      <c r="BA475" s="15"/>
      <c r="BB475" s="15"/>
      <c r="BC475" s="15"/>
      <c r="BD475" s="15"/>
      <c r="BE475" s="12"/>
      <c r="BF475" s="11"/>
      <c r="BG475" s="11"/>
      <c r="BH475" s="10"/>
      <c r="BI475" s="10"/>
      <c r="BJ475" s="10"/>
      <c r="BK475" s="23"/>
      <c r="BL475" s="23"/>
      <c r="BM475" s="23"/>
      <c r="BN475" s="23"/>
      <c r="BO475" s="23"/>
      <c r="BP475" s="23"/>
      <c r="BQ475" s="23"/>
      <c r="BR475" s="10"/>
      <c r="BS475" s="16"/>
      <c r="BT475" s="16"/>
      <c r="BU475" s="16"/>
      <c r="BV475" s="16"/>
      <c r="BW475" s="11"/>
      <c r="BX475" s="16"/>
      <c r="BY475" s="16"/>
      <c r="BZ475" s="17"/>
      <c r="CA475" s="18"/>
      <c r="CB475" s="18"/>
      <c r="CC475" s="18"/>
      <c r="CD475" s="18"/>
      <c r="CE475" s="18"/>
      <c r="CF475" s="18"/>
      <c r="CG475" s="19"/>
      <c r="CH475" s="15"/>
      <c r="CI475" s="17"/>
      <c r="CJ475" s="10"/>
      <c r="CK475" s="10"/>
      <c r="CL475" s="10"/>
      <c r="CM475" s="17"/>
      <c r="CN475" s="17"/>
      <c r="CO475" s="10"/>
      <c r="CP475" s="10"/>
      <c r="CQ475" s="10"/>
      <c r="CR475" s="10"/>
      <c r="CS475" s="10"/>
      <c r="CT475" s="10"/>
      <c r="CU475" s="10"/>
      <c r="CV475" s="10"/>
      <c r="CW475" s="10"/>
      <c r="CX475" s="10"/>
      <c r="CY475" s="10"/>
      <c r="CZ475" s="10"/>
      <c r="DA475" s="34"/>
      <c r="DB475" s="34"/>
      <c r="DC475" s="34"/>
      <c r="DD475" s="34"/>
      <c r="DE475" s="34"/>
      <c r="DF475" s="34"/>
      <c r="DG475" s="34"/>
      <c r="DH475" s="34"/>
      <c r="DI475" s="34"/>
      <c r="DJ475" s="34"/>
      <c r="DK475" s="34"/>
      <c r="DL475" s="34"/>
      <c r="DM475" s="34"/>
      <c r="DN475" s="34"/>
      <c r="DO475" s="34"/>
      <c r="DP475" s="34"/>
      <c r="DQ475" s="34"/>
      <c r="DR475" s="34"/>
      <c r="DS475" s="34"/>
      <c r="DT475" s="34"/>
      <c r="DU475" s="34"/>
      <c r="DV475" s="34"/>
      <c r="DW475" s="34"/>
      <c r="DX475" s="34"/>
      <c r="DY475" s="34"/>
      <c r="DZ475" s="34"/>
      <c r="EA475" s="34"/>
      <c r="EB475" s="34"/>
      <c r="EC475" s="34"/>
      <c r="ED475" s="34"/>
      <c r="EE475" s="34"/>
    </row>
    <row r="476" spans="1:135" customFormat="1">
      <c r="A476" s="71">
        <f>'Old Data'!$I472-'Old Data'!$S472</f>
        <v>52</v>
      </c>
      <c r="B476" s="72">
        <f>VLOOKUP('Old Data'!$F472,$R$6:$T$135,2,FALSE)+VLOOKUP('Old Data'!$P472,$R$6:$T$135,3,FALSE)+$B$2</f>
        <v>168.08506753719831</v>
      </c>
      <c r="C476" s="72">
        <f>VLOOKUP('Old Data'!$P472,$R$6:$T$135,2,FALSE)+VLOOKUP('Old Data'!$F472,$R$6:$T$135,3,FALSE)+$B$2</f>
        <v>133.22102741466276</v>
      </c>
      <c r="D476" s="74">
        <f>('Old Data'!$I472-$B476)^2+('Old Data'!$S472-$C476)^2</f>
        <v>321.55160343545271</v>
      </c>
      <c r="E476" s="75">
        <f>'Old Data'!$K472-'Old Data'!$U472</f>
        <v>-30</v>
      </c>
      <c r="F476" s="72">
        <f>VLOOKUP('Old Data'!$F472,$V$6:$X$135,2,FALSE)+VLOOKUP('Old Data'!$P472,$V$6:$X$135,3,FALSE)+$C$2</f>
        <v>307.86532527874215</v>
      </c>
      <c r="G476" s="72">
        <f>VLOOKUP('Old Data'!$P472,$V$6:$X$135,2,FALSE)+VLOOKUP('Old Data'!$F472,$V$6:$X$135,3,FALSE)+$C$2</f>
        <v>285.64411370720745</v>
      </c>
      <c r="H476" s="74">
        <f>('Old Data'!$K472-$F476)^2+('Old Data'!$U472-$G476)^2</f>
        <v>11515.307458048905</v>
      </c>
      <c r="I476" s="75">
        <f>('Old Data'!$L472+'Old Data'!$M472)-('Old Data'!$V472+'Old Data'!$W472)</f>
        <v>-23</v>
      </c>
      <c r="J476" s="72">
        <f>VLOOKUP('Old Data'!$F472,$Z$6:$AB$135,2,FALSE)+VLOOKUP('Old Data'!$P472,$Z$6:$AB$135,3,FALSE)+$D$2</f>
        <v>32.77521463499393</v>
      </c>
      <c r="K476" s="72">
        <f>VLOOKUP('Old Data'!$P472,$Z$6:$AB$135,2,FALSE)+VLOOKUP('Old Data'!$F472,$Z$6:$AB$135,3,FALSE)+$D$2</f>
        <v>97.304056890619563</v>
      </c>
      <c r="L476" s="74">
        <f>('Old Data'!$L472+'Old Data'!$M472-$J476)^2+('Old Data'!$V472+'Old Data'!$W472-$K476)^2</f>
        <v>1084.4902135715886</v>
      </c>
      <c r="M476" s="75">
        <f>'Old Data'!$N472-'Old Data'!$X472</f>
        <v>0</v>
      </c>
      <c r="N476" s="72">
        <f>VLOOKUP('Old Data'!$F472,$AD$6:$AF$135,2,FALSE)+VLOOKUP('Old Data'!$P472,$AD$6:$AF$135,3,FALSE)+$E$2</f>
        <v>1.175267650885897</v>
      </c>
      <c r="O476" s="72">
        <f>VLOOKUP('Old Data'!$P472,$AD$6:$AF$135,2,FALSE)+VLOOKUP('Old Data'!$F472,$AD$6:$AF$135,3,FALSE)+$E$2</f>
        <v>0.80608860342255384</v>
      </c>
      <c r="P476" s="73">
        <f>('Old Data'!$N472-$N476)^2+('Old Data'!$X472-$O476)^2</f>
        <v>2.0310328877865782</v>
      </c>
      <c r="Q476" s="62"/>
      <c r="R476" s="3"/>
      <c r="S476" s="3"/>
      <c r="T476" s="3"/>
      <c r="V476" s="3"/>
      <c r="W476" s="3"/>
      <c r="X476" s="3"/>
      <c r="Z476" s="3"/>
      <c r="AA476" s="3"/>
      <c r="AB476" s="3"/>
      <c r="AC476" s="3"/>
      <c r="AD476" s="3"/>
      <c r="AE476" s="3"/>
      <c r="AF476" s="3"/>
      <c r="AG476" s="3"/>
      <c r="AH476" s="37"/>
      <c r="AI476" s="1"/>
      <c r="AK476" s="10"/>
      <c r="AL476" s="10"/>
      <c r="AM476" s="10"/>
      <c r="AN476" s="11"/>
      <c r="AO476" s="11"/>
      <c r="AP476" s="11"/>
      <c r="AQ476" s="36"/>
      <c r="AR476" s="11"/>
      <c r="AS476" s="11"/>
      <c r="AT476" s="11"/>
      <c r="AU476" s="12"/>
      <c r="AV476" s="11"/>
      <c r="AW476" s="11"/>
      <c r="AX476" s="15"/>
      <c r="AY476" s="15"/>
      <c r="AZ476" s="15"/>
      <c r="BA476" s="15"/>
      <c r="BB476" s="15"/>
      <c r="BC476" s="15"/>
      <c r="BD476" s="15"/>
      <c r="BE476" s="12"/>
      <c r="BF476" s="11"/>
      <c r="BG476" s="11"/>
      <c r="BH476" s="10"/>
      <c r="BI476" s="10"/>
      <c r="BJ476" s="10"/>
      <c r="BK476" s="23"/>
      <c r="BL476" s="23"/>
      <c r="BM476" s="23"/>
      <c r="BN476" s="23"/>
      <c r="BO476" s="23"/>
      <c r="BP476" s="23"/>
      <c r="BQ476" s="23"/>
      <c r="BR476" s="10"/>
      <c r="BS476" s="16"/>
      <c r="BT476" s="16"/>
      <c r="BU476" s="16"/>
      <c r="BV476" s="16"/>
      <c r="BW476" s="11"/>
      <c r="BX476" s="16"/>
      <c r="BY476" s="16"/>
      <c r="BZ476" s="17"/>
      <c r="CA476" s="18"/>
      <c r="CB476" s="18"/>
      <c r="CC476" s="18"/>
      <c r="CD476" s="18"/>
      <c r="CE476" s="18"/>
      <c r="CF476" s="18"/>
      <c r="CG476" s="19"/>
      <c r="CH476" s="15"/>
      <c r="CI476" s="17"/>
      <c r="CJ476" s="10"/>
      <c r="CK476" s="10"/>
      <c r="CL476" s="10"/>
      <c r="CM476" s="17"/>
      <c r="CN476" s="17"/>
      <c r="CO476" s="10"/>
      <c r="CP476" s="10"/>
      <c r="CQ476" s="10"/>
      <c r="CR476" s="10"/>
      <c r="CS476" s="10"/>
      <c r="CT476" s="10"/>
      <c r="CU476" s="10"/>
      <c r="CV476" s="10"/>
      <c r="CW476" s="10"/>
      <c r="CX476" s="10"/>
      <c r="CY476" s="10"/>
      <c r="CZ476" s="10"/>
      <c r="DA476" s="34"/>
      <c r="DB476" s="34"/>
      <c r="DC476" s="34"/>
      <c r="DD476" s="34"/>
      <c r="DE476" s="34"/>
      <c r="DF476" s="34"/>
      <c r="DG476" s="34"/>
      <c r="DH476" s="34"/>
      <c r="DI476" s="34"/>
      <c r="DJ476" s="34"/>
      <c r="DK476" s="34"/>
      <c r="DL476" s="34"/>
      <c r="DM476" s="34"/>
      <c r="DN476" s="34"/>
      <c r="DO476" s="34"/>
      <c r="DP476" s="34"/>
      <c r="DQ476" s="34"/>
      <c r="DR476" s="34"/>
      <c r="DS476" s="34"/>
      <c r="DT476" s="34"/>
      <c r="DU476" s="34"/>
      <c r="DV476" s="34"/>
      <c r="DW476" s="34"/>
      <c r="DX476" s="34"/>
      <c r="DY476" s="34"/>
      <c r="DZ476" s="34"/>
      <c r="EA476" s="34"/>
      <c r="EB476" s="34"/>
      <c r="EC476" s="34"/>
      <c r="ED476" s="34"/>
      <c r="EE476" s="34"/>
    </row>
    <row r="477" spans="1:135" customFormat="1">
      <c r="A477" s="71">
        <f>'Old Data'!$I473-'Old Data'!$S473</f>
        <v>-45</v>
      </c>
      <c r="B477" s="72">
        <f>VLOOKUP('Old Data'!$F473,$R$6:$T$135,2,FALSE)+VLOOKUP('Old Data'!$P473,$R$6:$T$135,3,FALSE)+$B$2</f>
        <v>116.9379387420926</v>
      </c>
      <c r="C477" s="72">
        <f>VLOOKUP('Old Data'!$P473,$R$6:$T$135,2,FALSE)+VLOOKUP('Old Data'!$F473,$R$6:$T$135,3,FALSE)+$B$2</f>
        <v>202.49885508136521</v>
      </c>
      <c r="D477" s="74">
        <f>('Old Data'!$I473-$B477)^2+('Old Data'!$S473-$C477)^2</f>
        <v>11544.46125978768</v>
      </c>
      <c r="E477" s="75">
        <f>'Old Data'!$K473-'Old Data'!$U473</f>
        <v>68</v>
      </c>
      <c r="F477" s="72">
        <f>VLOOKUP('Old Data'!$F473,$V$6:$X$135,2,FALSE)+VLOOKUP('Old Data'!$P473,$V$6:$X$135,3,FALSE)+$C$2</f>
        <v>295.83757611941832</v>
      </c>
      <c r="G477" s="72">
        <f>VLOOKUP('Old Data'!$P473,$V$6:$X$135,2,FALSE)+VLOOKUP('Old Data'!$F473,$V$6:$X$135,3,FALSE)+$C$2</f>
        <v>213.20301882219951</v>
      </c>
      <c r="H477" s="74">
        <f>('Old Data'!$K473-$F477)^2+('Old Data'!$U473-$G477)^2</f>
        <v>650.24632454404423</v>
      </c>
      <c r="I477" s="75">
        <f>('Old Data'!$L473+'Old Data'!$M473)-('Old Data'!$V473+'Old Data'!$W473)</f>
        <v>40</v>
      </c>
      <c r="J477" s="72">
        <f>VLOOKUP('Old Data'!$F473,$Z$6:$AB$135,2,FALSE)+VLOOKUP('Old Data'!$P473,$Z$6:$AB$135,3,FALSE)+$D$2</f>
        <v>58.669615690581864</v>
      </c>
      <c r="K477" s="72">
        <f>VLOOKUP('Old Data'!$P473,$Z$6:$AB$135,2,FALSE)+VLOOKUP('Old Data'!$F473,$Z$6:$AB$135,3,FALSE)+$D$2</f>
        <v>51.849758142755128</v>
      </c>
      <c r="L477" s="74">
        <f>('Old Data'!$L473+'Old Data'!$M473-$J477)^2+('Old Data'!$V473+'Old Data'!$W473-$K477)^2</f>
        <v>1727.5257451628083</v>
      </c>
      <c r="M477" s="75">
        <f>'Old Data'!$N473-'Old Data'!$X473</f>
        <v>0</v>
      </c>
      <c r="N477" s="72">
        <f>VLOOKUP('Old Data'!$F473,$AD$6:$AF$135,2,FALSE)+VLOOKUP('Old Data'!$P473,$AD$6:$AF$135,3,FALSE)+$E$2</f>
        <v>2.115608066385918</v>
      </c>
      <c r="O477" s="72">
        <f>VLOOKUP('Old Data'!$P473,$AD$6:$AF$135,2,FALSE)+VLOOKUP('Old Data'!$F473,$AD$6:$AF$135,3,FALSE)+$E$2</f>
        <v>1.189722004257856</v>
      </c>
      <c r="P477" s="73">
        <f>('Old Data'!$N473-$N477)^2+('Old Data'!$X473-$O477)^2</f>
        <v>5.8912359379724926</v>
      </c>
      <c r="Q477" s="62"/>
      <c r="R477" s="3"/>
      <c r="S477" s="3"/>
      <c r="T477" s="3"/>
      <c r="V477" s="3"/>
      <c r="W477" s="3"/>
      <c r="X477" s="3"/>
      <c r="Z477" s="3"/>
      <c r="AA477" s="3"/>
      <c r="AB477" s="3"/>
      <c r="AC477" s="3"/>
      <c r="AD477" s="3"/>
      <c r="AE477" s="3"/>
      <c r="AF477" s="3"/>
      <c r="AG477" s="3"/>
      <c r="AH477" s="37"/>
      <c r="AI477" s="1"/>
      <c r="AK477" s="10"/>
      <c r="AL477" s="10"/>
      <c r="AM477" s="10"/>
      <c r="AN477" s="11"/>
      <c r="AO477" s="11"/>
      <c r="AP477" s="11"/>
      <c r="AQ477" s="36"/>
      <c r="AR477" s="11"/>
      <c r="AS477" s="11"/>
      <c r="AT477" s="11"/>
      <c r="AU477" s="12"/>
      <c r="AV477" s="11"/>
      <c r="AW477" s="11"/>
      <c r="AX477" s="15"/>
      <c r="AY477" s="15"/>
      <c r="AZ477" s="15"/>
      <c r="BA477" s="15"/>
      <c r="BB477" s="15"/>
      <c r="BC477" s="15"/>
      <c r="BD477" s="15"/>
      <c r="BE477" s="12"/>
      <c r="BF477" s="11"/>
      <c r="BG477" s="11"/>
      <c r="BH477" s="10"/>
      <c r="BI477" s="10"/>
      <c r="BJ477" s="10"/>
      <c r="BK477" s="23"/>
      <c r="BL477" s="23"/>
      <c r="BM477" s="23"/>
      <c r="BN477" s="23"/>
      <c r="BO477" s="23"/>
      <c r="BP477" s="23"/>
      <c r="BQ477" s="23"/>
      <c r="BR477" s="10"/>
      <c r="BS477" s="16"/>
      <c r="BT477" s="16"/>
      <c r="BU477" s="16"/>
      <c r="BV477" s="16"/>
      <c r="BW477" s="11"/>
      <c r="BX477" s="16"/>
      <c r="BY477" s="16"/>
      <c r="BZ477" s="17"/>
      <c r="CA477" s="18"/>
      <c r="CB477" s="18"/>
      <c r="CC477" s="18"/>
      <c r="CD477" s="18"/>
      <c r="CE477" s="18"/>
      <c r="CF477" s="18"/>
      <c r="CG477" s="19"/>
      <c r="CH477" s="15"/>
      <c r="CI477" s="17"/>
      <c r="CJ477" s="10"/>
      <c r="CK477" s="10"/>
      <c r="CL477" s="10"/>
      <c r="CM477" s="17"/>
      <c r="CN477" s="17"/>
      <c r="CO477" s="10"/>
      <c r="CP477" s="10"/>
      <c r="CQ477" s="10"/>
      <c r="CR477" s="10"/>
      <c r="CS477" s="10"/>
      <c r="CT477" s="10"/>
      <c r="CU477" s="10"/>
      <c r="CV477" s="10"/>
      <c r="CW477" s="10"/>
      <c r="CX477" s="10"/>
      <c r="CY477" s="10"/>
      <c r="CZ477" s="10"/>
      <c r="DA477" s="34"/>
      <c r="DB477" s="34"/>
      <c r="DC477" s="34"/>
      <c r="DD477" s="34"/>
      <c r="DE477" s="34"/>
      <c r="DF477" s="34"/>
      <c r="DG477" s="34"/>
      <c r="DH477" s="34"/>
      <c r="DI477" s="34"/>
      <c r="DJ477" s="34"/>
      <c r="DK477" s="34"/>
      <c r="DL477" s="34"/>
      <c r="DM477" s="34"/>
      <c r="DN477" s="34"/>
      <c r="DO477" s="34"/>
      <c r="DP477" s="34"/>
      <c r="DQ477" s="34"/>
      <c r="DR477" s="34"/>
      <c r="DS477" s="34"/>
      <c r="DT477" s="34"/>
      <c r="DU477" s="34"/>
      <c r="DV477" s="34"/>
      <c r="DW477" s="34"/>
      <c r="DX477" s="34"/>
      <c r="DY477" s="34"/>
      <c r="DZ477" s="34"/>
      <c r="EA477" s="34"/>
      <c r="EB477" s="34"/>
      <c r="EC477" s="34"/>
      <c r="ED477" s="34"/>
      <c r="EE477" s="34"/>
    </row>
    <row r="478" spans="1:135" customFormat="1">
      <c r="A478" s="71">
        <f>'Old Data'!$I474-'Old Data'!$S474</f>
        <v>7</v>
      </c>
      <c r="B478" s="72">
        <f>VLOOKUP('Old Data'!$F474,$R$6:$T$135,2,FALSE)+VLOOKUP('Old Data'!$P474,$R$6:$T$135,3,FALSE)+$B$2</f>
        <v>149.73921247599429</v>
      </c>
      <c r="C478" s="72">
        <f>VLOOKUP('Old Data'!$P474,$R$6:$T$135,2,FALSE)+VLOOKUP('Old Data'!$F474,$R$6:$T$135,3,FALSE)+$B$2</f>
        <v>157.71187455591851</v>
      </c>
      <c r="D478" s="74">
        <f>('Old Data'!$I474-$B478)^2+('Old Data'!$S474-$C478)^2</f>
        <v>4958.3985737624353</v>
      </c>
      <c r="E478" s="75">
        <f>'Old Data'!$K474-'Old Data'!$U474</f>
        <v>202</v>
      </c>
      <c r="F478" s="72">
        <f>VLOOKUP('Old Data'!$F474,$V$6:$X$135,2,FALSE)+VLOOKUP('Old Data'!$P474,$V$6:$X$135,3,FALSE)+$C$2</f>
        <v>266.38802974705339</v>
      </c>
      <c r="G478" s="72">
        <f>VLOOKUP('Old Data'!$P474,$V$6:$X$135,2,FALSE)+VLOOKUP('Old Data'!$F474,$V$6:$X$135,3,FALSE)+$C$2</f>
        <v>176.40575954591441</v>
      </c>
      <c r="H478" s="74">
        <f>('Old Data'!$K474-$F478)^2+('Old Data'!$U474-$G478)^2</f>
        <v>6966.1369522333562</v>
      </c>
      <c r="I478" s="75">
        <f>('Old Data'!$L474+'Old Data'!$M474)-('Old Data'!$V474+'Old Data'!$W474)</f>
        <v>59</v>
      </c>
      <c r="J478" s="72">
        <f>VLOOKUP('Old Data'!$F474,$Z$6:$AB$135,2,FALSE)+VLOOKUP('Old Data'!$P474,$Z$6:$AB$135,3,FALSE)+$D$2</f>
        <v>26.930676447943767</v>
      </c>
      <c r="K478" s="72">
        <f>VLOOKUP('Old Data'!$P474,$Z$6:$AB$135,2,FALSE)+VLOOKUP('Old Data'!$F474,$Z$6:$AB$135,3,FALSE)+$D$2</f>
        <v>55.030346420035997</v>
      </c>
      <c r="L478" s="74">
        <f>('Old Data'!$L474+'Old Data'!$M474-$J478)^2+('Old Data'!$V474+'Old Data'!$W474-$K478)^2</f>
        <v>3937.0144029877583</v>
      </c>
      <c r="M478" s="75">
        <f>'Old Data'!$N474-'Old Data'!$X474</f>
        <v>-1</v>
      </c>
      <c r="N478" s="72">
        <f>VLOOKUP('Old Data'!$F474,$AD$6:$AF$135,2,FALSE)+VLOOKUP('Old Data'!$P474,$AD$6:$AF$135,3,FALSE)+$E$2</f>
        <v>2.3061701101061751</v>
      </c>
      <c r="O478" s="72">
        <f>VLOOKUP('Old Data'!$P474,$AD$6:$AF$135,2,FALSE)+VLOOKUP('Old Data'!$F474,$AD$6:$AF$135,3,FALSE)+$E$2</f>
        <v>1.2668376249445221</v>
      </c>
      <c r="P478" s="73">
        <f>('Old Data'!$N474-$N478)^2+('Old Data'!$X474-$O478)^2</f>
        <v>3.0975919546303725</v>
      </c>
      <c r="Q478" s="62"/>
      <c r="R478" s="3"/>
      <c r="S478" s="3"/>
      <c r="T478" s="3"/>
      <c r="V478" s="3"/>
      <c r="W478" s="3"/>
      <c r="X478" s="3"/>
      <c r="Z478" s="3"/>
      <c r="AA478" s="3"/>
      <c r="AB478" s="3"/>
      <c r="AC478" s="3"/>
      <c r="AD478" s="3"/>
      <c r="AE478" s="3"/>
      <c r="AF478" s="3"/>
      <c r="AG478" s="3"/>
      <c r="AH478" s="37"/>
      <c r="AI478" s="1"/>
      <c r="AK478" s="10"/>
      <c r="AL478" s="10"/>
      <c r="AM478" s="10"/>
      <c r="AN478" s="11"/>
      <c r="AO478" s="11"/>
      <c r="AP478" s="11"/>
      <c r="AQ478" s="36"/>
      <c r="AR478" s="11"/>
      <c r="AS478" s="11"/>
      <c r="AT478" s="11"/>
      <c r="AU478" s="12"/>
      <c r="AV478" s="11"/>
      <c r="AW478" s="11"/>
      <c r="AX478" s="15"/>
      <c r="AY478" s="15"/>
      <c r="AZ478" s="15"/>
      <c r="BA478" s="15"/>
      <c r="BB478" s="15"/>
      <c r="BC478" s="15"/>
      <c r="BD478" s="15"/>
      <c r="BE478" s="12"/>
      <c r="BF478" s="11"/>
      <c r="BG478" s="11"/>
      <c r="BH478" s="10"/>
      <c r="BI478" s="10"/>
      <c r="BJ478" s="10"/>
      <c r="BK478" s="23"/>
      <c r="BL478" s="23"/>
      <c r="BM478" s="23"/>
      <c r="BN478" s="23"/>
      <c r="BO478" s="23"/>
      <c r="BP478" s="23"/>
      <c r="BQ478" s="23"/>
      <c r="BR478" s="10"/>
      <c r="BS478" s="16"/>
      <c r="BT478" s="16"/>
      <c r="BU478" s="16"/>
      <c r="BV478" s="16"/>
      <c r="BW478" s="11"/>
      <c r="BX478" s="16"/>
      <c r="BY478" s="16"/>
      <c r="BZ478" s="17"/>
      <c r="CA478" s="18"/>
      <c r="CB478" s="18"/>
      <c r="CC478" s="18"/>
      <c r="CD478" s="18"/>
      <c r="CE478" s="18"/>
      <c r="CF478" s="18"/>
      <c r="CG478" s="19"/>
      <c r="CH478" s="15"/>
      <c r="CI478" s="17"/>
      <c r="CJ478" s="10"/>
      <c r="CK478" s="10"/>
      <c r="CL478" s="10"/>
      <c r="CM478" s="17"/>
      <c r="CN478" s="17"/>
      <c r="CO478" s="10"/>
      <c r="CP478" s="10"/>
      <c r="CQ478" s="10"/>
      <c r="CR478" s="10"/>
      <c r="CS478" s="10"/>
      <c r="CT478" s="10"/>
      <c r="CU478" s="10"/>
      <c r="CV478" s="10"/>
      <c r="CW478" s="10"/>
      <c r="CX478" s="10"/>
      <c r="CY478" s="10"/>
      <c r="CZ478" s="10"/>
      <c r="DA478" s="34"/>
      <c r="DB478" s="34"/>
      <c r="DC478" s="34"/>
      <c r="DD478" s="34"/>
      <c r="DE478" s="34"/>
      <c r="DF478" s="34"/>
      <c r="DG478" s="34"/>
      <c r="DH478" s="34"/>
      <c r="DI478" s="34"/>
      <c r="DJ478" s="34"/>
      <c r="DK478" s="34"/>
      <c r="DL478" s="34"/>
      <c r="DM478" s="34"/>
      <c r="DN478" s="34"/>
      <c r="DO478" s="34"/>
      <c r="DP478" s="34"/>
      <c r="DQ478" s="34"/>
      <c r="DR478" s="34"/>
      <c r="DS478" s="34"/>
      <c r="DT478" s="34"/>
      <c r="DU478" s="34"/>
      <c r="DV478" s="34"/>
      <c r="DW478" s="34"/>
      <c r="DX478" s="34"/>
      <c r="DY478" s="34"/>
      <c r="DZ478" s="34"/>
      <c r="EA478" s="34"/>
      <c r="EB478" s="34"/>
      <c r="EC478" s="34"/>
      <c r="ED478" s="34"/>
      <c r="EE478" s="34"/>
    </row>
    <row r="479" spans="1:135" customFormat="1">
      <c r="A479" s="71">
        <f>'Old Data'!$I475-'Old Data'!$S475</f>
        <v>-7</v>
      </c>
      <c r="B479" s="72">
        <f>VLOOKUP('Old Data'!$F475,$R$6:$T$135,2,FALSE)+VLOOKUP('Old Data'!$P475,$R$6:$T$135,3,FALSE)+$B$2</f>
        <v>195.99527602920199</v>
      </c>
      <c r="C479" s="72">
        <f>VLOOKUP('Old Data'!$P475,$R$6:$T$135,2,FALSE)+VLOOKUP('Old Data'!$F475,$R$6:$T$135,3,FALSE)+$B$2</f>
        <v>152.27059817470641</v>
      </c>
      <c r="D479" s="74">
        <f>('Old Data'!$I475-$B479)^2+('Old Data'!$S475-$C479)^2</f>
        <v>2222.4644070353902</v>
      </c>
      <c r="E479" s="75">
        <f>'Old Data'!$K475-'Old Data'!$U475</f>
        <v>213</v>
      </c>
      <c r="F479" s="72">
        <f>VLOOKUP('Old Data'!$F475,$V$6:$X$135,2,FALSE)+VLOOKUP('Old Data'!$P475,$V$6:$X$135,3,FALSE)+$C$2</f>
        <v>250.07086938761387</v>
      </c>
      <c r="G479" s="72">
        <f>VLOOKUP('Old Data'!$P475,$V$6:$X$135,2,FALSE)+VLOOKUP('Old Data'!$F475,$V$6:$X$135,3,FALSE)+$C$2</f>
        <v>170.28158715957193</v>
      </c>
      <c r="H479" s="74">
        <f>('Old Data'!$K475-$F479)^2+('Old Data'!$U475-$G479)^2</f>
        <v>9342.1836245061986</v>
      </c>
      <c r="I479" s="75">
        <f>('Old Data'!$L475+'Old Data'!$M475)-('Old Data'!$V475+'Old Data'!$W475)</f>
        <v>-106</v>
      </c>
      <c r="J479" s="72">
        <f>VLOOKUP('Old Data'!$F475,$Z$6:$AB$135,2,FALSE)+VLOOKUP('Old Data'!$P475,$Z$6:$AB$135,3,FALSE)+$D$2</f>
        <v>78.605993593234402</v>
      </c>
      <c r="K479" s="72">
        <f>VLOOKUP('Old Data'!$P475,$Z$6:$AB$135,2,FALSE)+VLOOKUP('Old Data'!$F475,$Z$6:$AB$135,3,FALSE)+$D$2</f>
        <v>86.833330631188772</v>
      </c>
      <c r="L479" s="74">
        <f>('Old Data'!$L475+'Old Data'!$M475-$J479)^2+('Old Data'!$V475+'Old Data'!$W475-$K479)^2</f>
        <v>37691.436988555208</v>
      </c>
      <c r="M479" s="75">
        <f>'Old Data'!$N475-'Old Data'!$X475</f>
        <v>0</v>
      </c>
      <c r="N479" s="72">
        <f>VLOOKUP('Old Data'!$F475,$AD$6:$AF$135,2,FALSE)+VLOOKUP('Old Data'!$P475,$AD$6:$AF$135,3,FALSE)+$E$2</f>
        <v>0.8005439479324401</v>
      </c>
      <c r="O479" s="72">
        <f>VLOOKUP('Old Data'!$P475,$AD$6:$AF$135,2,FALSE)+VLOOKUP('Old Data'!$F475,$AD$6:$AF$135,3,FALSE)+$E$2</f>
        <v>0.84714963173438007</v>
      </c>
      <c r="P479" s="73">
        <f>('Old Data'!$N475-$N479)^2+('Old Data'!$X475-$O479)^2</f>
        <v>6.3145951785312793E-2</v>
      </c>
      <c r="Q479" s="62"/>
      <c r="R479" s="3"/>
      <c r="S479" s="3"/>
      <c r="T479" s="3"/>
      <c r="V479" s="3"/>
      <c r="W479" s="3"/>
      <c r="X479" s="3"/>
      <c r="Z479" s="3"/>
      <c r="AA479" s="3"/>
      <c r="AB479" s="3"/>
      <c r="AC479" s="3"/>
      <c r="AD479" s="3"/>
      <c r="AE479" s="3"/>
      <c r="AF479" s="3"/>
      <c r="AG479" s="3"/>
      <c r="AH479" s="37"/>
      <c r="AI479" s="1"/>
      <c r="AK479" s="10"/>
      <c r="AL479" s="10"/>
      <c r="AM479" s="10"/>
      <c r="AN479" s="11"/>
      <c r="AO479" s="11"/>
      <c r="AP479" s="11"/>
      <c r="AQ479" s="36"/>
      <c r="AR479" s="11"/>
      <c r="AS479" s="11"/>
      <c r="AT479" s="11"/>
      <c r="AU479" s="12"/>
      <c r="AV479" s="11"/>
      <c r="AW479" s="11"/>
      <c r="AX479" s="15"/>
      <c r="AY479" s="15"/>
      <c r="AZ479" s="15"/>
      <c r="BA479" s="15"/>
      <c r="BB479" s="15"/>
      <c r="BC479" s="15"/>
      <c r="BD479" s="15"/>
      <c r="BE479" s="12"/>
      <c r="BF479" s="11"/>
      <c r="BG479" s="11"/>
      <c r="BH479" s="10"/>
      <c r="BI479" s="10"/>
      <c r="BJ479" s="10"/>
      <c r="BK479" s="23"/>
      <c r="BL479" s="23"/>
      <c r="BM479" s="23"/>
      <c r="BN479" s="23"/>
      <c r="BO479" s="23"/>
      <c r="BP479" s="23"/>
      <c r="BQ479" s="23"/>
      <c r="BR479" s="10"/>
      <c r="BS479" s="16"/>
      <c r="BT479" s="16"/>
      <c r="BU479" s="16"/>
      <c r="BV479" s="16"/>
      <c r="BW479" s="11"/>
      <c r="BX479" s="16"/>
      <c r="BY479" s="16"/>
      <c r="BZ479" s="17"/>
      <c r="CA479" s="18"/>
      <c r="CB479" s="18"/>
      <c r="CC479" s="18"/>
      <c r="CD479" s="18"/>
      <c r="CE479" s="18"/>
      <c r="CF479" s="18"/>
      <c r="CG479" s="19"/>
      <c r="CH479" s="15"/>
      <c r="CI479" s="17"/>
      <c r="CJ479" s="10"/>
      <c r="CK479" s="10"/>
      <c r="CL479" s="10"/>
      <c r="CM479" s="17"/>
      <c r="CN479" s="17"/>
      <c r="CO479" s="10"/>
      <c r="CP479" s="10"/>
      <c r="CQ479" s="10"/>
      <c r="CR479" s="10"/>
      <c r="CS479" s="10"/>
      <c r="CT479" s="10"/>
      <c r="CU479" s="10"/>
      <c r="CV479" s="10"/>
      <c r="CW479" s="10"/>
      <c r="CX479" s="10"/>
      <c r="CY479" s="10"/>
      <c r="CZ479" s="10"/>
      <c r="DA479" s="34"/>
      <c r="DB479" s="34"/>
      <c r="DC479" s="34"/>
      <c r="DD479" s="34"/>
      <c r="DE479" s="34"/>
      <c r="DF479" s="34"/>
      <c r="DG479" s="34"/>
      <c r="DH479" s="34"/>
      <c r="DI479" s="34"/>
      <c r="DJ479" s="34"/>
      <c r="DK479" s="34"/>
      <c r="DL479" s="34"/>
      <c r="DM479" s="34"/>
      <c r="DN479" s="34"/>
      <c r="DO479" s="34"/>
      <c r="DP479" s="34"/>
      <c r="DQ479" s="34"/>
      <c r="DR479" s="34"/>
      <c r="DS479" s="34"/>
      <c r="DT479" s="34"/>
      <c r="DU479" s="34"/>
      <c r="DV479" s="34"/>
      <c r="DW479" s="34"/>
      <c r="DX479" s="34"/>
      <c r="DY479" s="34"/>
      <c r="DZ479" s="34"/>
      <c r="EA479" s="34"/>
      <c r="EB479" s="34"/>
      <c r="EC479" s="34"/>
      <c r="ED479" s="34"/>
      <c r="EE479" s="34"/>
    </row>
    <row r="480" spans="1:135" customFormat="1">
      <c r="A480" s="71">
        <f>'Old Data'!$I476-'Old Data'!$S476</f>
        <v>148</v>
      </c>
      <c r="B480" s="72">
        <f>VLOOKUP('Old Data'!$F476,$R$6:$T$135,2,FALSE)+VLOOKUP('Old Data'!$P476,$R$6:$T$135,3,FALSE)+$B$2</f>
        <v>229.33889343072019</v>
      </c>
      <c r="C480" s="72">
        <f>VLOOKUP('Old Data'!$P476,$R$6:$T$135,2,FALSE)+VLOOKUP('Old Data'!$F476,$R$6:$T$135,3,FALSE)+$B$2</f>
        <v>205.38753227259821</v>
      </c>
      <c r="D480" s="74">
        <f>('Old Data'!$I476-$B480)^2+('Old Data'!$S476-$C480)^2</f>
        <v>8465.2392182798285</v>
      </c>
      <c r="E480" s="75">
        <f>'Old Data'!$K476-'Old Data'!$U476</f>
        <v>-129</v>
      </c>
      <c r="F480" s="72">
        <f>VLOOKUP('Old Data'!$F476,$V$6:$X$135,2,FALSE)+VLOOKUP('Old Data'!$P476,$V$6:$X$135,3,FALSE)+$C$2</f>
        <v>148.37643872198231</v>
      </c>
      <c r="G480" s="72">
        <f>VLOOKUP('Old Data'!$P476,$V$6:$X$135,2,FALSE)+VLOOKUP('Old Data'!$F476,$V$6:$X$135,3,FALSE)+$C$2</f>
        <v>188.80875455112522</v>
      </c>
      <c r="H480" s="74">
        <f>('Old Data'!$K476-$F480)^2+('Old Data'!$U476-$G480)^2</f>
        <v>9734.1336144729339</v>
      </c>
      <c r="I480" s="75">
        <f>('Old Data'!$L476+'Old Data'!$M476)-('Old Data'!$V476+'Old Data'!$W476)</f>
        <v>26</v>
      </c>
      <c r="J480" s="72">
        <f>VLOOKUP('Old Data'!$F476,$Z$6:$AB$135,2,FALSE)+VLOOKUP('Old Data'!$P476,$Z$6:$AB$135,3,FALSE)+$D$2</f>
        <v>46.45892617353077</v>
      </c>
      <c r="K480" s="72">
        <f>VLOOKUP('Old Data'!$P476,$Z$6:$AB$135,2,FALSE)+VLOOKUP('Old Data'!$F476,$Z$6:$AB$135,3,FALSE)+$D$2</f>
        <v>62.844032639748924</v>
      </c>
      <c r="L480" s="74">
        <f>('Old Data'!$L476+'Old Data'!$M476-$J480)^2+('Old Data'!$V476+'Old Data'!$W476-$K480)^2</f>
        <v>978.85605252495986</v>
      </c>
      <c r="M480" s="75">
        <f>'Old Data'!$N476-'Old Data'!$X476</f>
        <v>3</v>
      </c>
      <c r="N480" s="72">
        <f>VLOOKUP('Old Data'!$F476,$AD$6:$AF$135,2,FALSE)+VLOOKUP('Old Data'!$P476,$AD$6:$AF$135,3,FALSE)+$E$2</f>
        <v>1.8494549841874108</v>
      </c>
      <c r="O480" s="72">
        <f>VLOOKUP('Old Data'!$P476,$AD$6:$AF$135,2,FALSE)+VLOOKUP('Old Data'!$F476,$AD$6:$AF$135,3,FALSE)+$E$2</f>
        <v>1.8239457360546651</v>
      </c>
      <c r="P480" s="73">
        <f>('Old Data'!$N476-$N480)^2+('Old Data'!$X476-$O480)^2</f>
        <v>5.3037304409990327</v>
      </c>
      <c r="Q480" s="62"/>
      <c r="R480" s="3"/>
      <c r="S480" s="3"/>
      <c r="T480" s="3"/>
      <c r="V480" s="3"/>
      <c r="W480" s="3"/>
      <c r="X480" s="3"/>
      <c r="Z480" s="3"/>
      <c r="AA480" s="3"/>
      <c r="AB480" s="3"/>
      <c r="AC480" s="3"/>
      <c r="AD480" s="3"/>
      <c r="AE480" s="3"/>
      <c r="AF480" s="3"/>
      <c r="AG480" s="3"/>
      <c r="AH480" s="37"/>
      <c r="AI480" s="1"/>
      <c r="AK480" s="10"/>
      <c r="AL480" s="10"/>
      <c r="AM480" s="10"/>
      <c r="AN480" s="11"/>
      <c r="AO480" s="11"/>
      <c r="AP480" s="11"/>
      <c r="AQ480" s="36"/>
      <c r="AR480" s="11"/>
      <c r="AS480" s="11"/>
      <c r="AT480" s="11"/>
      <c r="AU480" s="12"/>
      <c r="AV480" s="11"/>
      <c r="AW480" s="11"/>
      <c r="AX480" s="15"/>
      <c r="AY480" s="15"/>
      <c r="AZ480" s="15"/>
      <c r="BA480" s="15"/>
      <c r="BB480" s="15"/>
      <c r="BC480" s="15"/>
      <c r="BD480" s="15"/>
      <c r="BE480" s="12"/>
      <c r="BF480" s="11"/>
      <c r="BG480" s="11"/>
      <c r="BH480" s="10"/>
      <c r="BI480" s="10"/>
      <c r="BJ480" s="10"/>
      <c r="BK480" s="23"/>
      <c r="BL480" s="23"/>
      <c r="BM480" s="23"/>
      <c r="BN480" s="23"/>
      <c r="BO480" s="23"/>
      <c r="BP480" s="23"/>
      <c r="BQ480" s="23"/>
      <c r="BR480" s="10"/>
      <c r="BS480" s="16"/>
      <c r="BT480" s="16"/>
      <c r="BU480" s="16"/>
      <c r="BV480" s="16"/>
      <c r="BW480" s="11"/>
      <c r="BX480" s="16"/>
      <c r="BY480" s="16"/>
      <c r="BZ480" s="17"/>
      <c r="CA480" s="18"/>
      <c r="CB480" s="18"/>
      <c r="CC480" s="18"/>
      <c r="CD480" s="18"/>
      <c r="CE480" s="18"/>
      <c r="CF480" s="18"/>
      <c r="CG480" s="19"/>
      <c r="CH480" s="15"/>
      <c r="CI480" s="17"/>
      <c r="CJ480" s="10"/>
      <c r="CK480" s="10"/>
      <c r="CL480" s="10"/>
      <c r="CM480" s="17"/>
      <c r="CN480" s="17"/>
      <c r="CO480" s="10"/>
      <c r="CP480" s="10"/>
      <c r="CQ480" s="10"/>
      <c r="CR480" s="10"/>
      <c r="CS480" s="10"/>
      <c r="CT480" s="10"/>
      <c r="CU480" s="10"/>
      <c r="CV480" s="10"/>
      <c r="CW480" s="10"/>
      <c r="CX480" s="10"/>
      <c r="CY480" s="10"/>
      <c r="CZ480" s="10"/>
      <c r="DA480" s="34"/>
      <c r="DB480" s="34"/>
      <c r="DC480" s="34"/>
      <c r="DD480" s="34"/>
      <c r="DE480" s="34"/>
      <c r="DF480" s="34"/>
      <c r="DG480" s="34"/>
      <c r="DH480" s="34"/>
      <c r="DI480" s="34"/>
      <c r="DJ480" s="34"/>
      <c r="DK480" s="34"/>
      <c r="DL480" s="34"/>
      <c r="DM480" s="34"/>
      <c r="DN480" s="34"/>
      <c r="DO480" s="34"/>
      <c r="DP480" s="34"/>
      <c r="DQ480" s="34"/>
      <c r="DR480" s="34"/>
      <c r="DS480" s="34"/>
      <c r="DT480" s="34"/>
      <c r="DU480" s="34"/>
      <c r="DV480" s="34"/>
      <c r="DW480" s="34"/>
      <c r="DX480" s="34"/>
      <c r="DY480" s="34"/>
      <c r="DZ480" s="34"/>
      <c r="EA480" s="34"/>
      <c r="EB480" s="34"/>
      <c r="EC480" s="34"/>
      <c r="ED480" s="34"/>
      <c r="EE480" s="34"/>
    </row>
    <row r="481" spans="1:135" customFormat="1">
      <c r="A481" s="71">
        <f>'Old Data'!$I477-'Old Data'!$S477</f>
        <v>18</v>
      </c>
      <c r="B481" s="72">
        <f>VLOOKUP('Old Data'!$F477,$R$6:$T$135,2,FALSE)+VLOOKUP('Old Data'!$P477,$R$6:$T$135,3,FALSE)+$B$2</f>
        <v>120.27420217138049</v>
      </c>
      <c r="C481" s="72">
        <f>VLOOKUP('Old Data'!$P477,$R$6:$T$135,2,FALSE)+VLOOKUP('Old Data'!$F477,$R$6:$T$135,3,FALSE)+$B$2</f>
        <v>235.60687625957053</v>
      </c>
      <c r="D481" s="74">
        <f>('Old Data'!$I477-$B481)^2+('Old Data'!$S477-$C481)^2</f>
        <v>12241.056492261527</v>
      </c>
      <c r="E481" s="75">
        <f>'Old Data'!$K477-'Old Data'!$U477</f>
        <v>57</v>
      </c>
      <c r="F481" s="72">
        <f>VLOOKUP('Old Data'!$F477,$V$6:$X$135,2,FALSE)+VLOOKUP('Old Data'!$P477,$V$6:$X$135,3,FALSE)+$C$2</f>
        <v>298.63557327221469</v>
      </c>
      <c r="G481" s="72">
        <f>VLOOKUP('Old Data'!$P477,$V$6:$X$135,2,FALSE)+VLOOKUP('Old Data'!$F477,$V$6:$X$135,3,FALSE)+$C$2</f>
        <v>252.63341689131781</v>
      </c>
      <c r="H481" s="74">
        <f>('Old Data'!$K477-$F481)^2+('Old Data'!$U477-$G481)^2</f>
        <v>60.512459989162245</v>
      </c>
      <c r="I481" s="75">
        <f>('Old Data'!$L477+'Old Data'!$M477)-('Old Data'!$V477+'Old Data'!$W477)</f>
        <v>-28</v>
      </c>
      <c r="J481" s="72">
        <f>VLOOKUP('Old Data'!$F477,$Z$6:$AB$135,2,FALSE)+VLOOKUP('Old Data'!$P477,$Z$6:$AB$135,3,FALSE)+$D$2</f>
        <v>83.891249222473277</v>
      </c>
      <c r="K481" s="72">
        <f>VLOOKUP('Old Data'!$P477,$Z$6:$AB$135,2,FALSE)+VLOOKUP('Old Data'!$F477,$Z$6:$AB$135,3,FALSE)+$D$2</f>
        <v>24.26703969059173</v>
      </c>
      <c r="L481" s="74">
        <f>('Old Data'!$L477+'Old Data'!$M477-$J481)^2+('Old Data'!$V477+'Old Data'!$W477-$K481)^2</f>
        <v>7026.3504626883396</v>
      </c>
      <c r="M481" s="75">
        <f>'Old Data'!$N477-'Old Data'!$X477</f>
        <v>-1</v>
      </c>
      <c r="N481" s="72">
        <f>VLOOKUP('Old Data'!$F477,$AD$6:$AF$135,2,FALSE)+VLOOKUP('Old Data'!$P477,$AD$6:$AF$135,3,FALSE)+$E$2</f>
        <v>1.552418233528573</v>
      </c>
      <c r="O481" s="72">
        <f>VLOOKUP('Old Data'!$P477,$AD$6:$AF$135,2,FALSE)+VLOOKUP('Old Data'!$F477,$AD$6:$AF$135,3,FALSE)+$E$2</f>
        <v>2.015059430298741</v>
      </c>
      <c r="P481" s="73">
        <f>('Old Data'!$N477-$N481)^2+('Old Data'!$X477-$O481)^2</f>
        <v>0.30539269117575168</v>
      </c>
      <c r="Q481" s="62"/>
      <c r="R481" s="3"/>
      <c r="S481" s="3"/>
      <c r="T481" s="3"/>
      <c r="V481" s="3"/>
      <c r="W481" s="3"/>
      <c r="X481" s="3"/>
      <c r="Z481" s="3"/>
      <c r="AA481" s="3"/>
      <c r="AB481" s="3"/>
      <c r="AC481" s="3"/>
      <c r="AD481" s="3"/>
      <c r="AE481" s="3"/>
      <c r="AF481" s="3"/>
      <c r="AG481" s="3"/>
      <c r="AH481" s="37"/>
      <c r="AI481" s="1"/>
      <c r="AK481" s="10"/>
      <c r="AL481" s="10"/>
      <c r="AM481" s="10"/>
      <c r="AN481" s="11"/>
      <c r="AO481" s="11"/>
      <c r="AP481" s="11"/>
      <c r="AQ481" s="36"/>
      <c r="AR481" s="11"/>
      <c r="AS481" s="11"/>
      <c r="AT481" s="11"/>
      <c r="AU481" s="12"/>
      <c r="AV481" s="11"/>
      <c r="AW481" s="11"/>
      <c r="AX481" s="15"/>
      <c r="AY481" s="15"/>
      <c r="AZ481" s="15"/>
      <c r="BA481" s="15"/>
      <c r="BB481" s="15"/>
      <c r="BC481" s="15"/>
      <c r="BD481" s="15"/>
      <c r="BE481" s="12"/>
      <c r="BF481" s="11"/>
      <c r="BG481" s="11"/>
      <c r="BH481" s="10"/>
      <c r="BI481" s="10"/>
      <c r="BJ481" s="10"/>
      <c r="BK481" s="23"/>
      <c r="BL481" s="23"/>
      <c r="BM481" s="23"/>
      <c r="BN481" s="23"/>
      <c r="BO481" s="23"/>
      <c r="BP481" s="23"/>
      <c r="BQ481" s="23"/>
      <c r="BR481" s="10"/>
      <c r="BS481" s="16"/>
      <c r="BT481" s="16"/>
      <c r="BU481" s="16"/>
      <c r="BV481" s="16"/>
      <c r="BW481" s="11"/>
      <c r="BX481" s="16"/>
      <c r="BY481" s="16"/>
      <c r="BZ481" s="17"/>
      <c r="CA481" s="18"/>
      <c r="CB481" s="18"/>
      <c r="CC481" s="18"/>
      <c r="CD481" s="18"/>
      <c r="CE481" s="18"/>
      <c r="CF481" s="18"/>
      <c r="CG481" s="19"/>
      <c r="CH481" s="15"/>
      <c r="CI481" s="17"/>
      <c r="CJ481" s="10"/>
      <c r="CK481" s="10"/>
      <c r="CL481" s="10"/>
      <c r="CM481" s="17"/>
      <c r="CN481" s="17"/>
      <c r="CO481" s="10"/>
      <c r="CP481" s="10"/>
      <c r="CQ481" s="10"/>
      <c r="CR481" s="10"/>
      <c r="CS481" s="10"/>
      <c r="CT481" s="10"/>
      <c r="CU481" s="10"/>
      <c r="CV481" s="10"/>
      <c r="CW481" s="10"/>
      <c r="CX481" s="10"/>
      <c r="CY481" s="10"/>
      <c r="CZ481" s="10"/>
      <c r="DA481" s="34"/>
      <c r="DB481" s="34"/>
      <c r="DC481" s="34"/>
      <c r="DD481" s="34"/>
      <c r="DE481" s="34"/>
      <c r="DF481" s="34"/>
      <c r="DG481" s="34"/>
      <c r="DH481" s="34"/>
      <c r="DI481" s="34"/>
      <c r="DJ481" s="34"/>
      <c r="DK481" s="34"/>
      <c r="DL481" s="34"/>
      <c r="DM481" s="34"/>
      <c r="DN481" s="34"/>
      <c r="DO481" s="34"/>
      <c r="DP481" s="34"/>
      <c r="DQ481" s="34"/>
      <c r="DR481" s="34"/>
      <c r="DS481" s="34"/>
      <c r="DT481" s="34"/>
      <c r="DU481" s="34"/>
      <c r="DV481" s="34"/>
      <c r="DW481" s="34"/>
      <c r="DX481" s="34"/>
      <c r="DY481" s="34"/>
      <c r="DZ481" s="34"/>
      <c r="EA481" s="34"/>
      <c r="EB481" s="34"/>
      <c r="EC481" s="34"/>
      <c r="ED481" s="34"/>
      <c r="EE481" s="34"/>
    </row>
    <row r="482" spans="1:135" customFormat="1">
      <c r="A482" s="71">
        <f>'Old Data'!$I478-'Old Data'!$S478</f>
        <v>6</v>
      </c>
      <c r="B482" s="72">
        <f>VLOOKUP('Old Data'!$F478,$R$6:$T$135,2,FALSE)+VLOOKUP('Old Data'!$P478,$R$6:$T$135,3,FALSE)+$B$2</f>
        <v>117.70870542050838</v>
      </c>
      <c r="C482" s="72">
        <f>VLOOKUP('Old Data'!$P478,$R$6:$T$135,2,FALSE)+VLOOKUP('Old Data'!$F478,$R$6:$T$135,3,FALSE)+$B$2</f>
        <v>170.5068309030581</v>
      </c>
      <c r="D482" s="74">
        <f>('Old Data'!$I478-$B482)^2+('Old Data'!$S478-$C482)^2</f>
        <v>2458.8233883797461</v>
      </c>
      <c r="E482" s="75">
        <f>'Old Data'!$K478-'Old Data'!$U478</f>
        <v>-166</v>
      </c>
      <c r="F482" s="72">
        <f>VLOOKUP('Old Data'!$F478,$V$6:$X$135,2,FALSE)+VLOOKUP('Old Data'!$P478,$V$6:$X$135,3,FALSE)+$C$2</f>
        <v>160.69274020622936</v>
      </c>
      <c r="G482" s="72">
        <f>VLOOKUP('Old Data'!$P478,$V$6:$X$135,2,FALSE)+VLOOKUP('Old Data'!$F478,$V$6:$X$135,3,FALSE)+$C$2</f>
        <v>210.3686716191572</v>
      </c>
      <c r="H482" s="74">
        <f>('Old Data'!$K478-$F482)^2+('Old Data'!$U478-$G482)^2</f>
        <v>6766.0849402056956</v>
      </c>
      <c r="I482" s="75">
        <f>('Old Data'!$L478+'Old Data'!$M478)-('Old Data'!$V478+'Old Data'!$W478)</f>
        <v>3</v>
      </c>
      <c r="J482" s="72">
        <f>VLOOKUP('Old Data'!$F478,$Z$6:$AB$135,2,FALSE)+VLOOKUP('Old Data'!$P478,$Z$6:$AB$135,3,FALSE)+$D$2</f>
        <v>67.116780145728896</v>
      </c>
      <c r="K482" s="72">
        <f>VLOOKUP('Old Data'!$P478,$Z$6:$AB$135,2,FALSE)+VLOOKUP('Old Data'!$F478,$Z$6:$AB$135,3,FALSE)+$D$2</f>
        <v>37.895595586034901</v>
      </c>
      <c r="L482" s="74">
        <f>('Old Data'!$L478+'Old Data'!$M478-$J482)^2+('Old Data'!$V478+'Old Data'!$W478-$K482)^2</f>
        <v>2794.6416376596017</v>
      </c>
      <c r="M482" s="75">
        <f>'Old Data'!$N478-'Old Data'!$X478</f>
        <v>0</v>
      </c>
      <c r="N482" s="72">
        <f>VLOOKUP('Old Data'!$F478,$AD$6:$AF$135,2,FALSE)+VLOOKUP('Old Data'!$P478,$AD$6:$AF$135,3,FALSE)+$E$2</f>
        <v>0.25163562451759613</v>
      </c>
      <c r="O482" s="72">
        <f>VLOOKUP('Old Data'!$P478,$AD$6:$AF$135,2,FALSE)+VLOOKUP('Old Data'!$F478,$AD$6:$AF$135,3,FALSE)+$E$2</f>
        <v>1.8189312263381601</v>
      </c>
      <c r="P482" s="73">
        <f>('Old Data'!$N478-$N482)^2+('Old Data'!$X478-$O482)^2</f>
        <v>3.3718312936744037</v>
      </c>
      <c r="Q482" s="62"/>
      <c r="R482" s="3"/>
      <c r="S482" s="3"/>
      <c r="T482" s="3"/>
      <c r="V482" s="3"/>
      <c r="W482" s="3"/>
      <c r="X482" s="3"/>
      <c r="Z482" s="3"/>
      <c r="AA482" s="3"/>
      <c r="AB482" s="3"/>
      <c r="AC482" s="3"/>
      <c r="AD482" s="3"/>
      <c r="AE482" s="3"/>
      <c r="AF482" s="3"/>
      <c r="AG482" s="3"/>
      <c r="AH482" s="37"/>
      <c r="AI482" s="1"/>
      <c r="AK482" s="10"/>
      <c r="AL482" s="10"/>
      <c r="AM482" s="10"/>
      <c r="AN482" s="11"/>
      <c r="AO482" s="11"/>
      <c r="AP482" s="11"/>
      <c r="AQ482" s="36"/>
      <c r="AR482" s="11"/>
      <c r="AS482" s="11"/>
      <c r="AT482" s="11"/>
      <c r="AU482" s="12"/>
      <c r="AV482" s="11"/>
      <c r="AW482" s="11"/>
      <c r="AX482" s="15"/>
      <c r="AY482" s="15"/>
      <c r="AZ482" s="15"/>
      <c r="BA482" s="15"/>
      <c r="BB482" s="15"/>
      <c r="BC482" s="15"/>
      <c r="BD482" s="15"/>
      <c r="BE482" s="12"/>
      <c r="BF482" s="11"/>
      <c r="BG482" s="11"/>
      <c r="BH482" s="10"/>
      <c r="BI482" s="10"/>
      <c r="BJ482" s="10"/>
      <c r="BK482" s="23"/>
      <c r="BL482" s="23"/>
      <c r="BM482" s="23"/>
      <c r="BN482" s="23"/>
      <c r="BO482" s="23"/>
      <c r="BP482" s="23"/>
      <c r="BQ482" s="23"/>
      <c r="BR482" s="10"/>
      <c r="BS482" s="16"/>
      <c r="BT482" s="16"/>
      <c r="BU482" s="16"/>
      <c r="BV482" s="16"/>
      <c r="BW482" s="11"/>
      <c r="BX482" s="16"/>
      <c r="BY482" s="16"/>
      <c r="BZ482" s="17"/>
      <c r="CA482" s="18"/>
      <c r="CB482" s="18"/>
      <c r="CC482" s="18"/>
      <c r="CD482" s="18"/>
      <c r="CE482" s="18"/>
      <c r="CF482" s="18"/>
      <c r="CG482" s="19"/>
      <c r="CH482" s="15"/>
      <c r="CI482" s="17"/>
      <c r="CJ482" s="10"/>
      <c r="CK482" s="10"/>
      <c r="CL482" s="10"/>
      <c r="CM482" s="17"/>
      <c r="CN482" s="17"/>
      <c r="CO482" s="10"/>
      <c r="CP482" s="10"/>
      <c r="CQ482" s="10"/>
      <c r="CR482" s="10"/>
      <c r="CS482" s="10"/>
      <c r="CT482" s="10"/>
      <c r="CU482" s="10"/>
      <c r="CV482" s="10"/>
      <c r="CW482" s="10"/>
      <c r="CX482" s="10"/>
      <c r="CY482" s="10"/>
      <c r="CZ482" s="10"/>
      <c r="DA482" s="34"/>
      <c r="DB482" s="34"/>
      <c r="DC482" s="34"/>
      <c r="DD482" s="34"/>
      <c r="DE482" s="34"/>
      <c r="DF482" s="34"/>
      <c r="DG482" s="34"/>
      <c r="DH482" s="34"/>
      <c r="DI482" s="34"/>
      <c r="DJ482" s="34"/>
      <c r="DK482" s="34"/>
      <c r="DL482" s="34"/>
      <c r="DM482" s="34"/>
      <c r="DN482" s="34"/>
      <c r="DO482" s="34"/>
      <c r="DP482" s="34"/>
      <c r="DQ482" s="34"/>
      <c r="DR482" s="34"/>
      <c r="DS482" s="34"/>
      <c r="DT482" s="34"/>
      <c r="DU482" s="34"/>
      <c r="DV482" s="34"/>
      <c r="DW482" s="34"/>
      <c r="DX482" s="34"/>
      <c r="DY482" s="34"/>
      <c r="DZ482" s="34"/>
      <c r="EA482" s="34"/>
      <c r="EB482" s="34"/>
      <c r="EC482" s="34"/>
      <c r="ED482" s="34"/>
      <c r="EE482" s="34"/>
    </row>
    <row r="483" spans="1:135" customFormat="1">
      <c r="A483" s="71">
        <f>'Old Data'!$I479-'Old Data'!$S479</f>
        <v>92</v>
      </c>
      <c r="B483" s="72">
        <f>VLOOKUP('Old Data'!$F479,$R$6:$T$135,2,FALSE)+VLOOKUP('Old Data'!$P479,$R$6:$T$135,3,FALSE)+$B$2</f>
        <v>200.51587440845159</v>
      </c>
      <c r="C483" s="72">
        <f>VLOOKUP('Old Data'!$P479,$R$6:$T$135,2,FALSE)+VLOOKUP('Old Data'!$F479,$R$6:$T$135,3,FALSE)+$B$2</f>
        <v>119.2843834711104</v>
      </c>
      <c r="D483" s="74">
        <f>('Old Data'!$I479-$B483)^2+('Old Data'!$S479-$C483)^2</f>
        <v>59.600857932744965</v>
      </c>
      <c r="E483" s="75">
        <f>'Old Data'!$K479-'Old Data'!$U479</f>
        <v>159</v>
      </c>
      <c r="F483" s="72">
        <f>VLOOKUP('Old Data'!$F479,$V$6:$X$135,2,FALSE)+VLOOKUP('Old Data'!$P479,$V$6:$X$135,3,FALSE)+$C$2</f>
        <v>245.01842836269142</v>
      </c>
      <c r="G483" s="72">
        <f>VLOOKUP('Old Data'!$P479,$V$6:$X$135,2,FALSE)+VLOOKUP('Old Data'!$F479,$V$6:$X$135,3,FALSE)+$C$2</f>
        <v>175.49309871714001</v>
      </c>
      <c r="H483" s="74">
        <f>('Old Data'!$K479-$F483)^2+('Old Data'!$U479-$G483)^2</f>
        <v>9999.2455991969491</v>
      </c>
      <c r="I483" s="75">
        <f>('Old Data'!$L479+'Old Data'!$M479)-('Old Data'!$V479+'Old Data'!$W479)</f>
        <v>23</v>
      </c>
      <c r="J483" s="72">
        <f>VLOOKUP('Old Data'!$F479,$Z$6:$AB$135,2,FALSE)+VLOOKUP('Old Data'!$P479,$Z$6:$AB$135,3,FALSE)+$D$2</f>
        <v>59.245634379775609</v>
      </c>
      <c r="K483" s="72">
        <f>VLOOKUP('Old Data'!$P479,$Z$6:$AB$135,2,FALSE)+VLOOKUP('Old Data'!$F479,$Z$6:$AB$135,3,FALSE)+$D$2</f>
        <v>66.020806186272893</v>
      </c>
      <c r="L483" s="74">
        <f>('Old Data'!$L479+'Old Data'!$M479-$J483)^2+('Old Data'!$V479+'Old Data'!$W479-$K483)^2</f>
        <v>473.18439881244547</v>
      </c>
      <c r="M483" s="75">
        <f>'Old Data'!$N479-'Old Data'!$X479</f>
        <v>1</v>
      </c>
      <c r="N483" s="72">
        <f>VLOOKUP('Old Data'!$F479,$AD$6:$AF$135,2,FALSE)+VLOOKUP('Old Data'!$P479,$AD$6:$AF$135,3,FALSE)+$E$2</f>
        <v>1.3239186069004731</v>
      </c>
      <c r="O483" s="72">
        <f>VLOOKUP('Old Data'!$P479,$AD$6:$AF$135,2,FALSE)+VLOOKUP('Old Data'!$F479,$AD$6:$AF$135,3,FALSE)+$E$2</f>
        <v>0.66824558404871015</v>
      </c>
      <c r="P483" s="73">
        <f>('Old Data'!$N479-$N483)^2+('Old Data'!$X479-$O483)^2</f>
        <v>0.5671470425985784</v>
      </c>
      <c r="Q483" s="62"/>
      <c r="R483" s="3"/>
      <c r="S483" s="3"/>
      <c r="T483" s="3"/>
      <c r="V483" s="3"/>
      <c r="W483" s="3"/>
      <c r="X483" s="3"/>
      <c r="Z483" s="3"/>
      <c r="AA483" s="3"/>
      <c r="AB483" s="3"/>
      <c r="AC483" s="3"/>
      <c r="AD483" s="3"/>
      <c r="AE483" s="3"/>
      <c r="AF483" s="3"/>
      <c r="AG483" s="3"/>
      <c r="AH483" s="37"/>
      <c r="AI483" s="1"/>
      <c r="AK483" s="10"/>
      <c r="AL483" s="10"/>
      <c r="AM483" s="10"/>
      <c r="AN483" s="11"/>
      <c r="AO483" s="11"/>
      <c r="AP483" s="11"/>
      <c r="AQ483" s="36"/>
      <c r="AR483" s="11"/>
      <c r="AS483" s="11"/>
      <c r="AT483" s="11"/>
      <c r="AU483" s="12"/>
      <c r="AV483" s="11"/>
      <c r="AW483" s="11"/>
      <c r="AX483" s="15"/>
      <c r="AY483" s="15"/>
      <c r="AZ483" s="15"/>
      <c r="BA483" s="15"/>
      <c r="BB483" s="15"/>
      <c r="BC483" s="15"/>
      <c r="BD483" s="15"/>
      <c r="BE483" s="12"/>
      <c r="BF483" s="11"/>
      <c r="BG483" s="11"/>
      <c r="BH483" s="10"/>
      <c r="BI483" s="10"/>
      <c r="BJ483" s="10"/>
      <c r="BK483" s="23"/>
      <c r="BL483" s="23"/>
      <c r="BM483" s="23"/>
      <c r="BN483" s="23"/>
      <c r="BO483" s="23"/>
      <c r="BP483" s="23"/>
      <c r="BQ483" s="23"/>
      <c r="BR483" s="10"/>
      <c r="BS483" s="16"/>
      <c r="BT483" s="16"/>
      <c r="BU483" s="16"/>
      <c r="BV483" s="16"/>
      <c r="BW483" s="11"/>
      <c r="BX483" s="16"/>
      <c r="BY483" s="16"/>
      <c r="BZ483" s="17"/>
      <c r="CA483" s="18"/>
      <c r="CB483" s="18"/>
      <c r="CC483" s="18"/>
      <c r="CD483" s="18"/>
      <c r="CE483" s="18"/>
      <c r="CF483" s="18"/>
      <c r="CG483" s="19"/>
      <c r="CH483" s="15"/>
      <c r="CI483" s="17"/>
      <c r="CJ483" s="10"/>
      <c r="CK483" s="10"/>
      <c r="CL483" s="10"/>
      <c r="CM483" s="17"/>
      <c r="CN483" s="17"/>
      <c r="CO483" s="10"/>
      <c r="CP483" s="10"/>
      <c r="CQ483" s="10"/>
      <c r="CR483" s="10"/>
      <c r="CS483" s="10"/>
      <c r="CT483" s="10"/>
      <c r="CU483" s="10"/>
      <c r="CV483" s="10"/>
      <c r="CW483" s="10"/>
      <c r="CX483" s="10"/>
      <c r="CY483" s="10"/>
      <c r="CZ483" s="10"/>
      <c r="DA483" s="34"/>
      <c r="DB483" s="34"/>
      <c r="DC483" s="34"/>
      <c r="DD483" s="34"/>
      <c r="DE483" s="34"/>
      <c r="DF483" s="34"/>
      <c r="DG483" s="34"/>
      <c r="DH483" s="34"/>
      <c r="DI483" s="34"/>
      <c r="DJ483" s="34"/>
      <c r="DK483" s="34"/>
      <c r="DL483" s="34"/>
      <c r="DM483" s="34"/>
      <c r="DN483" s="34"/>
      <c r="DO483" s="34"/>
      <c r="DP483" s="34"/>
      <c r="DQ483" s="34"/>
      <c r="DR483" s="34"/>
      <c r="DS483" s="34"/>
      <c r="DT483" s="34"/>
      <c r="DU483" s="34"/>
      <c r="DV483" s="34"/>
      <c r="DW483" s="34"/>
      <c r="DX483" s="34"/>
      <c r="DY483" s="34"/>
      <c r="DZ483" s="34"/>
      <c r="EA483" s="34"/>
      <c r="EB483" s="34"/>
      <c r="EC483" s="34"/>
      <c r="ED483" s="34"/>
      <c r="EE483" s="34"/>
    </row>
    <row r="484" spans="1:135" customFormat="1">
      <c r="A484" s="71">
        <f>'Old Data'!$I480-'Old Data'!$S480</f>
        <v>-194</v>
      </c>
      <c r="B484" s="72">
        <f>VLOOKUP('Old Data'!$F480,$R$6:$T$135,2,FALSE)+VLOOKUP('Old Data'!$P480,$R$6:$T$135,3,FALSE)+$B$2</f>
        <v>38.079538060983793</v>
      </c>
      <c r="C484" s="72">
        <f>VLOOKUP('Old Data'!$P480,$R$6:$T$135,2,FALSE)+VLOOKUP('Old Data'!$F480,$R$6:$T$135,3,FALSE)+$B$2</f>
        <v>228.46747298462302</v>
      </c>
      <c r="D484" s="74">
        <f>('Old Data'!$I480-$B484)^2+('Old Data'!$S480-$C484)^2</f>
        <v>1039.5106095020274</v>
      </c>
      <c r="E484" s="75">
        <f>'Old Data'!$K480-'Old Data'!$U480</f>
        <v>225</v>
      </c>
      <c r="F484" s="72">
        <f>VLOOKUP('Old Data'!$F480,$V$6:$X$135,2,FALSE)+VLOOKUP('Old Data'!$P480,$V$6:$X$135,3,FALSE)+$C$2</f>
        <v>339.01996803989471</v>
      </c>
      <c r="G484" s="72">
        <f>VLOOKUP('Old Data'!$P480,$V$6:$X$135,2,FALSE)+VLOOKUP('Old Data'!$F480,$V$6:$X$135,3,FALSE)+$C$2</f>
        <v>251.67784251593426</v>
      </c>
      <c r="H484" s="74">
        <f>('Old Data'!$K480-$F484)^2+('Old Data'!$U480-$G484)^2</f>
        <v>11293.022228510878</v>
      </c>
      <c r="I484" s="75">
        <f>('Old Data'!$L480+'Old Data'!$M480)-('Old Data'!$V480+'Old Data'!$W480)</f>
        <v>-58</v>
      </c>
      <c r="J484" s="72">
        <f>VLOOKUP('Old Data'!$F480,$Z$6:$AB$135,2,FALSE)+VLOOKUP('Old Data'!$P480,$Z$6:$AB$135,3,FALSE)+$D$2</f>
        <v>37.091841548289068</v>
      </c>
      <c r="K484" s="72">
        <f>VLOOKUP('Old Data'!$P480,$Z$6:$AB$135,2,FALSE)+VLOOKUP('Old Data'!$F480,$Z$6:$AB$135,3,FALSE)+$D$2</f>
        <v>86.898005326263785</v>
      </c>
      <c r="L484" s="74">
        <f>('Old Data'!$L480+'Old Data'!$M480-$J484)^2+('Old Data'!$V480+'Old Data'!$W480-$K484)^2</f>
        <v>5034.5848401043804</v>
      </c>
      <c r="M484" s="75">
        <f>'Old Data'!$N480-'Old Data'!$X480</f>
        <v>0</v>
      </c>
      <c r="N484" s="72">
        <f>VLOOKUP('Old Data'!$F480,$AD$6:$AF$135,2,FALSE)+VLOOKUP('Old Data'!$P480,$AD$6:$AF$135,3,FALSE)+$E$2</f>
        <v>1.4066014007262941</v>
      </c>
      <c r="O484" s="72">
        <f>VLOOKUP('Old Data'!$P480,$AD$6:$AF$135,2,FALSE)+VLOOKUP('Old Data'!$F480,$AD$6:$AF$135,3,FALSE)+$E$2</f>
        <v>1.329204657394971</v>
      </c>
      <c r="P484" s="73">
        <f>('Old Data'!$N480-$N484)^2+('Old Data'!$X480-$O484)^2</f>
        <v>0.27370040552312463</v>
      </c>
      <c r="Q484" s="62"/>
      <c r="R484" s="3"/>
      <c r="S484" s="3"/>
      <c r="T484" s="3"/>
      <c r="V484" s="3"/>
      <c r="W484" s="3"/>
      <c r="X484" s="3"/>
      <c r="Z484" s="3"/>
      <c r="AA484" s="3"/>
      <c r="AB484" s="3"/>
      <c r="AC484" s="3"/>
      <c r="AD484" s="3"/>
      <c r="AE484" s="3"/>
      <c r="AF484" s="3"/>
      <c r="AG484" s="3"/>
      <c r="AH484" s="37"/>
      <c r="AI484" s="1"/>
      <c r="AK484" s="10"/>
      <c r="AL484" s="10"/>
      <c r="AM484" s="10"/>
      <c r="AN484" s="11"/>
      <c r="AO484" s="11"/>
      <c r="AP484" s="11"/>
      <c r="AQ484" s="36"/>
      <c r="AR484" s="11"/>
      <c r="AS484" s="11"/>
      <c r="AT484" s="11"/>
      <c r="AU484" s="12"/>
      <c r="AV484" s="11"/>
      <c r="AW484" s="11"/>
      <c r="AX484" s="15"/>
      <c r="AY484" s="15"/>
      <c r="AZ484" s="15"/>
      <c r="BA484" s="15"/>
      <c r="BB484" s="15"/>
      <c r="BC484" s="15"/>
      <c r="BD484" s="15"/>
      <c r="BE484" s="12"/>
      <c r="BF484" s="11"/>
      <c r="BG484" s="11"/>
      <c r="BH484" s="10"/>
      <c r="BI484" s="10"/>
      <c r="BJ484" s="10"/>
      <c r="BK484" s="23"/>
      <c r="BL484" s="23"/>
      <c r="BM484" s="23"/>
      <c r="BN484" s="23"/>
      <c r="BO484" s="23"/>
      <c r="BP484" s="23"/>
      <c r="BQ484" s="23"/>
      <c r="BR484" s="10"/>
      <c r="BS484" s="16"/>
      <c r="BT484" s="16"/>
      <c r="BU484" s="16"/>
      <c r="BV484" s="16"/>
      <c r="BW484" s="11"/>
      <c r="BX484" s="16"/>
      <c r="BY484" s="16"/>
      <c r="BZ484" s="17"/>
      <c r="CA484" s="18"/>
      <c r="CB484" s="18"/>
      <c r="CC484" s="18"/>
      <c r="CD484" s="18"/>
      <c r="CE484" s="18"/>
      <c r="CF484" s="18"/>
      <c r="CG484" s="19"/>
      <c r="CH484" s="15"/>
      <c r="CI484" s="17"/>
      <c r="CJ484" s="10"/>
      <c r="CK484" s="10"/>
      <c r="CL484" s="10"/>
      <c r="CM484" s="17"/>
      <c r="CN484" s="17"/>
      <c r="CO484" s="10"/>
      <c r="CP484" s="10"/>
      <c r="CQ484" s="10"/>
      <c r="CR484" s="10"/>
      <c r="CS484" s="10"/>
      <c r="CT484" s="10"/>
      <c r="CU484" s="10"/>
      <c r="CV484" s="10"/>
      <c r="CW484" s="10"/>
      <c r="CX484" s="10"/>
      <c r="CY484" s="10"/>
      <c r="CZ484" s="10"/>
      <c r="DA484" s="34"/>
      <c r="DB484" s="34"/>
      <c r="DC484" s="34"/>
      <c r="DD484" s="34"/>
      <c r="DE484" s="34"/>
      <c r="DF484" s="34"/>
      <c r="DG484" s="34"/>
      <c r="DH484" s="34"/>
      <c r="DI484" s="34"/>
      <c r="DJ484" s="34"/>
      <c r="DK484" s="34"/>
      <c r="DL484" s="34"/>
      <c r="DM484" s="34"/>
      <c r="DN484" s="34"/>
      <c r="DO484" s="34"/>
      <c r="DP484" s="34"/>
      <c r="DQ484" s="34"/>
      <c r="DR484" s="34"/>
      <c r="DS484" s="34"/>
      <c r="DT484" s="34"/>
      <c r="DU484" s="34"/>
      <c r="DV484" s="34"/>
      <c r="DW484" s="34"/>
      <c r="DX484" s="34"/>
      <c r="DY484" s="34"/>
      <c r="DZ484" s="34"/>
      <c r="EA484" s="34"/>
      <c r="EB484" s="34"/>
      <c r="EC484" s="34"/>
      <c r="ED484" s="34"/>
      <c r="EE484" s="34"/>
    </row>
    <row r="485" spans="1:135" customFormat="1">
      <c r="A485" s="71">
        <f>'Old Data'!$I481-'Old Data'!$S481</f>
        <v>-337</v>
      </c>
      <c r="B485" s="72">
        <f>VLOOKUP('Old Data'!$F481,$R$6:$T$135,2,FALSE)+VLOOKUP('Old Data'!$P481,$R$6:$T$135,3,FALSE)+$B$2</f>
        <v>176.18822265597339</v>
      </c>
      <c r="C485" s="72">
        <f>VLOOKUP('Old Data'!$P481,$R$6:$T$135,2,FALSE)+VLOOKUP('Old Data'!$F481,$R$6:$T$135,3,FALSE)+$B$2</f>
        <v>318.21676542700607</v>
      </c>
      <c r="D485" s="74">
        <f>('Old Data'!$I481-$B485)^2+('Old Data'!$S481-$C485)^2</f>
        <v>31902.313493307502</v>
      </c>
      <c r="E485" s="75">
        <f>'Old Data'!$K481-'Old Data'!$U481</f>
        <v>94</v>
      </c>
      <c r="F485" s="72">
        <f>VLOOKUP('Old Data'!$F481,$V$6:$X$135,2,FALSE)+VLOOKUP('Old Data'!$P481,$V$6:$X$135,3,FALSE)+$C$2</f>
        <v>302.12315480905204</v>
      </c>
      <c r="G485" s="72">
        <f>VLOOKUP('Old Data'!$P481,$V$6:$X$135,2,FALSE)+VLOOKUP('Old Data'!$F481,$V$6:$X$135,3,FALSE)+$C$2</f>
        <v>224.9319819893397</v>
      </c>
      <c r="H485" s="74">
        <f>('Old Data'!$K481-$F485)^2+('Old Data'!$U481-$G485)^2</f>
        <v>1068.1407379525021</v>
      </c>
      <c r="I485" s="75">
        <f>('Old Data'!$L481+'Old Data'!$M481)-('Old Data'!$V481+'Old Data'!$W481)</f>
        <v>20</v>
      </c>
      <c r="J485" s="72">
        <f>VLOOKUP('Old Data'!$F481,$Z$6:$AB$135,2,FALSE)+VLOOKUP('Old Data'!$P481,$Z$6:$AB$135,3,FALSE)+$D$2</f>
        <v>50.518829062482865</v>
      </c>
      <c r="K485" s="72">
        <f>VLOOKUP('Old Data'!$P481,$Z$6:$AB$135,2,FALSE)+VLOOKUP('Old Data'!$F481,$Z$6:$AB$135,3,FALSE)+$D$2</f>
        <v>60.455784412880497</v>
      </c>
      <c r="L485" s="74">
        <f>('Old Data'!$L481+'Old Data'!$M481-$J485)^2+('Old Data'!$V481+'Old Data'!$W481-$K485)^2</f>
        <v>1747.3162573071988</v>
      </c>
      <c r="M485" s="75">
        <f>'Old Data'!$N481-'Old Data'!$X481</f>
        <v>1</v>
      </c>
      <c r="N485" s="72">
        <f>VLOOKUP('Old Data'!$F481,$AD$6:$AF$135,2,FALSE)+VLOOKUP('Old Data'!$P481,$AD$6:$AF$135,3,FALSE)+$E$2</f>
        <v>1.3772155971069671</v>
      </c>
      <c r="O485" s="72">
        <f>VLOOKUP('Old Data'!$P481,$AD$6:$AF$135,2,FALSE)+VLOOKUP('Old Data'!$F481,$AD$6:$AF$135,3,FALSE)+$E$2</f>
        <v>0.66126403754506224</v>
      </c>
      <c r="P485" s="73">
        <f>('Old Data'!$N481-$N485)^2+('Old Data'!$X481-$O485)^2</f>
        <v>0.50260246474710457</v>
      </c>
      <c r="Q485" s="62"/>
      <c r="R485" s="3"/>
      <c r="S485" s="3"/>
      <c r="T485" s="3"/>
      <c r="V485" s="3"/>
      <c r="W485" s="3"/>
      <c r="X485" s="3"/>
      <c r="Z485" s="3"/>
      <c r="AA485" s="3"/>
      <c r="AB485" s="3"/>
      <c r="AC485" s="3"/>
      <c r="AD485" s="3"/>
      <c r="AE485" s="3"/>
      <c r="AF485" s="3"/>
      <c r="AG485" s="3"/>
      <c r="AH485" s="37"/>
      <c r="AI485" s="1"/>
      <c r="AK485" s="10"/>
      <c r="AL485" s="10"/>
      <c r="AM485" s="10"/>
      <c r="AN485" s="11"/>
      <c r="AO485" s="11"/>
      <c r="AP485" s="11"/>
      <c r="AQ485" s="36"/>
      <c r="AR485" s="11"/>
      <c r="AS485" s="11"/>
      <c r="AT485" s="11"/>
      <c r="AU485" s="12"/>
      <c r="AV485" s="11"/>
      <c r="AW485" s="11"/>
      <c r="AX485" s="15"/>
      <c r="AY485" s="15"/>
      <c r="AZ485" s="15"/>
      <c r="BA485" s="15"/>
      <c r="BB485" s="15"/>
      <c r="BC485" s="15"/>
      <c r="BD485" s="15"/>
      <c r="BE485" s="12"/>
      <c r="BF485" s="11"/>
      <c r="BG485" s="11"/>
      <c r="BH485" s="10"/>
      <c r="BI485" s="10"/>
      <c r="BJ485" s="10"/>
      <c r="BK485" s="23"/>
      <c r="BL485" s="23"/>
      <c r="BM485" s="23"/>
      <c r="BN485" s="23"/>
      <c r="BO485" s="23"/>
      <c r="BP485" s="23"/>
      <c r="BQ485" s="23"/>
      <c r="BR485" s="10"/>
      <c r="BS485" s="16"/>
      <c r="BT485" s="16"/>
      <c r="BU485" s="16"/>
      <c r="BV485" s="16"/>
      <c r="BW485" s="11"/>
      <c r="BX485" s="16"/>
      <c r="BY485" s="16"/>
      <c r="BZ485" s="17"/>
      <c r="CA485" s="18"/>
      <c r="CB485" s="18"/>
      <c r="CC485" s="18"/>
      <c r="CD485" s="18"/>
      <c r="CE485" s="18"/>
      <c r="CF485" s="18"/>
      <c r="CG485" s="19"/>
      <c r="CH485" s="15"/>
      <c r="CI485" s="17"/>
      <c r="CJ485" s="10"/>
      <c r="CK485" s="10"/>
      <c r="CL485" s="10"/>
      <c r="CM485" s="17"/>
      <c r="CN485" s="17"/>
      <c r="CO485" s="10"/>
      <c r="CP485" s="10"/>
      <c r="CQ485" s="10"/>
      <c r="CR485" s="10"/>
      <c r="CS485" s="10"/>
      <c r="CT485" s="10"/>
      <c r="CU485" s="10"/>
      <c r="CV485" s="10"/>
      <c r="CW485" s="10"/>
      <c r="CX485" s="10"/>
      <c r="CY485" s="10"/>
      <c r="CZ485" s="10"/>
      <c r="DA485" s="34"/>
      <c r="DB485" s="34"/>
      <c r="DC485" s="34"/>
      <c r="DD485" s="34"/>
      <c r="DE485" s="34"/>
      <c r="DF485" s="34"/>
      <c r="DG485" s="34"/>
      <c r="DH485" s="34"/>
      <c r="DI485" s="34"/>
      <c r="DJ485" s="34"/>
      <c r="DK485" s="34"/>
      <c r="DL485" s="34"/>
      <c r="DM485" s="34"/>
      <c r="DN485" s="34"/>
      <c r="DO485" s="34"/>
      <c r="DP485" s="34"/>
      <c r="DQ485" s="34"/>
      <c r="DR485" s="34"/>
      <c r="DS485" s="34"/>
      <c r="DT485" s="34"/>
      <c r="DU485" s="34"/>
      <c r="DV485" s="34"/>
      <c r="DW485" s="34"/>
      <c r="DX485" s="34"/>
      <c r="DY485" s="34"/>
      <c r="DZ485" s="34"/>
      <c r="EA485" s="34"/>
      <c r="EB485" s="34"/>
      <c r="EC485" s="34"/>
      <c r="ED485" s="34"/>
      <c r="EE485" s="34"/>
    </row>
    <row r="486" spans="1:135" customFormat="1">
      <c r="A486" s="71">
        <f>'Old Data'!$I482-'Old Data'!$S482</f>
        <v>58</v>
      </c>
      <c r="B486" s="72">
        <f>VLOOKUP('Old Data'!$F482,$R$6:$T$135,2,FALSE)+VLOOKUP('Old Data'!$P482,$R$6:$T$135,3,FALSE)+$B$2</f>
        <v>132.249189665183</v>
      </c>
      <c r="C486" s="72">
        <f>VLOOKUP('Old Data'!$P482,$R$6:$T$135,2,FALSE)+VLOOKUP('Old Data'!$F482,$R$6:$T$135,3,FALSE)+$B$2</f>
        <v>121.53353651692581</v>
      </c>
      <c r="D486" s="74">
        <f>('Old Data'!$I482-$B486)^2+('Old Data'!$S482-$C486)^2</f>
        <v>3552.7191653015466</v>
      </c>
      <c r="E486" s="75">
        <f>'Old Data'!$K482-'Old Data'!$U482</f>
        <v>7</v>
      </c>
      <c r="F486" s="72">
        <f>VLOOKUP('Old Data'!$F482,$V$6:$X$135,2,FALSE)+VLOOKUP('Old Data'!$P482,$V$6:$X$135,3,FALSE)+$C$2</f>
        <v>233.190112100438</v>
      </c>
      <c r="G486" s="72">
        <f>VLOOKUP('Old Data'!$P482,$V$6:$X$135,2,FALSE)+VLOOKUP('Old Data'!$F482,$V$6:$X$135,3,FALSE)+$C$2</f>
        <v>159.02373387826901</v>
      </c>
      <c r="H486" s="74">
        <f>('Old Data'!$K482-$F486)^2+('Old Data'!$U482-$G486)^2</f>
        <v>2948.0963480051923</v>
      </c>
      <c r="I486" s="75">
        <f>('Old Data'!$L482+'Old Data'!$M482)-('Old Data'!$V482+'Old Data'!$W482)</f>
        <v>-13</v>
      </c>
      <c r="J486" s="72">
        <f>VLOOKUP('Old Data'!$F482,$Z$6:$AB$135,2,FALSE)+VLOOKUP('Old Data'!$P482,$Z$6:$AB$135,3,FALSE)+$D$2</f>
        <v>22.124359871215596</v>
      </c>
      <c r="K486" s="72">
        <f>VLOOKUP('Old Data'!$P482,$Z$6:$AB$135,2,FALSE)+VLOOKUP('Old Data'!$F482,$Z$6:$AB$135,3,FALSE)+$D$2</f>
        <v>4.2033878664710969</v>
      </c>
      <c r="L486" s="74">
        <f>('Old Data'!$L482+'Old Data'!$M482-$J486)^2+('Old Data'!$V482+'Old Data'!$W482-$K486)^2</f>
        <v>500.31272998506904</v>
      </c>
      <c r="M486" s="75">
        <f>'Old Data'!$N482-'Old Data'!$X482</f>
        <v>3</v>
      </c>
      <c r="N486" s="72">
        <f>VLOOKUP('Old Data'!$F482,$AD$6:$AF$135,2,FALSE)+VLOOKUP('Old Data'!$P482,$AD$6:$AF$135,3,FALSE)+$E$2</f>
        <v>1.7136955401686496</v>
      </c>
      <c r="O486" s="72">
        <f>VLOOKUP('Old Data'!$P482,$AD$6:$AF$135,2,FALSE)+VLOOKUP('Old Data'!$F482,$AD$6:$AF$135,3,FALSE)+$E$2</f>
        <v>1.6716456526769383</v>
      </c>
      <c r="P486" s="73">
        <f>('Old Data'!$N482-$N486)^2+('Old Data'!$X482-$O486)^2</f>
        <v>5.6782959658045522</v>
      </c>
      <c r="Q486" s="62"/>
      <c r="R486" s="3"/>
      <c r="S486" s="3"/>
      <c r="T486" s="3"/>
      <c r="V486" s="3"/>
      <c r="W486" s="3"/>
      <c r="X486" s="3"/>
      <c r="Z486" s="3"/>
      <c r="AA486" s="3"/>
      <c r="AB486" s="3"/>
      <c r="AC486" s="3"/>
      <c r="AD486" s="3"/>
      <c r="AE486" s="3"/>
      <c r="AF486" s="3"/>
      <c r="AG486" s="3"/>
      <c r="AH486" s="37"/>
      <c r="AI486" s="1"/>
      <c r="AK486" s="10"/>
      <c r="AL486" s="10"/>
      <c r="AM486" s="10"/>
      <c r="AN486" s="11"/>
      <c r="AO486" s="11"/>
      <c r="AP486" s="11"/>
      <c r="AQ486" s="36"/>
      <c r="AR486" s="11"/>
      <c r="AS486" s="11"/>
      <c r="AT486" s="11"/>
      <c r="AU486" s="12"/>
      <c r="AV486" s="11"/>
      <c r="AW486" s="11"/>
      <c r="AX486" s="15"/>
      <c r="AY486" s="15"/>
      <c r="AZ486" s="15"/>
      <c r="BA486" s="15"/>
      <c r="BB486" s="15"/>
      <c r="BC486" s="15"/>
      <c r="BD486" s="15"/>
      <c r="BE486" s="12"/>
      <c r="BF486" s="11"/>
      <c r="BG486" s="11"/>
      <c r="BH486" s="10"/>
      <c r="BI486" s="10"/>
      <c r="BJ486" s="10"/>
      <c r="BK486" s="23"/>
      <c r="BL486" s="23"/>
      <c r="BM486" s="23"/>
      <c r="BN486" s="23"/>
      <c r="BO486" s="23"/>
      <c r="BP486" s="23"/>
      <c r="BQ486" s="23"/>
      <c r="BR486" s="10"/>
      <c r="BS486" s="16"/>
      <c r="BT486" s="16"/>
      <c r="BU486" s="16"/>
      <c r="BV486" s="16"/>
      <c r="BW486" s="11"/>
      <c r="BX486" s="16"/>
      <c r="BY486" s="16"/>
      <c r="BZ486" s="17"/>
      <c r="CA486" s="18"/>
      <c r="CB486" s="18"/>
      <c r="CC486" s="18"/>
      <c r="CD486" s="18"/>
      <c r="CE486" s="18"/>
      <c r="CF486" s="18"/>
      <c r="CG486" s="19"/>
      <c r="CH486" s="15"/>
      <c r="CI486" s="17"/>
      <c r="CJ486" s="10"/>
      <c r="CK486" s="10"/>
      <c r="CL486" s="10"/>
      <c r="CM486" s="17"/>
      <c r="CN486" s="17"/>
      <c r="CO486" s="10"/>
      <c r="CP486" s="10"/>
      <c r="CQ486" s="10"/>
      <c r="CR486" s="10"/>
      <c r="CS486" s="10"/>
      <c r="CT486" s="10"/>
      <c r="CU486" s="10"/>
      <c r="CV486" s="10"/>
      <c r="CW486" s="10"/>
      <c r="CX486" s="10"/>
      <c r="CY486" s="10"/>
      <c r="CZ486" s="10"/>
      <c r="DA486" s="34"/>
      <c r="DB486" s="34"/>
      <c r="DC486" s="34"/>
      <c r="DD486" s="34"/>
      <c r="DE486" s="34"/>
      <c r="DF486" s="34"/>
      <c r="DG486" s="34"/>
      <c r="DH486" s="34"/>
      <c r="DI486" s="34"/>
      <c r="DJ486" s="34"/>
      <c r="DK486" s="34"/>
      <c r="DL486" s="34"/>
      <c r="DM486" s="34"/>
      <c r="DN486" s="34"/>
      <c r="DO486" s="34"/>
      <c r="DP486" s="34"/>
      <c r="DQ486" s="34"/>
      <c r="DR486" s="34"/>
      <c r="DS486" s="34"/>
      <c r="DT486" s="34"/>
      <c r="DU486" s="34"/>
      <c r="DV486" s="34"/>
      <c r="DW486" s="34"/>
      <c r="DX486" s="34"/>
      <c r="DY486" s="34"/>
      <c r="DZ486" s="34"/>
      <c r="EA486" s="34"/>
      <c r="EB486" s="34"/>
      <c r="EC486" s="34"/>
      <c r="ED486" s="34"/>
      <c r="EE486" s="34"/>
    </row>
    <row r="487" spans="1:135" customFormat="1">
      <c r="A487" s="71">
        <f>'Old Data'!$I483-'Old Data'!$S483</f>
        <v>162</v>
      </c>
      <c r="B487" s="72">
        <f>VLOOKUP('Old Data'!$F483,$R$6:$T$135,2,FALSE)+VLOOKUP('Old Data'!$P483,$R$6:$T$135,3,FALSE)+$B$2</f>
        <v>230.80452236449131</v>
      </c>
      <c r="C487" s="72">
        <f>VLOOKUP('Old Data'!$P483,$R$6:$T$135,2,FALSE)+VLOOKUP('Old Data'!$F483,$R$6:$T$135,3,FALSE)+$B$2</f>
        <v>143.47816244887602</v>
      </c>
      <c r="D487" s="74">
        <f>('Old Data'!$I483-$B487)^2+('Old Data'!$S483-$C487)^2</f>
        <v>3743.6780852898055</v>
      </c>
      <c r="E487" s="75">
        <f>'Old Data'!$K483-'Old Data'!$U483</f>
        <v>-86</v>
      </c>
      <c r="F487" s="72">
        <f>VLOOKUP('Old Data'!$F483,$V$6:$X$135,2,FALSE)+VLOOKUP('Old Data'!$P483,$V$6:$X$135,3,FALSE)+$C$2</f>
        <v>177.71168420528221</v>
      </c>
      <c r="G487" s="72">
        <f>VLOOKUP('Old Data'!$P483,$V$6:$X$135,2,FALSE)+VLOOKUP('Old Data'!$F483,$V$6:$X$135,3,FALSE)+$C$2</f>
        <v>269.8905549493536</v>
      </c>
      <c r="H487" s="74">
        <f>('Old Data'!$K483-$F487)^2+('Old Data'!$U483-$G487)^2</f>
        <v>39.554893753208212</v>
      </c>
      <c r="I487" s="75">
        <f>('Old Data'!$L483+'Old Data'!$M483)-('Old Data'!$V483+'Old Data'!$W483)</f>
        <v>73</v>
      </c>
      <c r="J487" s="72">
        <f>VLOOKUP('Old Data'!$F483,$Z$6:$AB$135,2,FALSE)+VLOOKUP('Old Data'!$P483,$Z$6:$AB$135,3,FALSE)+$D$2</f>
        <v>126.475680968994</v>
      </c>
      <c r="K487" s="72">
        <f>VLOOKUP('Old Data'!$P483,$Z$6:$AB$135,2,FALSE)+VLOOKUP('Old Data'!$F483,$Z$6:$AB$135,3,FALSE)+$D$2</f>
        <v>38.055127073122591</v>
      </c>
      <c r="L487" s="74">
        <f>('Old Data'!$L483+'Old Data'!$M483-$J487)^2+('Old Data'!$V483+'Old Data'!$W483-$K487)^2</f>
        <v>2136.9785264698703</v>
      </c>
      <c r="M487" s="75">
        <f>'Old Data'!$N483-'Old Data'!$X483</f>
        <v>-1</v>
      </c>
      <c r="N487" s="72">
        <f>VLOOKUP('Old Data'!$F483,$AD$6:$AF$135,2,FALSE)+VLOOKUP('Old Data'!$P483,$AD$6:$AF$135,3,FALSE)+$E$2</f>
        <v>1.0682435453897581</v>
      </c>
      <c r="O487" s="72">
        <f>VLOOKUP('Old Data'!$P483,$AD$6:$AF$135,2,FALSE)+VLOOKUP('Old Data'!$F483,$AD$6:$AF$135,3,FALSE)+$E$2</f>
        <v>1.4833492241618831</v>
      </c>
      <c r="P487" s="73">
        <f>('Old Data'!$N483-$N487)^2+('Old Data'!$X483-$O487)^2</f>
        <v>0.27158520566149214</v>
      </c>
      <c r="Q487" s="62"/>
      <c r="R487" s="3"/>
      <c r="S487" s="3"/>
      <c r="T487" s="3"/>
      <c r="V487" s="3"/>
      <c r="W487" s="3"/>
      <c r="X487" s="3"/>
      <c r="Z487" s="3"/>
      <c r="AA487" s="3"/>
      <c r="AB487" s="3"/>
      <c r="AC487" s="3"/>
      <c r="AD487" s="3"/>
      <c r="AE487" s="3"/>
      <c r="AF487" s="3"/>
      <c r="AG487" s="3"/>
      <c r="AH487" s="37"/>
      <c r="AI487" s="1"/>
      <c r="AK487" s="10"/>
      <c r="AL487" s="10"/>
      <c r="AM487" s="10"/>
      <c r="AN487" s="11"/>
      <c r="AO487" s="11"/>
      <c r="AP487" s="11"/>
      <c r="AQ487" s="36"/>
      <c r="AR487" s="11"/>
      <c r="AS487" s="11"/>
      <c r="AT487" s="11"/>
      <c r="AU487" s="12"/>
      <c r="AV487" s="11"/>
      <c r="AW487" s="11"/>
      <c r="AX487" s="15"/>
      <c r="AY487" s="15"/>
      <c r="AZ487" s="15"/>
      <c r="BA487" s="15"/>
      <c r="BB487" s="15"/>
      <c r="BC487" s="15"/>
      <c r="BD487" s="15"/>
      <c r="BE487" s="12"/>
      <c r="BF487" s="11"/>
      <c r="BG487" s="11"/>
      <c r="BH487" s="10"/>
      <c r="BI487" s="10"/>
      <c r="BJ487" s="10"/>
      <c r="BK487" s="23"/>
      <c r="BL487" s="23"/>
      <c r="BM487" s="23"/>
      <c r="BN487" s="23"/>
      <c r="BO487" s="23"/>
      <c r="BP487" s="23"/>
      <c r="BQ487" s="23"/>
      <c r="BR487" s="10"/>
      <c r="BS487" s="16"/>
      <c r="BT487" s="16"/>
      <c r="BU487" s="16"/>
      <c r="BV487" s="16"/>
      <c r="BW487" s="11"/>
      <c r="BX487" s="16"/>
      <c r="BY487" s="16"/>
      <c r="BZ487" s="17"/>
      <c r="CA487" s="18"/>
      <c r="CB487" s="18"/>
      <c r="CC487" s="18"/>
      <c r="CD487" s="18"/>
      <c r="CE487" s="18"/>
      <c r="CF487" s="18"/>
      <c r="CG487" s="19"/>
      <c r="CH487" s="15"/>
      <c r="CI487" s="17"/>
      <c r="CJ487" s="10"/>
      <c r="CK487" s="10"/>
      <c r="CL487" s="10"/>
      <c r="CM487" s="17"/>
      <c r="CN487" s="17"/>
      <c r="CO487" s="10"/>
      <c r="CP487" s="10"/>
      <c r="CQ487" s="10"/>
      <c r="CR487" s="10"/>
      <c r="CS487" s="10"/>
      <c r="CT487" s="10"/>
      <c r="CU487" s="10"/>
      <c r="CV487" s="10"/>
      <c r="CW487" s="10"/>
      <c r="CX487" s="10"/>
      <c r="CY487" s="10"/>
      <c r="CZ487" s="10"/>
      <c r="DA487" s="34"/>
      <c r="DB487" s="34"/>
      <c r="DC487" s="34"/>
      <c r="DD487" s="34"/>
      <c r="DE487" s="34"/>
      <c r="DF487" s="34"/>
      <c r="DG487" s="34"/>
      <c r="DH487" s="34"/>
      <c r="DI487" s="34"/>
      <c r="DJ487" s="34"/>
      <c r="DK487" s="34"/>
      <c r="DL487" s="34"/>
      <c r="DM487" s="34"/>
      <c r="DN487" s="34"/>
      <c r="DO487" s="34"/>
      <c r="DP487" s="34"/>
      <c r="DQ487" s="34"/>
      <c r="DR487" s="34"/>
      <c r="DS487" s="34"/>
      <c r="DT487" s="34"/>
      <c r="DU487" s="34"/>
      <c r="DV487" s="34"/>
      <c r="DW487" s="34"/>
      <c r="DX487" s="34"/>
      <c r="DY487" s="34"/>
      <c r="DZ487" s="34"/>
      <c r="EA487" s="34"/>
      <c r="EB487" s="34"/>
      <c r="EC487" s="34"/>
      <c r="ED487" s="34"/>
      <c r="EE487" s="34"/>
    </row>
    <row r="488" spans="1:135" customFormat="1">
      <c r="A488" s="71">
        <f>'Old Data'!$I484-'Old Data'!$S484</f>
        <v>119</v>
      </c>
      <c r="B488" s="72">
        <f>VLOOKUP('Old Data'!$F484,$R$6:$T$135,2,FALSE)+VLOOKUP('Old Data'!$P484,$R$6:$T$135,3,FALSE)+$B$2</f>
        <v>165.41062264149801</v>
      </c>
      <c r="C488" s="72">
        <f>VLOOKUP('Old Data'!$P484,$R$6:$T$135,2,FALSE)+VLOOKUP('Old Data'!$F484,$R$6:$T$135,3,FALSE)+$B$2</f>
        <v>152.70497631663076</v>
      </c>
      <c r="D488" s="74">
        <f>('Old Data'!$I484-$B488)^2+('Old Data'!$S484-$C488)^2</f>
        <v>5916.4102692036258</v>
      </c>
      <c r="E488" s="75">
        <f>'Old Data'!$K484-'Old Data'!$U484</f>
        <v>31</v>
      </c>
      <c r="F488" s="72">
        <f>VLOOKUP('Old Data'!$F484,$V$6:$X$135,2,FALSE)+VLOOKUP('Old Data'!$P484,$V$6:$X$135,3,FALSE)+$C$2</f>
        <v>282.7324499800427</v>
      </c>
      <c r="G488" s="72">
        <f>VLOOKUP('Old Data'!$P484,$V$6:$X$135,2,FALSE)+VLOOKUP('Old Data'!$F484,$V$6:$X$135,3,FALSE)+$C$2</f>
        <v>296.6384827505446</v>
      </c>
      <c r="H488" s="74">
        <f>('Old Data'!$K484-$F488)^2+('Old Data'!$U484-$G488)^2</f>
        <v>13548.952056570799</v>
      </c>
      <c r="I488" s="75">
        <f>('Old Data'!$L484+'Old Data'!$M484)-('Old Data'!$V484+'Old Data'!$W484)</f>
        <v>0</v>
      </c>
      <c r="J488" s="72">
        <f>VLOOKUP('Old Data'!$F484,$Z$6:$AB$135,2,FALSE)+VLOOKUP('Old Data'!$P484,$Z$6:$AB$135,3,FALSE)+$D$2</f>
        <v>33.037244927150297</v>
      </c>
      <c r="K488" s="72">
        <f>VLOOKUP('Old Data'!$P484,$Z$6:$AB$135,2,FALSE)+VLOOKUP('Old Data'!$F484,$Z$6:$AB$135,3,FALSE)+$D$2</f>
        <v>7.5615743139537983</v>
      </c>
      <c r="L488" s="74">
        <f>('Old Data'!$L484+'Old Data'!$M484-$J488)^2+('Old Data'!$V484+'Old Data'!$W484-$K488)^2</f>
        <v>1148.636958481964</v>
      </c>
      <c r="M488" s="75">
        <f>'Old Data'!$N484-'Old Data'!$X484</f>
        <v>0</v>
      </c>
      <c r="N488" s="72">
        <f>VLOOKUP('Old Data'!$F484,$AD$6:$AF$135,2,FALSE)+VLOOKUP('Old Data'!$P484,$AD$6:$AF$135,3,FALSE)+$E$2</f>
        <v>1.06114656969638</v>
      </c>
      <c r="O488" s="72">
        <f>VLOOKUP('Old Data'!$P484,$AD$6:$AF$135,2,FALSE)+VLOOKUP('Old Data'!$F484,$AD$6:$AF$135,3,FALSE)+$E$2</f>
        <v>1.7601500536065404</v>
      </c>
      <c r="P488" s="73">
        <f>('Old Data'!$N484-$N488)^2+('Old Data'!$X484-$O488)^2</f>
        <v>0.58156700698366059</v>
      </c>
      <c r="Q488" s="62"/>
      <c r="R488" s="3"/>
      <c r="S488" s="3"/>
      <c r="T488" s="3"/>
      <c r="V488" s="3"/>
      <c r="W488" s="3"/>
      <c r="X488" s="3"/>
      <c r="Z488" s="3"/>
      <c r="AA488" s="3"/>
      <c r="AB488" s="3"/>
      <c r="AC488" s="3"/>
      <c r="AD488" s="3"/>
      <c r="AE488" s="3"/>
      <c r="AF488" s="3"/>
      <c r="AG488" s="3"/>
      <c r="AH488" s="37"/>
      <c r="AI488" s="1"/>
      <c r="AK488" s="10"/>
      <c r="AL488" s="10"/>
      <c r="AM488" s="10"/>
      <c r="AN488" s="11"/>
      <c r="AO488" s="11"/>
      <c r="AP488" s="11"/>
      <c r="AQ488" s="36"/>
      <c r="AR488" s="11"/>
      <c r="AS488" s="11"/>
      <c r="AT488" s="11"/>
      <c r="AU488" s="12"/>
      <c r="AV488" s="11"/>
      <c r="AW488" s="11"/>
      <c r="AX488" s="15"/>
      <c r="AY488" s="15"/>
      <c r="AZ488" s="15"/>
      <c r="BA488" s="15"/>
      <c r="BB488" s="15"/>
      <c r="BC488" s="15"/>
      <c r="BD488" s="15"/>
      <c r="BE488" s="12"/>
      <c r="BF488" s="11"/>
      <c r="BG488" s="11"/>
      <c r="BH488" s="10"/>
      <c r="BI488" s="10"/>
      <c r="BJ488" s="10"/>
      <c r="BK488" s="23"/>
      <c r="BL488" s="23"/>
      <c r="BM488" s="23"/>
      <c r="BN488" s="23"/>
      <c r="BO488" s="23"/>
      <c r="BP488" s="23"/>
      <c r="BQ488" s="23"/>
      <c r="BR488" s="10"/>
      <c r="BS488" s="16"/>
      <c r="BT488" s="16"/>
      <c r="BU488" s="16"/>
      <c r="BV488" s="16"/>
      <c r="BW488" s="11"/>
      <c r="BX488" s="16"/>
      <c r="BY488" s="16"/>
      <c r="BZ488" s="17"/>
      <c r="CA488" s="18"/>
      <c r="CB488" s="18"/>
      <c r="CC488" s="18"/>
      <c r="CD488" s="18"/>
      <c r="CE488" s="18"/>
      <c r="CF488" s="18"/>
      <c r="CG488" s="19"/>
      <c r="CH488" s="15"/>
      <c r="CI488" s="17"/>
      <c r="CJ488" s="10"/>
      <c r="CK488" s="10"/>
      <c r="CL488" s="10"/>
      <c r="CM488" s="17"/>
      <c r="CN488" s="17"/>
      <c r="CO488" s="10"/>
      <c r="CP488" s="10"/>
      <c r="CQ488" s="10"/>
      <c r="CR488" s="10"/>
      <c r="CS488" s="10"/>
      <c r="CT488" s="10"/>
      <c r="CU488" s="10"/>
      <c r="CV488" s="10"/>
      <c r="CW488" s="10"/>
      <c r="CX488" s="10"/>
      <c r="CY488" s="10"/>
      <c r="CZ488" s="10"/>
      <c r="DA488" s="34"/>
      <c r="DB488" s="34"/>
      <c r="DC488" s="34"/>
      <c r="DD488" s="34"/>
      <c r="DE488" s="34"/>
      <c r="DF488" s="34"/>
      <c r="DG488" s="34"/>
      <c r="DH488" s="34"/>
      <c r="DI488" s="34"/>
      <c r="DJ488" s="34"/>
      <c r="DK488" s="34"/>
      <c r="DL488" s="34"/>
      <c r="DM488" s="34"/>
      <c r="DN488" s="34"/>
      <c r="DO488" s="34"/>
      <c r="DP488" s="34"/>
      <c r="DQ488" s="34"/>
      <c r="DR488" s="34"/>
      <c r="DS488" s="34"/>
      <c r="DT488" s="34"/>
      <c r="DU488" s="34"/>
      <c r="DV488" s="34"/>
      <c r="DW488" s="34"/>
      <c r="DX488" s="34"/>
      <c r="DY488" s="34"/>
      <c r="DZ488" s="34"/>
      <c r="EA488" s="34"/>
      <c r="EB488" s="34"/>
      <c r="EC488" s="34"/>
      <c r="ED488" s="34"/>
      <c r="EE488" s="34"/>
    </row>
    <row r="489" spans="1:135" customFormat="1">
      <c r="A489" s="71">
        <f>'Old Data'!$I485-'Old Data'!$S485</f>
        <v>-48</v>
      </c>
      <c r="B489" s="72">
        <f>VLOOKUP('Old Data'!$F485,$R$6:$T$135,2,FALSE)+VLOOKUP('Old Data'!$P485,$R$6:$T$135,3,FALSE)+$B$2</f>
        <v>97.895814146129609</v>
      </c>
      <c r="C489" s="72">
        <f>VLOOKUP('Old Data'!$P485,$R$6:$T$135,2,FALSE)+VLOOKUP('Old Data'!$F485,$R$6:$T$135,3,FALSE)+$B$2</f>
        <v>199.48004740511237</v>
      </c>
      <c r="D489" s="74">
        <f>('Old Data'!$I485-$B489)^2+('Old Data'!$S485-$C489)^2</f>
        <v>3705.3883868626012</v>
      </c>
      <c r="E489" s="75">
        <f>'Old Data'!$K485-'Old Data'!$U485</f>
        <v>-2</v>
      </c>
      <c r="F489" s="72">
        <f>VLOOKUP('Old Data'!$F485,$V$6:$X$135,2,FALSE)+VLOOKUP('Old Data'!$P485,$V$6:$X$135,3,FALSE)+$C$2</f>
        <v>315.8355668469548</v>
      </c>
      <c r="G489" s="72">
        <f>VLOOKUP('Old Data'!$P485,$V$6:$X$135,2,FALSE)+VLOOKUP('Old Data'!$F485,$V$6:$X$135,3,FALSE)+$C$2</f>
        <v>249.95000569408705</v>
      </c>
      <c r="H489" s="74">
        <f>('Old Data'!$K485-$F489)^2+('Old Data'!$U485-$G489)^2</f>
        <v>2944.5283075649581</v>
      </c>
      <c r="I489" s="75">
        <f>('Old Data'!$L485+'Old Data'!$M485)-('Old Data'!$V485+'Old Data'!$W485)</f>
        <v>-52</v>
      </c>
      <c r="J489" s="72">
        <f>VLOOKUP('Old Data'!$F485,$Z$6:$AB$135,2,FALSE)+VLOOKUP('Old Data'!$P485,$Z$6:$AB$135,3,FALSE)+$D$2</f>
        <v>107.93467365799879</v>
      </c>
      <c r="K489" s="72">
        <f>VLOOKUP('Old Data'!$P485,$Z$6:$AB$135,2,FALSE)+VLOOKUP('Old Data'!$F485,$Z$6:$AB$135,3,FALSE)+$D$2</f>
        <v>113.4406831623007</v>
      </c>
      <c r="L489" s="74">
        <f>('Old Data'!$L485+'Old Data'!$M485-$J489)^2+('Old Data'!$V485+'Old Data'!$W485-$K489)^2</f>
        <v>1187.7856701738124</v>
      </c>
      <c r="M489" s="75">
        <f>'Old Data'!$N485-'Old Data'!$X485</f>
        <v>-3</v>
      </c>
      <c r="N489" s="72">
        <f>VLOOKUP('Old Data'!$F485,$AD$6:$AF$135,2,FALSE)+VLOOKUP('Old Data'!$P485,$AD$6:$AF$135,3,FALSE)+$E$2</f>
        <v>0.91634461752444052</v>
      </c>
      <c r="O489" s="72">
        <f>VLOOKUP('Old Data'!$P485,$AD$6:$AF$135,2,FALSE)+VLOOKUP('Old Data'!$F485,$AD$6:$AF$135,3,FALSE)+$E$2</f>
        <v>2.2053519596803262</v>
      </c>
      <c r="P489" s="73">
        <f>('Old Data'!$N485-$N489)^2+('Old Data'!$X485-$O489)^2</f>
        <v>3.2277598116403778</v>
      </c>
      <c r="Q489" s="62"/>
      <c r="R489" s="3"/>
      <c r="S489" s="3"/>
      <c r="T489" s="3"/>
      <c r="V489" s="3"/>
      <c r="W489" s="3"/>
      <c r="X489" s="3"/>
      <c r="Z489" s="3"/>
      <c r="AA489" s="3"/>
      <c r="AB489" s="3"/>
      <c r="AC489" s="3"/>
      <c r="AD489" s="3"/>
      <c r="AE489" s="3"/>
      <c r="AF489" s="3"/>
      <c r="AG489" s="3"/>
      <c r="AH489" s="37"/>
      <c r="AI489" s="1"/>
      <c r="AK489" s="10"/>
      <c r="AL489" s="10"/>
      <c r="AM489" s="10"/>
      <c r="AN489" s="11"/>
      <c r="AO489" s="11"/>
      <c r="AP489" s="11"/>
      <c r="AQ489" s="36"/>
      <c r="AR489" s="11"/>
      <c r="AS489" s="11"/>
      <c r="AT489" s="11"/>
      <c r="AU489" s="12"/>
      <c r="AV489" s="11"/>
      <c r="AW489" s="11"/>
      <c r="AX489" s="15"/>
      <c r="AY489" s="15"/>
      <c r="AZ489" s="15"/>
      <c r="BA489" s="15"/>
      <c r="BB489" s="15"/>
      <c r="BC489" s="15"/>
      <c r="BD489" s="15"/>
      <c r="BE489" s="12"/>
      <c r="BF489" s="11"/>
      <c r="BG489" s="11"/>
      <c r="BH489" s="10"/>
      <c r="BI489" s="10"/>
      <c r="BJ489" s="10"/>
      <c r="BK489" s="23"/>
      <c r="BL489" s="23"/>
      <c r="BM489" s="23"/>
      <c r="BN489" s="23"/>
      <c r="BO489" s="23"/>
      <c r="BP489" s="23"/>
      <c r="BQ489" s="23"/>
      <c r="BR489" s="10"/>
      <c r="BS489" s="16"/>
      <c r="BT489" s="16"/>
      <c r="BU489" s="16"/>
      <c r="BV489" s="16"/>
      <c r="BW489" s="11"/>
      <c r="BX489" s="16"/>
      <c r="BY489" s="16"/>
      <c r="BZ489" s="17"/>
      <c r="CA489" s="18"/>
      <c r="CB489" s="18"/>
      <c r="CC489" s="18"/>
      <c r="CD489" s="18"/>
      <c r="CE489" s="18"/>
      <c r="CF489" s="18"/>
      <c r="CG489" s="19"/>
      <c r="CH489" s="15"/>
      <c r="CI489" s="17"/>
      <c r="CJ489" s="10"/>
      <c r="CK489" s="10"/>
      <c r="CL489" s="10"/>
      <c r="CM489" s="17"/>
      <c r="CN489" s="17"/>
      <c r="CO489" s="10"/>
      <c r="CP489" s="10"/>
      <c r="CQ489" s="10"/>
      <c r="CR489" s="10"/>
      <c r="CS489" s="10"/>
      <c r="CT489" s="10"/>
      <c r="CU489" s="10"/>
      <c r="CV489" s="10"/>
      <c r="CW489" s="10"/>
      <c r="CX489" s="10"/>
      <c r="CY489" s="10"/>
      <c r="CZ489" s="10"/>
      <c r="DA489" s="34"/>
      <c r="DB489" s="34"/>
      <c r="DC489" s="34"/>
      <c r="DD489" s="34"/>
      <c r="DE489" s="34"/>
      <c r="DF489" s="34"/>
      <c r="DG489" s="34"/>
      <c r="DH489" s="34"/>
      <c r="DI489" s="34"/>
      <c r="DJ489" s="34"/>
      <c r="DK489" s="34"/>
      <c r="DL489" s="34"/>
      <c r="DM489" s="34"/>
      <c r="DN489" s="34"/>
      <c r="DO489" s="34"/>
      <c r="DP489" s="34"/>
      <c r="DQ489" s="34"/>
      <c r="DR489" s="34"/>
      <c r="DS489" s="34"/>
      <c r="DT489" s="34"/>
      <c r="DU489" s="34"/>
      <c r="DV489" s="34"/>
      <c r="DW489" s="34"/>
      <c r="DX489" s="34"/>
      <c r="DY489" s="34"/>
      <c r="DZ489" s="34"/>
      <c r="EA489" s="34"/>
      <c r="EB489" s="34"/>
      <c r="EC489" s="34"/>
      <c r="ED489" s="34"/>
      <c r="EE489" s="34"/>
    </row>
    <row r="490" spans="1:135" customFormat="1">
      <c r="A490" s="71">
        <f>'Old Data'!$I486-'Old Data'!$S486</f>
        <v>-98</v>
      </c>
      <c r="B490" s="72">
        <f>VLOOKUP('Old Data'!$F486,$R$6:$T$135,2,FALSE)+VLOOKUP('Old Data'!$P486,$R$6:$T$135,3,FALSE)+$B$2</f>
        <v>190.05469779871001</v>
      </c>
      <c r="C490" s="72">
        <f>VLOOKUP('Old Data'!$P486,$R$6:$T$135,2,FALSE)+VLOOKUP('Old Data'!$F486,$R$6:$T$135,3,FALSE)+$B$2</f>
        <v>172.4009696888503</v>
      </c>
      <c r="D490" s="74">
        <f>('Old Data'!$I486-$B490)^2+('Old Data'!$S486-$C490)^2</f>
        <v>6742.5529041598902</v>
      </c>
      <c r="E490" s="75">
        <f>'Old Data'!$K486-'Old Data'!$U486</f>
        <v>-24</v>
      </c>
      <c r="F490" s="72">
        <f>VLOOKUP('Old Data'!$F486,$V$6:$X$135,2,FALSE)+VLOOKUP('Old Data'!$P486,$V$6:$X$135,3,FALSE)+$C$2</f>
        <v>240.38456678871279</v>
      </c>
      <c r="G490" s="72">
        <f>VLOOKUP('Old Data'!$P486,$V$6:$X$135,2,FALSE)+VLOOKUP('Old Data'!$F486,$V$6:$X$135,3,FALSE)+$C$2</f>
        <v>324.73471095338692</v>
      </c>
      <c r="H490" s="74">
        <f>('Old Data'!$K486-$F490)^2+('Old Data'!$U486-$G490)^2</f>
        <v>32296.115461639725</v>
      </c>
      <c r="I490" s="75">
        <f>('Old Data'!$L486+'Old Data'!$M486)-('Old Data'!$V486+'Old Data'!$W486)</f>
        <v>48</v>
      </c>
      <c r="J490" s="72">
        <f>VLOOKUP('Old Data'!$F486,$Z$6:$AB$135,2,FALSE)+VLOOKUP('Old Data'!$P486,$Z$6:$AB$135,3,FALSE)+$D$2</f>
        <v>77.25071878182159</v>
      </c>
      <c r="K490" s="72">
        <f>VLOOKUP('Old Data'!$P486,$Z$6:$AB$135,2,FALSE)+VLOOKUP('Old Data'!$F486,$Z$6:$AB$135,3,FALSE)+$D$2</f>
        <v>66.697037535534093</v>
      </c>
      <c r="L490" s="74">
        <f>('Old Data'!$L486+'Old Data'!$M486-$J490)^2+('Old Data'!$V486+'Old Data'!$W486-$K490)^2</f>
        <v>5114.2038526349434</v>
      </c>
      <c r="M490" s="75">
        <f>'Old Data'!$N486-'Old Data'!$X486</f>
        <v>-2</v>
      </c>
      <c r="N490" s="72">
        <f>VLOOKUP('Old Data'!$F486,$AD$6:$AF$135,2,FALSE)+VLOOKUP('Old Data'!$P486,$AD$6:$AF$135,3,FALSE)+$E$2</f>
        <v>1.9491831746862811</v>
      </c>
      <c r="O490" s="72">
        <f>VLOOKUP('Old Data'!$P486,$AD$6:$AF$135,2,FALSE)+VLOOKUP('Old Data'!$F486,$AD$6:$AF$135,3,FALSE)+$E$2</f>
        <v>2.3812173230336473</v>
      </c>
      <c r="P490" s="73">
        <f>('Old Data'!$N486-$N490)^2+('Old Data'!$X486-$O490)^2</f>
        <v>7.9622387095414586</v>
      </c>
      <c r="Q490" s="62"/>
      <c r="R490" s="3"/>
      <c r="S490" s="3"/>
      <c r="T490" s="3"/>
      <c r="V490" s="3"/>
      <c r="W490" s="3"/>
      <c r="X490" s="3"/>
      <c r="Z490" s="3"/>
      <c r="AA490" s="3"/>
      <c r="AB490" s="3"/>
      <c r="AC490" s="3"/>
      <c r="AD490" s="3"/>
      <c r="AE490" s="3"/>
      <c r="AF490" s="3"/>
      <c r="AG490" s="3"/>
      <c r="AH490" s="37"/>
      <c r="AI490" s="1"/>
      <c r="AK490" s="10"/>
      <c r="AL490" s="10"/>
      <c r="AM490" s="10"/>
      <c r="AN490" s="11"/>
      <c r="AO490" s="11"/>
      <c r="AP490" s="11"/>
      <c r="AQ490" s="36"/>
      <c r="AR490" s="11"/>
      <c r="AS490" s="11"/>
      <c r="AT490" s="11"/>
      <c r="AU490" s="12"/>
      <c r="AV490" s="11"/>
      <c r="AW490" s="11"/>
      <c r="AX490" s="15"/>
      <c r="AY490" s="15"/>
      <c r="AZ490" s="15"/>
      <c r="BA490" s="15"/>
      <c r="BB490" s="15"/>
      <c r="BC490" s="15"/>
      <c r="BD490" s="15"/>
      <c r="BE490" s="12"/>
      <c r="BF490" s="11"/>
      <c r="BG490" s="11"/>
      <c r="BH490" s="10"/>
      <c r="BI490" s="10"/>
      <c r="BJ490" s="10"/>
      <c r="BK490" s="23"/>
      <c r="BL490" s="23"/>
      <c r="BM490" s="23"/>
      <c r="BN490" s="23"/>
      <c r="BO490" s="23"/>
      <c r="BP490" s="23"/>
      <c r="BQ490" s="23"/>
      <c r="BR490" s="10"/>
      <c r="BS490" s="16"/>
      <c r="BT490" s="16"/>
      <c r="BU490" s="16"/>
      <c r="BV490" s="16"/>
      <c r="BW490" s="11"/>
      <c r="BX490" s="16"/>
      <c r="BY490" s="16"/>
      <c r="BZ490" s="17"/>
      <c r="CA490" s="18"/>
      <c r="CB490" s="18"/>
      <c r="CC490" s="18"/>
      <c r="CD490" s="18"/>
      <c r="CE490" s="18"/>
      <c r="CF490" s="18"/>
      <c r="CG490" s="19"/>
      <c r="CH490" s="15"/>
      <c r="CI490" s="17"/>
      <c r="CJ490" s="10"/>
      <c r="CK490" s="10"/>
      <c r="CL490" s="10"/>
      <c r="CM490" s="17"/>
      <c r="CN490" s="17"/>
      <c r="CO490" s="10"/>
      <c r="CP490" s="10"/>
      <c r="CQ490" s="10"/>
      <c r="CR490" s="10"/>
      <c r="CS490" s="10"/>
      <c r="CT490" s="10"/>
      <c r="CU490" s="10"/>
      <c r="CV490" s="10"/>
      <c r="CW490" s="10"/>
      <c r="CX490" s="10"/>
      <c r="CY490" s="10"/>
      <c r="CZ490" s="10"/>
      <c r="DA490" s="34"/>
      <c r="DB490" s="34"/>
      <c r="DC490" s="34"/>
      <c r="DD490" s="34"/>
      <c r="DE490" s="34"/>
      <c r="DF490" s="34"/>
      <c r="DG490" s="34"/>
      <c r="DH490" s="34"/>
      <c r="DI490" s="34"/>
      <c r="DJ490" s="34"/>
      <c r="DK490" s="34"/>
      <c r="DL490" s="34"/>
      <c r="DM490" s="34"/>
      <c r="DN490" s="34"/>
      <c r="DO490" s="34"/>
      <c r="DP490" s="34"/>
      <c r="DQ490" s="34"/>
      <c r="DR490" s="34"/>
      <c r="DS490" s="34"/>
      <c r="DT490" s="34"/>
      <c r="DU490" s="34"/>
      <c r="DV490" s="34"/>
      <c r="DW490" s="34"/>
      <c r="DX490" s="34"/>
      <c r="DY490" s="34"/>
      <c r="DZ490" s="34"/>
      <c r="EA490" s="34"/>
      <c r="EB490" s="34"/>
      <c r="EC490" s="34"/>
      <c r="ED490" s="34"/>
      <c r="EE490" s="34"/>
    </row>
    <row r="491" spans="1:135" customFormat="1">
      <c r="A491" s="71">
        <f>'Old Data'!$I487-'Old Data'!$S487</f>
        <v>7</v>
      </c>
      <c r="B491" s="72">
        <f>VLOOKUP('Old Data'!$F487,$R$6:$T$135,2,FALSE)+VLOOKUP('Old Data'!$P487,$R$6:$T$135,3,FALSE)+$B$2</f>
        <v>150.9081425431439</v>
      </c>
      <c r="C491" s="72">
        <f>VLOOKUP('Old Data'!$P487,$R$6:$T$135,2,FALSE)+VLOOKUP('Old Data'!$F487,$R$6:$T$135,3,FALSE)+$B$2</f>
        <v>122.81266410602484</v>
      </c>
      <c r="D491" s="74">
        <f>('Old Data'!$I487-$B491)^2+('Old Data'!$S487-$C491)^2</f>
        <v>825.27681242995743</v>
      </c>
      <c r="E491" s="75">
        <f>'Old Data'!$K487-'Old Data'!$U487</f>
        <v>146</v>
      </c>
      <c r="F491" s="72">
        <f>VLOOKUP('Old Data'!$F487,$V$6:$X$135,2,FALSE)+VLOOKUP('Old Data'!$P487,$V$6:$X$135,3,FALSE)+$C$2</f>
        <v>297.72557201681741</v>
      </c>
      <c r="G491" s="72">
        <f>VLOOKUP('Old Data'!$P487,$V$6:$X$135,2,FALSE)+VLOOKUP('Old Data'!$F487,$V$6:$X$135,3,FALSE)+$C$2</f>
        <v>241.3561532965324</v>
      </c>
      <c r="H491" s="74">
        <f>('Old Data'!$K487-$F491)^2+('Old Data'!$U487-$G491)^2</f>
        <v>8537.0877945514494</v>
      </c>
      <c r="I491" s="75">
        <f>('Old Data'!$L487+'Old Data'!$M487)-('Old Data'!$V487+'Old Data'!$W487)</f>
        <v>1</v>
      </c>
      <c r="J491" s="72">
        <f>VLOOKUP('Old Data'!$F487,$Z$6:$AB$135,2,FALSE)+VLOOKUP('Old Data'!$P487,$Z$6:$AB$135,3,FALSE)+$D$2</f>
        <v>39.113451128979051</v>
      </c>
      <c r="K491" s="72">
        <f>VLOOKUP('Old Data'!$P487,$Z$6:$AB$135,2,FALSE)+VLOOKUP('Old Data'!$F487,$Z$6:$AB$135,3,FALSE)+$D$2</f>
        <v>96.752106923768679</v>
      </c>
      <c r="L491" s="74">
        <f>('Old Data'!$L487+'Old Data'!$M487-$J491)^2+('Old Data'!$V487+'Old Data'!$W487-$K491)^2</f>
        <v>3012.8984747186323</v>
      </c>
      <c r="M491" s="75">
        <f>'Old Data'!$N487-'Old Data'!$X487</f>
        <v>3</v>
      </c>
      <c r="N491" s="72">
        <f>VLOOKUP('Old Data'!$F487,$AD$6:$AF$135,2,FALSE)+VLOOKUP('Old Data'!$P487,$AD$6:$AF$135,3,FALSE)+$E$2</f>
        <v>2.4488197994290388</v>
      </c>
      <c r="O491" s="72">
        <f>VLOOKUP('Old Data'!$P487,$AD$6:$AF$135,2,FALSE)+VLOOKUP('Old Data'!$F487,$AD$6:$AF$135,3,FALSE)+$E$2</f>
        <v>0.54449627588954708</v>
      </c>
      <c r="P491" s="73">
        <f>('Old Data'!$N487-$N491)^2+('Old Data'!$X487-$O491)^2</f>
        <v>0.60027580795903068</v>
      </c>
      <c r="Q491" s="62"/>
      <c r="R491" s="3"/>
      <c r="S491" s="3"/>
      <c r="T491" s="3"/>
      <c r="V491" s="3"/>
      <c r="W491" s="3"/>
      <c r="X491" s="3"/>
      <c r="Z491" s="3"/>
      <c r="AA491" s="3"/>
      <c r="AB491" s="3"/>
      <c r="AC491" s="3"/>
      <c r="AD491" s="3"/>
      <c r="AE491" s="3"/>
      <c r="AF491" s="3"/>
      <c r="AG491" s="3"/>
      <c r="AH491" s="37"/>
      <c r="AI491" s="1"/>
      <c r="AK491" s="10"/>
      <c r="AL491" s="10"/>
      <c r="AM491" s="10"/>
      <c r="AN491" s="11"/>
      <c r="AO491" s="11"/>
      <c r="AP491" s="11"/>
      <c r="AQ491" s="36"/>
      <c r="AR491" s="11"/>
      <c r="AS491" s="11"/>
      <c r="AT491" s="11"/>
      <c r="AU491" s="12"/>
      <c r="AV491" s="11"/>
      <c r="AW491" s="11"/>
      <c r="AX491" s="15"/>
      <c r="AY491" s="15"/>
      <c r="AZ491" s="15"/>
      <c r="BA491" s="15"/>
      <c r="BB491" s="15"/>
      <c r="BC491" s="15"/>
      <c r="BD491" s="15"/>
      <c r="BE491" s="12"/>
      <c r="BF491" s="11"/>
      <c r="BG491" s="11"/>
      <c r="BH491" s="10"/>
      <c r="BI491" s="10"/>
      <c r="BJ491" s="10"/>
      <c r="BK491" s="23"/>
      <c r="BL491" s="23"/>
      <c r="BM491" s="23"/>
      <c r="BN491" s="23"/>
      <c r="BO491" s="23"/>
      <c r="BP491" s="23"/>
      <c r="BQ491" s="23"/>
      <c r="BR491" s="10"/>
      <c r="BS491" s="16"/>
      <c r="BT491" s="16"/>
      <c r="BU491" s="16"/>
      <c r="BV491" s="16"/>
      <c r="BW491" s="11"/>
      <c r="BX491" s="16"/>
      <c r="BY491" s="16"/>
      <c r="BZ491" s="17"/>
      <c r="CA491" s="18"/>
      <c r="CB491" s="18"/>
      <c r="CC491" s="18"/>
      <c r="CD491" s="18"/>
      <c r="CE491" s="18"/>
      <c r="CF491" s="18"/>
      <c r="CG491" s="19"/>
      <c r="CH491" s="15"/>
      <c r="CI491" s="17"/>
      <c r="CJ491" s="10"/>
      <c r="CK491" s="10"/>
      <c r="CL491" s="10"/>
      <c r="CM491" s="17"/>
      <c r="CN491" s="17"/>
      <c r="CO491" s="10"/>
      <c r="CP491" s="10"/>
      <c r="CQ491" s="10"/>
      <c r="CR491" s="10"/>
      <c r="CS491" s="10"/>
      <c r="CT491" s="10"/>
      <c r="CU491" s="10"/>
      <c r="CV491" s="10"/>
      <c r="CW491" s="10"/>
      <c r="CX491" s="10"/>
      <c r="CY491" s="10"/>
      <c r="CZ491" s="10"/>
      <c r="DA491" s="34"/>
      <c r="DB491" s="34"/>
      <c r="DC491" s="34"/>
      <c r="DD491" s="34"/>
      <c r="DE491" s="34"/>
      <c r="DF491" s="34"/>
      <c r="DG491" s="34"/>
      <c r="DH491" s="34"/>
      <c r="DI491" s="34"/>
      <c r="DJ491" s="34"/>
      <c r="DK491" s="34"/>
      <c r="DL491" s="34"/>
      <c r="DM491" s="34"/>
      <c r="DN491" s="34"/>
      <c r="DO491" s="34"/>
      <c r="DP491" s="34"/>
      <c r="DQ491" s="34"/>
      <c r="DR491" s="34"/>
      <c r="DS491" s="34"/>
      <c r="DT491" s="34"/>
      <c r="DU491" s="34"/>
      <c r="DV491" s="34"/>
      <c r="DW491" s="34"/>
      <c r="DX491" s="34"/>
      <c r="DY491" s="34"/>
      <c r="DZ491" s="34"/>
      <c r="EA491" s="34"/>
      <c r="EB491" s="34"/>
      <c r="EC491" s="34"/>
      <c r="ED491" s="34"/>
      <c r="EE491" s="34"/>
    </row>
    <row r="492" spans="1:135" customFormat="1">
      <c r="A492" s="71">
        <f>'Old Data'!$I488-'Old Data'!$S488</f>
        <v>-62</v>
      </c>
      <c r="B492" s="72">
        <f>VLOOKUP('Old Data'!$F488,$R$6:$T$135,2,FALSE)+VLOOKUP('Old Data'!$P488,$R$6:$T$135,3,FALSE)+$B$2</f>
        <v>66.288052320055115</v>
      </c>
      <c r="C492" s="72">
        <f>VLOOKUP('Old Data'!$P488,$R$6:$T$135,2,FALSE)+VLOOKUP('Old Data'!$F488,$R$6:$T$135,3,FALSE)+$B$2</f>
        <v>209.07272018125713</v>
      </c>
      <c r="D492" s="74">
        <f>('Old Data'!$I488-$B492)^2+('Old Data'!$S488-$C492)^2</f>
        <v>9026.2490167616234</v>
      </c>
      <c r="E492" s="75">
        <f>'Old Data'!$K488-'Old Data'!$U488</f>
        <v>32</v>
      </c>
      <c r="F492" s="72">
        <f>VLOOKUP('Old Data'!$F488,$V$6:$X$135,2,FALSE)+VLOOKUP('Old Data'!$P488,$V$6:$X$135,3,FALSE)+$C$2</f>
        <v>143.2759141922588</v>
      </c>
      <c r="G492" s="72">
        <f>VLOOKUP('Old Data'!$P488,$V$6:$X$135,2,FALSE)+VLOOKUP('Old Data'!$F488,$V$6:$X$135,3,FALSE)+$C$2</f>
        <v>159.67084598712279</v>
      </c>
      <c r="H492" s="74">
        <f>('Old Data'!$K488-$F492)^2+('Old Data'!$U488-$G492)^2</f>
        <v>45291.348355677685</v>
      </c>
      <c r="I492" s="75">
        <f>('Old Data'!$L488+'Old Data'!$M488)-('Old Data'!$V488+'Old Data'!$W488)</f>
        <v>23</v>
      </c>
      <c r="J492" s="72">
        <f>VLOOKUP('Old Data'!$F488,$Z$6:$AB$135,2,FALSE)+VLOOKUP('Old Data'!$P488,$Z$6:$AB$135,3,FALSE)+$D$2</f>
        <v>48.944195333452846</v>
      </c>
      <c r="K492" s="72">
        <f>VLOOKUP('Old Data'!$P488,$Z$6:$AB$135,2,FALSE)+VLOOKUP('Old Data'!$F488,$Z$6:$AB$135,3,FALSE)+$D$2</f>
        <v>19.691191115149479</v>
      </c>
      <c r="L492" s="74">
        <f>('Old Data'!$L488+'Old Data'!$M488-$J492)^2+('Old Data'!$V488+'Old Data'!$W488-$K492)^2</f>
        <v>87.241139781219175</v>
      </c>
      <c r="M492" s="75">
        <f>'Old Data'!$N488-'Old Data'!$X488</f>
        <v>-1</v>
      </c>
      <c r="N492" s="72">
        <f>VLOOKUP('Old Data'!$F488,$AD$6:$AF$135,2,FALSE)+VLOOKUP('Old Data'!$P488,$AD$6:$AF$135,3,FALSE)+$E$2</f>
        <v>1.0455458430542881</v>
      </c>
      <c r="O492" s="72">
        <f>VLOOKUP('Old Data'!$P488,$AD$6:$AF$135,2,FALSE)+VLOOKUP('Old Data'!$F488,$AD$6:$AF$135,3,FALSE)+$E$2</f>
        <v>1.6103987569344982</v>
      </c>
      <c r="P492" s="73">
        <f>('Old Data'!$N488-$N492)^2+('Old Data'!$X488-$O492)^2</f>
        <v>2.8419743524401375</v>
      </c>
      <c r="Q492" s="62"/>
      <c r="R492" s="3"/>
      <c r="S492" s="3"/>
      <c r="T492" s="3"/>
      <c r="V492" s="3"/>
      <c r="W492" s="3"/>
      <c r="X492" s="3"/>
      <c r="Z492" s="3"/>
      <c r="AA492" s="3"/>
      <c r="AB492" s="3"/>
      <c r="AC492" s="3"/>
      <c r="AD492" s="3"/>
      <c r="AE492" s="3"/>
      <c r="AF492" s="3"/>
      <c r="AG492" s="3"/>
      <c r="AH492" s="37"/>
      <c r="AI492" s="1"/>
      <c r="AK492" s="10"/>
      <c r="AL492" s="10"/>
      <c r="AM492" s="10"/>
      <c r="AN492" s="11"/>
      <c r="AO492" s="11"/>
      <c r="AP492" s="11"/>
      <c r="AQ492" s="36"/>
      <c r="AR492" s="11"/>
      <c r="AS492" s="11"/>
      <c r="AT492" s="11"/>
      <c r="AU492" s="12"/>
      <c r="AV492" s="11"/>
      <c r="AW492" s="11"/>
      <c r="AX492" s="15"/>
      <c r="AY492" s="15"/>
      <c r="AZ492" s="15"/>
      <c r="BA492" s="15"/>
      <c r="BB492" s="15"/>
      <c r="BC492" s="15"/>
      <c r="BD492" s="15"/>
      <c r="BE492" s="12"/>
      <c r="BF492" s="11"/>
      <c r="BG492" s="11"/>
      <c r="BH492" s="10"/>
      <c r="BI492" s="10"/>
      <c r="BJ492" s="10"/>
      <c r="BK492" s="23"/>
      <c r="BL492" s="23"/>
      <c r="BM492" s="23"/>
      <c r="BN492" s="23"/>
      <c r="BO492" s="23"/>
      <c r="BP492" s="23"/>
      <c r="BQ492" s="23"/>
      <c r="BR492" s="10"/>
      <c r="BS492" s="16"/>
      <c r="BT492" s="16"/>
      <c r="BU492" s="16"/>
      <c r="BV492" s="16"/>
      <c r="BW492" s="11"/>
      <c r="BX492" s="16"/>
      <c r="BY492" s="16"/>
      <c r="BZ492" s="17"/>
      <c r="CA492" s="18"/>
      <c r="CB492" s="18"/>
      <c r="CC492" s="18"/>
      <c r="CD492" s="18"/>
      <c r="CE492" s="18"/>
      <c r="CF492" s="18"/>
      <c r="CG492" s="19"/>
      <c r="CH492" s="15"/>
      <c r="CI492" s="17"/>
      <c r="CJ492" s="10"/>
      <c r="CK492" s="10"/>
      <c r="CL492" s="10"/>
      <c r="CM492" s="17"/>
      <c r="CN492" s="17"/>
      <c r="CO492" s="10"/>
      <c r="CP492" s="10"/>
      <c r="CQ492" s="10"/>
      <c r="CR492" s="10"/>
      <c r="CS492" s="10"/>
      <c r="CT492" s="10"/>
      <c r="CU492" s="10"/>
      <c r="CV492" s="10"/>
      <c r="CW492" s="10"/>
      <c r="CX492" s="10"/>
      <c r="CY492" s="10"/>
      <c r="CZ492" s="10"/>
      <c r="DA492" s="34"/>
      <c r="DB492" s="34"/>
      <c r="DC492" s="34"/>
      <c r="DD492" s="34"/>
      <c r="DE492" s="34"/>
      <c r="DF492" s="34"/>
      <c r="DG492" s="34"/>
      <c r="DH492" s="34"/>
      <c r="DI492" s="34"/>
      <c r="DJ492" s="34"/>
      <c r="DK492" s="34"/>
      <c r="DL492" s="34"/>
      <c r="DM492" s="34"/>
      <c r="DN492" s="34"/>
      <c r="DO492" s="34"/>
      <c r="DP492" s="34"/>
      <c r="DQ492" s="34"/>
      <c r="DR492" s="34"/>
      <c r="DS492" s="34"/>
      <c r="DT492" s="34"/>
      <c r="DU492" s="34"/>
      <c r="DV492" s="34"/>
      <c r="DW492" s="34"/>
      <c r="DX492" s="34"/>
      <c r="DY492" s="34"/>
      <c r="DZ492" s="34"/>
      <c r="EA492" s="34"/>
      <c r="EB492" s="34"/>
      <c r="EC492" s="34"/>
      <c r="ED492" s="34"/>
      <c r="EE492" s="34"/>
    </row>
    <row r="493" spans="1:135" customFormat="1">
      <c r="A493" s="71">
        <f>'Old Data'!$I489-'Old Data'!$S489</f>
        <v>-125</v>
      </c>
      <c r="B493" s="72">
        <f>VLOOKUP('Old Data'!$F489,$R$6:$T$135,2,FALSE)+VLOOKUP('Old Data'!$P489,$R$6:$T$135,3,FALSE)+$B$2</f>
        <v>84.7664746553789</v>
      </c>
      <c r="C493" s="72">
        <f>VLOOKUP('Old Data'!$P489,$R$6:$T$135,2,FALSE)+VLOOKUP('Old Data'!$F489,$R$6:$T$135,3,FALSE)+$B$2</f>
        <v>132.27717131993279</v>
      </c>
      <c r="D493" s="74">
        <f>('Old Data'!$I489-$B493)^2+('Old Data'!$S489-$C493)^2</f>
        <v>3648.7257630807494</v>
      </c>
      <c r="E493" s="75">
        <f>'Old Data'!$K489-'Old Data'!$U489</f>
        <v>121</v>
      </c>
      <c r="F493" s="72">
        <f>VLOOKUP('Old Data'!$F489,$V$6:$X$135,2,FALSE)+VLOOKUP('Old Data'!$P489,$V$6:$X$135,3,FALSE)+$C$2</f>
        <v>233.14010609099844</v>
      </c>
      <c r="G493" s="72">
        <f>VLOOKUP('Old Data'!$P489,$V$6:$X$135,2,FALSE)+VLOOKUP('Old Data'!$F489,$V$6:$X$135,3,FALSE)+$C$2</f>
        <v>254.7148774085928</v>
      </c>
      <c r="H493" s="74">
        <f>('Old Data'!$K489-$F493)^2+('Old Data'!$U489-$G493)^2</f>
        <v>21586.190714586581</v>
      </c>
      <c r="I493" s="75">
        <f>('Old Data'!$L489+'Old Data'!$M489)-('Old Data'!$V489+'Old Data'!$W489)</f>
        <v>-16</v>
      </c>
      <c r="J493" s="72">
        <f>VLOOKUP('Old Data'!$F489,$Z$6:$AB$135,2,FALSE)+VLOOKUP('Old Data'!$P489,$Z$6:$AB$135,3,FALSE)+$D$2</f>
        <v>65.936067345412482</v>
      </c>
      <c r="K493" s="72">
        <f>VLOOKUP('Old Data'!$P489,$Z$6:$AB$135,2,FALSE)+VLOOKUP('Old Data'!$F489,$Z$6:$AB$135,3,FALSE)+$D$2</f>
        <v>33.12443899636466</v>
      </c>
      <c r="L493" s="74">
        <f>('Old Data'!$L489+'Old Data'!$M489-$J493)^2+('Old Data'!$V489+'Old Data'!$W489-$K493)^2</f>
        <v>5146.4042971333165</v>
      </c>
      <c r="M493" s="75">
        <f>'Old Data'!$N489-'Old Data'!$X489</f>
        <v>-4</v>
      </c>
      <c r="N493" s="72">
        <f>VLOOKUP('Old Data'!$F489,$AD$6:$AF$135,2,FALSE)+VLOOKUP('Old Data'!$P489,$AD$6:$AF$135,3,FALSE)+$E$2</f>
        <v>0.74193014969634108</v>
      </c>
      <c r="O493" s="72">
        <f>VLOOKUP('Old Data'!$P489,$AD$6:$AF$135,2,FALSE)+VLOOKUP('Old Data'!$F489,$AD$6:$AF$135,3,FALSE)+$E$2</f>
        <v>2.2864979152164593</v>
      </c>
      <c r="P493" s="73">
        <f>('Old Data'!$N489-$N493)^2+('Old Data'!$X489-$O493)^2</f>
        <v>3.4865497415859754</v>
      </c>
      <c r="Q493" s="62"/>
      <c r="R493" s="3"/>
      <c r="S493" s="3"/>
      <c r="T493" s="3"/>
      <c r="V493" s="3"/>
      <c r="W493" s="3"/>
      <c r="X493" s="3"/>
      <c r="Z493" s="3"/>
      <c r="AA493" s="3"/>
      <c r="AB493" s="3"/>
      <c r="AC493" s="3"/>
      <c r="AD493" s="3"/>
      <c r="AE493" s="3"/>
      <c r="AF493" s="3"/>
      <c r="AG493" s="3"/>
      <c r="AH493" s="37"/>
      <c r="AI493" s="1"/>
      <c r="AK493" s="10"/>
      <c r="AL493" s="10"/>
      <c r="AM493" s="10"/>
      <c r="AN493" s="11"/>
      <c r="AO493" s="11"/>
      <c r="AP493" s="11"/>
      <c r="AQ493" s="36"/>
      <c r="AR493" s="11"/>
      <c r="AS493" s="11"/>
      <c r="AT493" s="11"/>
      <c r="AU493" s="12"/>
      <c r="AV493" s="11"/>
      <c r="AW493" s="11"/>
      <c r="AX493" s="15"/>
      <c r="AY493" s="15"/>
      <c r="AZ493" s="15"/>
      <c r="BA493" s="15"/>
      <c r="BB493" s="15"/>
      <c r="BC493" s="15"/>
      <c r="BD493" s="15"/>
      <c r="BE493" s="12"/>
      <c r="BF493" s="11"/>
      <c r="BG493" s="11"/>
      <c r="BH493" s="10"/>
      <c r="BI493" s="10"/>
      <c r="BJ493" s="10"/>
      <c r="BK493" s="23"/>
      <c r="BL493" s="23"/>
      <c r="BM493" s="23"/>
      <c r="BN493" s="23"/>
      <c r="BO493" s="23"/>
      <c r="BP493" s="23"/>
      <c r="BQ493" s="23"/>
      <c r="BR493" s="10"/>
      <c r="BS493" s="16"/>
      <c r="BT493" s="16"/>
      <c r="BU493" s="16"/>
      <c r="BV493" s="16"/>
      <c r="BW493" s="11"/>
      <c r="BX493" s="16"/>
      <c r="BY493" s="16"/>
      <c r="BZ493" s="17"/>
      <c r="CA493" s="18"/>
      <c r="CB493" s="18"/>
      <c r="CC493" s="18"/>
      <c r="CD493" s="18"/>
      <c r="CE493" s="18"/>
      <c r="CF493" s="18"/>
      <c r="CG493" s="19"/>
      <c r="CH493" s="15"/>
      <c r="CI493" s="17"/>
      <c r="CJ493" s="10"/>
      <c r="CK493" s="10"/>
      <c r="CL493" s="10"/>
      <c r="CM493" s="17"/>
      <c r="CN493" s="17"/>
      <c r="CO493" s="10"/>
      <c r="CP493" s="10"/>
      <c r="CQ493" s="10"/>
      <c r="CR493" s="10"/>
      <c r="CS493" s="10"/>
      <c r="CT493" s="10"/>
      <c r="CU493" s="10"/>
      <c r="CV493" s="10"/>
      <c r="CW493" s="10"/>
      <c r="CX493" s="10"/>
      <c r="CY493" s="10"/>
      <c r="CZ493" s="10"/>
      <c r="DA493" s="34"/>
      <c r="DB493" s="34"/>
      <c r="DC493" s="34"/>
      <c r="DD493" s="34"/>
      <c r="DE493" s="34"/>
      <c r="DF493" s="34"/>
      <c r="DG493" s="34"/>
      <c r="DH493" s="34"/>
      <c r="DI493" s="34"/>
      <c r="DJ493" s="34"/>
      <c r="DK493" s="34"/>
      <c r="DL493" s="34"/>
      <c r="DM493" s="34"/>
      <c r="DN493" s="34"/>
      <c r="DO493" s="34"/>
      <c r="DP493" s="34"/>
      <c r="DQ493" s="34"/>
      <c r="DR493" s="34"/>
      <c r="DS493" s="34"/>
      <c r="DT493" s="34"/>
      <c r="DU493" s="34"/>
      <c r="DV493" s="34"/>
      <c r="DW493" s="34"/>
      <c r="DX493" s="34"/>
      <c r="DY493" s="34"/>
      <c r="DZ493" s="34"/>
      <c r="EA493" s="34"/>
      <c r="EB493" s="34"/>
      <c r="EC493" s="34"/>
      <c r="ED493" s="34"/>
      <c r="EE493" s="34"/>
    </row>
    <row r="494" spans="1:135" customFormat="1">
      <c r="A494" s="71">
        <f>'Old Data'!$I490-'Old Data'!$S490</f>
        <v>-174</v>
      </c>
      <c r="B494" s="72">
        <f>VLOOKUP('Old Data'!$F490,$R$6:$T$135,2,FALSE)+VLOOKUP('Old Data'!$P490,$R$6:$T$135,3,FALSE)+$B$2</f>
        <v>103.15442334341984</v>
      </c>
      <c r="C494" s="72">
        <f>VLOOKUP('Old Data'!$P490,$R$6:$T$135,2,FALSE)+VLOOKUP('Old Data'!$F490,$R$6:$T$135,3,FALSE)+$B$2</f>
        <v>251.87265940505699</v>
      </c>
      <c r="D494" s="74">
        <f>('Old Data'!$I490-$B494)^2+('Old Data'!$S490-$C494)^2</f>
        <v>331.94874691280035</v>
      </c>
      <c r="E494" s="75">
        <f>'Old Data'!$K490-'Old Data'!$U490</f>
        <v>-100</v>
      </c>
      <c r="F494" s="72">
        <f>VLOOKUP('Old Data'!$F490,$V$6:$X$135,2,FALSE)+VLOOKUP('Old Data'!$P490,$V$6:$X$135,3,FALSE)+$C$2</f>
        <v>145.9217393621671</v>
      </c>
      <c r="G494" s="72">
        <f>VLOOKUP('Old Data'!$P490,$V$6:$X$135,2,FALSE)+VLOOKUP('Old Data'!$F490,$V$6:$X$135,3,FALSE)+$C$2</f>
        <v>257.60496025837119</v>
      </c>
      <c r="H494" s="74">
        <f>('Old Data'!$K490-$F494)^2+('Old Data'!$U490-$G494)^2</f>
        <v>447.1084212544215</v>
      </c>
      <c r="I494" s="75">
        <f>('Old Data'!$L490+'Old Data'!$M490)-('Old Data'!$V490+'Old Data'!$W490)</f>
        <v>-10</v>
      </c>
      <c r="J494" s="72">
        <f>VLOOKUP('Old Data'!$F490,$Z$6:$AB$135,2,FALSE)+VLOOKUP('Old Data'!$P490,$Z$6:$AB$135,3,FALSE)+$D$2</f>
        <v>81.978750096377155</v>
      </c>
      <c r="K494" s="72">
        <f>VLOOKUP('Old Data'!$P490,$Z$6:$AB$135,2,FALSE)+VLOOKUP('Old Data'!$F490,$Z$6:$AB$135,3,FALSE)+$D$2</f>
        <v>53.41793664218801</v>
      </c>
      <c r="L494" s="74">
        <f>('Old Data'!$L490+'Old Data'!$M490-$J494)^2+('Old Data'!$V490+'Old Data'!$W490-$K494)^2</f>
        <v>1342.1628114588832</v>
      </c>
      <c r="M494" s="75">
        <f>'Old Data'!$N490-'Old Data'!$X490</f>
        <v>0</v>
      </c>
      <c r="N494" s="72">
        <f>VLOOKUP('Old Data'!$F490,$AD$6:$AF$135,2,FALSE)+VLOOKUP('Old Data'!$P490,$AD$6:$AF$135,3,FALSE)+$E$2</f>
        <v>1.112915146116237</v>
      </c>
      <c r="O494" s="72">
        <f>VLOOKUP('Old Data'!$P490,$AD$6:$AF$135,2,FALSE)+VLOOKUP('Old Data'!$F490,$AD$6:$AF$135,3,FALSE)+$E$2</f>
        <v>1.7647277874664562</v>
      </c>
      <c r="P494" s="73">
        <f>('Old Data'!$N490-$N494)^2+('Old Data'!$X490-$O494)^2</f>
        <v>0.59755841914579255</v>
      </c>
      <c r="Q494" s="62"/>
      <c r="R494" s="3"/>
      <c r="S494" s="3"/>
      <c r="T494" s="3"/>
      <c r="V494" s="3"/>
      <c r="W494" s="3"/>
      <c r="X494" s="3"/>
      <c r="Z494" s="3"/>
      <c r="AA494" s="3"/>
      <c r="AB494" s="3"/>
      <c r="AC494" s="3"/>
      <c r="AD494" s="3"/>
      <c r="AE494" s="3"/>
      <c r="AF494" s="3"/>
      <c r="AG494" s="3"/>
      <c r="AH494" s="37"/>
      <c r="AI494" s="1"/>
      <c r="AK494" s="10"/>
      <c r="AL494" s="10"/>
      <c r="AM494" s="10"/>
      <c r="AN494" s="11"/>
      <c r="AO494" s="11"/>
      <c r="AP494" s="11"/>
      <c r="AQ494" s="36"/>
      <c r="AR494" s="11"/>
      <c r="AS494" s="11"/>
      <c r="AT494" s="11"/>
      <c r="AU494" s="12"/>
      <c r="AV494" s="11"/>
      <c r="AW494" s="11"/>
      <c r="AX494" s="15"/>
      <c r="AY494" s="15"/>
      <c r="AZ494" s="15"/>
      <c r="BA494" s="15"/>
      <c r="BB494" s="15"/>
      <c r="BC494" s="15"/>
      <c r="BD494" s="15"/>
      <c r="BE494" s="12"/>
      <c r="BF494" s="11"/>
      <c r="BG494" s="11"/>
      <c r="BH494" s="10"/>
      <c r="BI494" s="10"/>
      <c r="BJ494" s="10"/>
      <c r="BK494" s="23"/>
      <c r="BL494" s="23"/>
      <c r="BM494" s="23"/>
      <c r="BN494" s="23"/>
      <c r="BO494" s="23"/>
      <c r="BP494" s="23"/>
      <c r="BQ494" s="23"/>
      <c r="BR494" s="10"/>
      <c r="BS494" s="16"/>
      <c r="BT494" s="16"/>
      <c r="BU494" s="16"/>
      <c r="BV494" s="16"/>
      <c r="BW494" s="11"/>
      <c r="BX494" s="16"/>
      <c r="BY494" s="16"/>
      <c r="BZ494" s="17"/>
      <c r="CA494" s="18"/>
      <c r="CB494" s="18"/>
      <c r="CC494" s="18"/>
      <c r="CD494" s="18"/>
      <c r="CE494" s="18"/>
      <c r="CF494" s="18"/>
      <c r="CG494" s="19"/>
      <c r="CH494" s="15"/>
      <c r="CI494" s="17"/>
      <c r="CJ494" s="10"/>
      <c r="CK494" s="10"/>
      <c r="CL494" s="10"/>
      <c r="CM494" s="17"/>
      <c r="CN494" s="17"/>
      <c r="CO494" s="10"/>
      <c r="CP494" s="10"/>
      <c r="CQ494" s="10"/>
      <c r="CR494" s="10"/>
      <c r="CS494" s="10"/>
      <c r="CT494" s="10"/>
      <c r="CU494" s="10"/>
      <c r="CV494" s="10"/>
      <c r="CW494" s="10"/>
      <c r="CX494" s="10"/>
      <c r="CY494" s="10"/>
      <c r="CZ494" s="10"/>
      <c r="DA494" s="34"/>
      <c r="DB494" s="34"/>
      <c r="DC494" s="34"/>
      <c r="DD494" s="34"/>
      <c r="DE494" s="34"/>
      <c r="DF494" s="34"/>
      <c r="DG494" s="34"/>
      <c r="DH494" s="34"/>
      <c r="DI494" s="34"/>
      <c r="DJ494" s="34"/>
      <c r="DK494" s="34"/>
      <c r="DL494" s="34"/>
      <c r="DM494" s="34"/>
      <c r="DN494" s="34"/>
      <c r="DO494" s="34"/>
      <c r="DP494" s="34"/>
      <c r="DQ494" s="34"/>
      <c r="DR494" s="34"/>
      <c r="DS494" s="34"/>
      <c r="DT494" s="34"/>
      <c r="DU494" s="34"/>
      <c r="DV494" s="34"/>
      <c r="DW494" s="34"/>
      <c r="DX494" s="34"/>
      <c r="DY494" s="34"/>
      <c r="DZ494" s="34"/>
      <c r="EA494" s="34"/>
      <c r="EB494" s="34"/>
      <c r="EC494" s="34"/>
      <c r="ED494" s="34"/>
      <c r="EE494" s="34"/>
    </row>
    <row r="495" spans="1:135" customFormat="1">
      <c r="A495" s="71">
        <f>'Old Data'!$I491-'Old Data'!$S491</f>
        <v>136</v>
      </c>
      <c r="B495" s="72">
        <f>VLOOKUP('Old Data'!$F491,$R$6:$T$135,2,FALSE)+VLOOKUP('Old Data'!$P491,$R$6:$T$135,3,FALSE)+$B$2</f>
        <v>275.54677883567399</v>
      </c>
      <c r="C495" s="72">
        <f>VLOOKUP('Old Data'!$P491,$R$6:$T$135,2,FALSE)+VLOOKUP('Old Data'!$F491,$R$6:$T$135,3,FALSE)+$B$2</f>
        <v>133.90297210415463</v>
      </c>
      <c r="D495" s="74">
        <f>('Old Data'!$I491-$B495)^2+('Old Data'!$S491-$C495)^2</f>
        <v>1903.9622224948557</v>
      </c>
      <c r="E495" s="75">
        <f>'Old Data'!$K491-'Old Data'!$U491</f>
        <v>354</v>
      </c>
      <c r="F495" s="72">
        <f>VLOOKUP('Old Data'!$F491,$V$6:$X$135,2,FALSE)+VLOOKUP('Old Data'!$P491,$V$6:$X$135,3,FALSE)+$C$2</f>
        <v>366.46987209666429</v>
      </c>
      <c r="G495" s="72">
        <f>VLOOKUP('Old Data'!$P491,$V$6:$X$135,2,FALSE)+VLOOKUP('Old Data'!$F491,$V$6:$X$135,3,FALSE)+$C$2</f>
        <v>173.22532644272883</v>
      </c>
      <c r="H495" s="74">
        <f>('Old Data'!$K491-$F495)^2+('Old Data'!$U491-$G495)^2</f>
        <v>16308.198222739778</v>
      </c>
      <c r="I495" s="75">
        <f>('Old Data'!$L491+'Old Data'!$M491)-('Old Data'!$V491+'Old Data'!$W491)</f>
        <v>-39</v>
      </c>
      <c r="J495" s="72">
        <f>VLOOKUP('Old Data'!$F491,$Z$6:$AB$135,2,FALSE)+VLOOKUP('Old Data'!$P491,$Z$6:$AB$135,3,FALSE)+$D$2</f>
        <v>86.777799397066786</v>
      </c>
      <c r="K495" s="72">
        <f>VLOOKUP('Old Data'!$P491,$Z$6:$AB$135,2,FALSE)+VLOOKUP('Old Data'!$F491,$Z$6:$AB$135,3,FALSE)+$D$2</f>
        <v>131.94741462300391</v>
      </c>
      <c r="L495" s="74">
        <f>('Old Data'!$L491+'Old Data'!$M491-$J495)^2+('Old Data'!$V491+'Old Data'!$W491-$K495)^2</f>
        <v>522.27667832770271</v>
      </c>
      <c r="M495" s="75">
        <f>'Old Data'!$N491-'Old Data'!$X491</f>
        <v>-3</v>
      </c>
      <c r="N495" s="72">
        <f>VLOOKUP('Old Data'!$F491,$AD$6:$AF$135,2,FALSE)+VLOOKUP('Old Data'!$P491,$AD$6:$AF$135,3,FALSE)+$E$2</f>
        <v>1.2052199890276212</v>
      </c>
      <c r="O495" s="72">
        <f>VLOOKUP('Old Data'!$P491,$AD$6:$AF$135,2,FALSE)+VLOOKUP('Old Data'!$F491,$AD$6:$AF$135,3,FALSE)+$E$2</f>
        <v>1.6084579650267821</v>
      </c>
      <c r="P495" s="73">
        <f>('Old Data'!$N491-$N495)^2+('Old Data'!$X491-$O495)^2</f>
        <v>3.3889444570491438</v>
      </c>
      <c r="Q495" s="62"/>
      <c r="R495" s="3"/>
      <c r="S495" s="3"/>
      <c r="T495" s="3"/>
      <c r="V495" s="3"/>
      <c r="W495" s="3"/>
      <c r="X495" s="3"/>
      <c r="Z495" s="3"/>
      <c r="AA495" s="3"/>
      <c r="AB495" s="3"/>
      <c r="AC495" s="3"/>
      <c r="AD495" s="3"/>
      <c r="AE495" s="3"/>
      <c r="AF495" s="3"/>
      <c r="AG495" s="3"/>
      <c r="AH495" s="37"/>
      <c r="AI495" s="1"/>
      <c r="AK495" s="10"/>
      <c r="AL495" s="10"/>
      <c r="AM495" s="10"/>
      <c r="AN495" s="11"/>
      <c r="AO495" s="11"/>
      <c r="AP495" s="11"/>
      <c r="AQ495" s="36"/>
      <c r="AR495" s="11"/>
      <c r="AS495" s="11"/>
      <c r="AT495" s="11"/>
      <c r="AU495" s="12"/>
      <c r="AV495" s="11"/>
      <c r="AW495" s="11"/>
      <c r="AX495" s="15"/>
      <c r="AY495" s="15"/>
      <c r="AZ495" s="15"/>
      <c r="BA495" s="15"/>
      <c r="BB495" s="15"/>
      <c r="BC495" s="15"/>
      <c r="BD495" s="15"/>
      <c r="BE495" s="12"/>
      <c r="BF495" s="11"/>
      <c r="BG495" s="11"/>
      <c r="BH495" s="10"/>
      <c r="BI495" s="10"/>
      <c r="BJ495" s="10"/>
      <c r="BK495" s="23"/>
      <c r="BL495" s="23"/>
      <c r="BM495" s="23"/>
      <c r="BN495" s="23"/>
      <c r="BO495" s="23"/>
      <c r="BP495" s="23"/>
      <c r="BQ495" s="23"/>
      <c r="BR495" s="10"/>
      <c r="BS495" s="16"/>
      <c r="BT495" s="16"/>
      <c r="BU495" s="16"/>
      <c r="BV495" s="16"/>
      <c r="BW495" s="11"/>
      <c r="BX495" s="16"/>
      <c r="BY495" s="16"/>
      <c r="BZ495" s="17"/>
      <c r="CA495" s="18"/>
      <c r="CB495" s="18"/>
      <c r="CC495" s="18"/>
      <c r="CD495" s="18"/>
      <c r="CE495" s="18"/>
      <c r="CF495" s="18"/>
      <c r="CG495" s="19"/>
      <c r="CH495" s="15"/>
      <c r="CI495" s="17"/>
      <c r="CJ495" s="10"/>
      <c r="CK495" s="10"/>
      <c r="CL495" s="10"/>
      <c r="CM495" s="17"/>
      <c r="CN495" s="17"/>
      <c r="CO495" s="10"/>
      <c r="CP495" s="10"/>
      <c r="CQ495" s="10"/>
      <c r="CR495" s="10"/>
      <c r="CS495" s="10"/>
      <c r="CT495" s="10"/>
      <c r="CU495" s="10"/>
      <c r="CV495" s="10"/>
      <c r="CW495" s="10"/>
      <c r="CX495" s="10"/>
      <c r="CY495" s="10"/>
      <c r="CZ495" s="10"/>
      <c r="DA495" s="34"/>
      <c r="DB495" s="34"/>
      <c r="DC495" s="34"/>
      <c r="DD495" s="34"/>
      <c r="DE495" s="34"/>
      <c r="DF495" s="34"/>
      <c r="DG495" s="34"/>
      <c r="DH495" s="34"/>
      <c r="DI495" s="34"/>
      <c r="DJ495" s="34"/>
      <c r="DK495" s="34"/>
      <c r="DL495" s="34"/>
      <c r="DM495" s="34"/>
      <c r="DN495" s="34"/>
      <c r="DO495" s="34"/>
      <c r="DP495" s="34"/>
      <c r="DQ495" s="34"/>
      <c r="DR495" s="34"/>
      <c r="DS495" s="34"/>
      <c r="DT495" s="34"/>
      <c r="DU495" s="34"/>
      <c r="DV495" s="34"/>
      <c r="DW495" s="34"/>
      <c r="DX495" s="34"/>
      <c r="DY495" s="34"/>
      <c r="DZ495" s="34"/>
      <c r="EA495" s="34"/>
      <c r="EB495" s="34"/>
      <c r="EC495" s="34"/>
      <c r="ED495" s="34"/>
      <c r="EE495" s="34"/>
    </row>
    <row r="496" spans="1:135" customFormat="1">
      <c r="A496" s="71">
        <f>'Old Data'!$I492-'Old Data'!$S492</f>
        <v>-136</v>
      </c>
      <c r="B496" s="72">
        <f>VLOOKUP('Old Data'!$F492,$R$6:$T$135,2,FALSE)+VLOOKUP('Old Data'!$P492,$R$6:$T$135,3,FALSE)+$B$2</f>
        <v>133.90297210415463</v>
      </c>
      <c r="C496" s="72">
        <f>VLOOKUP('Old Data'!$P492,$R$6:$T$135,2,FALSE)+VLOOKUP('Old Data'!$F492,$R$6:$T$135,3,FALSE)+$B$2</f>
        <v>275.54677883567399</v>
      </c>
      <c r="D496" s="74">
        <f>('Old Data'!$I492-$B496)^2+('Old Data'!$S492-$C496)^2</f>
        <v>1903.9622224948557</v>
      </c>
      <c r="E496" s="75">
        <f>'Old Data'!$K492-'Old Data'!$U492</f>
        <v>-354</v>
      </c>
      <c r="F496" s="72">
        <f>VLOOKUP('Old Data'!$F492,$V$6:$X$135,2,FALSE)+VLOOKUP('Old Data'!$P492,$V$6:$X$135,3,FALSE)+$C$2</f>
        <v>173.22532644272883</v>
      </c>
      <c r="G496" s="72">
        <f>VLOOKUP('Old Data'!$P492,$V$6:$X$135,2,FALSE)+VLOOKUP('Old Data'!$F492,$V$6:$X$135,3,FALSE)+$C$2</f>
        <v>366.46987209666429</v>
      </c>
      <c r="H496" s="74">
        <f>('Old Data'!$K492-$F496)^2+('Old Data'!$U492-$G496)^2</f>
        <v>16308.198222739778</v>
      </c>
      <c r="I496" s="75">
        <f>('Old Data'!$L492+'Old Data'!$M492)-('Old Data'!$V492+'Old Data'!$W492)</f>
        <v>39</v>
      </c>
      <c r="J496" s="72">
        <f>VLOOKUP('Old Data'!$F492,$Z$6:$AB$135,2,FALSE)+VLOOKUP('Old Data'!$P492,$Z$6:$AB$135,3,FALSE)+$D$2</f>
        <v>131.94741462300391</v>
      </c>
      <c r="K496" s="72">
        <f>VLOOKUP('Old Data'!$P492,$Z$6:$AB$135,2,FALSE)+VLOOKUP('Old Data'!$F492,$Z$6:$AB$135,3,FALSE)+$D$2</f>
        <v>86.777799397066786</v>
      </c>
      <c r="L496" s="74">
        <f>('Old Data'!$L492+'Old Data'!$M492-$J496)^2+('Old Data'!$V492+'Old Data'!$W492-$K496)^2</f>
        <v>522.27667832770271</v>
      </c>
      <c r="M496" s="75">
        <f>'Old Data'!$N492-'Old Data'!$X492</f>
        <v>3</v>
      </c>
      <c r="N496" s="72">
        <f>VLOOKUP('Old Data'!$F492,$AD$6:$AF$135,2,FALSE)+VLOOKUP('Old Data'!$P492,$AD$6:$AF$135,3,FALSE)+$E$2</f>
        <v>1.6084579650267821</v>
      </c>
      <c r="O496" s="72">
        <f>VLOOKUP('Old Data'!$P492,$AD$6:$AF$135,2,FALSE)+VLOOKUP('Old Data'!$F492,$AD$6:$AF$135,3,FALSE)+$E$2</f>
        <v>1.2052199890276212</v>
      </c>
      <c r="P496" s="73">
        <f>('Old Data'!$N492-$N496)^2+('Old Data'!$X492-$O496)^2</f>
        <v>3.3889444570491438</v>
      </c>
      <c r="Q496" s="62"/>
      <c r="R496" s="3"/>
      <c r="S496" s="3"/>
      <c r="T496" s="3"/>
      <c r="V496" s="3"/>
      <c r="W496" s="3"/>
      <c r="X496" s="3"/>
      <c r="Z496" s="3"/>
      <c r="AA496" s="3"/>
      <c r="AB496" s="3"/>
      <c r="AC496" s="3"/>
      <c r="AD496" s="3"/>
      <c r="AE496" s="3"/>
      <c r="AF496" s="3"/>
      <c r="AG496" s="3"/>
      <c r="AH496" s="37"/>
      <c r="AI496" s="1"/>
      <c r="AK496" s="10"/>
      <c r="AL496" s="10"/>
      <c r="AM496" s="10"/>
      <c r="AN496" s="11"/>
      <c r="AO496" s="11"/>
      <c r="AP496" s="11"/>
      <c r="AQ496" s="36"/>
      <c r="AR496" s="11"/>
      <c r="AS496" s="11"/>
      <c r="AT496" s="11"/>
      <c r="AU496" s="12"/>
      <c r="AV496" s="11"/>
      <c r="AW496" s="11"/>
      <c r="AX496" s="15"/>
      <c r="AY496" s="15"/>
      <c r="AZ496" s="15"/>
      <c r="BA496" s="15"/>
      <c r="BB496" s="15"/>
      <c r="BC496" s="15"/>
      <c r="BD496" s="15"/>
      <c r="BE496" s="12"/>
      <c r="BF496" s="11"/>
      <c r="BG496" s="11"/>
      <c r="BH496" s="10"/>
      <c r="BI496" s="10"/>
      <c r="BJ496" s="10"/>
      <c r="BK496" s="23"/>
      <c r="BL496" s="23"/>
      <c r="BM496" s="23"/>
      <c r="BN496" s="23"/>
      <c r="BO496" s="23"/>
      <c r="BP496" s="23"/>
      <c r="BQ496" s="23"/>
      <c r="BR496" s="10"/>
      <c r="BS496" s="16"/>
      <c r="BT496" s="16"/>
      <c r="BU496" s="16"/>
      <c r="BV496" s="16"/>
      <c r="BW496" s="11"/>
      <c r="BX496" s="16"/>
      <c r="BY496" s="16"/>
      <c r="BZ496" s="17"/>
      <c r="CA496" s="18"/>
      <c r="CB496" s="18"/>
      <c r="CC496" s="18"/>
      <c r="CD496" s="18"/>
      <c r="CE496" s="18"/>
      <c r="CF496" s="18"/>
      <c r="CG496" s="19"/>
      <c r="CH496" s="15"/>
      <c r="CI496" s="17"/>
      <c r="CJ496" s="10"/>
      <c r="CK496" s="10"/>
      <c r="CL496" s="10"/>
      <c r="CM496" s="17"/>
      <c r="CN496" s="17"/>
      <c r="CO496" s="10"/>
      <c r="CP496" s="10"/>
      <c r="CQ496" s="10"/>
      <c r="CR496" s="10"/>
      <c r="CS496" s="10"/>
      <c r="CT496" s="10"/>
      <c r="CU496" s="10"/>
      <c r="CV496" s="10"/>
      <c r="CW496" s="10"/>
      <c r="CX496" s="10"/>
      <c r="CY496" s="10"/>
      <c r="CZ496" s="10"/>
      <c r="DA496" s="34"/>
      <c r="DB496" s="34"/>
      <c r="DC496" s="34"/>
      <c r="DD496" s="34"/>
      <c r="DE496" s="34"/>
      <c r="DF496" s="34"/>
      <c r="DG496" s="34"/>
      <c r="DH496" s="34"/>
      <c r="DI496" s="34"/>
      <c r="DJ496" s="34"/>
      <c r="DK496" s="34"/>
      <c r="DL496" s="34"/>
      <c r="DM496" s="34"/>
      <c r="DN496" s="34"/>
      <c r="DO496" s="34"/>
      <c r="DP496" s="34"/>
      <c r="DQ496" s="34"/>
      <c r="DR496" s="34"/>
      <c r="DS496" s="34"/>
      <c r="DT496" s="34"/>
      <c r="DU496" s="34"/>
      <c r="DV496" s="34"/>
      <c r="DW496" s="34"/>
      <c r="DX496" s="34"/>
      <c r="DY496" s="34"/>
      <c r="DZ496" s="34"/>
      <c r="EA496" s="34"/>
      <c r="EB496" s="34"/>
      <c r="EC496" s="34"/>
      <c r="ED496" s="34"/>
      <c r="EE496" s="34"/>
    </row>
    <row r="497" spans="1:135" customFormat="1">
      <c r="A497" s="71">
        <f>'Old Data'!$I493-'Old Data'!$S493</f>
        <v>111</v>
      </c>
      <c r="B497" s="72">
        <f>VLOOKUP('Old Data'!$F493,$R$6:$T$135,2,FALSE)+VLOOKUP('Old Data'!$P493,$R$6:$T$135,3,FALSE)+$B$2</f>
        <v>198.48721651463487</v>
      </c>
      <c r="C497" s="72">
        <f>VLOOKUP('Old Data'!$P493,$R$6:$T$135,2,FALSE)+VLOOKUP('Old Data'!$F493,$R$6:$T$135,3,FALSE)+$B$2</f>
        <v>141.93970167433721</v>
      </c>
      <c r="D497" s="74">
        <f>('Old Data'!$I493-$B497)^2+('Old Data'!$S493-$C497)^2</f>
        <v>1949.8932357457054</v>
      </c>
      <c r="E497" s="75">
        <f>'Old Data'!$K493-'Old Data'!$U493</f>
        <v>-16</v>
      </c>
      <c r="F497" s="72">
        <f>VLOOKUP('Old Data'!$F493,$V$6:$X$135,2,FALSE)+VLOOKUP('Old Data'!$P493,$V$6:$X$135,3,FALSE)+$C$2</f>
        <v>220.43981014791751</v>
      </c>
      <c r="G497" s="72">
        <f>VLOOKUP('Old Data'!$P493,$V$6:$X$135,2,FALSE)+VLOOKUP('Old Data'!$F493,$V$6:$X$135,3,FALSE)+$C$2</f>
        <v>211.50731423631029</v>
      </c>
      <c r="H497" s="74">
        <f>('Old Data'!$K493-$F497)^2+('Old Data'!$U493-$G497)^2</f>
        <v>11552.884731740698</v>
      </c>
      <c r="I497" s="75">
        <f>('Old Data'!$L493+'Old Data'!$M493)-('Old Data'!$V493+'Old Data'!$W493)</f>
        <v>-47</v>
      </c>
      <c r="J497" s="72">
        <f>VLOOKUP('Old Data'!$F493,$Z$6:$AB$135,2,FALSE)+VLOOKUP('Old Data'!$P493,$Z$6:$AB$135,3,FALSE)+$D$2</f>
        <v>59.001393424700197</v>
      </c>
      <c r="K497" s="72">
        <f>VLOOKUP('Old Data'!$P493,$Z$6:$AB$135,2,FALSE)+VLOOKUP('Old Data'!$F493,$Z$6:$AB$135,3,FALSE)+$D$2</f>
        <v>70.629407360458302</v>
      </c>
      <c r="L497" s="74">
        <f>('Old Data'!$L493+'Old Data'!$M493-$J497)^2+('Old Data'!$V493+'Old Data'!$W493-$K497)^2</f>
        <v>4039.5133182627369</v>
      </c>
      <c r="M497" s="75">
        <f>'Old Data'!$N493-'Old Data'!$X493</f>
        <v>-2</v>
      </c>
      <c r="N497" s="72">
        <f>VLOOKUP('Old Data'!$F493,$AD$6:$AF$135,2,FALSE)+VLOOKUP('Old Data'!$P493,$AD$6:$AF$135,3,FALSE)+$E$2</f>
        <v>0.97660759036421507</v>
      </c>
      <c r="O497" s="72">
        <f>VLOOKUP('Old Data'!$P493,$AD$6:$AF$135,2,FALSE)+VLOOKUP('Old Data'!$F493,$AD$6:$AF$135,3,FALSE)+$E$2</f>
        <v>1.3228376112291989</v>
      </c>
      <c r="P497" s="73">
        <f>('Old Data'!$N493-$N497)^2+('Old Data'!$X493-$O497)^2</f>
        <v>1.4123112863227762</v>
      </c>
      <c r="Q497" s="62"/>
      <c r="R497" s="3"/>
      <c r="S497" s="3"/>
      <c r="T497" s="3"/>
      <c r="V497" s="3"/>
      <c r="W497" s="3"/>
      <c r="X497" s="3"/>
      <c r="Z497" s="3"/>
      <c r="AA497" s="3"/>
      <c r="AB497" s="3"/>
      <c r="AC497" s="3"/>
      <c r="AD497" s="3"/>
      <c r="AE497" s="3"/>
      <c r="AF497" s="3"/>
      <c r="AG497" s="3"/>
      <c r="AH497" s="37"/>
      <c r="AI497" s="1"/>
      <c r="AK497" s="10"/>
      <c r="AL497" s="10"/>
      <c r="AM497" s="10"/>
      <c r="AN497" s="11"/>
      <c r="AO497" s="11"/>
      <c r="AP497" s="11"/>
      <c r="AQ497" s="36"/>
      <c r="AR497" s="11"/>
      <c r="AS497" s="11"/>
      <c r="AT497" s="11"/>
      <c r="AU497" s="12"/>
      <c r="AV497" s="11"/>
      <c r="AW497" s="11"/>
      <c r="AX497" s="15"/>
      <c r="AY497" s="15"/>
      <c r="AZ497" s="15"/>
      <c r="BA497" s="15"/>
      <c r="BB497" s="15"/>
      <c r="BC497" s="15"/>
      <c r="BD497" s="15"/>
      <c r="BE497" s="12"/>
      <c r="BF497" s="11"/>
      <c r="BG497" s="11"/>
      <c r="BH497" s="10"/>
      <c r="BI497" s="10"/>
      <c r="BJ497" s="10"/>
      <c r="BK497" s="23"/>
      <c r="BL497" s="23"/>
      <c r="BM497" s="23"/>
      <c r="BN497" s="23"/>
      <c r="BO497" s="23"/>
      <c r="BP497" s="23"/>
      <c r="BQ497" s="23"/>
      <c r="BR497" s="10"/>
      <c r="BS497" s="16"/>
      <c r="BT497" s="16"/>
      <c r="BU497" s="16"/>
      <c r="BV497" s="16"/>
      <c r="BW497" s="11"/>
      <c r="BX497" s="16"/>
      <c r="BY497" s="16"/>
      <c r="BZ497" s="17"/>
      <c r="CA497" s="18"/>
      <c r="CB497" s="18"/>
      <c r="CC497" s="18"/>
      <c r="CD497" s="18"/>
      <c r="CE497" s="18"/>
      <c r="CF497" s="18"/>
      <c r="CG497" s="19"/>
      <c r="CH497" s="15"/>
      <c r="CI497" s="17"/>
      <c r="CJ497" s="10"/>
      <c r="CK497" s="10"/>
      <c r="CL497" s="10"/>
      <c r="CM497" s="17"/>
      <c r="CN497" s="17"/>
      <c r="CO497" s="10"/>
      <c r="CP497" s="10"/>
      <c r="CQ497" s="10"/>
      <c r="CR497" s="10"/>
      <c r="CS497" s="10"/>
      <c r="CT497" s="10"/>
      <c r="CU497" s="10"/>
      <c r="CV497" s="10"/>
      <c r="CW497" s="10"/>
      <c r="CX497" s="10"/>
      <c r="CY497" s="10"/>
      <c r="CZ497" s="10"/>
      <c r="DA497" s="34"/>
      <c r="DB497" s="34"/>
      <c r="DC497" s="34"/>
      <c r="DD497" s="34"/>
      <c r="DE497" s="34"/>
      <c r="DF497" s="34"/>
      <c r="DG497" s="34"/>
      <c r="DH497" s="34"/>
      <c r="DI497" s="34"/>
      <c r="DJ497" s="34"/>
      <c r="DK497" s="34"/>
      <c r="DL497" s="34"/>
      <c r="DM497" s="34"/>
      <c r="DN497" s="34"/>
      <c r="DO497" s="34"/>
      <c r="DP497" s="34"/>
      <c r="DQ497" s="34"/>
      <c r="DR497" s="34"/>
      <c r="DS497" s="34"/>
      <c r="DT497" s="34"/>
      <c r="DU497" s="34"/>
      <c r="DV497" s="34"/>
      <c r="DW497" s="34"/>
      <c r="DX497" s="34"/>
      <c r="DY497" s="34"/>
      <c r="DZ497" s="34"/>
      <c r="EA497" s="34"/>
      <c r="EB497" s="34"/>
      <c r="EC497" s="34"/>
      <c r="ED497" s="34"/>
      <c r="EE497" s="34"/>
    </row>
    <row r="498" spans="1:135" customFormat="1">
      <c r="A498" s="71">
        <f>'Old Data'!$I494-'Old Data'!$S494</f>
        <v>-122</v>
      </c>
      <c r="B498" s="72">
        <f>VLOOKUP('Old Data'!$F494,$R$6:$T$135,2,FALSE)+VLOOKUP('Old Data'!$P494,$R$6:$T$135,3,FALSE)+$B$2</f>
        <v>162.39548787416521</v>
      </c>
      <c r="C498" s="72">
        <f>VLOOKUP('Old Data'!$P494,$R$6:$T$135,2,FALSE)+VLOOKUP('Old Data'!$F494,$R$6:$T$135,3,FALSE)+$B$2</f>
        <v>242.40765218738471</v>
      </c>
      <c r="D498" s="74">
        <f>('Old Data'!$I494-$B498)^2+('Old Data'!$S494-$C498)^2</f>
        <v>3830.8503344870664</v>
      </c>
      <c r="E498" s="75">
        <f>'Old Data'!$K494-'Old Data'!$U494</f>
        <v>-206</v>
      </c>
      <c r="F498" s="72">
        <f>VLOOKUP('Old Data'!$F494,$V$6:$X$135,2,FALSE)+VLOOKUP('Old Data'!$P494,$V$6:$X$135,3,FALSE)+$C$2</f>
        <v>166.31184617005778</v>
      </c>
      <c r="G498" s="72">
        <f>VLOOKUP('Old Data'!$P494,$V$6:$X$135,2,FALSE)+VLOOKUP('Old Data'!$F494,$V$6:$X$135,3,FALSE)+$C$2</f>
        <v>235.5205536820603</v>
      </c>
      <c r="H498" s="74">
        <f>('Old Data'!$K494-$F498)^2+('Old Data'!$U494-$G498)^2</f>
        <v>11817.674905524957</v>
      </c>
      <c r="I498" s="75">
        <f>('Old Data'!$L494+'Old Data'!$M494)-('Old Data'!$V494+'Old Data'!$W494)</f>
        <v>-21</v>
      </c>
      <c r="J498" s="72">
        <f>VLOOKUP('Old Data'!$F494,$Z$6:$AB$135,2,FALSE)+VLOOKUP('Old Data'!$P494,$Z$6:$AB$135,3,FALSE)+$D$2</f>
        <v>25.463302265857216</v>
      </c>
      <c r="K498" s="72">
        <f>VLOOKUP('Old Data'!$P494,$Z$6:$AB$135,2,FALSE)+VLOOKUP('Old Data'!$F494,$Z$6:$AB$135,3,FALSE)+$D$2</f>
        <v>99.659858758704303</v>
      </c>
      <c r="L498" s="74">
        <f>('Old Data'!$L494+'Old Data'!$M494-$J498)^2+('Old Data'!$V494+'Old Data'!$W494-$K498)^2</f>
        <v>4624.7972776322422</v>
      </c>
      <c r="M498" s="75">
        <f>'Old Data'!$N494-'Old Data'!$X494</f>
        <v>-1</v>
      </c>
      <c r="N498" s="72">
        <f>VLOOKUP('Old Data'!$F494,$AD$6:$AF$135,2,FALSE)+VLOOKUP('Old Data'!$P494,$AD$6:$AF$135,3,FALSE)+$E$2</f>
        <v>1.0496846392738162</v>
      </c>
      <c r="O498" s="72">
        <f>VLOOKUP('Old Data'!$P494,$AD$6:$AF$135,2,FALSE)+VLOOKUP('Old Data'!$F494,$AD$6:$AF$135,3,FALSE)+$E$2</f>
        <v>1.4552548582753679</v>
      </c>
      <c r="P498" s="73">
        <f>('Old Data'!$N494-$N498)^2+('Old Data'!$X494-$O498)^2</f>
        <v>1.3090948279107268</v>
      </c>
      <c r="Q498" s="62"/>
      <c r="R498" s="3"/>
      <c r="S498" s="3"/>
      <c r="T498" s="3"/>
      <c r="V498" s="3"/>
      <c r="W498" s="3"/>
      <c r="X498" s="3"/>
      <c r="Z498" s="3"/>
      <c r="AA498" s="3"/>
      <c r="AB498" s="3"/>
      <c r="AC498" s="3"/>
      <c r="AD498" s="3"/>
      <c r="AE498" s="3"/>
      <c r="AF498" s="3"/>
      <c r="AG498" s="3"/>
      <c r="AH498" s="37"/>
      <c r="AI498" s="1"/>
      <c r="AK498" s="10"/>
      <c r="AL498" s="10"/>
      <c r="AM498" s="10"/>
      <c r="AN498" s="11"/>
      <c r="AO498" s="11"/>
      <c r="AP498" s="11"/>
      <c r="AQ498" s="36"/>
      <c r="AR498" s="11"/>
      <c r="AS498" s="11"/>
      <c r="AT498" s="11"/>
      <c r="AU498" s="12"/>
      <c r="AV498" s="11"/>
      <c r="AW498" s="11"/>
      <c r="AX498" s="15"/>
      <c r="AY498" s="15"/>
      <c r="AZ498" s="15"/>
      <c r="BA498" s="15"/>
      <c r="BB498" s="15"/>
      <c r="BC498" s="15"/>
      <c r="BD498" s="15"/>
      <c r="BE498" s="12"/>
      <c r="BF498" s="11"/>
      <c r="BG498" s="11"/>
      <c r="BH498" s="10"/>
      <c r="BI498" s="10"/>
      <c r="BJ498" s="10"/>
      <c r="BK498" s="23"/>
      <c r="BL498" s="23"/>
      <c r="BM498" s="23"/>
      <c r="BN498" s="23"/>
      <c r="BO498" s="23"/>
      <c r="BP498" s="23"/>
      <c r="BQ498" s="23"/>
      <c r="BR498" s="10"/>
      <c r="BS498" s="16"/>
      <c r="BT498" s="16"/>
      <c r="BU498" s="16"/>
      <c r="BV498" s="16"/>
      <c r="BW498" s="11"/>
      <c r="BX498" s="16"/>
      <c r="BY498" s="16"/>
      <c r="BZ498" s="17"/>
      <c r="CA498" s="18"/>
      <c r="CB498" s="18"/>
      <c r="CC498" s="18"/>
      <c r="CD498" s="18"/>
      <c r="CE498" s="18"/>
      <c r="CF498" s="18"/>
      <c r="CG498" s="19"/>
      <c r="CH498" s="15"/>
      <c r="CI498" s="17"/>
      <c r="CJ498" s="10"/>
      <c r="CK498" s="10"/>
      <c r="CL498" s="10"/>
      <c r="CM498" s="17"/>
      <c r="CN498" s="17"/>
      <c r="CO498" s="10"/>
      <c r="CP498" s="10"/>
      <c r="CQ498" s="10"/>
      <c r="CR498" s="10"/>
      <c r="CS498" s="10"/>
      <c r="CT498" s="10"/>
      <c r="CU498" s="10"/>
      <c r="CV498" s="10"/>
      <c r="CW498" s="10"/>
      <c r="CX498" s="10"/>
      <c r="CY498" s="10"/>
      <c r="CZ498" s="10"/>
      <c r="DA498" s="34"/>
      <c r="DB498" s="34"/>
      <c r="DC498" s="34"/>
      <c r="DD498" s="34"/>
      <c r="DE498" s="34"/>
      <c r="DF498" s="34"/>
      <c r="DG498" s="34"/>
      <c r="DH498" s="34"/>
      <c r="DI498" s="34"/>
      <c r="DJ498" s="34"/>
      <c r="DK498" s="34"/>
      <c r="DL498" s="34"/>
      <c r="DM498" s="34"/>
      <c r="DN498" s="34"/>
      <c r="DO498" s="34"/>
      <c r="DP498" s="34"/>
      <c r="DQ498" s="34"/>
      <c r="DR498" s="34"/>
      <c r="DS498" s="34"/>
      <c r="DT498" s="34"/>
      <c r="DU498" s="34"/>
      <c r="DV498" s="34"/>
      <c r="DW498" s="34"/>
      <c r="DX498" s="34"/>
      <c r="DY498" s="34"/>
      <c r="DZ498" s="34"/>
      <c r="EA498" s="34"/>
      <c r="EB498" s="34"/>
      <c r="EC498" s="34"/>
      <c r="ED498" s="34"/>
      <c r="EE498" s="34"/>
    </row>
    <row r="499" spans="1:135" customFormat="1">
      <c r="A499" s="71">
        <f>'Old Data'!$I495-'Old Data'!$S495</f>
        <v>-92</v>
      </c>
      <c r="B499" s="72">
        <f>VLOOKUP('Old Data'!$F495,$R$6:$T$135,2,FALSE)+VLOOKUP('Old Data'!$P495,$R$6:$T$135,3,FALSE)+$B$2</f>
        <v>146.79646409574593</v>
      </c>
      <c r="C499" s="72">
        <f>VLOOKUP('Old Data'!$P495,$R$6:$T$135,2,FALSE)+VLOOKUP('Old Data'!$F495,$R$6:$T$135,3,FALSE)+$B$2</f>
        <v>165.17130435876331</v>
      </c>
      <c r="D499" s="74">
        <f>('Old Data'!$I495-$B499)^2+('Old Data'!$S495-$C499)^2</f>
        <v>7509.1739011262716</v>
      </c>
      <c r="E499" s="75">
        <f>'Old Data'!$K495-'Old Data'!$U495</f>
        <v>58</v>
      </c>
      <c r="F499" s="72">
        <f>VLOOKUP('Old Data'!$F495,$V$6:$X$135,2,FALSE)+VLOOKUP('Old Data'!$P495,$V$6:$X$135,3,FALSE)+$C$2</f>
        <v>153.48134115463978</v>
      </c>
      <c r="G499" s="72">
        <f>VLOOKUP('Old Data'!$P495,$V$6:$X$135,2,FALSE)+VLOOKUP('Old Data'!$F495,$V$6:$X$135,3,FALSE)+$C$2</f>
        <v>167.28692921589391</v>
      </c>
      <c r="H499" s="74">
        <f>('Old Data'!$K495-$F499)^2+('Old Data'!$U495-$G499)^2</f>
        <v>5115.0008914139553</v>
      </c>
      <c r="I499" s="75">
        <f>('Old Data'!$L495+'Old Data'!$M495)-('Old Data'!$V495+'Old Data'!$W495)</f>
        <v>-12</v>
      </c>
      <c r="J499" s="72">
        <f>VLOOKUP('Old Data'!$F495,$Z$6:$AB$135,2,FALSE)+VLOOKUP('Old Data'!$P495,$Z$6:$AB$135,3,FALSE)+$D$2</f>
        <v>24.218034010793829</v>
      </c>
      <c r="K499" s="72">
        <f>VLOOKUP('Old Data'!$P495,$Z$6:$AB$135,2,FALSE)+VLOOKUP('Old Data'!$F495,$Z$6:$AB$135,3,FALSE)+$D$2</f>
        <v>78.021299958676565</v>
      </c>
      <c r="L499" s="74">
        <f>('Old Data'!$L495+'Old Data'!$M495-$J499)^2+('Old Data'!$V495+'Old Data'!$W495-$K499)^2</f>
        <v>3067.5812043142232</v>
      </c>
      <c r="M499" s="75">
        <f>'Old Data'!$N495-'Old Data'!$X495</f>
        <v>-1</v>
      </c>
      <c r="N499" s="72">
        <f>VLOOKUP('Old Data'!$F495,$AD$6:$AF$135,2,FALSE)+VLOOKUP('Old Data'!$P495,$AD$6:$AF$135,3,FALSE)+$E$2</f>
        <v>1.4417924587378201</v>
      </c>
      <c r="O499" s="72">
        <f>VLOOKUP('Old Data'!$P495,$AD$6:$AF$135,2,FALSE)+VLOOKUP('Old Data'!$F495,$AD$6:$AF$135,3,FALSE)+$E$2</f>
        <v>1.7964471149835741</v>
      </c>
      <c r="P499" s="73">
        <f>('Old Data'!$N495-$N499)^2+('Old Data'!$X495-$O499)^2</f>
        <v>0.23661435359611882</v>
      </c>
      <c r="Q499" s="62"/>
      <c r="R499" s="3"/>
      <c r="S499" s="3"/>
      <c r="T499" s="3"/>
      <c r="V499" s="3"/>
      <c r="W499" s="3"/>
      <c r="X499" s="3"/>
      <c r="Z499" s="3"/>
      <c r="AA499" s="3"/>
      <c r="AB499" s="3"/>
      <c r="AC499" s="3"/>
      <c r="AD499" s="3"/>
      <c r="AE499" s="3"/>
      <c r="AF499" s="3"/>
      <c r="AG499" s="3"/>
      <c r="AH499" s="37"/>
      <c r="AI499" s="1"/>
      <c r="AK499" s="10"/>
      <c r="AL499" s="10"/>
      <c r="AM499" s="10"/>
      <c r="AN499" s="11"/>
      <c r="AO499" s="11"/>
      <c r="AP499" s="11"/>
      <c r="AQ499" s="36"/>
      <c r="AR499" s="11"/>
      <c r="AS499" s="11"/>
      <c r="AT499" s="11"/>
      <c r="AU499" s="12"/>
      <c r="AV499" s="11"/>
      <c r="AW499" s="11"/>
      <c r="AX499" s="15"/>
      <c r="AY499" s="15"/>
      <c r="AZ499" s="15"/>
      <c r="BA499" s="15"/>
      <c r="BB499" s="15"/>
      <c r="BC499" s="15"/>
      <c r="BD499" s="15"/>
      <c r="BE499" s="12"/>
      <c r="BF499" s="11"/>
      <c r="BG499" s="11"/>
      <c r="BH499" s="10"/>
      <c r="BI499" s="10"/>
      <c r="BJ499" s="10"/>
      <c r="BK499" s="23"/>
      <c r="BL499" s="23"/>
      <c r="BM499" s="23"/>
      <c r="BN499" s="23"/>
      <c r="BO499" s="23"/>
      <c r="BP499" s="23"/>
      <c r="BQ499" s="23"/>
      <c r="BR499" s="10"/>
      <c r="BS499" s="16"/>
      <c r="BT499" s="16"/>
      <c r="BU499" s="16"/>
      <c r="BV499" s="16"/>
      <c r="BW499" s="11"/>
      <c r="BX499" s="16"/>
      <c r="BY499" s="16"/>
      <c r="BZ499" s="17"/>
      <c r="CA499" s="18"/>
      <c r="CB499" s="18"/>
      <c r="CC499" s="18"/>
      <c r="CD499" s="18"/>
      <c r="CE499" s="18"/>
      <c r="CF499" s="18"/>
      <c r="CG499" s="19"/>
      <c r="CH499" s="15"/>
      <c r="CI499" s="17"/>
      <c r="CJ499" s="10"/>
      <c r="CK499" s="10"/>
      <c r="CL499" s="10"/>
      <c r="CM499" s="17"/>
      <c r="CN499" s="17"/>
      <c r="CO499" s="10"/>
      <c r="CP499" s="10"/>
      <c r="CQ499" s="10"/>
      <c r="CR499" s="10"/>
      <c r="CS499" s="10"/>
      <c r="CT499" s="10"/>
      <c r="CU499" s="10"/>
      <c r="CV499" s="10"/>
      <c r="CW499" s="10"/>
      <c r="CX499" s="10"/>
      <c r="CY499" s="10"/>
      <c r="CZ499" s="10"/>
      <c r="DA499" s="34"/>
      <c r="DB499" s="34"/>
      <c r="DC499" s="34"/>
      <c r="DD499" s="34"/>
      <c r="DE499" s="34"/>
      <c r="DF499" s="34"/>
      <c r="DG499" s="34"/>
      <c r="DH499" s="34"/>
      <c r="DI499" s="34"/>
      <c r="DJ499" s="34"/>
      <c r="DK499" s="34"/>
      <c r="DL499" s="34"/>
      <c r="DM499" s="34"/>
      <c r="DN499" s="34"/>
      <c r="DO499" s="34"/>
      <c r="DP499" s="34"/>
      <c r="DQ499" s="34"/>
      <c r="DR499" s="34"/>
      <c r="DS499" s="34"/>
      <c r="DT499" s="34"/>
      <c r="DU499" s="34"/>
      <c r="DV499" s="34"/>
      <c r="DW499" s="34"/>
      <c r="DX499" s="34"/>
      <c r="DY499" s="34"/>
      <c r="DZ499" s="34"/>
      <c r="EA499" s="34"/>
      <c r="EB499" s="34"/>
      <c r="EC499" s="34"/>
      <c r="ED499" s="34"/>
      <c r="EE499" s="34"/>
    </row>
    <row r="500" spans="1:135" customFormat="1">
      <c r="A500" s="71">
        <f>'Old Data'!$I496-'Old Data'!$S496</f>
        <v>-214</v>
      </c>
      <c r="B500" s="72">
        <f>VLOOKUP('Old Data'!$F496,$R$6:$T$135,2,FALSE)+VLOOKUP('Old Data'!$P496,$R$6:$T$135,3,FALSE)+$B$2</f>
        <v>151.33580013672076</v>
      </c>
      <c r="C500" s="72">
        <f>VLOOKUP('Old Data'!$P496,$R$6:$T$135,2,FALSE)+VLOOKUP('Old Data'!$F496,$R$6:$T$135,3,FALSE)+$B$2</f>
        <v>151.53787461404875</v>
      </c>
      <c r="D500" s="74">
        <f>('Old Data'!$I496-$B500)^2+('Old Data'!$S496-$C500)^2</f>
        <v>23215.873676204079</v>
      </c>
      <c r="E500" s="75">
        <f>'Old Data'!$K496-'Old Data'!$U496</f>
        <v>-87</v>
      </c>
      <c r="F500" s="72">
        <f>VLOOKUP('Old Data'!$F496,$V$6:$X$135,2,FALSE)+VLOOKUP('Old Data'!$P496,$V$6:$X$135,3,FALSE)+$C$2</f>
        <v>193.2336399097488</v>
      </c>
      <c r="G500" s="72">
        <f>VLOOKUP('Old Data'!$P496,$V$6:$X$135,2,FALSE)+VLOOKUP('Old Data'!$F496,$V$6:$X$135,3,FALSE)+$C$2</f>
        <v>256.53099567830441</v>
      </c>
      <c r="H500" s="74">
        <f>('Old Data'!$K496-$F500)^2+('Old Data'!$U496-$G500)^2</f>
        <v>17721.422224950369</v>
      </c>
      <c r="I500" s="75">
        <f>('Old Data'!$L496+'Old Data'!$M496)-('Old Data'!$V496+'Old Data'!$W496)</f>
        <v>-22</v>
      </c>
      <c r="J500" s="72">
        <f>VLOOKUP('Old Data'!$F496,$Z$6:$AB$135,2,FALSE)+VLOOKUP('Old Data'!$P496,$Z$6:$AB$135,3,FALSE)+$D$2</f>
        <v>53.641270782285964</v>
      </c>
      <c r="K500" s="72">
        <f>VLOOKUP('Old Data'!$P496,$Z$6:$AB$135,2,FALSE)+VLOOKUP('Old Data'!$F496,$Z$6:$AB$135,3,FALSE)+$D$2</f>
        <v>79.334008238618097</v>
      </c>
      <c r="L500" s="74">
        <f>('Old Data'!$L496+'Old Data'!$M496-$J500)^2+('Old Data'!$V496+'Old Data'!$W496-$K500)^2</f>
        <v>318.70043604670445</v>
      </c>
      <c r="M500" s="75">
        <f>'Old Data'!$N496-'Old Data'!$X496</f>
        <v>1</v>
      </c>
      <c r="N500" s="72">
        <f>VLOOKUP('Old Data'!$F496,$AD$6:$AF$135,2,FALSE)+VLOOKUP('Old Data'!$P496,$AD$6:$AF$135,3,FALSE)+$E$2</f>
        <v>1.2125668151408813</v>
      </c>
      <c r="O500" s="72">
        <f>VLOOKUP('Old Data'!$P496,$AD$6:$AF$135,2,FALSE)+VLOOKUP('Old Data'!$F496,$AD$6:$AF$135,3,FALSE)+$E$2</f>
        <v>0.64509487654870612</v>
      </c>
      <c r="P500" s="73">
        <f>('Old Data'!$N496-$N500)^2+('Old Data'!$X496-$O500)^2</f>
        <v>0.74600866726935322</v>
      </c>
      <c r="Q500" s="62"/>
      <c r="R500" s="3"/>
      <c r="S500" s="3"/>
      <c r="T500" s="3"/>
      <c r="V500" s="3"/>
      <c r="W500" s="3"/>
      <c r="X500" s="3"/>
      <c r="Z500" s="3"/>
      <c r="AA500" s="3"/>
      <c r="AB500" s="3"/>
      <c r="AC500" s="3"/>
      <c r="AD500" s="3"/>
      <c r="AE500" s="3"/>
      <c r="AF500" s="3"/>
      <c r="AG500" s="3"/>
      <c r="AH500" s="37"/>
      <c r="AI500" s="1"/>
      <c r="AK500" s="10"/>
      <c r="AL500" s="10"/>
      <c r="AM500" s="10"/>
      <c r="AN500" s="11"/>
      <c r="AO500" s="11"/>
      <c r="AP500" s="11"/>
      <c r="AQ500" s="36"/>
      <c r="AR500" s="11"/>
      <c r="AS500" s="11"/>
      <c r="AT500" s="11"/>
      <c r="AU500" s="12"/>
      <c r="AV500" s="11"/>
      <c r="AW500" s="11"/>
      <c r="AX500" s="15"/>
      <c r="AY500" s="15"/>
      <c r="AZ500" s="15"/>
      <c r="BA500" s="15"/>
      <c r="BB500" s="15"/>
      <c r="BC500" s="15"/>
      <c r="BD500" s="15"/>
      <c r="BE500" s="12"/>
      <c r="BF500" s="11"/>
      <c r="BG500" s="11"/>
      <c r="BH500" s="10"/>
      <c r="BI500" s="10"/>
      <c r="BJ500" s="10"/>
      <c r="BK500" s="23"/>
      <c r="BL500" s="23"/>
      <c r="BM500" s="23"/>
      <c r="BN500" s="23"/>
      <c r="BO500" s="23"/>
      <c r="BP500" s="23"/>
      <c r="BQ500" s="23"/>
      <c r="BR500" s="10"/>
      <c r="BS500" s="16"/>
      <c r="BT500" s="16"/>
      <c r="BU500" s="16"/>
      <c r="BV500" s="16"/>
      <c r="BW500" s="11"/>
      <c r="BX500" s="16"/>
      <c r="BY500" s="16"/>
      <c r="BZ500" s="17"/>
      <c r="CA500" s="18"/>
      <c r="CB500" s="18"/>
      <c r="CC500" s="18"/>
      <c r="CD500" s="18"/>
      <c r="CE500" s="18"/>
      <c r="CF500" s="18"/>
      <c r="CG500" s="19"/>
      <c r="CH500" s="15"/>
      <c r="CI500" s="17"/>
      <c r="CJ500" s="10"/>
      <c r="CK500" s="10"/>
      <c r="CL500" s="10"/>
      <c r="CM500" s="17"/>
      <c r="CN500" s="17"/>
      <c r="CO500" s="10"/>
      <c r="CP500" s="10"/>
      <c r="CQ500" s="10"/>
      <c r="CR500" s="10"/>
      <c r="CS500" s="10"/>
      <c r="CT500" s="10"/>
      <c r="CU500" s="10"/>
      <c r="CV500" s="10"/>
      <c r="CW500" s="10"/>
      <c r="CX500" s="10"/>
      <c r="CY500" s="10"/>
      <c r="CZ500" s="10"/>
      <c r="DA500" s="34"/>
      <c r="DB500" s="34"/>
      <c r="DC500" s="34"/>
      <c r="DD500" s="34"/>
      <c r="DE500" s="34"/>
      <c r="DF500" s="34"/>
      <c r="DG500" s="34"/>
      <c r="DH500" s="34"/>
      <c r="DI500" s="34"/>
      <c r="DJ500" s="34"/>
      <c r="DK500" s="34"/>
      <c r="DL500" s="34"/>
      <c r="DM500" s="34"/>
      <c r="DN500" s="34"/>
      <c r="DO500" s="34"/>
      <c r="DP500" s="34"/>
      <c r="DQ500" s="34"/>
      <c r="DR500" s="34"/>
      <c r="DS500" s="34"/>
      <c r="DT500" s="34"/>
      <c r="DU500" s="34"/>
      <c r="DV500" s="34"/>
      <c r="DW500" s="34"/>
      <c r="DX500" s="34"/>
      <c r="DY500" s="34"/>
      <c r="DZ500" s="34"/>
      <c r="EA500" s="34"/>
      <c r="EB500" s="34"/>
      <c r="EC500" s="34"/>
      <c r="ED500" s="34"/>
      <c r="EE500" s="34"/>
    </row>
    <row r="501" spans="1:135" customFormat="1">
      <c r="A501" s="71">
        <f>'Old Data'!$I497-'Old Data'!$S497</f>
        <v>-28</v>
      </c>
      <c r="B501" s="72">
        <f>VLOOKUP('Old Data'!$F497,$R$6:$T$135,2,FALSE)+VLOOKUP('Old Data'!$P497,$R$6:$T$135,3,FALSE)+$B$2</f>
        <v>173.50731575890802</v>
      </c>
      <c r="C501" s="72">
        <f>VLOOKUP('Old Data'!$P497,$R$6:$T$135,2,FALSE)+VLOOKUP('Old Data'!$F497,$R$6:$T$135,3,FALSE)+$B$2</f>
        <v>192.0293236527051</v>
      </c>
      <c r="D501" s="74">
        <f>('Old Data'!$I497-$B501)^2+('Old Data'!$S497-$C501)^2</f>
        <v>1817.221883396845</v>
      </c>
      <c r="E501" s="75">
        <f>'Old Data'!$K497-'Old Data'!$U497</f>
        <v>-76</v>
      </c>
      <c r="F501" s="72">
        <f>VLOOKUP('Old Data'!$F497,$V$6:$X$135,2,FALSE)+VLOOKUP('Old Data'!$P497,$V$6:$X$135,3,FALSE)+$C$2</f>
        <v>253.13134694240799</v>
      </c>
      <c r="G501" s="72">
        <f>VLOOKUP('Old Data'!$P497,$V$6:$X$135,2,FALSE)+VLOOKUP('Old Data'!$F497,$V$6:$X$135,3,FALSE)+$C$2</f>
        <v>273.24043989172782</v>
      </c>
      <c r="H501" s="74">
        <f>('Old Data'!$K497-$F501)^2+('Old Data'!$U497-$G501)^2</f>
        <v>1812.1451685498912</v>
      </c>
      <c r="I501" s="75">
        <f>('Old Data'!$L497+'Old Data'!$M497)-('Old Data'!$V497+'Old Data'!$W497)</f>
        <v>-45</v>
      </c>
      <c r="J501" s="72">
        <f>VLOOKUP('Old Data'!$F497,$Z$6:$AB$135,2,FALSE)+VLOOKUP('Old Data'!$P497,$Z$6:$AB$135,3,FALSE)+$D$2</f>
        <v>50.497201945230671</v>
      </c>
      <c r="K501" s="72">
        <f>VLOOKUP('Old Data'!$P497,$Z$6:$AB$135,2,FALSE)+VLOOKUP('Old Data'!$F497,$Z$6:$AB$135,3,FALSE)+$D$2</f>
        <v>79.335777444734788</v>
      </c>
      <c r="L501" s="74">
        <f>('Old Data'!$L497+'Old Data'!$M497-$J501)^2+('Old Data'!$V497+'Old Data'!$W497-$K501)^2</f>
        <v>884.59596509335529</v>
      </c>
      <c r="M501" s="75">
        <f>'Old Data'!$N497-'Old Data'!$X497</f>
        <v>3</v>
      </c>
      <c r="N501" s="72">
        <f>VLOOKUP('Old Data'!$F497,$AD$6:$AF$135,2,FALSE)+VLOOKUP('Old Data'!$P497,$AD$6:$AF$135,3,FALSE)+$E$2</f>
        <v>1.569793721226864</v>
      </c>
      <c r="O501" s="72">
        <f>VLOOKUP('Old Data'!$P497,$AD$6:$AF$135,2,FALSE)+VLOOKUP('Old Data'!$F497,$AD$6:$AF$135,3,FALSE)+$E$2</f>
        <v>1.5171716568477884</v>
      </c>
      <c r="P501" s="73">
        <f>('Old Data'!$N497-$N501)^2+('Old Data'!$X497-$O501)^2</f>
        <v>4.347299836184364</v>
      </c>
      <c r="Q501" s="62"/>
      <c r="R501" s="3"/>
      <c r="S501" s="3"/>
      <c r="T501" s="3"/>
      <c r="V501" s="3"/>
      <c r="W501" s="3"/>
      <c r="X501" s="3"/>
      <c r="Z501" s="3"/>
      <c r="AA501" s="3"/>
      <c r="AB501" s="3"/>
      <c r="AC501" s="3"/>
      <c r="AD501" s="3"/>
      <c r="AE501" s="3"/>
      <c r="AF501" s="3"/>
      <c r="AG501" s="3"/>
      <c r="AH501" s="37"/>
      <c r="AI501" s="1"/>
      <c r="AK501" s="10"/>
      <c r="AL501" s="10"/>
      <c r="AM501" s="10"/>
      <c r="AN501" s="11"/>
      <c r="AO501" s="11"/>
      <c r="AP501" s="11"/>
      <c r="AQ501" s="36"/>
      <c r="AR501" s="11"/>
      <c r="AS501" s="11"/>
      <c r="AT501" s="11"/>
      <c r="AU501" s="12"/>
      <c r="AV501" s="11"/>
      <c r="AW501" s="11"/>
      <c r="AX501" s="15"/>
      <c r="AY501" s="15"/>
      <c r="AZ501" s="15"/>
      <c r="BA501" s="15"/>
      <c r="BB501" s="15"/>
      <c r="BC501" s="15"/>
      <c r="BD501" s="15"/>
      <c r="BE501" s="12"/>
      <c r="BF501" s="11"/>
      <c r="BG501" s="11"/>
      <c r="BH501" s="10"/>
      <c r="BI501" s="10"/>
      <c r="BJ501" s="10"/>
      <c r="BK501" s="23"/>
      <c r="BL501" s="23"/>
      <c r="BM501" s="23"/>
      <c r="BN501" s="23"/>
      <c r="BO501" s="23"/>
      <c r="BP501" s="23"/>
      <c r="BQ501" s="23"/>
      <c r="BR501" s="10"/>
      <c r="BS501" s="16"/>
      <c r="BT501" s="16"/>
      <c r="BU501" s="16"/>
      <c r="BV501" s="16"/>
      <c r="BW501" s="11"/>
      <c r="BX501" s="16"/>
      <c r="BY501" s="16"/>
      <c r="BZ501" s="17"/>
      <c r="CA501" s="18"/>
      <c r="CB501" s="18"/>
      <c r="CC501" s="18"/>
      <c r="CD501" s="18"/>
      <c r="CE501" s="18"/>
      <c r="CF501" s="18"/>
      <c r="CG501" s="19"/>
      <c r="CH501" s="15"/>
      <c r="CI501" s="17"/>
      <c r="CJ501" s="10"/>
      <c r="CK501" s="10"/>
      <c r="CL501" s="10"/>
      <c r="CM501" s="17"/>
      <c r="CN501" s="17"/>
      <c r="CO501" s="10"/>
      <c r="CP501" s="10"/>
      <c r="CQ501" s="10"/>
      <c r="CR501" s="10"/>
      <c r="CS501" s="10"/>
      <c r="CT501" s="10"/>
      <c r="CU501" s="10"/>
      <c r="CV501" s="10"/>
      <c r="CW501" s="10"/>
      <c r="CX501" s="10"/>
      <c r="CY501" s="10"/>
      <c r="CZ501" s="10"/>
      <c r="DA501" s="34"/>
      <c r="DB501" s="34"/>
      <c r="DC501" s="34"/>
      <c r="DD501" s="34"/>
      <c r="DE501" s="34"/>
      <c r="DF501" s="34"/>
      <c r="DG501" s="34"/>
      <c r="DH501" s="34"/>
      <c r="DI501" s="34"/>
      <c r="DJ501" s="34"/>
      <c r="DK501" s="34"/>
      <c r="DL501" s="34"/>
      <c r="DM501" s="34"/>
      <c r="DN501" s="34"/>
      <c r="DO501" s="34"/>
      <c r="DP501" s="34"/>
      <c r="DQ501" s="34"/>
      <c r="DR501" s="34"/>
      <c r="DS501" s="34"/>
      <c r="DT501" s="34"/>
      <c r="DU501" s="34"/>
      <c r="DV501" s="34"/>
      <c r="DW501" s="34"/>
      <c r="DX501" s="34"/>
      <c r="DY501" s="34"/>
      <c r="DZ501" s="34"/>
      <c r="EA501" s="34"/>
      <c r="EB501" s="34"/>
      <c r="EC501" s="34"/>
      <c r="ED501" s="34"/>
      <c r="EE501" s="34"/>
    </row>
    <row r="502" spans="1:135" customFormat="1">
      <c r="A502" s="71">
        <f>'Old Data'!$I498-'Old Data'!$S498</f>
        <v>-43</v>
      </c>
      <c r="B502" s="72">
        <f>VLOOKUP('Old Data'!$F498,$R$6:$T$135,2,FALSE)+VLOOKUP('Old Data'!$P498,$R$6:$T$135,3,FALSE)+$B$2</f>
        <v>103.73743860244342</v>
      </c>
      <c r="C502" s="72">
        <f>VLOOKUP('Old Data'!$P498,$R$6:$T$135,2,FALSE)+VLOOKUP('Old Data'!$F498,$R$6:$T$135,3,FALSE)+$B$2</f>
        <v>166.79039241346339</v>
      </c>
      <c r="D502" s="74">
        <f>('Old Data'!$I498-$B502)^2+('Old Data'!$S498-$C502)^2</f>
        <v>371.67099176189743</v>
      </c>
      <c r="E502" s="75">
        <f>'Old Data'!$K498-'Old Data'!$U498</f>
        <v>25</v>
      </c>
      <c r="F502" s="72">
        <f>VLOOKUP('Old Data'!$F498,$V$6:$X$135,2,FALSE)+VLOOKUP('Old Data'!$P498,$V$6:$X$135,3,FALSE)+$C$2</f>
        <v>326.05394928873852</v>
      </c>
      <c r="G502" s="72">
        <f>VLOOKUP('Old Data'!$P498,$V$6:$X$135,2,FALSE)+VLOOKUP('Old Data'!$F498,$V$6:$X$135,3,FALSE)+$C$2</f>
        <v>387.97801850649466</v>
      </c>
      <c r="H502" s="74">
        <f>('Old Data'!$K498-$F502)^2+('Old Data'!$U498-$G502)^2</f>
        <v>8479.2965395189767</v>
      </c>
      <c r="I502" s="75">
        <f>('Old Data'!$L498+'Old Data'!$M498)-('Old Data'!$V498+'Old Data'!$W498)</f>
        <v>129</v>
      </c>
      <c r="J502" s="72">
        <f>VLOOKUP('Old Data'!$F498,$Z$6:$AB$135,2,FALSE)+VLOOKUP('Old Data'!$P498,$Z$6:$AB$135,3,FALSE)+$D$2</f>
        <v>69.972492292307408</v>
      </c>
      <c r="K502" s="72">
        <f>VLOOKUP('Old Data'!$P498,$Z$6:$AB$135,2,FALSE)+VLOOKUP('Old Data'!$F498,$Z$6:$AB$135,3,FALSE)+$D$2</f>
        <v>22.925703703947399</v>
      </c>
      <c r="L502" s="74">
        <f>('Old Data'!$L498+'Old Data'!$M498-$J502)^2+('Old Data'!$V498+'Old Data'!$W498-$K502)^2</f>
        <v>9867.7752687950215</v>
      </c>
      <c r="M502" s="75">
        <f>'Old Data'!$N498-'Old Data'!$X498</f>
        <v>-1</v>
      </c>
      <c r="N502" s="72">
        <f>VLOOKUP('Old Data'!$F498,$AD$6:$AF$135,2,FALSE)+VLOOKUP('Old Data'!$P498,$AD$6:$AF$135,3,FALSE)+$E$2</f>
        <v>0.86359214427129116</v>
      </c>
      <c r="O502" s="72">
        <f>VLOOKUP('Old Data'!$P498,$AD$6:$AF$135,2,FALSE)+VLOOKUP('Old Data'!$F498,$AD$6:$AF$135,3,FALSE)+$E$2</f>
        <v>1.1510843647379512</v>
      </c>
      <c r="P502" s="73">
        <f>('Old Data'!$N498-$N502)^2+('Old Data'!$X498-$O502)^2</f>
        <v>0.7392648588968721</v>
      </c>
      <c r="Q502" s="62"/>
      <c r="R502" s="3"/>
      <c r="S502" s="3"/>
      <c r="T502" s="3"/>
      <c r="V502" s="3"/>
      <c r="W502" s="3"/>
      <c r="X502" s="3"/>
      <c r="Z502" s="3"/>
      <c r="AA502" s="3"/>
      <c r="AB502" s="3"/>
      <c r="AC502" s="3"/>
      <c r="AD502" s="3"/>
      <c r="AE502" s="3"/>
      <c r="AF502" s="3"/>
      <c r="AG502" s="3"/>
      <c r="AH502" s="37"/>
      <c r="AI502" s="1"/>
      <c r="AK502" s="10"/>
      <c r="AL502" s="10"/>
      <c r="AM502" s="10"/>
      <c r="AN502" s="11"/>
      <c r="AO502" s="11"/>
      <c r="AP502" s="11"/>
      <c r="AQ502" s="36"/>
      <c r="AR502" s="11"/>
      <c r="AS502" s="11"/>
      <c r="AT502" s="11"/>
      <c r="AU502" s="12"/>
      <c r="AV502" s="11"/>
      <c r="AW502" s="11"/>
      <c r="AX502" s="15"/>
      <c r="AY502" s="15"/>
      <c r="AZ502" s="15"/>
      <c r="BA502" s="15"/>
      <c r="BB502" s="15"/>
      <c r="BC502" s="15"/>
      <c r="BD502" s="15"/>
      <c r="BE502" s="12"/>
      <c r="BF502" s="11"/>
      <c r="BG502" s="11"/>
      <c r="BH502" s="10"/>
      <c r="BI502" s="10"/>
      <c r="BJ502" s="10"/>
      <c r="BK502" s="23"/>
      <c r="BL502" s="23"/>
      <c r="BM502" s="23"/>
      <c r="BN502" s="23"/>
      <c r="BO502" s="23"/>
      <c r="BP502" s="23"/>
      <c r="BQ502" s="23"/>
      <c r="BR502" s="10"/>
      <c r="BS502" s="16"/>
      <c r="BT502" s="16"/>
      <c r="BU502" s="16"/>
      <c r="BV502" s="16"/>
      <c r="BW502" s="11"/>
      <c r="BX502" s="16"/>
      <c r="BY502" s="16"/>
      <c r="BZ502" s="17"/>
      <c r="CA502" s="18"/>
      <c r="CB502" s="18"/>
      <c r="CC502" s="18"/>
      <c r="CD502" s="18"/>
      <c r="CE502" s="18"/>
      <c r="CF502" s="18"/>
      <c r="CG502" s="19"/>
      <c r="CH502" s="15"/>
      <c r="CI502" s="17"/>
      <c r="CJ502" s="10"/>
      <c r="CK502" s="10"/>
      <c r="CL502" s="10"/>
      <c r="CM502" s="17"/>
      <c r="CN502" s="17"/>
      <c r="CO502" s="10"/>
      <c r="CP502" s="10"/>
      <c r="CQ502" s="10"/>
      <c r="CR502" s="10"/>
      <c r="CS502" s="10"/>
      <c r="CT502" s="10"/>
      <c r="CU502" s="10"/>
      <c r="CV502" s="10"/>
      <c r="CW502" s="10"/>
      <c r="CX502" s="10"/>
      <c r="CY502" s="10"/>
      <c r="CZ502" s="10"/>
      <c r="DA502" s="34"/>
      <c r="DB502" s="34"/>
      <c r="DC502" s="34"/>
      <c r="DD502" s="34"/>
      <c r="DE502" s="34"/>
      <c r="DF502" s="34"/>
      <c r="DG502" s="34"/>
      <c r="DH502" s="34"/>
      <c r="DI502" s="34"/>
      <c r="DJ502" s="34"/>
      <c r="DK502" s="34"/>
      <c r="DL502" s="34"/>
      <c r="DM502" s="34"/>
      <c r="DN502" s="34"/>
      <c r="DO502" s="34"/>
      <c r="DP502" s="34"/>
      <c r="DQ502" s="34"/>
      <c r="DR502" s="34"/>
      <c r="DS502" s="34"/>
      <c r="DT502" s="34"/>
      <c r="DU502" s="34"/>
      <c r="DV502" s="34"/>
      <c r="DW502" s="34"/>
      <c r="DX502" s="34"/>
      <c r="DY502" s="34"/>
      <c r="DZ502" s="34"/>
      <c r="EA502" s="34"/>
      <c r="EB502" s="34"/>
      <c r="EC502" s="34"/>
      <c r="ED502" s="34"/>
      <c r="EE502" s="34"/>
    </row>
    <row r="503" spans="1:135" customFormat="1">
      <c r="A503" s="71">
        <f>'Old Data'!$I499-'Old Data'!$S499</f>
        <v>-12</v>
      </c>
      <c r="B503" s="72">
        <f>VLOOKUP('Old Data'!$F499,$R$6:$T$135,2,FALSE)+VLOOKUP('Old Data'!$P499,$R$6:$T$135,3,FALSE)+$B$2</f>
        <v>126.18846189661612</v>
      </c>
      <c r="C503" s="72">
        <f>VLOOKUP('Old Data'!$P499,$R$6:$T$135,2,FALSE)+VLOOKUP('Old Data'!$F499,$R$6:$T$135,3,FALSE)+$B$2</f>
        <v>188.79537028826721</v>
      </c>
      <c r="D503" s="74">
        <f>('Old Data'!$I499-$B503)^2+('Old Data'!$S499-$C503)^2</f>
        <v>21888.31178564829</v>
      </c>
      <c r="E503" s="75">
        <f>'Old Data'!$K499-'Old Data'!$U499</f>
        <v>-126</v>
      </c>
      <c r="F503" s="72">
        <f>VLOOKUP('Old Data'!$F499,$V$6:$X$135,2,FALSE)+VLOOKUP('Old Data'!$P499,$V$6:$X$135,3,FALSE)+$C$2</f>
        <v>191.0422891173335</v>
      </c>
      <c r="G503" s="72">
        <f>VLOOKUP('Old Data'!$P499,$V$6:$X$135,2,FALSE)+VLOOKUP('Old Data'!$F499,$V$6:$X$135,3,FALSE)+$C$2</f>
        <v>201.38999094095752</v>
      </c>
      <c r="H503" s="74">
        <f>('Old Data'!$K499-$F503)^2+('Old Data'!$U499-$G503)^2</f>
        <v>10959.590235125861</v>
      </c>
      <c r="I503" s="75">
        <f>('Old Data'!$L499+'Old Data'!$M499)-('Old Data'!$V499+'Old Data'!$W499)</f>
        <v>107</v>
      </c>
      <c r="J503" s="72">
        <f>VLOOKUP('Old Data'!$F499,$Z$6:$AB$135,2,FALSE)+VLOOKUP('Old Data'!$P499,$Z$6:$AB$135,3,FALSE)+$D$2</f>
        <v>81.70223489783595</v>
      </c>
      <c r="K503" s="72">
        <f>VLOOKUP('Old Data'!$P499,$Z$6:$AB$135,2,FALSE)+VLOOKUP('Old Data'!$F499,$Z$6:$AB$135,3,FALSE)+$D$2</f>
        <v>22.188106709005083</v>
      </c>
      <c r="L503" s="74">
        <f>('Old Data'!$L499+'Old Data'!$M499-$J503)^2+('Old Data'!$V499+'Old Data'!$W499-$K503)^2</f>
        <v>1494.9207999302807</v>
      </c>
      <c r="M503" s="75">
        <f>'Old Data'!$N499-'Old Data'!$X499</f>
        <v>-1</v>
      </c>
      <c r="N503" s="72">
        <f>VLOOKUP('Old Data'!$F499,$AD$6:$AF$135,2,FALSE)+VLOOKUP('Old Data'!$P499,$AD$6:$AF$135,3,FALSE)+$E$2</f>
        <v>1.007206381398642</v>
      </c>
      <c r="O503" s="72">
        <f>VLOOKUP('Old Data'!$P499,$AD$6:$AF$135,2,FALSE)+VLOOKUP('Old Data'!$F499,$AD$6:$AF$135,3,FALSE)+$E$2</f>
        <v>1.8033979584294442</v>
      </c>
      <c r="P503" s="73">
        <f>('Old Data'!$N499-$N503)^2+('Old Data'!$X499-$O503)^2</f>
        <v>3.8704294682573255E-2</v>
      </c>
      <c r="Q503" s="62"/>
      <c r="R503" s="3"/>
      <c r="S503" s="3"/>
      <c r="T503" s="3"/>
      <c r="V503" s="3"/>
      <c r="W503" s="3"/>
      <c r="X503" s="3"/>
      <c r="Z503" s="3"/>
      <c r="AA503" s="3"/>
      <c r="AB503" s="3"/>
      <c r="AC503" s="3"/>
      <c r="AD503" s="3"/>
      <c r="AE503" s="3"/>
      <c r="AF503" s="3"/>
      <c r="AG503" s="3"/>
      <c r="AH503" s="37"/>
      <c r="AI503" s="1"/>
      <c r="AK503" s="10"/>
      <c r="AL503" s="10"/>
      <c r="AM503" s="10"/>
      <c r="AN503" s="11"/>
      <c r="AO503" s="11"/>
      <c r="AP503" s="11"/>
      <c r="AQ503" s="36"/>
      <c r="AR503" s="11"/>
      <c r="AS503" s="11"/>
      <c r="AT503" s="11"/>
      <c r="AU503" s="12"/>
      <c r="AV503" s="11"/>
      <c r="AW503" s="11"/>
      <c r="AX503" s="15"/>
      <c r="AY503" s="15"/>
      <c r="AZ503" s="15"/>
      <c r="BA503" s="15"/>
      <c r="BB503" s="15"/>
      <c r="BC503" s="15"/>
      <c r="BD503" s="15"/>
      <c r="BE503" s="12"/>
      <c r="BF503" s="11"/>
      <c r="BG503" s="11"/>
      <c r="BH503" s="10"/>
      <c r="BI503" s="10"/>
      <c r="BJ503" s="10"/>
      <c r="BK503" s="23"/>
      <c r="BL503" s="23"/>
      <c r="BM503" s="23"/>
      <c r="BN503" s="23"/>
      <c r="BO503" s="23"/>
      <c r="BP503" s="23"/>
      <c r="BQ503" s="23"/>
      <c r="BR503" s="10"/>
      <c r="BS503" s="16"/>
      <c r="BT503" s="16"/>
      <c r="BU503" s="16"/>
      <c r="BV503" s="16"/>
      <c r="BW503" s="11"/>
      <c r="BX503" s="16"/>
      <c r="BY503" s="16"/>
      <c r="BZ503" s="17"/>
      <c r="CA503" s="18"/>
      <c r="CB503" s="18"/>
      <c r="CC503" s="18"/>
      <c r="CD503" s="18"/>
      <c r="CE503" s="18"/>
      <c r="CF503" s="18"/>
      <c r="CG503" s="19"/>
      <c r="CH503" s="15"/>
      <c r="CI503" s="17"/>
      <c r="CJ503" s="10"/>
      <c r="CK503" s="10"/>
      <c r="CL503" s="10"/>
      <c r="CM503" s="17"/>
      <c r="CN503" s="17"/>
      <c r="CO503" s="10"/>
      <c r="CP503" s="10"/>
      <c r="CQ503" s="10"/>
      <c r="CR503" s="10"/>
      <c r="CS503" s="10"/>
      <c r="CT503" s="10"/>
      <c r="CU503" s="10"/>
      <c r="CV503" s="10"/>
      <c r="CW503" s="10"/>
      <c r="CX503" s="10"/>
      <c r="CY503" s="10"/>
      <c r="CZ503" s="10"/>
      <c r="DA503" s="34"/>
      <c r="DB503" s="34"/>
      <c r="DC503" s="34"/>
      <c r="DD503" s="34"/>
      <c r="DE503" s="34"/>
      <c r="DF503" s="34"/>
      <c r="DG503" s="34"/>
      <c r="DH503" s="34"/>
      <c r="DI503" s="34"/>
      <c r="DJ503" s="34"/>
      <c r="DK503" s="34"/>
      <c r="DL503" s="34"/>
      <c r="DM503" s="34"/>
      <c r="DN503" s="34"/>
      <c r="DO503" s="34"/>
      <c r="DP503" s="34"/>
      <c r="DQ503" s="34"/>
      <c r="DR503" s="34"/>
      <c r="DS503" s="34"/>
      <c r="DT503" s="34"/>
      <c r="DU503" s="34"/>
      <c r="DV503" s="34"/>
      <c r="DW503" s="34"/>
      <c r="DX503" s="34"/>
      <c r="DY503" s="34"/>
      <c r="DZ503" s="34"/>
      <c r="EA503" s="34"/>
      <c r="EB503" s="34"/>
      <c r="EC503" s="34"/>
      <c r="ED503" s="34"/>
      <c r="EE503" s="34"/>
    </row>
    <row r="504" spans="1:135" customFormat="1">
      <c r="A504" s="71">
        <f>'Old Data'!$I500-'Old Data'!$S500</f>
        <v>-27</v>
      </c>
      <c r="B504" s="72">
        <f>VLOOKUP('Old Data'!$F500,$R$6:$T$135,2,FALSE)+VLOOKUP('Old Data'!$P500,$R$6:$T$135,3,FALSE)+$B$2</f>
        <v>153.73495894286208</v>
      </c>
      <c r="C504" s="72">
        <f>VLOOKUP('Old Data'!$P500,$R$6:$T$135,2,FALSE)+VLOOKUP('Old Data'!$F500,$R$6:$T$135,3,FALSE)+$B$2</f>
        <v>97.181979064578499</v>
      </c>
      <c r="D504" s="74">
        <f>('Old Data'!$I500-$B504)^2+('Old Data'!$S500-$C504)^2</f>
        <v>11929.755613885009</v>
      </c>
      <c r="E504" s="75">
        <f>'Old Data'!$K500-'Old Data'!$U500</f>
        <v>-185</v>
      </c>
      <c r="F504" s="72">
        <f>VLOOKUP('Old Data'!$F500,$V$6:$X$135,2,FALSE)+VLOOKUP('Old Data'!$P500,$V$6:$X$135,3,FALSE)+$C$2</f>
        <v>236.78337339240369</v>
      </c>
      <c r="G504" s="72">
        <f>VLOOKUP('Old Data'!$P500,$V$6:$X$135,2,FALSE)+VLOOKUP('Old Data'!$F500,$V$6:$X$135,3,FALSE)+$C$2</f>
        <v>348.38900110096358</v>
      </c>
      <c r="H504" s="74">
        <f>('Old Data'!$K500-$F504)^2+('Old Data'!$U500-$G504)^2</f>
        <v>19589.664891730659</v>
      </c>
      <c r="I504" s="75">
        <f>('Old Data'!$L500+'Old Data'!$M500)-('Old Data'!$V500+'Old Data'!$W500)</f>
        <v>166</v>
      </c>
      <c r="J504" s="72">
        <f>VLOOKUP('Old Data'!$F500,$Z$6:$AB$135,2,FALSE)+VLOOKUP('Old Data'!$P500,$Z$6:$AB$135,3,FALSE)+$D$2</f>
        <v>105.5859533663043</v>
      </c>
      <c r="K504" s="72">
        <f>VLOOKUP('Old Data'!$P500,$Z$6:$AB$135,2,FALSE)+VLOOKUP('Old Data'!$F500,$Z$6:$AB$135,3,FALSE)+$D$2</f>
        <v>90.008212656580596</v>
      </c>
      <c r="L504" s="74">
        <f>('Old Data'!$L500+'Old Data'!$M500-$J504)^2+('Old Data'!$V500+'Old Data'!$W500-$K504)^2</f>
        <v>11564.43874310058</v>
      </c>
      <c r="M504" s="75">
        <f>'Old Data'!$N500-'Old Data'!$X500</f>
        <v>-1</v>
      </c>
      <c r="N504" s="72">
        <f>VLOOKUP('Old Data'!$F500,$AD$6:$AF$135,2,FALSE)+VLOOKUP('Old Data'!$P500,$AD$6:$AF$135,3,FALSE)+$E$2</f>
        <v>2.35105639359278</v>
      </c>
      <c r="O504" s="72">
        <f>VLOOKUP('Old Data'!$P500,$AD$6:$AF$135,2,FALSE)+VLOOKUP('Old Data'!$F500,$AD$6:$AF$135,3,FALSE)+$E$2</f>
        <v>1.2868646501120764</v>
      </c>
      <c r="P504" s="73">
        <f>('Old Data'!$N500-$N504)^2+('Old Data'!$X500-$O504)^2</f>
        <v>3.0580733185179874</v>
      </c>
      <c r="Q504" s="62"/>
      <c r="R504" s="3"/>
      <c r="S504" s="3"/>
      <c r="T504" s="3"/>
      <c r="V504" s="3"/>
      <c r="W504" s="3"/>
      <c r="X504" s="3"/>
      <c r="Z504" s="3"/>
      <c r="AA504" s="3"/>
      <c r="AB504" s="3"/>
      <c r="AC504" s="3"/>
      <c r="AD504" s="3"/>
      <c r="AE504" s="3"/>
      <c r="AF504" s="3"/>
      <c r="AG504" s="3"/>
      <c r="AH504" s="37"/>
      <c r="AI504" s="1"/>
      <c r="AK504" s="10"/>
      <c r="AL504" s="10"/>
      <c r="AM504" s="10"/>
      <c r="AN504" s="11"/>
      <c r="AO504" s="11"/>
      <c r="AP504" s="11"/>
      <c r="AQ504" s="36"/>
      <c r="AR504" s="11"/>
      <c r="AS504" s="11"/>
      <c r="AT504" s="11"/>
      <c r="AU504" s="12"/>
      <c r="AV504" s="11"/>
      <c r="AW504" s="11"/>
      <c r="AX504" s="15"/>
      <c r="AY504" s="15"/>
      <c r="AZ504" s="15"/>
      <c r="BA504" s="15"/>
      <c r="BB504" s="15"/>
      <c r="BC504" s="15"/>
      <c r="BD504" s="15"/>
      <c r="BE504" s="12"/>
      <c r="BF504" s="11"/>
      <c r="BG504" s="11"/>
      <c r="BH504" s="10"/>
      <c r="BI504" s="10"/>
      <c r="BJ504" s="10"/>
      <c r="BK504" s="23"/>
      <c r="BL504" s="23"/>
      <c r="BM504" s="23"/>
      <c r="BN504" s="23"/>
      <c r="BO504" s="23"/>
      <c r="BP504" s="23"/>
      <c r="BQ504" s="23"/>
      <c r="BR504" s="10"/>
      <c r="BS504" s="16"/>
      <c r="BT504" s="16"/>
      <c r="BU504" s="16"/>
      <c r="BV504" s="16"/>
      <c r="BW504" s="11"/>
      <c r="BX504" s="16"/>
      <c r="BY504" s="16"/>
      <c r="BZ504" s="17"/>
      <c r="CA504" s="18"/>
      <c r="CB504" s="18"/>
      <c r="CC504" s="18"/>
      <c r="CD504" s="18"/>
      <c r="CE504" s="18"/>
      <c r="CF504" s="18"/>
      <c r="CG504" s="19"/>
      <c r="CH504" s="15"/>
      <c r="CI504" s="17"/>
      <c r="CJ504" s="10"/>
      <c r="CK504" s="10"/>
      <c r="CL504" s="10"/>
      <c r="CM504" s="17"/>
      <c r="CN504" s="17"/>
      <c r="CO504" s="10"/>
      <c r="CP504" s="10"/>
      <c r="CQ504" s="10"/>
      <c r="CR504" s="10"/>
      <c r="CS504" s="10"/>
      <c r="CT504" s="10"/>
      <c r="CU504" s="10"/>
      <c r="CV504" s="10"/>
      <c r="CW504" s="10"/>
      <c r="CX504" s="10"/>
      <c r="CY504" s="10"/>
      <c r="CZ504" s="10"/>
      <c r="DA504" s="34"/>
      <c r="DB504" s="34"/>
      <c r="DC504" s="34"/>
      <c r="DD504" s="34"/>
      <c r="DE504" s="34"/>
      <c r="DF504" s="34"/>
      <c r="DG504" s="34"/>
      <c r="DH504" s="34"/>
      <c r="DI504" s="34"/>
      <c r="DJ504" s="34"/>
      <c r="DK504" s="34"/>
      <c r="DL504" s="34"/>
      <c r="DM504" s="34"/>
      <c r="DN504" s="34"/>
      <c r="DO504" s="34"/>
      <c r="DP504" s="34"/>
      <c r="DQ504" s="34"/>
      <c r="DR504" s="34"/>
      <c r="DS504" s="34"/>
      <c r="DT504" s="34"/>
      <c r="DU504" s="34"/>
      <c r="DV504" s="34"/>
      <c r="DW504" s="34"/>
      <c r="DX504" s="34"/>
      <c r="DY504" s="34"/>
      <c r="DZ504" s="34"/>
      <c r="EA504" s="34"/>
      <c r="EB504" s="34"/>
      <c r="EC504" s="34"/>
      <c r="ED504" s="34"/>
      <c r="EE504" s="34"/>
    </row>
    <row r="505" spans="1:135" customFormat="1">
      <c r="A505" s="71">
        <f>'Old Data'!$I501-'Old Data'!$S501</f>
        <v>103</v>
      </c>
      <c r="B505" s="72">
        <f>VLOOKUP('Old Data'!$F501,$R$6:$T$135,2,FALSE)+VLOOKUP('Old Data'!$P501,$R$6:$T$135,3,FALSE)+$B$2</f>
        <v>242.61338509914151</v>
      </c>
      <c r="C505" s="72">
        <f>VLOOKUP('Old Data'!$P501,$R$6:$T$135,2,FALSE)+VLOOKUP('Old Data'!$F501,$R$6:$T$135,3,FALSE)+$B$2</f>
        <v>159.4290443016933</v>
      </c>
      <c r="D505" s="74">
        <f>('Old Data'!$I501-$B505)^2+('Old Data'!$S501-$C505)^2</f>
        <v>1818.4125990952812</v>
      </c>
      <c r="E505" s="75">
        <f>'Old Data'!$K501-'Old Data'!$U501</f>
        <v>-119</v>
      </c>
      <c r="F505" s="72">
        <f>VLOOKUP('Old Data'!$F501,$V$6:$X$135,2,FALSE)+VLOOKUP('Old Data'!$P501,$V$6:$X$135,3,FALSE)+$C$2</f>
        <v>198.6974445533744</v>
      </c>
      <c r="G505" s="72">
        <f>VLOOKUP('Old Data'!$P501,$V$6:$X$135,2,FALSE)+VLOOKUP('Old Data'!$F501,$V$6:$X$135,3,FALSE)+$C$2</f>
        <v>328.15803962578843</v>
      </c>
      <c r="H505" s="74">
        <f>('Old Data'!$K501-$F505)^2+('Old Data'!$U501-$G505)^2</f>
        <v>1119.3701948042524</v>
      </c>
      <c r="I505" s="75">
        <f>('Old Data'!$L501+'Old Data'!$M501)-('Old Data'!$V501+'Old Data'!$W501)</f>
        <v>-13</v>
      </c>
      <c r="J505" s="72">
        <f>VLOOKUP('Old Data'!$F501,$Z$6:$AB$135,2,FALSE)+VLOOKUP('Old Data'!$P501,$Z$6:$AB$135,3,FALSE)+$D$2</f>
        <v>59.905699656859596</v>
      </c>
      <c r="K505" s="72">
        <f>VLOOKUP('Old Data'!$P501,$Z$6:$AB$135,2,FALSE)+VLOOKUP('Old Data'!$F501,$Z$6:$AB$135,3,FALSE)+$D$2</f>
        <v>40.623328672245876</v>
      </c>
      <c r="L505" s="74">
        <f>('Old Data'!$L501+'Old Data'!$M501-$J505)^2+('Old Data'!$V501+'Old Data'!$W501-$K505)^2</f>
        <v>2730.2707756305463</v>
      </c>
      <c r="M505" s="75">
        <f>'Old Data'!$N501-'Old Data'!$X501</f>
        <v>-1</v>
      </c>
      <c r="N505" s="72">
        <f>VLOOKUP('Old Data'!$F501,$AD$6:$AF$135,2,FALSE)+VLOOKUP('Old Data'!$P501,$AD$6:$AF$135,3,FALSE)+$E$2</f>
        <v>0.90502352731661917</v>
      </c>
      <c r="O505" s="72">
        <f>VLOOKUP('Old Data'!$P501,$AD$6:$AF$135,2,FALSE)+VLOOKUP('Old Data'!$F501,$AD$6:$AF$135,3,FALSE)+$E$2</f>
        <v>1.2318199310254561</v>
      </c>
      <c r="P505" s="73">
        <f>('Old Data'!$N501-$N505)^2+('Old Data'!$X501-$O505)^2</f>
        <v>0.87280806541726252</v>
      </c>
      <c r="Q505" s="62"/>
      <c r="R505" s="3"/>
      <c r="S505" s="3"/>
      <c r="T505" s="3"/>
      <c r="V505" s="3"/>
      <c r="W505" s="3"/>
      <c r="X505" s="3"/>
      <c r="Z505" s="3"/>
      <c r="AA505" s="3"/>
      <c r="AB505" s="3"/>
      <c r="AC505" s="3"/>
      <c r="AD505" s="3"/>
      <c r="AE505" s="3"/>
      <c r="AF505" s="3"/>
      <c r="AG505" s="3"/>
      <c r="AH505" s="37"/>
      <c r="AI505" s="1"/>
      <c r="AK505" s="10"/>
      <c r="AL505" s="10"/>
      <c r="AM505" s="10"/>
      <c r="AN505" s="11"/>
      <c r="AO505" s="11"/>
      <c r="AP505" s="11"/>
      <c r="AQ505" s="36"/>
      <c r="AR505" s="11"/>
      <c r="AS505" s="11"/>
      <c r="AT505" s="11"/>
      <c r="AU505" s="12"/>
      <c r="AV505" s="11"/>
      <c r="AW505" s="11"/>
      <c r="AX505" s="15"/>
      <c r="AY505" s="15"/>
      <c r="AZ505" s="15"/>
      <c r="BA505" s="15"/>
      <c r="BB505" s="15"/>
      <c r="BC505" s="15"/>
      <c r="BD505" s="15"/>
      <c r="BE505" s="12"/>
      <c r="BF505" s="11"/>
      <c r="BG505" s="11"/>
      <c r="BH505" s="10"/>
      <c r="BI505" s="10"/>
      <c r="BJ505" s="10"/>
      <c r="BK505" s="23"/>
      <c r="BL505" s="23"/>
      <c r="BM505" s="23"/>
      <c r="BN505" s="23"/>
      <c r="BO505" s="23"/>
      <c r="BP505" s="23"/>
      <c r="BQ505" s="23"/>
      <c r="BR505" s="10"/>
      <c r="BS505" s="16"/>
      <c r="BT505" s="16"/>
      <c r="BU505" s="16"/>
      <c r="BV505" s="16"/>
      <c r="BW505" s="11"/>
      <c r="BX505" s="16"/>
      <c r="BY505" s="16"/>
      <c r="BZ505" s="17"/>
      <c r="CA505" s="18"/>
      <c r="CB505" s="18"/>
      <c r="CC505" s="18"/>
      <c r="CD505" s="18"/>
      <c r="CE505" s="18"/>
      <c r="CF505" s="18"/>
      <c r="CG505" s="19"/>
      <c r="CH505" s="15"/>
      <c r="CI505" s="17"/>
      <c r="CJ505" s="10"/>
      <c r="CK505" s="10"/>
      <c r="CL505" s="10"/>
      <c r="CM505" s="17"/>
      <c r="CN505" s="17"/>
      <c r="CO505" s="10"/>
      <c r="CP505" s="10"/>
      <c r="CQ505" s="10"/>
      <c r="CR505" s="10"/>
      <c r="CS505" s="10"/>
      <c r="CT505" s="10"/>
      <c r="CU505" s="10"/>
      <c r="CV505" s="10"/>
      <c r="CW505" s="10"/>
      <c r="CX505" s="10"/>
      <c r="CY505" s="10"/>
      <c r="CZ505" s="10"/>
      <c r="DA505" s="34"/>
      <c r="DB505" s="34"/>
      <c r="DC505" s="34"/>
      <c r="DD505" s="34"/>
      <c r="DE505" s="34"/>
      <c r="DF505" s="34"/>
      <c r="DG505" s="34"/>
      <c r="DH505" s="34"/>
      <c r="DI505" s="34"/>
      <c r="DJ505" s="34"/>
      <c r="DK505" s="34"/>
      <c r="DL505" s="34"/>
      <c r="DM505" s="34"/>
      <c r="DN505" s="34"/>
      <c r="DO505" s="34"/>
      <c r="DP505" s="34"/>
      <c r="DQ505" s="34"/>
      <c r="DR505" s="34"/>
      <c r="DS505" s="34"/>
      <c r="DT505" s="34"/>
      <c r="DU505" s="34"/>
      <c r="DV505" s="34"/>
      <c r="DW505" s="34"/>
      <c r="DX505" s="34"/>
      <c r="DY505" s="34"/>
      <c r="DZ505" s="34"/>
      <c r="EA505" s="34"/>
      <c r="EB505" s="34"/>
      <c r="EC505" s="34"/>
      <c r="ED505" s="34"/>
      <c r="EE505" s="34"/>
    </row>
    <row r="506" spans="1:135" customFormat="1">
      <c r="A506" s="71">
        <f>'Old Data'!$I502-'Old Data'!$S502</f>
        <v>-32</v>
      </c>
      <c r="B506" s="72">
        <f>VLOOKUP('Old Data'!$F502,$R$6:$T$135,2,FALSE)+VLOOKUP('Old Data'!$P502,$R$6:$T$135,3,FALSE)+$B$2</f>
        <v>107.56728656000361</v>
      </c>
      <c r="C506" s="72">
        <f>VLOOKUP('Old Data'!$P502,$R$6:$T$135,2,FALSE)+VLOOKUP('Old Data'!$F502,$R$6:$T$135,3,FALSE)+$B$2</f>
        <v>167.95552983517931</v>
      </c>
      <c r="D506" s="74">
        <f>('Old Data'!$I502-$B506)^2+('Old Data'!$S502-$C506)^2</f>
        <v>2295.4746467229729</v>
      </c>
      <c r="E506" s="75">
        <f>'Old Data'!$K502-'Old Data'!$U502</f>
        <v>34</v>
      </c>
      <c r="F506" s="72">
        <f>VLOOKUP('Old Data'!$F502,$V$6:$X$135,2,FALSE)+VLOOKUP('Old Data'!$P502,$V$6:$X$135,3,FALSE)+$C$2</f>
        <v>286.6705682658187</v>
      </c>
      <c r="G506" s="72">
        <f>VLOOKUP('Old Data'!$P502,$V$6:$X$135,2,FALSE)+VLOOKUP('Old Data'!$F502,$V$6:$X$135,3,FALSE)+$C$2</f>
        <v>132.66757167855181</v>
      </c>
      <c r="H506" s="74">
        <f>('Old Data'!$K502-$F506)^2+('Old Data'!$U502-$G506)^2</f>
        <v>9334.8958606568667</v>
      </c>
      <c r="I506" s="75">
        <f>('Old Data'!$L502+'Old Data'!$M502)-('Old Data'!$V502+'Old Data'!$W502)</f>
        <v>17</v>
      </c>
      <c r="J506" s="72">
        <f>VLOOKUP('Old Data'!$F502,$Z$6:$AB$135,2,FALSE)+VLOOKUP('Old Data'!$P502,$Z$6:$AB$135,3,FALSE)+$D$2</f>
        <v>60.060914860635279</v>
      </c>
      <c r="K506" s="72">
        <f>VLOOKUP('Old Data'!$P502,$Z$6:$AB$135,2,FALSE)+VLOOKUP('Old Data'!$F502,$Z$6:$AB$135,3,FALSE)+$D$2</f>
        <v>46.581094204704371</v>
      </c>
      <c r="L506" s="74">
        <f>('Old Data'!$L502+'Old Data'!$M502-$J506)^2+('Old Data'!$V502+'Old Data'!$W502-$K506)^2</f>
        <v>7.543928192534147</v>
      </c>
      <c r="M506" s="75">
        <f>'Old Data'!$N502-'Old Data'!$X502</f>
        <v>-2</v>
      </c>
      <c r="N506" s="72">
        <f>VLOOKUP('Old Data'!$F502,$AD$6:$AF$135,2,FALSE)+VLOOKUP('Old Data'!$P502,$AD$6:$AF$135,3,FALSE)+$E$2</f>
        <v>1.2848939609208441</v>
      </c>
      <c r="O506" s="72">
        <f>VLOOKUP('Old Data'!$P502,$AD$6:$AF$135,2,FALSE)+VLOOKUP('Old Data'!$F502,$AD$6:$AF$135,3,FALSE)+$E$2</f>
        <v>1.1917655202247701</v>
      </c>
      <c r="P506" s="73">
        <f>('Old Data'!$N502-$N506)^2+('Old Data'!$X502-$O506)^2</f>
        <v>2.3041954651083918</v>
      </c>
      <c r="Q506" s="62"/>
      <c r="R506" s="3"/>
      <c r="S506" s="3"/>
      <c r="T506" s="3"/>
      <c r="V506" s="3"/>
      <c r="W506" s="3"/>
      <c r="X506" s="3"/>
      <c r="Z506" s="3"/>
      <c r="AA506" s="3"/>
      <c r="AB506" s="3"/>
      <c r="AC506" s="3"/>
      <c r="AD506" s="3"/>
      <c r="AE506" s="3"/>
      <c r="AF506" s="3"/>
      <c r="AG506" s="3"/>
      <c r="AH506" s="37"/>
      <c r="AI506" s="1"/>
      <c r="AK506" s="10"/>
      <c r="AL506" s="10"/>
      <c r="AM506" s="10"/>
      <c r="AN506" s="11"/>
      <c r="AO506" s="11"/>
      <c r="AP506" s="11"/>
      <c r="AQ506" s="36"/>
      <c r="AR506" s="11"/>
      <c r="AS506" s="11"/>
      <c r="AT506" s="11"/>
      <c r="AU506" s="12"/>
      <c r="AV506" s="11"/>
      <c r="AW506" s="11"/>
      <c r="AX506" s="15"/>
      <c r="AY506" s="15"/>
      <c r="AZ506" s="15"/>
      <c r="BA506" s="15"/>
      <c r="BB506" s="15"/>
      <c r="BC506" s="15"/>
      <c r="BD506" s="15"/>
      <c r="BE506" s="12"/>
      <c r="BF506" s="11"/>
      <c r="BG506" s="11"/>
      <c r="BH506" s="10"/>
      <c r="BI506" s="10"/>
      <c r="BJ506" s="10"/>
      <c r="BK506" s="23"/>
      <c r="BL506" s="23"/>
      <c r="BM506" s="23"/>
      <c r="BN506" s="23"/>
      <c r="BO506" s="23"/>
      <c r="BP506" s="23"/>
      <c r="BQ506" s="23"/>
      <c r="BR506" s="10"/>
      <c r="BS506" s="16"/>
      <c r="BT506" s="16"/>
      <c r="BU506" s="16"/>
      <c r="BV506" s="16"/>
      <c r="BW506" s="11"/>
      <c r="BX506" s="16"/>
      <c r="BY506" s="16"/>
      <c r="BZ506" s="17"/>
      <c r="CA506" s="18"/>
      <c r="CB506" s="18"/>
      <c r="CC506" s="18"/>
      <c r="CD506" s="18"/>
      <c r="CE506" s="18"/>
      <c r="CF506" s="18"/>
      <c r="CG506" s="19"/>
      <c r="CH506" s="15"/>
      <c r="CI506" s="17"/>
      <c r="CJ506" s="10"/>
      <c r="CK506" s="10"/>
      <c r="CL506" s="10"/>
      <c r="CM506" s="17"/>
      <c r="CN506" s="17"/>
      <c r="CO506" s="10"/>
      <c r="CP506" s="10"/>
      <c r="CQ506" s="10"/>
      <c r="CR506" s="10"/>
      <c r="CS506" s="10"/>
      <c r="CT506" s="10"/>
      <c r="CU506" s="10"/>
      <c r="CV506" s="10"/>
      <c r="CW506" s="10"/>
      <c r="CX506" s="10"/>
      <c r="CY506" s="10"/>
      <c r="CZ506" s="10"/>
      <c r="DA506" s="34"/>
      <c r="DB506" s="34"/>
      <c r="DC506" s="34"/>
      <c r="DD506" s="34"/>
      <c r="DE506" s="34"/>
      <c r="DF506" s="34"/>
      <c r="DG506" s="34"/>
      <c r="DH506" s="34"/>
      <c r="DI506" s="34"/>
      <c r="DJ506" s="34"/>
      <c r="DK506" s="34"/>
      <c r="DL506" s="34"/>
      <c r="DM506" s="34"/>
      <c r="DN506" s="34"/>
      <c r="DO506" s="34"/>
      <c r="DP506" s="34"/>
      <c r="DQ506" s="34"/>
      <c r="DR506" s="34"/>
      <c r="DS506" s="34"/>
      <c r="DT506" s="34"/>
      <c r="DU506" s="34"/>
      <c r="DV506" s="34"/>
      <c r="DW506" s="34"/>
      <c r="DX506" s="34"/>
      <c r="DY506" s="34"/>
      <c r="DZ506" s="34"/>
      <c r="EA506" s="34"/>
      <c r="EB506" s="34"/>
      <c r="EC506" s="34"/>
      <c r="ED506" s="34"/>
      <c r="EE506" s="34"/>
    </row>
    <row r="507" spans="1:135" customFormat="1">
      <c r="A507" s="71">
        <f>'Old Data'!$I503-'Old Data'!$S503</f>
        <v>180</v>
      </c>
      <c r="B507" s="72">
        <f>VLOOKUP('Old Data'!$F503,$R$6:$T$135,2,FALSE)+VLOOKUP('Old Data'!$P503,$R$6:$T$135,3,FALSE)+$B$2</f>
        <v>118.3275499395375</v>
      </c>
      <c r="C507" s="72">
        <f>VLOOKUP('Old Data'!$P503,$R$6:$T$135,2,FALSE)+VLOOKUP('Old Data'!$F503,$R$6:$T$135,3,FALSE)+$B$2</f>
        <v>78.011275414187509</v>
      </c>
      <c r="D507" s="74">
        <f>('Old Data'!$I503-$B507)^2+('Old Data'!$S503-$C507)^2</f>
        <v>9878.4077768892566</v>
      </c>
      <c r="E507" s="75">
        <f>'Old Data'!$K503-'Old Data'!$U503</f>
        <v>-177</v>
      </c>
      <c r="F507" s="72">
        <f>VLOOKUP('Old Data'!$F503,$V$6:$X$135,2,FALSE)+VLOOKUP('Old Data'!$P503,$V$6:$X$135,3,FALSE)+$C$2</f>
        <v>288.9659049900452</v>
      </c>
      <c r="G507" s="72">
        <f>VLOOKUP('Old Data'!$P503,$V$6:$X$135,2,FALSE)+VLOOKUP('Old Data'!$F503,$V$6:$X$135,3,FALSE)+$C$2</f>
        <v>417.62412523663545</v>
      </c>
      <c r="H507" s="74">
        <f>('Old Data'!$K503-$F507)^2+('Old Data'!$U503-$G507)^2</f>
        <v>3589.8499883387517</v>
      </c>
      <c r="I507" s="75">
        <f>('Old Data'!$L503+'Old Data'!$M503)-('Old Data'!$V503+'Old Data'!$W503)</f>
        <v>-26</v>
      </c>
      <c r="J507" s="72">
        <f>VLOOKUP('Old Data'!$F503,$Z$6:$AB$135,2,FALSE)+VLOOKUP('Old Data'!$P503,$Z$6:$AB$135,3,FALSE)+$D$2</f>
        <v>38.967591994781849</v>
      </c>
      <c r="K507" s="72">
        <f>VLOOKUP('Old Data'!$P503,$Z$6:$AB$135,2,FALSE)+VLOOKUP('Old Data'!$F503,$Z$6:$AB$135,3,FALSE)+$D$2</f>
        <v>66.294442040391473</v>
      </c>
      <c r="L507" s="74">
        <f>('Old Data'!$L503+'Old Data'!$M503-$J507)^2+('Old Data'!$V503+'Old Data'!$W503-$K507)^2</f>
        <v>64.296970826468282</v>
      </c>
      <c r="M507" s="75">
        <f>'Old Data'!$N503-'Old Data'!$X503</f>
        <v>1</v>
      </c>
      <c r="N507" s="72">
        <f>VLOOKUP('Old Data'!$F503,$AD$6:$AF$135,2,FALSE)+VLOOKUP('Old Data'!$P503,$AD$6:$AF$135,3,FALSE)+$E$2</f>
        <v>1.8622450391305481</v>
      </c>
      <c r="O507" s="72">
        <f>VLOOKUP('Old Data'!$P503,$AD$6:$AF$135,2,FALSE)+VLOOKUP('Old Data'!$F503,$AD$6:$AF$135,3,FALSE)+$E$2</f>
        <v>0.86894986066214708</v>
      </c>
      <c r="P507" s="73">
        <f>('Old Data'!$N503-$N507)^2+('Old Data'!$X503-$O507)^2</f>
        <v>3.61505682646149E-2</v>
      </c>
      <c r="Q507" s="62"/>
      <c r="R507" s="3"/>
      <c r="S507" s="3"/>
      <c r="T507" s="3"/>
      <c r="V507" s="3"/>
      <c r="W507" s="3"/>
      <c r="X507" s="3"/>
      <c r="Z507" s="3"/>
      <c r="AA507" s="3"/>
      <c r="AB507" s="3"/>
      <c r="AC507" s="3"/>
      <c r="AD507" s="3"/>
      <c r="AE507" s="3"/>
      <c r="AF507" s="3"/>
      <c r="AG507" s="3"/>
      <c r="AH507" s="37"/>
      <c r="AI507" s="1"/>
      <c r="AK507" s="10"/>
      <c r="AL507" s="10"/>
      <c r="AM507" s="10"/>
      <c r="AN507" s="11"/>
      <c r="AO507" s="11"/>
      <c r="AP507" s="11"/>
      <c r="AQ507" s="36"/>
      <c r="AR507" s="11"/>
      <c r="AS507" s="11"/>
      <c r="AT507" s="11"/>
      <c r="AU507" s="12"/>
      <c r="AV507" s="11"/>
      <c r="AW507" s="11"/>
      <c r="AX507" s="15"/>
      <c r="AY507" s="15"/>
      <c r="AZ507" s="15"/>
      <c r="BA507" s="15"/>
      <c r="BB507" s="15"/>
      <c r="BC507" s="15"/>
      <c r="BD507" s="15"/>
      <c r="BE507" s="12"/>
      <c r="BF507" s="11"/>
      <c r="BG507" s="11"/>
      <c r="BH507" s="10"/>
      <c r="BI507" s="10"/>
      <c r="BJ507" s="10"/>
      <c r="BK507" s="23"/>
      <c r="BL507" s="23"/>
      <c r="BM507" s="23"/>
      <c r="BN507" s="23"/>
      <c r="BO507" s="23"/>
      <c r="BP507" s="23"/>
      <c r="BQ507" s="23"/>
      <c r="BR507" s="10"/>
      <c r="BS507" s="16"/>
      <c r="BT507" s="16"/>
      <c r="BU507" s="16"/>
      <c r="BV507" s="16"/>
      <c r="BW507" s="11"/>
      <c r="BX507" s="16"/>
      <c r="BY507" s="16"/>
      <c r="BZ507" s="17"/>
      <c r="CA507" s="18"/>
      <c r="CB507" s="18"/>
      <c r="CC507" s="18"/>
      <c r="CD507" s="18"/>
      <c r="CE507" s="18"/>
      <c r="CF507" s="18"/>
      <c r="CG507" s="19"/>
      <c r="CH507" s="15"/>
      <c r="CI507" s="17"/>
      <c r="CJ507" s="10"/>
      <c r="CK507" s="10"/>
      <c r="CL507" s="10"/>
      <c r="CM507" s="17"/>
      <c r="CN507" s="17"/>
      <c r="CO507" s="10"/>
      <c r="CP507" s="10"/>
      <c r="CQ507" s="10"/>
      <c r="CR507" s="10"/>
      <c r="CS507" s="10"/>
      <c r="CT507" s="10"/>
      <c r="CU507" s="10"/>
      <c r="CV507" s="10"/>
      <c r="CW507" s="10"/>
      <c r="CX507" s="10"/>
      <c r="CY507" s="10"/>
      <c r="CZ507" s="10"/>
      <c r="DA507" s="34"/>
      <c r="DB507" s="34"/>
      <c r="DC507" s="34"/>
      <c r="DD507" s="34"/>
      <c r="DE507" s="34"/>
      <c r="DF507" s="34"/>
      <c r="DG507" s="34"/>
      <c r="DH507" s="34"/>
      <c r="DI507" s="34"/>
      <c r="DJ507" s="34"/>
      <c r="DK507" s="34"/>
      <c r="DL507" s="34"/>
      <c r="DM507" s="34"/>
      <c r="DN507" s="34"/>
      <c r="DO507" s="34"/>
      <c r="DP507" s="34"/>
      <c r="DQ507" s="34"/>
      <c r="DR507" s="34"/>
      <c r="DS507" s="34"/>
      <c r="DT507" s="34"/>
      <c r="DU507" s="34"/>
      <c r="DV507" s="34"/>
      <c r="DW507" s="34"/>
      <c r="DX507" s="34"/>
      <c r="DY507" s="34"/>
      <c r="DZ507" s="34"/>
      <c r="EA507" s="34"/>
      <c r="EB507" s="34"/>
      <c r="EC507" s="34"/>
      <c r="ED507" s="34"/>
      <c r="EE507" s="34"/>
    </row>
    <row r="508" spans="1:135" customFormat="1">
      <c r="A508" s="71">
        <f>'Old Data'!$I504-'Old Data'!$S504</f>
        <v>159</v>
      </c>
      <c r="B508" s="72">
        <f>VLOOKUP('Old Data'!$F504,$R$6:$T$135,2,FALSE)+VLOOKUP('Old Data'!$P504,$R$6:$T$135,3,FALSE)+$B$2</f>
        <v>262.88209170546571</v>
      </c>
      <c r="C508" s="72">
        <f>VLOOKUP('Old Data'!$P504,$R$6:$T$135,2,FALSE)+VLOOKUP('Old Data'!$F504,$R$6:$T$135,3,FALSE)+$B$2</f>
        <v>62.909226243697901</v>
      </c>
      <c r="D508" s="74">
        <f>('Old Data'!$I504-$B508)^2+('Old Data'!$S504-$C508)^2</f>
        <v>9186.8296107311271</v>
      </c>
      <c r="E508" s="75">
        <f>'Old Data'!$K504-'Old Data'!$U504</f>
        <v>130</v>
      </c>
      <c r="F508" s="72">
        <f>VLOOKUP('Old Data'!$F504,$V$6:$X$135,2,FALSE)+VLOOKUP('Old Data'!$P504,$V$6:$X$135,3,FALSE)+$C$2</f>
        <v>218.4544060042891</v>
      </c>
      <c r="G508" s="72">
        <f>VLOOKUP('Old Data'!$P504,$V$6:$X$135,2,FALSE)+VLOOKUP('Old Data'!$F504,$V$6:$X$135,3,FALSE)+$C$2</f>
        <v>198.317843623329</v>
      </c>
      <c r="H508" s="74">
        <f>('Old Data'!$K504-$F508)^2+('Old Data'!$U504-$G508)^2</f>
        <v>16806.034093112256</v>
      </c>
      <c r="I508" s="75">
        <f>('Old Data'!$L504+'Old Data'!$M504)-('Old Data'!$V504+'Old Data'!$W504)</f>
        <v>-85</v>
      </c>
      <c r="J508" s="72">
        <f>VLOOKUP('Old Data'!$F504,$Z$6:$AB$135,2,FALSE)+VLOOKUP('Old Data'!$P504,$Z$6:$AB$135,3,FALSE)+$D$2</f>
        <v>65.616894616358763</v>
      </c>
      <c r="K508" s="72">
        <f>VLOOKUP('Old Data'!$P504,$Z$6:$AB$135,2,FALSE)+VLOOKUP('Old Data'!$F504,$Z$6:$AB$135,3,FALSE)+$D$2</f>
        <v>93.052299238964096</v>
      </c>
      <c r="L508" s="74">
        <f>('Old Data'!$L504+'Old Data'!$M504-$J508)^2+('Old Data'!$V504+'Old Data'!$W504-$K508)^2</f>
        <v>6491.3150390126211</v>
      </c>
      <c r="M508" s="75">
        <f>'Old Data'!$N504-'Old Data'!$X504</f>
        <v>0</v>
      </c>
      <c r="N508" s="72">
        <f>VLOOKUP('Old Data'!$F504,$AD$6:$AF$135,2,FALSE)+VLOOKUP('Old Data'!$P504,$AD$6:$AF$135,3,FALSE)+$E$2</f>
        <v>2.1496424621984112</v>
      </c>
      <c r="O508" s="72">
        <f>VLOOKUP('Old Data'!$P504,$AD$6:$AF$135,2,FALSE)+VLOOKUP('Old Data'!$F504,$AD$6:$AF$135,3,FALSE)+$E$2</f>
        <v>1.1851142489255597</v>
      </c>
      <c r="P508" s="73">
        <f>('Old Data'!$N504-$N508)^2+('Old Data'!$X504-$O508)^2</f>
        <v>1.3559450760448992</v>
      </c>
      <c r="Q508" s="62"/>
      <c r="R508" s="3"/>
      <c r="S508" s="3"/>
      <c r="T508" s="3"/>
      <c r="V508" s="3"/>
      <c r="W508" s="3"/>
      <c r="X508" s="3"/>
      <c r="Z508" s="3"/>
      <c r="AA508" s="3"/>
      <c r="AB508" s="3"/>
      <c r="AC508" s="3"/>
      <c r="AD508" s="3"/>
      <c r="AE508" s="3"/>
      <c r="AF508" s="3"/>
      <c r="AG508" s="3"/>
      <c r="AH508" s="37"/>
      <c r="AI508" s="1"/>
      <c r="AK508" s="10"/>
      <c r="AL508" s="10"/>
      <c r="AM508" s="10"/>
      <c r="AN508" s="11"/>
      <c r="AO508" s="11"/>
      <c r="AP508" s="11"/>
      <c r="AQ508" s="36"/>
      <c r="AR508" s="11"/>
      <c r="AS508" s="11"/>
      <c r="AT508" s="11"/>
      <c r="AU508" s="12"/>
      <c r="AV508" s="11"/>
      <c r="AW508" s="11"/>
      <c r="AX508" s="15"/>
      <c r="AY508" s="15"/>
      <c r="AZ508" s="15"/>
      <c r="BA508" s="15"/>
      <c r="BB508" s="15"/>
      <c r="BC508" s="15"/>
      <c r="BD508" s="15"/>
      <c r="BE508" s="12"/>
      <c r="BF508" s="11"/>
      <c r="BG508" s="11"/>
      <c r="BH508" s="10"/>
      <c r="BI508" s="10"/>
      <c r="BJ508" s="10"/>
      <c r="BK508" s="23"/>
      <c r="BL508" s="23"/>
      <c r="BM508" s="23"/>
      <c r="BN508" s="23"/>
      <c r="BO508" s="23"/>
      <c r="BP508" s="23"/>
      <c r="BQ508" s="23"/>
      <c r="BR508" s="10"/>
      <c r="BS508" s="16"/>
      <c r="BT508" s="16"/>
      <c r="BU508" s="16"/>
      <c r="BV508" s="16"/>
      <c r="BW508" s="11"/>
      <c r="BX508" s="16"/>
      <c r="BY508" s="16"/>
      <c r="BZ508" s="17"/>
      <c r="CA508" s="18"/>
      <c r="CB508" s="18"/>
      <c r="CC508" s="18"/>
      <c r="CD508" s="18"/>
      <c r="CE508" s="18"/>
      <c r="CF508" s="18"/>
      <c r="CG508" s="19"/>
      <c r="CH508" s="15"/>
      <c r="CI508" s="17"/>
      <c r="CJ508" s="10"/>
      <c r="CK508" s="10"/>
      <c r="CL508" s="10"/>
      <c r="CM508" s="17"/>
      <c r="CN508" s="17"/>
      <c r="CO508" s="10"/>
      <c r="CP508" s="10"/>
      <c r="CQ508" s="10"/>
      <c r="CR508" s="10"/>
      <c r="CS508" s="10"/>
      <c r="CT508" s="10"/>
      <c r="CU508" s="10"/>
      <c r="CV508" s="10"/>
      <c r="CW508" s="10"/>
      <c r="CX508" s="10"/>
      <c r="CY508" s="10"/>
      <c r="CZ508" s="10"/>
      <c r="DA508" s="34"/>
      <c r="DB508" s="34"/>
      <c r="DC508" s="34"/>
      <c r="DD508" s="34"/>
      <c r="DE508" s="34"/>
      <c r="DF508" s="34"/>
      <c r="DG508" s="34"/>
      <c r="DH508" s="34"/>
      <c r="DI508" s="34"/>
      <c r="DJ508" s="34"/>
      <c r="DK508" s="34"/>
      <c r="DL508" s="34"/>
      <c r="DM508" s="34"/>
      <c r="DN508" s="34"/>
      <c r="DO508" s="34"/>
      <c r="DP508" s="34"/>
      <c r="DQ508" s="34"/>
      <c r="DR508" s="34"/>
      <c r="DS508" s="34"/>
      <c r="DT508" s="34"/>
      <c r="DU508" s="34"/>
      <c r="DV508" s="34"/>
      <c r="DW508" s="34"/>
      <c r="DX508" s="34"/>
      <c r="DY508" s="34"/>
      <c r="DZ508" s="34"/>
      <c r="EA508" s="34"/>
      <c r="EB508" s="34"/>
      <c r="EC508" s="34"/>
      <c r="ED508" s="34"/>
      <c r="EE508" s="34"/>
    </row>
    <row r="509" spans="1:135" customFormat="1">
      <c r="A509" s="71">
        <f>'Old Data'!$I505-'Old Data'!$S505</f>
        <v>45</v>
      </c>
      <c r="B509" s="72">
        <f>VLOOKUP('Old Data'!$F505,$R$6:$T$135,2,FALSE)+VLOOKUP('Old Data'!$P505,$R$6:$T$135,3,FALSE)+$B$2</f>
        <v>152.74273481010886</v>
      </c>
      <c r="C509" s="72">
        <f>VLOOKUP('Old Data'!$P505,$R$6:$T$135,2,FALSE)+VLOOKUP('Old Data'!$F505,$R$6:$T$135,3,FALSE)+$B$2</f>
        <v>104.48725856572511</v>
      </c>
      <c r="D509" s="74">
        <f>('Old Data'!$I505-$B509)^2+('Old Data'!$S505-$C509)^2</f>
        <v>877.66578948031042</v>
      </c>
      <c r="E509" s="75">
        <f>'Old Data'!$K505-'Old Data'!$U505</f>
        <v>-59</v>
      </c>
      <c r="F509" s="72">
        <f>VLOOKUP('Old Data'!$F505,$V$6:$X$135,2,FALSE)+VLOOKUP('Old Data'!$P505,$V$6:$X$135,3,FALSE)+$C$2</f>
        <v>262.02722394229932</v>
      </c>
      <c r="G509" s="72">
        <f>VLOOKUP('Old Data'!$P505,$V$6:$X$135,2,FALSE)+VLOOKUP('Old Data'!$F505,$V$6:$X$135,3,FALSE)+$C$2</f>
        <v>286.26482923498702</v>
      </c>
      <c r="H509" s="74">
        <f>('Old Data'!$K505-$F509)^2+('Old Data'!$U505-$G509)^2</f>
        <v>7482.9249121651692</v>
      </c>
      <c r="I509" s="75">
        <f>('Old Data'!$L505+'Old Data'!$M505)-('Old Data'!$V505+'Old Data'!$W505)</f>
        <v>-4</v>
      </c>
      <c r="J509" s="72">
        <f>VLOOKUP('Old Data'!$F505,$Z$6:$AB$135,2,FALSE)+VLOOKUP('Old Data'!$P505,$Z$6:$AB$135,3,FALSE)+$D$2</f>
        <v>37.968284001561372</v>
      </c>
      <c r="K509" s="72">
        <f>VLOOKUP('Old Data'!$P505,$Z$6:$AB$135,2,FALSE)+VLOOKUP('Old Data'!$F505,$Z$6:$AB$135,3,FALSE)+$D$2</f>
        <v>58.723694654645897</v>
      </c>
      <c r="L509" s="74">
        <f>('Old Data'!$L505+'Old Data'!$M505-$J509)^2+('Old Data'!$V505+'Old Data'!$W505-$K509)^2</f>
        <v>4436.273346678141</v>
      </c>
      <c r="M509" s="75">
        <f>'Old Data'!$N505-'Old Data'!$X505</f>
        <v>0</v>
      </c>
      <c r="N509" s="72">
        <f>VLOOKUP('Old Data'!$F505,$AD$6:$AF$135,2,FALSE)+VLOOKUP('Old Data'!$P505,$AD$6:$AF$135,3,FALSE)+$E$2</f>
        <v>0.94616396769508648</v>
      </c>
      <c r="O509" s="72">
        <f>VLOOKUP('Old Data'!$P505,$AD$6:$AF$135,2,FALSE)+VLOOKUP('Old Data'!$F505,$AD$6:$AF$135,3,FALSE)+$E$2</f>
        <v>0.65291976082489112</v>
      </c>
      <c r="P509" s="73">
        <f>('Old Data'!$N505-$N509)^2+('Old Data'!$X505-$O509)^2</f>
        <v>0.12336301080018648</v>
      </c>
      <c r="Q509" s="62"/>
      <c r="R509" s="3"/>
      <c r="S509" s="3"/>
      <c r="T509" s="3"/>
      <c r="V509" s="3"/>
      <c r="W509" s="3"/>
      <c r="X509" s="3"/>
      <c r="Z509" s="3"/>
      <c r="AA509" s="3"/>
      <c r="AB509" s="3"/>
      <c r="AC509" s="3"/>
      <c r="AD509" s="3"/>
      <c r="AE509" s="3"/>
      <c r="AF509" s="3"/>
      <c r="AG509" s="3"/>
      <c r="AH509" s="37"/>
      <c r="AI509" s="1"/>
      <c r="AK509" s="10"/>
      <c r="AL509" s="10"/>
      <c r="AM509" s="10"/>
      <c r="AN509" s="11"/>
      <c r="AO509" s="11"/>
      <c r="AP509" s="11"/>
      <c r="AQ509" s="36"/>
      <c r="AR509" s="11"/>
      <c r="AS509" s="11"/>
      <c r="AT509" s="11"/>
      <c r="AU509" s="12"/>
      <c r="AV509" s="11"/>
      <c r="AW509" s="11"/>
      <c r="AX509" s="15"/>
      <c r="AY509" s="15"/>
      <c r="AZ509" s="15"/>
      <c r="BA509" s="15"/>
      <c r="BB509" s="15"/>
      <c r="BC509" s="15"/>
      <c r="BD509" s="15"/>
      <c r="BE509" s="12"/>
      <c r="BF509" s="11"/>
      <c r="BG509" s="11"/>
      <c r="BH509" s="10"/>
      <c r="BI509" s="10"/>
      <c r="BJ509" s="10"/>
      <c r="BK509" s="23"/>
      <c r="BL509" s="23"/>
      <c r="BM509" s="23"/>
      <c r="BN509" s="23"/>
      <c r="BO509" s="23"/>
      <c r="BP509" s="23"/>
      <c r="BQ509" s="23"/>
      <c r="BR509" s="10"/>
      <c r="BS509" s="16"/>
      <c r="BT509" s="16"/>
      <c r="BU509" s="16"/>
      <c r="BV509" s="16"/>
      <c r="BW509" s="11"/>
      <c r="BX509" s="16"/>
      <c r="BY509" s="16"/>
      <c r="BZ509" s="17"/>
      <c r="CA509" s="18"/>
      <c r="CB509" s="18"/>
      <c r="CC509" s="18"/>
      <c r="CD509" s="18"/>
      <c r="CE509" s="18"/>
      <c r="CF509" s="18"/>
      <c r="CG509" s="19"/>
      <c r="CH509" s="15"/>
      <c r="CI509" s="17"/>
      <c r="CJ509" s="10"/>
      <c r="CK509" s="10"/>
      <c r="CL509" s="10"/>
      <c r="CM509" s="17"/>
      <c r="CN509" s="17"/>
      <c r="CO509" s="10"/>
      <c r="CP509" s="10"/>
      <c r="CQ509" s="10"/>
      <c r="CR509" s="10"/>
      <c r="CS509" s="10"/>
      <c r="CT509" s="10"/>
      <c r="CU509" s="10"/>
      <c r="CV509" s="10"/>
      <c r="CW509" s="10"/>
      <c r="CX509" s="10"/>
      <c r="CY509" s="10"/>
      <c r="CZ509" s="10"/>
      <c r="DA509" s="34"/>
      <c r="DB509" s="34"/>
      <c r="DC509" s="34"/>
      <c r="DD509" s="34"/>
      <c r="DE509" s="34"/>
      <c r="DF509" s="34"/>
      <c r="DG509" s="34"/>
      <c r="DH509" s="34"/>
      <c r="DI509" s="34"/>
      <c r="DJ509" s="34"/>
      <c r="DK509" s="34"/>
      <c r="DL509" s="34"/>
      <c r="DM509" s="34"/>
      <c r="DN509" s="34"/>
      <c r="DO509" s="34"/>
      <c r="DP509" s="34"/>
      <c r="DQ509" s="34"/>
      <c r="DR509" s="34"/>
      <c r="DS509" s="34"/>
      <c r="DT509" s="34"/>
      <c r="DU509" s="34"/>
      <c r="DV509" s="34"/>
      <c r="DW509" s="34"/>
      <c r="DX509" s="34"/>
      <c r="DY509" s="34"/>
      <c r="DZ509" s="34"/>
      <c r="EA509" s="34"/>
      <c r="EB509" s="34"/>
      <c r="EC509" s="34"/>
      <c r="ED509" s="34"/>
      <c r="EE509" s="34"/>
    </row>
    <row r="510" spans="1:135" customFormat="1">
      <c r="A510" s="71">
        <f>'Old Data'!$I506-'Old Data'!$S506</f>
        <v>-193</v>
      </c>
      <c r="B510" s="72">
        <f>VLOOKUP('Old Data'!$F506,$R$6:$T$135,2,FALSE)+VLOOKUP('Old Data'!$P506,$R$6:$T$135,3,FALSE)+$B$2</f>
        <v>126.98174114040241</v>
      </c>
      <c r="C510" s="72">
        <f>VLOOKUP('Old Data'!$P506,$R$6:$T$135,2,FALSE)+VLOOKUP('Old Data'!$F506,$R$6:$T$135,3,FALSE)+$B$2</f>
        <v>197.8007815479661</v>
      </c>
      <c r="D510" s="74">
        <f>('Old Data'!$I506-$B510)^2+('Old Data'!$S506-$C510)^2</f>
        <v>9158.7307757294402</v>
      </c>
      <c r="E510" s="75">
        <f>'Old Data'!$K506-'Old Data'!$U506</f>
        <v>-79</v>
      </c>
      <c r="F510" s="72">
        <f>VLOOKUP('Old Data'!$F506,$V$6:$X$135,2,FALSE)+VLOOKUP('Old Data'!$P506,$V$6:$X$135,3,FALSE)+$C$2</f>
        <v>138.37268376080908</v>
      </c>
      <c r="G510" s="72">
        <f>VLOOKUP('Old Data'!$P506,$V$6:$X$135,2,FALSE)+VLOOKUP('Old Data'!$F506,$V$6:$X$135,3,FALSE)+$C$2</f>
        <v>177.7420378824425</v>
      </c>
      <c r="H510" s="74">
        <f>('Old Data'!$K506-$F510)^2+('Old Data'!$U506-$G510)^2</f>
        <v>1333.5864411232644</v>
      </c>
      <c r="I510" s="75">
        <f>('Old Data'!$L506+'Old Data'!$M506)-('Old Data'!$V506+'Old Data'!$W506)</f>
        <v>76</v>
      </c>
      <c r="J510" s="72">
        <f>VLOOKUP('Old Data'!$F506,$Z$6:$AB$135,2,FALSE)+VLOOKUP('Old Data'!$P506,$Z$6:$AB$135,3,FALSE)+$D$2</f>
        <v>84.340614363263498</v>
      </c>
      <c r="K510" s="72">
        <f>VLOOKUP('Old Data'!$P506,$Z$6:$AB$135,2,FALSE)+VLOOKUP('Old Data'!$F506,$Z$6:$AB$135,3,FALSE)+$D$2</f>
        <v>62.163957122559864</v>
      </c>
      <c r="L510" s="74">
        <f>('Old Data'!$L506+'Old Data'!$M506-$J510)^2+('Old Data'!$V506+'Old Data'!$W506-$K510)^2</f>
        <v>1944.4571215381559</v>
      </c>
      <c r="M510" s="75">
        <f>'Old Data'!$N506-'Old Data'!$X506</f>
        <v>0</v>
      </c>
      <c r="N510" s="72">
        <f>VLOOKUP('Old Data'!$F506,$AD$6:$AF$135,2,FALSE)+VLOOKUP('Old Data'!$P506,$AD$6:$AF$135,3,FALSE)+$E$2</f>
        <v>1.439119683604118</v>
      </c>
      <c r="O510" s="72">
        <f>VLOOKUP('Old Data'!$P506,$AD$6:$AF$135,2,FALSE)+VLOOKUP('Old Data'!$F506,$AD$6:$AF$135,3,FALSE)+$E$2</f>
        <v>2.3456054734421929</v>
      </c>
      <c r="P510" s="73">
        <f>('Old Data'!$N506-$N510)^2+('Old Data'!$X506-$O510)^2</f>
        <v>0.43402987259354703</v>
      </c>
      <c r="Q510" s="62"/>
      <c r="R510" s="3"/>
      <c r="S510" s="3"/>
      <c r="T510" s="3"/>
      <c r="V510" s="3"/>
      <c r="W510" s="3"/>
      <c r="X510" s="3"/>
      <c r="Z510" s="3"/>
      <c r="AA510" s="3"/>
      <c r="AB510" s="3"/>
      <c r="AC510" s="3"/>
      <c r="AD510" s="3"/>
      <c r="AE510" s="3"/>
      <c r="AF510" s="3"/>
      <c r="AG510" s="3"/>
      <c r="AH510" s="37"/>
      <c r="AI510" s="1"/>
      <c r="AK510" s="10"/>
      <c r="AL510" s="10"/>
      <c r="AM510" s="10"/>
      <c r="AN510" s="11"/>
      <c r="AO510" s="11"/>
      <c r="AP510" s="11"/>
      <c r="AQ510" s="36"/>
      <c r="AR510" s="11"/>
      <c r="AS510" s="11"/>
      <c r="AT510" s="11"/>
      <c r="AU510" s="12"/>
      <c r="AV510" s="11"/>
      <c r="AW510" s="11"/>
      <c r="AX510" s="15"/>
      <c r="AY510" s="15"/>
      <c r="AZ510" s="15"/>
      <c r="BA510" s="15"/>
      <c r="BB510" s="15"/>
      <c r="BC510" s="15"/>
      <c r="BD510" s="15"/>
      <c r="BE510" s="12"/>
      <c r="BF510" s="11"/>
      <c r="BG510" s="11"/>
      <c r="BH510" s="10"/>
      <c r="BI510" s="10"/>
      <c r="BJ510" s="10"/>
      <c r="BK510" s="23"/>
      <c r="BL510" s="23"/>
      <c r="BM510" s="23"/>
      <c r="BN510" s="23"/>
      <c r="BO510" s="23"/>
      <c r="BP510" s="23"/>
      <c r="BQ510" s="23"/>
      <c r="BR510" s="10"/>
      <c r="BS510" s="16"/>
      <c r="BT510" s="16"/>
      <c r="BU510" s="16"/>
      <c r="BV510" s="16"/>
      <c r="BW510" s="11"/>
      <c r="BX510" s="16"/>
      <c r="BY510" s="16"/>
      <c r="BZ510" s="17"/>
      <c r="CA510" s="18"/>
      <c r="CB510" s="18"/>
      <c r="CC510" s="18"/>
      <c r="CD510" s="18"/>
      <c r="CE510" s="18"/>
      <c r="CF510" s="18"/>
      <c r="CG510" s="19"/>
      <c r="CH510" s="15"/>
      <c r="CI510" s="17"/>
      <c r="CJ510" s="10"/>
      <c r="CK510" s="10"/>
      <c r="CL510" s="10"/>
      <c r="CM510" s="17"/>
      <c r="CN510" s="17"/>
      <c r="CO510" s="10"/>
      <c r="CP510" s="10"/>
      <c r="CQ510" s="10"/>
      <c r="CR510" s="10"/>
      <c r="CS510" s="10"/>
      <c r="CT510" s="10"/>
      <c r="CU510" s="10"/>
      <c r="CV510" s="10"/>
      <c r="CW510" s="10"/>
      <c r="CX510" s="10"/>
      <c r="CY510" s="10"/>
      <c r="CZ510" s="10"/>
      <c r="DA510" s="34"/>
      <c r="DB510" s="34"/>
      <c r="DC510" s="34"/>
      <c r="DD510" s="34"/>
      <c r="DE510" s="34"/>
      <c r="DF510" s="34"/>
      <c r="DG510" s="34"/>
      <c r="DH510" s="34"/>
      <c r="DI510" s="34"/>
      <c r="DJ510" s="34"/>
      <c r="DK510" s="34"/>
      <c r="DL510" s="34"/>
      <c r="DM510" s="34"/>
      <c r="DN510" s="34"/>
      <c r="DO510" s="34"/>
      <c r="DP510" s="34"/>
      <c r="DQ510" s="34"/>
      <c r="DR510" s="34"/>
      <c r="DS510" s="34"/>
      <c r="DT510" s="34"/>
      <c r="DU510" s="34"/>
      <c r="DV510" s="34"/>
      <c r="DW510" s="34"/>
      <c r="DX510" s="34"/>
      <c r="DY510" s="34"/>
      <c r="DZ510" s="34"/>
      <c r="EA510" s="34"/>
      <c r="EB510" s="34"/>
      <c r="EC510" s="34"/>
      <c r="ED510" s="34"/>
      <c r="EE510" s="34"/>
    </row>
    <row r="511" spans="1:135" customFormat="1">
      <c r="A511" s="71">
        <f>'Old Data'!$I507-'Old Data'!$S507</f>
        <v>149</v>
      </c>
      <c r="B511" s="72">
        <f>VLOOKUP('Old Data'!$F507,$R$6:$T$135,2,FALSE)+VLOOKUP('Old Data'!$P507,$R$6:$T$135,3,FALSE)+$B$2</f>
        <v>222.8548940106582</v>
      </c>
      <c r="C511" s="72">
        <f>VLOOKUP('Old Data'!$P507,$R$6:$T$135,2,FALSE)+VLOOKUP('Old Data'!$F507,$R$6:$T$135,3,FALSE)+$B$2</f>
        <v>92.467973955938504</v>
      </c>
      <c r="D511" s="74">
        <f>('Old Data'!$I507-$B511)^2+('Old Data'!$S507-$C511)^2</f>
        <v>1836.5491523240162</v>
      </c>
      <c r="E511" s="75">
        <f>'Old Data'!$K507-'Old Data'!$U507</f>
        <v>126</v>
      </c>
      <c r="F511" s="72">
        <f>VLOOKUP('Old Data'!$F507,$V$6:$X$135,2,FALSE)+VLOOKUP('Old Data'!$P507,$V$6:$X$135,3,FALSE)+$C$2</f>
        <v>218.1345754479897</v>
      </c>
      <c r="G511" s="72">
        <f>VLOOKUP('Old Data'!$P507,$V$6:$X$135,2,FALSE)+VLOOKUP('Old Data'!$F507,$V$6:$X$135,3,FALSE)+$C$2</f>
        <v>210.87879090199351</v>
      </c>
      <c r="H511" s="74">
        <f>('Old Data'!$K507-$F511)^2+('Old Data'!$U507-$G511)^2</f>
        <v>10329.511766874453</v>
      </c>
      <c r="I511" s="75">
        <f>('Old Data'!$L507+'Old Data'!$M507)-('Old Data'!$V507+'Old Data'!$W507)</f>
        <v>-21</v>
      </c>
      <c r="J511" s="72">
        <f>VLOOKUP('Old Data'!$F507,$Z$6:$AB$135,2,FALSE)+VLOOKUP('Old Data'!$P507,$Z$6:$AB$135,3,FALSE)+$D$2</f>
        <v>5.6112131743150968</v>
      </c>
      <c r="K511" s="72">
        <f>VLOOKUP('Old Data'!$P507,$Z$6:$AB$135,2,FALSE)+VLOOKUP('Old Data'!$F507,$Z$6:$AB$135,3,FALSE)+$D$2</f>
        <v>57.3135239154347</v>
      </c>
      <c r="L511" s="74">
        <f>('Old Data'!$L507+'Old Data'!$M507-$J511)^2+('Old Data'!$V507+'Old Data'!$W507-$K511)^2</f>
        <v>1350.1577324444552</v>
      </c>
      <c r="M511" s="75">
        <f>'Old Data'!$N507-'Old Data'!$X507</f>
        <v>2</v>
      </c>
      <c r="N511" s="72">
        <f>VLOOKUP('Old Data'!$F507,$AD$6:$AF$135,2,FALSE)+VLOOKUP('Old Data'!$P507,$AD$6:$AF$135,3,FALSE)+$E$2</f>
        <v>2.3907654266802414</v>
      </c>
      <c r="O511" s="72">
        <f>VLOOKUP('Old Data'!$P507,$AD$6:$AF$135,2,FALSE)+VLOOKUP('Old Data'!$F507,$AD$6:$AF$135,3,FALSE)+$E$2</f>
        <v>0.59753146668932611</v>
      </c>
      <c r="P511" s="73">
        <f>('Old Data'!$N507-$N511)^2+('Old Data'!$X507-$O511)^2</f>
        <v>0.50974147237248835</v>
      </c>
      <c r="Q511" s="62"/>
      <c r="R511" s="3"/>
      <c r="S511" s="3"/>
      <c r="T511" s="3"/>
      <c r="V511" s="3"/>
      <c r="W511" s="3"/>
      <c r="X511" s="3"/>
      <c r="Z511" s="3"/>
      <c r="AA511" s="3"/>
      <c r="AB511" s="3"/>
      <c r="AC511" s="3"/>
      <c r="AD511" s="3"/>
      <c r="AE511" s="3"/>
      <c r="AF511" s="3"/>
      <c r="AG511" s="3"/>
      <c r="AH511" s="37"/>
      <c r="AI511" s="1"/>
      <c r="AK511" s="10"/>
      <c r="AL511" s="10"/>
      <c r="AM511" s="10"/>
      <c r="AN511" s="11"/>
      <c r="AO511" s="11"/>
      <c r="AP511" s="11"/>
      <c r="AQ511" s="36"/>
      <c r="AR511" s="11"/>
      <c r="AS511" s="11"/>
      <c r="AT511" s="11"/>
      <c r="AU511" s="12"/>
      <c r="AV511" s="11"/>
      <c r="AW511" s="11"/>
      <c r="AX511" s="15"/>
      <c r="AY511" s="15"/>
      <c r="AZ511" s="15"/>
      <c r="BA511" s="15"/>
      <c r="BB511" s="15"/>
      <c r="BC511" s="15"/>
      <c r="BD511" s="15"/>
      <c r="BE511" s="12"/>
      <c r="BF511" s="11"/>
      <c r="BG511" s="11"/>
      <c r="BH511" s="10"/>
      <c r="BI511" s="10"/>
      <c r="BJ511" s="10"/>
      <c r="BK511" s="23"/>
      <c r="BL511" s="23"/>
      <c r="BM511" s="23"/>
      <c r="BN511" s="23"/>
      <c r="BO511" s="23"/>
      <c r="BP511" s="23"/>
      <c r="BQ511" s="23"/>
      <c r="BR511" s="10"/>
      <c r="BS511" s="16"/>
      <c r="BT511" s="16"/>
      <c r="BU511" s="16"/>
      <c r="BV511" s="16"/>
      <c r="BW511" s="11"/>
      <c r="BX511" s="16"/>
      <c r="BY511" s="16"/>
      <c r="BZ511" s="17"/>
      <c r="CA511" s="18"/>
      <c r="CB511" s="18"/>
      <c r="CC511" s="18"/>
      <c r="CD511" s="18"/>
      <c r="CE511" s="18"/>
      <c r="CF511" s="18"/>
      <c r="CG511" s="19"/>
      <c r="CH511" s="15"/>
      <c r="CI511" s="17"/>
      <c r="CJ511" s="10"/>
      <c r="CK511" s="10"/>
      <c r="CL511" s="10"/>
      <c r="CM511" s="17"/>
      <c r="CN511" s="17"/>
      <c r="CO511" s="10"/>
      <c r="CP511" s="10"/>
      <c r="CQ511" s="10"/>
      <c r="CR511" s="10"/>
      <c r="CS511" s="10"/>
      <c r="CT511" s="10"/>
      <c r="CU511" s="10"/>
      <c r="CV511" s="10"/>
      <c r="CW511" s="10"/>
      <c r="CX511" s="10"/>
      <c r="CY511" s="10"/>
      <c r="CZ511" s="10"/>
      <c r="DA511" s="34"/>
      <c r="DB511" s="34"/>
      <c r="DC511" s="34"/>
      <c r="DD511" s="34"/>
      <c r="DE511" s="34"/>
      <c r="DF511" s="34"/>
      <c r="DG511" s="34"/>
      <c r="DH511" s="34"/>
      <c r="DI511" s="34"/>
      <c r="DJ511" s="34"/>
      <c r="DK511" s="34"/>
      <c r="DL511" s="34"/>
      <c r="DM511" s="34"/>
      <c r="DN511" s="34"/>
      <c r="DO511" s="34"/>
      <c r="DP511" s="34"/>
      <c r="DQ511" s="34"/>
      <c r="DR511" s="34"/>
      <c r="DS511" s="34"/>
      <c r="DT511" s="34"/>
      <c r="DU511" s="34"/>
      <c r="DV511" s="34"/>
      <c r="DW511" s="34"/>
      <c r="DX511" s="34"/>
      <c r="DY511" s="34"/>
      <c r="DZ511" s="34"/>
      <c r="EA511" s="34"/>
      <c r="EB511" s="34"/>
      <c r="EC511" s="34"/>
      <c r="ED511" s="34"/>
      <c r="EE511" s="34"/>
    </row>
    <row r="512" spans="1:135" customFormat="1">
      <c r="A512" s="71">
        <f>'Old Data'!$I508-'Old Data'!$S508</f>
        <v>99</v>
      </c>
      <c r="B512" s="72">
        <f>VLOOKUP('Old Data'!$F508,$R$6:$T$135,2,FALSE)+VLOOKUP('Old Data'!$P508,$R$6:$T$135,3,FALSE)+$B$2</f>
        <v>189.3216109920765</v>
      </c>
      <c r="C512" s="72">
        <f>VLOOKUP('Old Data'!$P508,$R$6:$T$135,2,FALSE)+VLOOKUP('Old Data'!$F508,$R$6:$T$135,3,FALSE)+$B$2</f>
        <v>96.782241103198899</v>
      </c>
      <c r="D512" s="74">
        <f>('Old Data'!$I508-$B512)^2+('Old Data'!$S508-$C512)^2</f>
        <v>3642.2026914436265</v>
      </c>
      <c r="E512" s="75">
        <f>'Old Data'!$K508-'Old Data'!$U508</f>
        <v>333</v>
      </c>
      <c r="F512" s="72">
        <f>VLOOKUP('Old Data'!$F508,$V$6:$X$135,2,FALSE)+VLOOKUP('Old Data'!$P508,$V$6:$X$135,3,FALSE)+$C$2</f>
        <v>322.31691176820721</v>
      </c>
      <c r="G512" s="72">
        <f>VLOOKUP('Old Data'!$P508,$V$6:$X$135,2,FALSE)+VLOOKUP('Old Data'!$F508,$V$6:$X$135,3,FALSE)+$C$2</f>
        <v>143.05770924795971</v>
      </c>
      <c r="H512" s="74">
        <f>('Old Data'!$K508-$F512)^2+('Old Data'!$U508-$G512)^2</f>
        <v>12051.944912952342</v>
      </c>
      <c r="I512" s="75">
        <f>('Old Data'!$L508+'Old Data'!$M508)-('Old Data'!$V508+'Old Data'!$W508)</f>
        <v>-65</v>
      </c>
      <c r="J512" s="72">
        <f>VLOOKUP('Old Data'!$F508,$Z$6:$AB$135,2,FALSE)+VLOOKUP('Old Data'!$P508,$Z$6:$AB$135,3,FALSE)+$D$2</f>
        <v>34.411393470402444</v>
      </c>
      <c r="K512" s="72">
        <f>VLOOKUP('Old Data'!$P508,$Z$6:$AB$135,2,FALSE)+VLOOKUP('Old Data'!$F508,$Z$6:$AB$135,3,FALSE)+$D$2</f>
        <v>43.250443573134802</v>
      </c>
      <c r="L512" s="74">
        <f>('Old Data'!$L508+'Old Data'!$M508-$J512)^2+('Old Data'!$V508+'Old Data'!$W508-$K512)^2</f>
        <v>1764.0084199470573</v>
      </c>
      <c r="M512" s="75">
        <f>'Old Data'!$N508-'Old Data'!$X508</f>
        <v>1</v>
      </c>
      <c r="N512" s="72">
        <f>VLOOKUP('Old Data'!$F508,$AD$6:$AF$135,2,FALSE)+VLOOKUP('Old Data'!$P508,$AD$6:$AF$135,3,FALSE)+$E$2</f>
        <v>2.2220219752266424</v>
      </c>
      <c r="O512" s="72">
        <f>VLOOKUP('Old Data'!$P508,$AD$6:$AF$135,2,FALSE)+VLOOKUP('Old Data'!$F508,$AD$6:$AF$135,3,FALSE)+$E$2</f>
        <v>1.1232474389294151</v>
      </c>
      <c r="P512" s="73">
        <f>('Old Data'!$N508-$N512)^2+('Old Data'!$X508-$O512)^2</f>
        <v>1.3739448603740847</v>
      </c>
      <c r="Q512" s="62"/>
      <c r="R512" s="3"/>
      <c r="S512" s="3"/>
      <c r="T512" s="3"/>
      <c r="V512" s="3"/>
      <c r="W512" s="3"/>
      <c r="X512" s="3"/>
      <c r="Z512" s="3"/>
      <c r="AA512" s="3"/>
      <c r="AB512" s="3"/>
      <c r="AC512" s="3"/>
      <c r="AD512" s="3"/>
      <c r="AE512" s="3"/>
      <c r="AF512" s="3"/>
      <c r="AG512" s="3"/>
      <c r="AH512" s="37"/>
      <c r="AI512" s="1"/>
      <c r="AK512" s="10"/>
      <c r="AL512" s="10"/>
      <c r="AM512" s="10"/>
      <c r="AN512" s="11"/>
      <c r="AO512" s="11"/>
      <c r="AP512" s="11"/>
      <c r="AQ512" s="36"/>
      <c r="AR512" s="11"/>
      <c r="AS512" s="11"/>
      <c r="AT512" s="11"/>
      <c r="AU512" s="12"/>
      <c r="AV512" s="11"/>
      <c r="AW512" s="11"/>
      <c r="AX512" s="15"/>
      <c r="AY512" s="15"/>
      <c r="AZ512" s="15"/>
      <c r="BA512" s="15"/>
      <c r="BB512" s="15"/>
      <c r="BC512" s="15"/>
      <c r="BD512" s="15"/>
      <c r="BE512" s="12"/>
      <c r="BF512" s="11"/>
      <c r="BG512" s="11"/>
      <c r="BH512" s="10"/>
      <c r="BI512" s="10"/>
      <c r="BJ512" s="10"/>
      <c r="BK512" s="23"/>
      <c r="BL512" s="23"/>
      <c r="BM512" s="23"/>
      <c r="BN512" s="23"/>
      <c r="BO512" s="23"/>
      <c r="BP512" s="23"/>
      <c r="BQ512" s="23"/>
      <c r="BR512" s="10"/>
      <c r="BS512" s="16"/>
      <c r="BT512" s="16"/>
      <c r="BU512" s="16"/>
      <c r="BV512" s="16"/>
      <c r="BW512" s="11"/>
      <c r="BX512" s="16"/>
      <c r="BY512" s="16"/>
      <c r="BZ512" s="17"/>
      <c r="CA512" s="18"/>
      <c r="CB512" s="18"/>
      <c r="CC512" s="18"/>
      <c r="CD512" s="18"/>
      <c r="CE512" s="18"/>
      <c r="CF512" s="18"/>
      <c r="CG512" s="19"/>
      <c r="CH512" s="15"/>
      <c r="CI512" s="17"/>
      <c r="CJ512" s="10"/>
      <c r="CK512" s="10"/>
      <c r="CL512" s="10"/>
      <c r="CM512" s="17"/>
      <c r="CN512" s="17"/>
      <c r="CO512" s="10"/>
      <c r="CP512" s="10"/>
      <c r="CQ512" s="10"/>
      <c r="CR512" s="10"/>
      <c r="CS512" s="10"/>
      <c r="CT512" s="10"/>
      <c r="CU512" s="10"/>
      <c r="CV512" s="10"/>
      <c r="CW512" s="10"/>
      <c r="CX512" s="10"/>
      <c r="CY512" s="10"/>
      <c r="CZ512" s="10"/>
      <c r="DA512" s="34"/>
      <c r="DB512" s="34"/>
      <c r="DC512" s="34"/>
      <c r="DD512" s="34"/>
      <c r="DE512" s="34"/>
      <c r="DF512" s="34"/>
      <c r="DG512" s="34"/>
      <c r="DH512" s="34"/>
      <c r="DI512" s="34"/>
      <c r="DJ512" s="34"/>
      <c r="DK512" s="34"/>
      <c r="DL512" s="34"/>
      <c r="DM512" s="34"/>
      <c r="DN512" s="34"/>
      <c r="DO512" s="34"/>
      <c r="DP512" s="34"/>
      <c r="DQ512" s="34"/>
      <c r="DR512" s="34"/>
      <c r="DS512" s="34"/>
      <c r="DT512" s="34"/>
      <c r="DU512" s="34"/>
      <c r="DV512" s="34"/>
      <c r="DW512" s="34"/>
      <c r="DX512" s="34"/>
      <c r="DY512" s="34"/>
      <c r="DZ512" s="34"/>
      <c r="EA512" s="34"/>
      <c r="EB512" s="34"/>
      <c r="EC512" s="34"/>
      <c r="ED512" s="34"/>
      <c r="EE512" s="34"/>
    </row>
    <row r="513" spans="1:135" customFormat="1">
      <c r="A513" s="71">
        <f>'Old Data'!$I509-'Old Data'!$S509</f>
        <v>19</v>
      </c>
      <c r="B513" s="72">
        <f>VLOOKUP('Old Data'!$F509,$R$6:$T$135,2,FALSE)+VLOOKUP('Old Data'!$P509,$R$6:$T$135,3,FALSE)+$B$2</f>
        <v>186.42266449918051</v>
      </c>
      <c r="C513" s="72">
        <f>VLOOKUP('Old Data'!$P509,$R$6:$T$135,2,FALSE)+VLOOKUP('Old Data'!$F509,$R$6:$T$135,3,FALSE)+$B$2</f>
        <v>184.85849705461422</v>
      </c>
      <c r="D513" s="74">
        <f>('Old Data'!$I509-$B513)^2+('Old Data'!$S509-$C513)^2</f>
        <v>3215.9742555562161</v>
      </c>
      <c r="E513" s="75">
        <f>'Old Data'!$K509-'Old Data'!$U509</f>
        <v>-125</v>
      </c>
      <c r="F513" s="72">
        <f>VLOOKUP('Old Data'!$F509,$V$6:$X$135,2,FALSE)+VLOOKUP('Old Data'!$P509,$V$6:$X$135,3,FALSE)+$C$2</f>
        <v>228.53105409861743</v>
      </c>
      <c r="G513" s="72">
        <f>VLOOKUP('Old Data'!$P509,$V$6:$X$135,2,FALSE)+VLOOKUP('Old Data'!$F509,$V$6:$X$135,3,FALSE)+$C$2</f>
        <v>272.28399512931037</v>
      </c>
      <c r="H513" s="74">
        <f>('Old Data'!$K509-$F513)^2+('Old Data'!$U509-$G513)^2</f>
        <v>14578.302014785904</v>
      </c>
      <c r="I513" s="75">
        <f>('Old Data'!$L509+'Old Data'!$M509)-('Old Data'!$V509+'Old Data'!$W509)</f>
        <v>6</v>
      </c>
      <c r="J513" s="72">
        <f>VLOOKUP('Old Data'!$F509,$Z$6:$AB$135,2,FALSE)+VLOOKUP('Old Data'!$P509,$Z$6:$AB$135,3,FALSE)+$D$2</f>
        <v>73.057594171673927</v>
      </c>
      <c r="K513" s="72">
        <f>VLOOKUP('Old Data'!$P509,$Z$6:$AB$135,2,FALSE)+VLOOKUP('Old Data'!$F509,$Z$6:$AB$135,3,FALSE)+$D$2</f>
        <v>88.710557636556487</v>
      </c>
      <c r="L513" s="74">
        <f>('Old Data'!$L509+'Old Data'!$M509-$J513)^2+('Old Data'!$V509+'Old Data'!$W509-$K513)^2</f>
        <v>1126.1899142521056</v>
      </c>
      <c r="M513" s="75">
        <f>'Old Data'!$N509-'Old Data'!$X509</f>
        <v>0</v>
      </c>
      <c r="N513" s="72">
        <f>VLOOKUP('Old Data'!$F509,$AD$6:$AF$135,2,FALSE)+VLOOKUP('Old Data'!$P509,$AD$6:$AF$135,3,FALSE)+$E$2</f>
        <v>1.7288217565103141</v>
      </c>
      <c r="O513" s="72">
        <f>VLOOKUP('Old Data'!$P509,$AD$6:$AF$135,2,FALSE)+VLOOKUP('Old Data'!$F509,$AD$6:$AF$135,3,FALSE)+$E$2</f>
        <v>1.942263307220832</v>
      </c>
      <c r="P513" s="73">
        <f>('Old Data'!$N509-$N513)^2+('Old Data'!$X509-$O513)^2</f>
        <v>6.7612114203598122</v>
      </c>
      <c r="Q513" s="62"/>
      <c r="R513" s="3"/>
      <c r="S513" s="3"/>
      <c r="T513" s="3"/>
      <c r="V513" s="3"/>
      <c r="W513" s="3"/>
      <c r="X513" s="3"/>
      <c r="Z513" s="3"/>
      <c r="AA513" s="3"/>
      <c r="AB513" s="3"/>
      <c r="AC513" s="3"/>
      <c r="AD513" s="3"/>
      <c r="AE513" s="3"/>
      <c r="AF513" s="3"/>
      <c r="AG513" s="3"/>
      <c r="AH513" s="37"/>
      <c r="AI513" s="1"/>
      <c r="AK513" s="10"/>
      <c r="AL513" s="10"/>
      <c r="AM513" s="10"/>
      <c r="AN513" s="11"/>
      <c r="AO513" s="11"/>
      <c r="AP513" s="11"/>
      <c r="AQ513" s="36"/>
      <c r="AR513" s="11"/>
      <c r="AS513" s="11"/>
      <c r="AT513" s="11"/>
      <c r="AU513" s="12"/>
      <c r="AV513" s="11"/>
      <c r="AW513" s="11"/>
      <c r="AX513" s="15"/>
      <c r="AY513" s="15"/>
      <c r="AZ513" s="15"/>
      <c r="BA513" s="15"/>
      <c r="BB513" s="15"/>
      <c r="BC513" s="15"/>
      <c r="BD513" s="15"/>
      <c r="BE513" s="12"/>
      <c r="BF513" s="11"/>
      <c r="BG513" s="11"/>
      <c r="BH513" s="10"/>
      <c r="BI513" s="10"/>
      <c r="BJ513" s="10"/>
      <c r="BK513" s="23"/>
      <c r="BL513" s="23"/>
      <c r="BM513" s="23"/>
      <c r="BN513" s="23"/>
      <c r="BO513" s="23"/>
      <c r="BP513" s="23"/>
      <c r="BQ513" s="23"/>
      <c r="BR513" s="10"/>
      <c r="BS513" s="16"/>
      <c r="BT513" s="16"/>
      <c r="BU513" s="16"/>
      <c r="BV513" s="16"/>
      <c r="BW513" s="11"/>
      <c r="BX513" s="16"/>
      <c r="BY513" s="16"/>
      <c r="BZ513" s="17"/>
      <c r="CA513" s="18"/>
      <c r="CB513" s="18"/>
      <c r="CC513" s="18"/>
      <c r="CD513" s="18"/>
      <c r="CE513" s="18"/>
      <c r="CF513" s="18"/>
      <c r="CG513" s="19"/>
      <c r="CH513" s="15"/>
      <c r="CI513" s="17"/>
      <c r="CJ513" s="10"/>
      <c r="CK513" s="10"/>
      <c r="CL513" s="10"/>
      <c r="CM513" s="17"/>
      <c r="CN513" s="17"/>
      <c r="CO513" s="10"/>
      <c r="CP513" s="10"/>
      <c r="CQ513" s="10"/>
      <c r="CR513" s="10"/>
      <c r="CS513" s="10"/>
      <c r="CT513" s="10"/>
      <c r="CU513" s="10"/>
      <c r="CV513" s="10"/>
      <c r="CW513" s="10"/>
      <c r="CX513" s="10"/>
      <c r="CY513" s="10"/>
      <c r="CZ513" s="10"/>
      <c r="DA513" s="34"/>
      <c r="DB513" s="34"/>
      <c r="DC513" s="34"/>
      <c r="DD513" s="34"/>
      <c r="DE513" s="34"/>
      <c r="DF513" s="34"/>
      <c r="DG513" s="34"/>
      <c r="DH513" s="34"/>
      <c r="DI513" s="34"/>
      <c r="DJ513" s="34"/>
      <c r="DK513" s="34"/>
      <c r="DL513" s="34"/>
      <c r="DM513" s="34"/>
      <c r="DN513" s="34"/>
      <c r="DO513" s="34"/>
      <c r="DP513" s="34"/>
      <c r="DQ513" s="34"/>
      <c r="DR513" s="34"/>
      <c r="DS513" s="34"/>
      <c r="DT513" s="34"/>
      <c r="DU513" s="34"/>
      <c r="DV513" s="34"/>
      <c r="DW513" s="34"/>
      <c r="DX513" s="34"/>
      <c r="DY513" s="34"/>
      <c r="DZ513" s="34"/>
      <c r="EA513" s="34"/>
      <c r="EB513" s="34"/>
      <c r="EC513" s="34"/>
      <c r="ED513" s="34"/>
      <c r="EE513" s="34"/>
    </row>
    <row r="514" spans="1:135" customFormat="1">
      <c r="A514" s="71">
        <f>'Old Data'!$I510-'Old Data'!$S510</f>
        <v>116</v>
      </c>
      <c r="B514" s="72">
        <f>VLOOKUP('Old Data'!$F510,$R$6:$T$135,2,FALSE)+VLOOKUP('Old Data'!$P510,$R$6:$T$135,3,FALSE)+$B$2</f>
        <v>167.48236245456121</v>
      </c>
      <c r="C514" s="72">
        <f>VLOOKUP('Old Data'!$P510,$R$6:$T$135,2,FALSE)+VLOOKUP('Old Data'!$F510,$R$6:$T$135,3,FALSE)+$B$2</f>
        <v>71.253854780174748</v>
      </c>
      <c r="D514" s="74">
        <f>('Old Data'!$I510-$B514)^2+('Old Data'!$S510-$C514)^2</f>
        <v>453.92374146344974</v>
      </c>
      <c r="E514" s="75">
        <f>'Old Data'!$K510-'Old Data'!$U510</f>
        <v>25</v>
      </c>
      <c r="F514" s="72">
        <f>VLOOKUP('Old Data'!$F510,$V$6:$X$135,2,FALSE)+VLOOKUP('Old Data'!$P510,$V$6:$X$135,3,FALSE)+$C$2</f>
        <v>209.55346430181206</v>
      </c>
      <c r="G514" s="72">
        <f>VLOOKUP('Old Data'!$P510,$V$6:$X$135,2,FALSE)+VLOOKUP('Old Data'!$F510,$V$6:$X$135,3,FALSE)+$C$2</f>
        <v>180.28829472926196</v>
      </c>
      <c r="H514" s="74">
        <f>('Old Data'!$K510-$F514)^2+('Old Data'!$U510-$G514)^2</f>
        <v>2378.6897289875342</v>
      </c>
      <c r="I514" s="75">
        <f>('Old Data'!$L510+'Old Data'!$M510)-('Old Data'!$V510+'Old Data'!$W510)</f>
        <v>4</v>
      </c>
      <c r="J514" s="72">
        <f>VLOOKUP('Old Data'!$F510,$Z$6:$AB$135,2,FALSE)+VLOOKUP('Old Data'!$P510,$Z$6:$AB$135,3,FALSE)+$D$2</f>
        <v>10.645508688309299</v>
      </c>
      <c r="K514" s="72">
        <f>VLOOKUP('Old Data'!$P510,$Z$6:$AB$135,2,FALSE)+VLOOKUP('Old Data'!$F510,$Z$6:$AB$135,3,FALSE)+$D$2</f>
        <v>13.592091319721192</v>
      </c>
      <c r="L514" s="74">
        <f>('Old Data'!$L510+'Old Data'!$M510-$J514)^2+('Old Data'!$V510+'Old Data'!$W510-$K514)^2</f>
        <v>1262.2757316079001</v>
      </c>
      <c r="M514" s="75">
        <f>'Old Data'!$N510-'Old Data'!$X510</f>
        <v>1</v>
      </c>
      <c r="N514" s="72">
        <f>VLOOKUP('Old Data'!$F510,$AD$6:$AF$135,2,FALSE)+VLOOKUP('Old Data'!$P510,$AD$6:$AF$135,3,FALSE)+$E$2</f>
        <v>1.028666527819958</v>
      </c>
      <c r="O514" s="72">
        <f>VLOOKUP('Old Data'!$P510,$AD$6:$AF$135,2,FALSE)+VLOOKUP('Old Data'!$F510,$AD$6:$AF$135,3,FALSE)+$E$2</f>
        <v>0.84720209177794892</v>
      </c>
      <c r="P514" s="73">
        <f>('Old Data'!$N510-$N514)^2+('Old Data'!$X510-$O514)^2</f>
        <v>0.71857315413018463</v>
      </c>
      <c r="Q514" s="62"/>
      <c r="R514" s="3"/>
      <c r="S514" s="3"/>
      <c r="T514" s="3"/>
      <c r="V514" s="3"/>
      <c r="W514" s="3"/>
      <c r="X514" s="3"/>
      <c r="Z514" s="3"/>
      <c r="AA514" s="3"/>
      <c r="AB514" s="3"/>
      <c r="AC514" s="3"/>
      <c r="AD514" s="3"/>
      <c r="AE514" s="3"/>
      <c r="AF514" s="3"/>
      <c r="AG514" s="3"/>
      <c r="AH514" s="37"/>
      <c r="AI514" s="1"/>
      <c r="AK514" s="10"/>
      <c r="AL514" s="10"/>
      <c r="AM514" s="10"/>
      <c r="AN514" s="11"/>
      <c r="AO514" s="11"/>
      <c r="AP514" s="11"/>
      <c r="AQ514" s="36"/>
      <c r="AR514" s="11"/>
      <c r="AS514" s="11"/>
      <c r="AT514" s="11"/>
      <c r="AU514" s="12"/>
      <c r="AV514" s="11"/>
      <c r="AW514" s="11"/>
      <c r="AX514" s="15"/>
      <c r="AY514" s="15"/>
      <c r="AZ514" s="15"/>
      <c r="BA514" s="15"/>
      <c r="BB514" s="15"/>
      <c r="BC514" s="15"/>
      <c r="BD514" s="15"/>
      <c r="BE514" s="12"/>
      <c r="BF514" s="11"/>
      <c r="BG514" s="11"/>
      <c r="BH514" s="10"/>
      <c r="BI514" s="10"/>
      <c r="BJ514" s="10"/>
      <c r="BK514" s="23"/>
      <c r="BL514" s="23"/>
      <c r="BM514" s="23"/>
      <c r="BN514" s="23"/>
      <c r="BO514" s="23"/>
      <c r="BP514" s="23"/>
      <c r="BQ514" s="23"/>
      <c r="BR514" s="10"/>
      <c r="BS514" s="16"/>
      <c r="BT514" s="16"/>
      <c r="BU514" s="16"/>
      <c r="BV514" s="16"/>
      <c r="BW514" s="11"/>
      <c r="BX514" s="16"/>
      <c r="BY514" s="16"/>
      <c r="BZ514" s="17"/>
      <c r="CA514" s="18"/>
      <c r="CB514" s="18"/>
      <c r="CC514" s="18"/>
      <c r="CD514" s="18"/>
      <c r="CE514" s="18"/>
      <c r="CF514" s="18"/>
      <c r="CG514" s="19"/>
      <c r="CH514" s="15"/>
      <c r="CI514" s="17"/>
      <c r="CJ514" s="10"/>
      <c r="CK514" s="10"/>
      <c r="CL514" s="10"/>
      <c r="CM514" s="17"/>
      <c r="CN514" s="17"/>
      <c r="CO514" s="10"/>
      <c r="CP514" s="10"/>
      <c r="CQ514" s="10"/>
      <c r="CR514" s="10"/>
      <c r="CS514" s="10"/>
      <c r="CT514" s="10"/>
      <c r="CU514" s="10"/>
      <c r="CV514" s="10"/>
      <c r="CW514" s="10"/>
      <c r="CX514" s="10"/>
      <c r="CY514" s="10"/>
      <c r="CZ514" s="10"/>
      <c r="DA514" s="34"/>
      <c r="DB514" s="34"/>
      <c r="DC514" s="34"/>
      <c r="DD514" s="34"/>
      <c r="DE514" s="34"/>
      <c r="DF514" s="34"/>
      <c r="DG514" s="34"/>
      <c r="DH514" s="34"/>
      <c r="DI514" s="34"/>
      <c r="DJ514" s="34"/>
      <c r="DK514" s="34"/>
      <c r="DL514" s="34"/>
      <c r="DM514" s="34"/>
      <c r="DN514" s="34"/>
      <c r="DO514" s="34"/>
      <c r="DP514" s="34"/>
      <c r="DQ514" s="34"/>
      <c r="DR514" s="34"/>
      <c r="DS514" s="34"/>
      <c r="DT514" s="34"/>
      <c r="DU514" s="34"/>
      <c r="DV514" s="34"/>
      <c r="DW514" s="34"/>
      <c r="DX514" s="34"/>
      <c r="DY514" s="34"/>
      <c r="DZ514" s="34"/>
      <c r="EA514" s="34"/>
      <c r="EB514" s="34"/>
      <c r="EC514" s="34"/>
      <c r="ED514" s="34"/>
      <c r="EE514" s="34"/>
    </row>
    <row r="515" spans="1:135" customFormat="1">
      <c r="A515" s="71">
        <f>'Old Data'!$I511-'Old Data'!$S511</f>
        <v>78</v>
      </c>
      <c r="B515" s="72">
        <f>VLOOKUP('Old Data'!$F511,$R$6:$T$135,2,FALSE)+VLOOKUP('Old Data'!$P511,$R$6:$T$135,3,FALSE)+$B$2</f>
        <v>225.81095710952701</v>
      </c>
      <c r="C515" s="72">
        <f>VLOOKUP('Old Data'!$P511,$R$6:$T$135,2,FALSE)+VLOOKUP('Old Data'!$F511,$R$6:$T$135,3,FALSE)+$B$2</f>
        <v>111.3429448083472</v>
      </c>
      <c r="D515" s="74">
        <f>('Old Data'!$I511-$B515)^2+('Old Data'!$S511-$C515)^2</f>
        <v>779.77833226777693</v>
      </c>
      <c r="E515" s="75">
        <f>'Old Data'!$K511-'Old Data'!$U511</f>
        <v>-66</v>
      </c>
      <c r="F515" s="72">
        <f>VLOOKUP('Old Data'!$F511,$V$6:$X$135,2,FALSE)+VLOOKUP('Old Data'!$P511,$V$6:$X$135,3,FALSE)+$C$2</f>
        <v>332.48815982259555</v>
      </c>
      <c r="G515" s="72">
        <f>VLOOKUP('Old Data'!$P511,$V$6:$X$135,2,FALSE)+VLOOKUP('Old Data'!$F511,$V$6:$X$135,3,FALSE)+$C$2</f>
        <v>375.71735689579901</v>
      </c>
      <c r="H515" s="74">
        <f>('Old Data'!$K511-$F515)^2+('Old Data'!$U511-$G515)^2</f>
        <v>552.20825276774212</v>
      </c>
      <c r="I515" s="75">
        <f>('Old Data'!$L511+'Old Data'!$M511)-('Old Data'!$V511+'Old Data'!$W511)</f>
        <v>43</v>
      </c>
      <c r="J515" s="72">
        <f>VLOOKUP('Old Data'!$F511,$Z$6:$AB$135,2,FALSE)+VLOOKUP('Old Data'!$P511,$Z$6:$AB$135,3,FALSE)+$D$2</f>
        <v>96.341315769454596</v>
      </c>
      <c r="K515" s="72">
        <f>VLOOKUP('Old Data'!$P511,$Z$6:$AB$135,2,FALSE)+VLOOKUP('Old Data'!$F511,$Z$6:$AB$135,3,FALSE)+$D$2</f>
        <v>42.535824137490593</v>
      </c>
      <c r="L515" s="74">
        <f>('Old Data'!$L511+'Old Data'!$M511-$J515)^2+('Old Data'!$V511+'Old Data'!$W511-$K515)^2</f>
        <v>1020.981027911043</v>
      </c>
      <c r="M515" s="75">
        <f>'Old Data'!$N511-'Old Data'!$X511</f>
        <v>-1</v>
      </c>
      <c r="N515" s="72">
        <f>VLOOKUP('Old Data'!$F511,$AD$6:$AF$135,2,FALSE)+VLOOKUP('Old Data'!$P511,$AD$6:$AF$135,3,FALSE)+$E$2</f>
        <v>1.2142348432851122</v>
      </c>
      <c r="O515" s="72">
        <f>VLOOKUP('Old Data'!$P511,$AD$6:$AF$135,2,FALSE)+VLOOKUP('Old Data'!$F511,$AD$6:$AF$135,3,FALSE)+$E$2</f>
        <v>2.3965443604883641</v>
      </c>
      <c r="P515" s="73">
        <f>('Old Data'!$N511-$N515)^2+('Old Data'!$X511-$O515)^2</f>
        <v>3.4247024054594748</v>
      </c>
      <c r="Q515" s="62"/>
      <c r="R515" s="3"/>
      <c r="S515" s="3"/>
      <c r="T515" s="3"/>
      <c r="V515" s="3"/>
      <c r="W515" s="3"/>
      <c r="X515" s="3"/>
      <c r="Z515" s="3"/>
      <c r="AA515" s="3"/>
      <c r="AB515" s="3"/>
      <c r="AC515" s="3"/>
      <c r="AD515" s="3"/>
      <c r="AE515" s="3"/>
      <c r="AF515" s="3"/>
      <c r="AG515" s="3"/>
      <c r="AH515" s="37"/>
      <c r="AI515" s="1"/>
      <c r="AK515" s="10"/>
      <c r="AL515" s="10"/>
      <c r="AM515" s="10"/>
      <c r="AN515" s="11"/>
      <c r="AO515" s="11"/>
      <c r="AP515" s="11"/>
      <c r="AQ515" s="36"/>
      <c r="AR515" s="11"/>
      <c r="AS515" s="11"/>
      <c r="AT515" s="11"/>
      <c r="AU515" s="12"/>
      <c r="AV515" s="11"/>
      <c r="AW515" s="11"/>
      <c r="AX515" s="15"/>
      <c r="AY515" s="15"/>
      <c r="AZ515" s="15"/>
      <c r="BA515" s="15"/>
      <c r="BB515" s="15"/>
      <c r="BC515" s="15"/>
      <c r="BD515" s="15"/>
      <c r="BE515" s="12"/>
      <c r="BF515" s="11"/>
      <c r="BG515" s="11"/>
      <c r="BH515" s="10"/>
      <c r="BI515" s="10"/>
      <c r="BJ515" s="10"/>
      <c r="BK515" s="23"/>
      <c r="BL515" s="23"/>
      <c r="BM515" s="23"/>
      <c r="BN515" s="23"/>
      <c r="BO515" s="23"/>
      <c r="BP515" s="23"/>
      <c r="BQ515" s="23"/>
      <c r="BR515" s="10"/>
      <c r="BS515" s="16"/>
      <c r="BT515" s="16"/>
      <c r="BU515" s="16"/>
      <c r="BV515" s="16"/>
      <c r="BW515" s="11"/>
      <c r="BX515" s="16"/>
      <c r="BY515" s="16"/>
      <c r="BZ515" s="17"/>
      <c r="CA515" s="18"/>
      <c r="CB515" s="18"/>
      <c r="CC515" s="18"/>
      <c r="CD515" s="18"/>
      <c r="CE515" s="18"/>
      <c r="CF515" s="18"/>
      <c r="CG515" s="19"/>
      <c r="CH515" s="15"/>
      <c r="CI515" s="17"/>
      <c r="CJ515" s="10"/>
      <c r="CK515" s="10"/>
      <c r="CL515" s="10"/>
      <c r="CM515" s="17"/>
      <c r="CN515" s="17"/>
      <c r="CO515" s="10"/>
      <c r="CP515" s="10"/>
      <c r="CQ515" s="10"/>
      <c r="CR515" s="10"/>
      <c r="CS515" s="10"/>
      <c r="CT515" s="10"/>
      <c r="CU515" s="10"/>
      <c r="CV515" s="10"/>
      <c r="CW515" s="10"/>
      <c r="CX515" s="10"/>
      <c r="CY515" s="10"/>
      <c r="CZ515" s="10"/>
      <c r="DA515" s="34"/>
      <c r="DB515" s="34"/>
      <c r="DC515" s="34"/>
      <c r="DD515" s="34"/>
      <c r="DE515" s="34"/>
      <c r="DF515" s="34"/>
      <c r="DG515" s="34"/>
      <c r="DH515" s="34"/>
      <c r="DI515" s="34"/>
      <c r="DJ515" s="34"/>
      <c r="DK515" s="34"/>
      <c r="DL515" s="34"/>
      <c r="DM515" s="34"/>
      <c r="DN515" s="34"/>
      <c r="DO515" s="34"/>
      <c r="DP515" s="34"/>
      <c r="DQ515" s="34"/>
      <c r="DR515" s="34"/>
      <c r="DS515" s="34"/>
      <c r="DT515" s="34"/>
      <c r="DU515" s="34"/>
      <c r="DV515" s="34"/>
      <c r="DW515" s="34"/>
      <c r="DX515" s="34"/>
      <c r="DY515" s="34"/>
      <c r="DZ515" s="34"/>
      <c r="EA515" s="34"/>
      <c r="EB515" s="34"/>
      <c r="EC515" s="34"/>
      <c r="ED515" s="34"/>
      <c r="EE515" s="34"/>
    </row>
    <row r="516" spans="1:135" customFormat="1">
      <c r="A516" s="71">
        <f>'Old Data'!$I512-'Old Data'!$S512</f>
        <v>219</v>
      </c>
      <c r="B516" s="72">
        <f>VLOOKUP('Old Data'!$F512,$R$6:$T$135,2,FALSE)+VLOOKUP('Old Data'!$P512,$R$6:$T$135,3,FALSE)+$B$2</f>
        <v>218.4002940607875</v>
      </c>
      <c r="C516" s="72">
        <f>VLOOKUP('Old Data'!$P512,$R$6:$T$135,2,FALSE)+VLOOKUP('Old Data'!$F512,$R$6:$T$135,3,FALSE)+$B$2</f>
        <v>165.22804736918371</v>
      </c>
      <c r="D516" s="74">
        <f>('Old Data'!$I512-$B516)^2+('Old Data'!$S512-$C516)^2</f>
        <v>13750.362607271523</v>
      </c>
      <c r="E516" s="75">
        <f>'Old Data'!$K512-'Old Data'!$U512</f>
        <v>-188</v>
      </c>
      <c r="F516" s="72">
        <f>VLOOKUP('Old Data'!$F512,$V$6:$X$135,2,FALSE)+VLOOKUP('Old Data'!$P512,$V$6:$X$135,3,FALSE)+$C$2</f>
        <v>95.240430296361581</v>
      </c>
      <c r="G516" s="72">
        <f>VLOOKUP('Old Data'!$P512,$V$6:$X$135,2,FALSE)+VLOOKUP('Old Data'!$F512,$V$6:$X$135,3,FALSE)+$C$2</f>
        <v>168.16236986362048</v>
      </c>
      <c r="H516" s="74">
        <f>('Old Data'!$K512-$F516)^2+('Old Data'!$U512-$G516)^2</f>
        <v>6944.1311244647986</v>
      </c>
      <c r="I516" s="75">
        <f>('Old Data'!$L512+'Old Data'!$M512)-('Old Data'!$V512+'Old Data'!$W512)</f>
        <v>15</v>
      </c>
      <c r="J516" s="72">
        <f>VLOOKUP('Old Data'!$F512,$Z$6:$AB$135,2,FALSE)+VLOOKUP('Old Data'!$P512,$Z$6:$AB$135,3,FALSE)+$D$2</f>
        <v>30.691555793532736</v>
      </c>
      <c r="K516" s="72">
        <f>VLOOKUP('Old Data'!$P512,$Z$6:$AB$135,2,FALSE)+VLOOKUP('Old Data'!$F512,$Z$6:$AB$135,3,FALSE)+$D$2</f>
        <v>8.4569562027157943</v>
      </c>
      <c r="L516" s="74">
        <f>('Old Data'!$L512+'Old Data'!$M512-$J516)^2+('Old Data'!$V512+'Old Data'!$W512-$K516)^2</f>
        <v>126.25991147371862</v>
      </c>
      <c r="M516" s="75">
        <f>'Old Data'!$N512-'Old Data'!$X512</f>
        <v>0</v>
      </c>
      <c r="N516" s="72">
        <f>VLOOKUP('Old Data'!$F512,$AD$6:$AF$135,2,FALSE)+VLOOKUP('Old Data'!$P512,$AD$6:$AF$135,3,FALSE)+$E$2</f>
        <v>1.4759796411346902</v>
      </c>
      <c r="O516" s="72">
        <f>VLOOKUP('Old Data'!$P512,$AD$6:$AF$135,2,FALSE)+VLOOKUP('Old Data'!$F512,$AD$6:$AF$135,3,FALSE)+$E$2</f>
        <v>1.2362942517209601</v>
      </c>
      <c r="P516" s="73">
        <f>('Old Data'!$N512-$N516)^2+('Old Data'!$X512-$O516)^2</f>
        <v>0.2823915921710769</v>
      </c>
      <c r="Q516" s="62"/>
      <c r="R516" s="3"/>
      <c r="S516" s="3"/>
      <c r="T516" s="3"/>
      <c r="V516" s="3"/>
      <c r="W516" s="3"/>
      <c r="X516" s="3"/>
      <c r="Z516" s="3"/>
      <c r="AA516" s="3"/>
      <c r="AB516" s="3"/>
      <c r="AC516" s="3"/>
      <c r="AD516" s="3"/>
      <c r="AE516" s="3"/>
      <c r="AF516" s="3"/>
      <c r="AG516" s="3"/>
      <c r="AH516" s="37"/>
      <c r="AI516" s="1"/>
      <c r="AK516" s="10"/>
      <c r="AL516" s="10"/>
      <c r="AM516" s="10"/>
      <c r="AN516" s="11"/>
      <c r="AO516" s="11"/>
      <c r="AP516" s="11"/>
      <c r="AQ516" s="36"/>
      <c r="AR516" s="11"/>
      <c r="AS516" s="11"/>
      <c r="AT516" s="11"/>
      <c r="AU516" s="12"/>
      <c r="AV516" s="11"/>
      <c r="AW516" s="11"/>
      <c r="AX516" s="15"/>
      <c r="AY516" s="15"/>
      <c r="AZ516" s="15"/>
      <c r="BA516" s="15"/>
      <c r="BB516" s="15"/>
      <c r="BC516" s="15"/>
      <c r="BD516" s="15"/>
      <c r="BE516" s="12"/>
      <c r="BF516" s="11"/>
      <c r="BG516" s="11"/>
      <c r="BH516" s="10"/>
      <c r="BI516" s="10"/>
      <c r="BJ516" s="10"/>
      <c r="BK516" s="23"/>
      <c r="BL516" s="23"/>
      <c r="BM516" s="23"/>
      <c r="BN516" s="23"/>
      <c r="BO516" s="23"/>
      <c r="BP516" s="23"/>
      <c r="BQ516" s="23"/>
      <c r="BR516" s="10"/>
      <c r="BS516" s="16"/>
      <c r="BT516" s="16"/>
      <c r="BU516" s="16"/>
      <c r="BV516" s="16"/>
      <c r="BW516" s="11"/>
      <c r="BX516" s="16"/>
      <c r="BY516" s="16"/>
      <c r="BZ516" s="17"/>
      <c r="CA516" s="18"/>
      <c r="CB516" s="18"/>
      <c r="CC516" s="18"/>
      <c r="CD516" s="18"/>
      <c r="CE516" s="18"/>
      <c r="CF516" s="18"/>
      <c r="CG516" s="19"/>
      <c r="CH516" s="15"/>
      <c r="CI516" s="17"/>
      <c r="CJ516" s="10"/>
      <c r="CK516" s="10"/>
      <c r="CL516" s="10"/>
      <c r="CM516" s="17"/>
      <c r="CN516" s="17"/>
      <c r="CO516" s="10"/>
      <c r="CP516" s="10"/>
      <c r="CQ516" s="10"/>
      <c r="CR516" s="10"/>
      <c r="CS516" s="10"/>
      <c r="CT516" s="10"/>
      <c r="CU516" s="10"/>
      <c r="CV516" s="10"/>
      <c r="CW516" s="10"/>
      <c r="CX516" s="10"/>
      <c r="CY516" s="10"/>
      <c r="CZ516" s="10"/>
      <c r="DA516" s="34"/>
      <c r="DB516" s="34"/>
      <c r="DC516" s="34"/>
      <c r="DD516" s="34"/>
      <c r="DE516" s="34"/>
      <c r="DF516" s="34"/>
      <c r="DG516" s="34"/>
      <c r="DH516" s="34"/>
      <c r="DI516" s="34"/>
      <c r="DJ516" s="34"/>
      <c r="DK516" s="34"/>
      <c r="DL516" s="34"/>
      <c r="DM516" s="34"/>
      <c r="DN516" s="34"/>
      <c r="DO516" s="34"/>
      <c r="DP516" s="34"/>
      <c r="DQ516" s="34"/>
      <c r="DR516" s="34"/>
      <c r="DS516" s="34"/>
      <c r="DT516" s="34"/>
      <c r="DU516" s="34"/>
      <c r="DV516" s="34"/>
      <c r="DW516" s="34"/>
      <c r="DX516" s="34"/>
      <c r="DY516" s="34"/>
      <c r="DZ516" s="34"/>
      <c r="EA516" s="34"/>
      <c r="EB516" s="34"/>
      <c r="EC516" s="34"/>
      <c r="ED516" s="34"/>
      <c r="EE516" s="34"/>
    </row>
    <row r="517" spans="1:135" customFormat="1">
      <c r="A517" s="71">
        <f>'Old Data'!$I513-'Old Data'!$S513</f>
        <v>-115</v>
      </c>
      <c r="B517" s="72">
        <f>VLOOKUP('Old Data'!$F513,$R$6:$T$135,2,FALSE)+VLOOKUP('Old Data'!$P513,$R$6:$T$135,3,FALSE)+$B$2</f>
        <v>238.67299471516952</v>
      </c>
      <c r="C517" s="72">
        <f>VLOOKUP('Old Data'!$P513,$R$6:$T$135,2,FALSE)+VLOOKUP('Old Data'!$F513,$R$6:$T$135,3,FALSE)+$B$2</f>
        <v>327.85153610865609</v>
      </c>
      <c r="D517" s="74">
        <f>('Old Data'!$I513-$B517)^2+('Old Data'!$S513-$C517)^2</f>
        <v>11060.905397474151</v>
      </c>
      <c r="E517" s="75">
        <f>'Old Data'!$K513-'Old Data'!$U513</f>
        <v>169</v>
      </c>
      <c r="F517" s="72">
        <f>VLOOKUP('Old Data'!$F513,$V$6:$X$135,2,FALSE)+VLOOKUP('Old Data'!$P513,$V$6:$X$135,3,FALSE)+$C$2</f>
        <v>297.27642547145621</v>
      </c>
      <c r="G517" s="72">
        <f>VLOOKUP('Old Data'!$P513,$V$6:$X$135,2,FALSE)+VLOOKUP('Old Data'!$F513,$V$6:$X$135,3,FALSE)+$C$2</f>
        <v>187.66290933370979</v>
      </c>
      <c r="H517" s="74">
        <f>('Old Data'!$K513-$F517)^2+('Old Data'!$U513-$G517)^2</f>
        <v>4351.0111788657368</v>
      </c>
      <c r="I517" s="75">
        <f>('Old Data'!$L513+'Old Data'!$M513)-('Old Data'!$V513+'Old Data'!$W513)</f>
        <v>42</v>
      </c>
      <c r="J517" s="72">
        <f>VLOOKUP('Old Data'!$F513,$Z$6:$AB$135,2,FALSE)+VLOOKUP('Old Data'!$P513,$Z$6:$AB$135,3,FALSE)+$D$2</f>
        <v>61.884214125780296</v>
      </c>
      <c r="K517" s="72">
        <f>VLOOKUP('Old Data'!$P513,$Z$6:$AB$135,2,FALSE)+VLOOKUP('Old Data'!$F513,$Z$6:$AB$135,3,FALSE)+$D$2</f>
        <v>0.1399686082808671</v>
      </c>
      <c r="L517" s="74">
        <f>('Old Data'!$L513+'Old Data'!$M513-$J517)^2+('Old Data'!$V513+'Old Data'!$W513-$K517)^2</f>
        <v>395.40156261118477</v>
      </c>
      <c r="M517" s="75">
        <f>'Old Data'!$N513-'Old Data'!$X513</f>
        <v>0</v>
      </c>
      <c r="N517" s="72">
        <f>VLOOKUP('Old Data'!$F513,$AD$6:$AF$135,2,FALSE)+VLOOKUP('Old Data'!$P513,$AD$6:$AF$135,3,FALSE)+$E$2</f>
        <v>1.327043118452305</v>
      </c>
      <c r="O517" s="72">
        <f>VLOOKUP('Old Data'!$P513,$AD$6:$AF$135,2,FALSE)+VLOOKUP('Old Data'!$F513,$AD$6:$AF$135,3,FALSE)+$E$2</f>
        <v>1.5886767019356127</v>
      </c>
      <c r="P517" s="73">
        <f>('Old Data'!$N513-$N517)^2+('Old Data'!$X513-$O517)^2</f>
        <v>0.45349746072879865</v>
      </c>
      <c r="Q517" s="62"/>
      <c r="R517" s="3"/>
      <c r="S517" s="3"/>
      <c r="T517" s="3"/>
      <c r="V517" s="3"/>
      <c r="W517" s="3"/>
      <c r="X517" s="3"/>
      <c r="Z517" s="3"/>
      <c r="AA517" s="3"/>
      <c r="AB517" s="3"/>
      <c r="AC517" s="3"/>
      <c r="AD517" s="3"/>
      <c r="AE517" s="3"/>
      <c r="AF517" s="3"/>
      <c r="AG517" s="3"/>
      <c r="AH517" s="37"/>
      <c r="AI517" s="1"/>
      <c r="AK517" s="10"/>
      <c r="AL517" s="10"/>
      <c r="AM517" s="10"/>
      <c r="AN517" s="11"/>
      <c r="AO517" s="11"/>
      <c r="AP517" s="11"/>
      <c r="AQ517" s="36"/>
      <c r="AR517" s="11"/>
      <c r="AS517" s="11"/>
      <c r="AT517" s="11"/>
      <c r="AU517" s="12"/>
      <c r="AV517" s="11"/>
      <c r="AW517" s="11"/>
      <c r="AX517" s="15"/>
      <c r="AY517" s="15"/>
      <c r="AZ517" s="15"/>
      <c r="BA517" s="15"/>
      <c r="BB517" s="15"/>
      <c r="BC517" s="15"/>
      <c r="BD517" s="15"/>
      <c r="BE517" s="12"/>
      <c r="BF517" s="11"/>
      <c r="BG517" s="11"/>
      <c r="BH517" s="10"/>
      <c r="BI517" s="10"/>
      <c r="BJ517" s="10"/>
      <c r="BK517" s="23"/>
      <c r="BL517" s="23"/>
      <c r="BM517" s="23"/>
      <c r="BN517" s="23"/>
      <c r="BO517" s="23"/>
      <c r="BP517" s="23"/>
      <c r="BQ517" s="23"/>
      <c r="BR517" s="10"/>
      <c r="BS517" s="16"/>
      <c r="BT517" s="16"/>
      <c r="BU517" s="16"/>
      <c r="BV517" s="16"/>
      <c r="BW517" s="11"/>
      <c r="BX517" s="16"/>
      <c r="BY517" s="16"/>
      <c r="BZ517" s="17"/>
      <c r="CA517" s="18"/>
      <c r="CB517" s="18"/>
      <c r="CC517" s="18"/>
      <c r="CD517" s="18"/>
      <c r="CE517" s="18"/>
      <c r="CF517" s="18"/>
      <c r="CG517" s="19"/>
      <c r="CH517" s="15"/>
      <c r="CI517" s="17"/>
      <c r="CJ517" s="10"/>
      <c r="CK517" s="10"/>
      <c r="CL517" s="10"/>
      <c r="CM517" s="17"/>
      <c r="CN517" s="17"/>
      <c r="CO517" s="10"/>
      <c r="CP517" s="10"/>
      <c r="CQ517" s="10"/>
      <c r="CR517" s="10"/>
      <c r="CS517" s="10"/>
      <c r="CT517" s="10"/>
      <c r="CU517" s="10"/>
      <c r="CV517" s="10"/>
      <c r="CW517" s="10"/>
      <c r="CX517" s="10"/>
      <c r="CY517" s="10"/>
      <c r="CZ517" s="10"/>
      <c r="DA517" s="34"/>
      <c r="DB517" s="34"/>
      <c r="DC517" s="34"/>
      <c r="DD517" s="34"/>
      <c r="DE517" s="34"/>
      <c r="DF517" s="34"/>
      <c r="DG517" s="34"/>
      <c r="DH517" s="34"/>
      <c r="DI517" s="34"/>
      <c r="DJ517" s="34"/>
      <c r="DK517" s="34"/>
      <c r="DL517" s="34"/>
      <c r="DM517" s="34"/>
      <c r="DN517" s="34"/>
      <c r="DO517" s="34"/>
      <c r="DP517" s="34"/>
      <c r="DQ517" s="34"/>
      <c r="DR517" s="34"/>
      <c r="DS517" s="34"/>
      <c r="DT517" s="34"/>
      <c r="DU517" s="34"/>
      <c r="DV517" s="34"/>
      <c r="DW517" s="34"/>
      <c r="DX517" s="34"/>
      <c r="DY517" s="34"/>
      <c r="DZ517" s="34"/>
      <c r="EA517" s="34"/>
      <c r="EB517" s="34"/>
      <c r="EC517" s="34"/>
      <c r="ED517" s="34"/>
      <c r="EE517" s="34"/>
    </row>
    <row r="518" spans="1:135" customFormat="1">
      <c r="A518" s="71">
        <f>'Old Data'!$I514-'Old Data'!$S514</f>
        <v>187</v>
      </c>
      <c r="B518" s="72">
        <f>VLOOKUP('Old Data'!$F514,$R$6:$T$135,2,FALSE)+VLOOKUP('Old Data'!$P514,$R$6:$T$135,3,FALSE)+$B$2</f>
        <v>174.6585317014509</v>
      </c>
      <c r="C518" s="72">
        <f>VLOOKUP('Old Data'!$P514,$R$6:$T$135,2,FALSE)+VLOOKUP('Old Data'!$F514,$R$6:$T$135,3,FALSE)+$B$2</f>
        <v>124.11854106200005</v>
      </c>
      <c r="D518" s="74">
        <f>('Old Data'!$I514-$B518)^2+('Old Data'!$S514-$C518)^2</f>
        <v>10202.054869552039</v>
      </c>
      <c r="E518" s="75">
        <f>'Old Data'!$K514-'Old Data'!$U514</f>
        <v>13</v>
      </c>
      <c r="F518" s="72">
        <f>VLOOKUP('Old Data'!$F514,$V$6:$X$135,2,FALSE)+VLOOKUP('Old Data'!$P514,$V$6:$X$135,3,FALSE)+$C$2</f>
        <v>260.28473018636754</v>
      </c>
      <c r="G518" s="72">
        <f>VLOOKUP('Old Data'!$P514,$V$6:$X$135,2,FALSE)+VLOOKUP('Old Data'!$F514,$V$6:$X$135,3,FALSE)+$C$2</f>
        <v>289.40835083633738</v>
      </c>
      <c r="H518" s="74">
        <f>('Old Data'!$K514-$F518)^2+('Old Data'!$U514-$G518)^2</f>
        <v>909.59837511952901</v>
      </c>
      <c r="I518" s="75">
        <f>('Old Data'!$L514+'Old Data'!$M514)-('Old Data'!$V514+'Old Data'!$W514)</f>
        <v>-113</v>
      </c>
      <c r="J518" s="72">
        <f>VLOOKUP('Old Data'!$F514,$Z$6:$AB$135,2,FALSE)+VLOOKUP('Old Data'!$P514,$Z$6:$AB$135,3,FALSE)+$D$2</f>
        <v>84.938883190689836</v>
      </c>
      <c r="K518" s="72">
        <f>VLOOKUP('Old Data'!$P514,$Z$6:$AB$135,2,FALSE)+VLOOKUP('Old Data'!$F514,$Z$6:$AB$135,3,FALSE)+$D$2</f>
        <v>134.89487354842601</v>
      </c>
      <c r="L518" s="74">
        <f>('Old Data'!$L514+'Old Data'!$M514-$J518)^2+('Old Data'!$V514+'Old Data'!$W514-$K518)^2</f>
        <v>3602.3115284274249</v>
      </c>
      <c r="M518" s="75">
        <f>'Old Data'!$N514-'Old Data'!$X514</f>
        <v>1</v>
      </c>
      <c r="N518" s="72">
        <f>VLOOKUP('Old Data'!$F514,$AD$6:$AF$135,2,FALSE)+VLOOKUP('Old Data'!$P514,$AD$6:$AF$135,3,FALSE)+$E$2</f>
        <v>1.9578018107442501</v>
      </c>
      <c r="O518" s="72">
        <f>VLOOKUP('Old Data'!$P514,$AD$6:$AF$135,2,FALSE)+VLOOKUP('Old Data'!$F514,$AD$6:$AF$135,3,FALSE)+$E$2</f>
        <v>1.5112736244070171</v>
      </c>
      <c r="P518" s="73">
        <f>('Old Data'!$N514-$N518)^2+('Old Data'!$X514-$O518)^2</f>
        <v>1.3250305358882173</v>
      </c>
      <c r="Q518" s="62"/>
      <c r="R518" s="3"/>
      <c r="S518" s="3"/>
      <c r="T518" s="3"/>
      <c r="V518" s="3"/>
      <c r="W518" s="3"/>
      <c r="X518" s="3"/>
      <c r="Z518" s="3"/>
      <c r="AA518" s="3"/>
      <c r="AB518" s="3"/>
      <c r="AC518" s="3"/>
      <c r="AD518" s="3"/>
      <c r="AE518" s="3"/>
      <c r="AF518" s="3"/>
      <c r="AG518" s="3"/>
      <c r="AH518" s="37"/>
      <c r="AI518" s="1"/>
      <c r="AK518" s="10"/>
      <c r="AL518" s="10"/>
      <c r="AM518" s="10"/>
      <c r="AN518" s="11"/>
      <c r="AO518" s="11"/>
      <c r="AP518" s="11"/>
      <c r="AQ518" s="36"/>
      <c r="AR518" s="11"/>
      <c r="AS518" s="11"/>
      <c r="AT518" s="11"/>
      <c r="AU518" s="12"/>
      <c r="AV518" s="11"/>
      <c r="AW518" s="11"/>
      <c r="AX518" s="15"/>
      <c r="AY518" s="15"/>
      <c r="AZ518" s="15"/>
      <c r="BA518" s="15"/>
      <c r="BB518" s="15"/>
      <c r="BC518" s="15"/>
      <c r="BD518" s="15"/>
      <c r="BE518" s="12"/>
      <c r="BF518" s="11"/>
      <c r="BG518" s="11"/>
      <c r="BH518" s="10"/>
      <c r="BI518" s="10"/>
      <c r="BJ518" s="10"/>
      <c r="BK518" s="23"/>
      <c r="BL518" s="23"/>
      <c r="BM518" s="23"/>
      <c r="BN518" s="23"/>
      <c r="BO518" s="23"/>
      <c r="BP518" s="23"/>
      <c r="BQ518" s="23"/>
      <c r="BR518" s="10"/>
      <c r="BS518" s="16"/>
      <c r="BT518" s="16"/>
      <c r="BU518" s="16"/>
      <c r="BV518" s="16"/>
      <c r="BW518" s="11"/>
      <c r="BX518" s="16"/>
      <c r="BY518" s="16"/>
      <c r="BZ518" s="17"/>
      <c r="CA518" s="18"/>
      <c r="CB518" s="18"/>
      <c r="CC518" s="18"/>
      <c r="CD518" s="18"/>
      <c r="CE518" s="18"/>
      <c r="CF518" s="18"/>
      <c r="CG518" s="19"/>
      <c r="CH518" s="15"/>
      <c r="CI518" s="17"/>
      <c r="CJ518" s="10"/>
      <c r="CK518" s="10"/>
      <c r="CL518" s="10"/>
      <c r="CM518" s="17"/>
      <c r="CN518" s="17"/>
      <c r="CO518" s="10"/>
      <c r="CP518" s="10"/>
      <c r="CQ518" s="10"/>
      <c r="CR518" s="10"/>
      <c r="CS518" s="10"/>
      <c r="CT518" s="10"/>
      <c r="CU518" s="10"/>
      <c r="CV518" s="10"/>
      <c r="CW518" s="10"/>
      <c r="CX518" s="10"/>
      <c r="CY518" s="10"/>
      <c r="CZ518" s="10"/>
      <c r="DA518" s="34"/>
      <c r="DB518" s="34"/>
      <c r="DC518" s="34"/>
      <c r="DD518" s="34"/>
      <c r="DE518" s="34"/>
      <c r="DF518" s="34"/>
      <c r="DG518" s="34"/>
      <c r="DH518" s="34"/>
      <c r="DI518" s="34"/>
      <c r="DJ518" s="34"/>
      <c r="DK518" s="34"/>
      <c r="DL518" s="34"/>
      <c r="DM518" s="34"/>
      <c r="DN518" s="34"/>
      <c r="DO518" s="34"/>
      <c r="DP518" s="34"/>
      <c r="DQ518" s="34"/>
      <c r="DR518" s="34"/>
      <c r="DS518" s="34"/>
      <c r="DT518" s="34"/>
      <c r="DU518" s="34"/>
      <c r="DV518" s="34"/>
      <c r="DW518" s="34"/>
      <c r="DX518" s="34"/>
      <c r="DY518" s="34"/>
      <c r="DZ518" s="34"/>
      <c r="EA518" s="34"/>
      <c r="EB518" s="34"/>
      <c r="EC518" s="34"/>
      <c r="ED518" s="34"/>
      <c r="EE518" s="34"/>
    </row>
    <row r="519" spans="1:135" customFormat="1">
      <c r="A519" s="71">
        <f>'Old Data'!$I515-'Old Data'!$S515</f>
        <v>239</v>
      </c>
      <c r="B519" s="72">
        <f>VLOOKUP('Old Data'!$F515,$R$6:$T$135,2,FALSE)+VLOOKUP('Old Data'!$P515,$R$6:$T$135,3,FALSE)+$B$2</f>
        <v>200.80951531072461</v>
      </c>
      <c r="C519" s="72">
        <f>VLOOKUP('Old Data'!$P515,$R$6:$T$135,2,FALSE)+VLOOKUP('Old Data'!$F515,$R$6:$T$135,3,FALSE)+$B$2</f>
        <v>95.243829776599284</v>
      </c>
      <c r="D519" s="74">
        <f>('Old Data'!$I515-$B519)^2+('Old Data'!$S515-$C519)^2</f>
        <v>9014.0593850282785</v>
      </c>
      <c r="E519" s="75">
        <f>'Old Data'!$K515-'Old Data'!$U515</f>
        <v>-118</v>
      </c>
      <c r="F519" s="72">
        <f>VLOOKUP('Old Data'!$F515,$V$6:$X$135,2,FALSE)+VLOOKUP('Old Data'!$P515,$V$6:$X$135,3,FALSE)+$C$2</f>
        <v>243.9258304795182</v>
      </c>
      <c r="G519" s="72">
        <f>VLOOKUP('Old Data'!$P515,$V$6:$X$135,2,FALSE)+VLOOKUP('Old Data'!$F515,$V$6:$X$135,3,FALSE)+$C$2</f>
        <v>176.75462456369559</v>
      </c>
      <c r="H519" s="74">
        <f>('Old Data'!$K515-$F519)^2+('Old Data'!$U515-$G519)^2</f>
        <v>37008.328251050152</v>
      </c>
      <c r="I519" s="75">
        <f>('Old Data'!$L515+'Old Data'!$M515)-('Old Data'!$V515+'Old Data'!$W515)</f>
        <v>-78</v>
      </c>
      <c r="J519" s="72">
        <f>VLOOKUP('Old Data'!$F515,$Z$6:$AB$135,2,FALSE)+VLOOKUP('Old Data'!$P515,$Z$6:$AB$135,3,FALSE)+$D$2</f>
        <v>30.746273917658698</v>
      </c>
      <c r="K519" s="72">
        <f>VLOOKUP('Old Data'!$P515,$Z$6:$AB$135,2,FALSE)+VLOOKUP('Old Data'!$F515,$Z$6:$AB$135,3,FALSE)+$D$2</f>
        <v>94.779596018831995</v>
      </c>
      <c r="L519" s="74">
        <f>('Old Data'!$L515+'Old Data'!$M515-$J519)^2+('Old Data'!$V515+'Old Data'!$W515-$K519)^2</f>
        <v>837.66338783670244</v>
      </c>
      <c r="M519" s="75">
        <f>'Old Data'!$N515-'Old Data'!$X515</f>
        <v>-2</v>
      </c>
      <c r="N519" s="72">
        <f>VLOOKUP('Old Data'!$F515,$AD$6:$AF$135,2,FALSE)+VLOOKUP('Old Data'!$P515,$AD$6:$AF$135,3,FALSE)+$E$2</f>
        <v>1.4686769427419262</v>
      </c>
      <c r="O519" s="72">
        <f>VLOOKUP('Old Data'!$P515,$AD$6:$AF$135,2,FALSE)+VLOOKUP('Old Data'!$F515,$AD$6:$AF$135,3,FALSE)+$E$2</f>
        <v>2.3575331677873184</v>
      </c>
      <c r="P519" s="73">
        <f>('Old Data'!$N515-$N519)^2+('Old Data'!$X515-$O519)^2</f>
        <v>2.9800014860928274</v>
      </c>
      <c r="Q519" s="62"/>
      <c r="R519" s="3"/>
      <c r="S519" s="3"/>
      <c r="T519" s="3"/>
      <c r="V519" s="3"/>
      <c r="W519" s="3"/>
      <c r="X519" s="3"/>
      <c r="Z519" s="3"/>
      <c r="AA519" s="3"/>
      <c r="AB519" s="3"/>
      <c r="AC519" s="3"/>
      <c r="AD519" s="3"/>
      <c r="AE519" s="3"/>
      <c r="AF519" s="3"/>
      <c r="AG519" s="3"/>
      <c r="AH519" s="37"/>
      <c r="AI519" s="1"/>
      <c r="AK519" s="10"/>
      <c r="AL519" s="10"/>
      <c r="AM519" s="10"/>
      <c r="AN519" s="11"/>
      <c r="AO519" s="11"/>
      <c r="AP519" s="11"/>
      <c r="AQ519" s="36"/>
      <c r="AR519" s="11"/>
      <c r="AS519" s="11"/>
      <c r="AT519" s="11"/>
      <c r="AU519" s="12"/>
      <c r="AV519" s="11"/>
      <c r="AW519" s="11"/>
      <c r="AX519" s="15"/>
      <c r="AY519" s="15"/>
      <c r="AZ519" s="15"/>
      <c r="BA519" s="15"/>
      <c r="BB519" s="15"/>
      <c r="BC519" s="15"/>
      <c r="BD519" s="15"/>
      <c r="BE519" s="12"/>
      <c r="BF519" s="11"/>
      <c r="BG519" s="11"/>
      <c r="BH519" s="10"/>
      <c r="BI519" s="10"/>
      <c r="BJ519" s="10"/>
      <c r="BK519" s="23"/>
      <c r="BL519" s="23"/>
      <c r="BM519" s="23"/>
      <c r="BN519" s="23"/>
      <c r="BO519" s="23"/>
      <c r="BP519" s="23"/>
      <c r="BQ519" s="23"/>
      <c r="BR519" s="10"/>
      <c r="BS519" s="16"/>
      <c r="BT519" s="16"/>
      <c r="BU519" s="16"/>
      <c r="BV519" s="16"/>
      <c r="BW519" s="11"/>
      <c r="BX519" s="16"/>
      <c r="BY519" s="16"/>
      <c r="BZ519" s="17"/>
      <c r="CA519" s="18"/>
      <c r="CB519" s="18"/>
      <c r="CC519" s="18"/>
      <c r="CD519" s="18"/>
      <c r="CE519" s="18"/>
      <c r="CF519" s="18"/>
      <c r="CG519" s="19"/>
      <c r="CH519" s="15"/>
      <c r="CI519" s="17"/>
      <c r="CJ519" s="10"/>
      <c r="CK519" s="10"/>
      <c r="CL519" s="10"/>
      <c r="CM519" s="17"/>
      <c r="CN519" s="17"/>
      <c r="CO519" s="10"/>
      <c r="CP519" s="10"/>
      <c r="CQ519" s="10"/>
      <c r="CR519" s="10"/>
      <c r="CS519" s="10"/>
      <c r="CT519" s="10"/>
      <c r="CU519" s="10"/>
      <c r="CV519" s="10"/>
      <c r="CW519" s="10"/>
      <c r="CX519" s="10"/>
      <c r="CY519" s="10"/>
      <c r="CZ519" s="10"/>
      <c r="DA519" s="34"/>
      <c r="DB519" s="34"/>
      <c r="DC519" s="34"/>
      <c r="DD519" s="34"/>
      <c r="DE519" s="34"/>
      <c r="DF519" s="34"/>
      <c r="DG519" s="34"/>
      <c r="DH519" s="34"/>
      <c r="DI519" s="34"/>
      <c r="DJ519" s="34"/>
      <c r="DK519" s="34"/>
      <c r="DL519" s="34"/>
      <c r="DM519" s="34"/>
      <c r="DN519" s="34"/>
      <c r="DO519" s="34"/>
      <c r="DP519" s="34"/>
      <c r="DQ519" s="34"/>
      <c r="DR519" s="34"/>
      <c r="DS519" s="34"/>
      <c r="DT519" s="34"/>
      <c r="DU519" s="34"/>
      <c r="DV519" s="34"/>
      <c r="DW519" s="34"/>
      <c r="DX519" s="34"/>
      <c r="DY519" s="34"/>
      <c r="DZ519" s="34"/>
      <c r="EA519" s="34"/>
      <c r="EB519" s="34"/>
      <c r="EC519" s="34"/>
      <c r="ED519" s="34"/>
      <c r="EE519" s="34"/>
    </row>
    <row r="520" spans="1:135" customFormat="1">
      <c r="A520" s="71">
        <f>'Old Data'!$I516-'Old Data'!$S516</f>
        <v>29</v>
      </c>
      <c r="B520" s="72">
        <f>VLOOKUP('Old Data'!$F516,$R$6:$T$135,2,FALSE)+VLOOKUP('Old Data'!$P516,$R$6:$T$135,3,FALSE)+$B$2</f>
        <v>159.11477865732252</v>
      </c>
      <c r="C520" s="72">
        <f>VLOOKUP('Old Data'!$P516,$R$6:$T$135,2,FALSE)+VLOOKUP('Old Data'!$F516,$R$6:$T$135,3,FALSE)+$B$2</f>
        <v>165.1590930156994</v>
      </c>
      <c r="D520" s="74">
        <f>('Old Data'!$I516-$B520)^2+('Old Data'!$S516-$C520)^2</f>
        <v>1443.3607486771134</v>
      </c>
      <c r="E520" s="75">
        <f>'Old Data'!$K516-'Old Data'!$U516</f>
        <v>-76</v>
      </c>
      <c r="F520" s="72">
        <f>VLOOKUP('Old Data'!$F516,$V$6:$X$135,2,FALSE)+VLOOKUP('Old Data'!$P516,$V$6:$X$135,3,FALSE)+$C$2</f>
        <v>274.45933989333082</v>
      </c>
      <c r="G520" s="72">
        <f>VLOOKUP('Old Data'!$P516,$V$6:$X$135,2,FALSE)+VLOOKUP('Old Data'!$F516,$V$6:$X$135,3,FALSE)+$C$2</f>
        <v>200.89529476049</v>
      </c>
      <c r="H520" s="74">
        <f>('Old Data'!$K516-$F520)^2+('Old Data'!$U516-$G520)^2</f>
        <v>16660.028042466882</v>
      </c>
      <c r="I520" s="75">
        <f>('Old Data'!$L516+'Old Data'!$M516)-('Old Data'!$V516+'Old Data'!$W516)</f>
        <v>5</v>
      </c>
      <c r="J520" s="72">
        <f>VLOOKUP('Old Data'!$F516,$Z$6:$AB$135,2,FALSE)+VLOOKUP('Old Data'!$P516,$Z$6:$AB$135,3,FALSE)+$D$2</f>
        <v>98.613136879442607</v>
      </c>
      <c r="K520" s="72">
        <f>VLOOKUP('Old Data'!$P516,$Z$6:$AB$135,2,FALSE)+VLOOKUP('Old Data'!$F516,$Z$6:$AB$135,3,FALSE)+$D$2</f>
        <v>96.947154753738005</v>
      </c>
      <c r="L520" s="74">
        <f>('Old Data'!$L516+'Old Data'!$M516-$J520)^2+('Old Data'!$V516+'Old Data'!$W516-$K520)^2</f>
        <v>3160.8914702957181</v>
      </c>
      <c r="M520" s="75">
        <f>'Old Data'!$N516-'Old Data'!$X516</f>
        <v>3</v>
      </c>
      <c r="N520" s="72">
        <f>VLOOKUP('Old Data'!$F516,$AD$6:$AF$135,2,FALSE)+VLOOKUP('Old Data'!$P516,$AD$6:$AF$135,3,FALSE)+$E$2</f>
        <v>1.2738737914858611</v>
      </c>
      <c r="O520" s="72">
        <f>VLOOKUP('Old Data'!$P516,$AD$6:$AF$135,2,FALSE)+VLOOKUP('Old Data'!$F516,$AD$6:$AF$135,3,FALSE)+$E$2</f>
        <v>1.4656370591457781</v>
      </c>
      <c r="P520" s="73">
        <f>('Old Data'!$N516-$N520)^2+('Old Data'!$X516-$O520)^2</f>
        <v>5.1276036768608817</v>
      </c>
      <c r="Q520" s="62"/>
      <c r="R520" s="3"/>
      <c r="S520" s="3"/>
      <c r="T520" s="3"/>
      <c r="V520" s="3"/>
      <c r="W520" s="3"/>
      <c r="X520" s="3"/>
      <c r="Z520" s="3"/>
      <c r="AA520" s="3"/>
      <c r="AB520" s="3"/>
      <c r="AC520" s="3"/>
      <c r="AD520" s="3"/>
      <c r="AE520" s="3"/>
      <c r="AF520" s="3"/>
      <c r="AG520" s="3"/>
      <c r="AH520" s="37"/>
      <c r="AI520" s="1"/>
      <c r="AK520" s="10"/>
      <c r="AL520" s="10"/>
      <c r="AM520" s="10"/>
      <c r="AN520" s="11"/>
      <c r="AO520" s="11"/>
      <c r="AP520" s="11"/>
      <c r="AQ520" s="36"/>
      <c r="AR520" s="11"/>
      <c r="AS520" s="11"/>
      <c r="AT520" s="11"/>
      <c r="AU520" s="12"/>
      <c r="AV520" s="11"/>
      <c r="AW520" s="11"/>
      <c r="AX520" s="15"/>
      <c r="AY520" s="15"/>
      <c r="AZ520" s="15"/>
      <c r="BA520" s="15"/>
      <c r="BB520" s="15"/>
      <c r="BC520" s="15"/>
      <c r="BD520" s="15"/>
      <c r="BE520" s="12"/>
      <c r="BF520" s="11"/>
      <c r="BG520" s="11"/>
      <c r="BH520" s="10"/>
      <c r="BI520" s="10"/>
      <c r="BJ520" s="10"/>
      <c r="BK520" s="23"/>
      <c r="BL520" s="23"/>
      <c r="BM520" s="23"/>
      <c r="BN520" s="23"/>
      <c r="BO520" s="23"/>
      <c r="BP520" s="23"/>
      <c r="BQ520" s="23"/>
      <c r="BR520" s="10"/>
      <c r="BS520" s="16"/>
      <c r="BT520" s="16"/>
      <c r="BU520" s="16"/>
      <c r="BV520" s="16"/>
      <c r="BW520" s="11"/>
      <c r="BX520" s="16"/>
      <c r="BY520" s="16"/>
      <c r="BZ520" s="17"/>
      <c r="CA520" s="18"/>
      <c r="CB520" s="18"/>
      <c r="CC520" s="18"/>
      <c r="CD520" s="18"/>
      <c r="CE520" s="18"/>
      <c r="CF520" s="18"/>
      <c r="CG520" s="19"/>
      <c r="CH520" s="15"/>
      <c r="CI520" s="17"/>
      <c r="CJ520" s="10"/>
      <c r="CK520" s="10"/>
      <c r="CL520" s="10"/>
      <c r="CM520" s="17"/>
      <c r="CN520" s="17"/>
      <c r="CO520" s="10"/>
      <c r="CP520" s="10"/>
      <c r="CQ520" s="10"/>
      <c r="CR520" s="10"/>
      <c r="CS520" s="10"/>
      <c r="CT520" s="10"/>
      <c r="CU520" s="10"/>
      <c r="CV520" s="10"/>
      <c r="CW520" s="10"/>
      <c r="CX520" s="10"/>
      <c r="CY520" s="10"/>
      <c r="CZ520" s="10"/>
      <c r="DA520" s="34"/>
      <c r="DB520" s="34"/>
      <c r="DC520" s="34"/>
      <c r="DD520" s="34"/>
      <c r="DE520" s="34"/>
      <c r="DF520" s="34"/>
      <c r="DG520" s="34"/>
      <c r="DH520" s="34"/>
      <c r="DI520" s="34"/>
      <c r="DJ520" s="34"/>
      <c r="DK520" s="34"/>
      <c r="DL520" s="34"/>
      <c r="DM520" s="34"/>
      <c r="DN520" s="34"/>
      <c r="DO520" s="34"/>
      <c r="DP520" s="34"/>
      <c r="DQ520" s="34"/>
      <c r="DR520" s="34"/>
      <c r="DS520" s="34"/>
      <c r="DT520" s="34"/>
      <c r="DU520" s="34"/>
      <c r="DV520" s="34"/>
      <c r="DW520" s="34"/>
      <c r="DX520" s="34"/>
      <c r="DY520" s="34"/>
      <c r="DZ520" s="34"/>
      <c r="EA520" s="34"/>
      <c r="EB520" s="34"/>
      <c r="EC520" s="34"/>
      <c r="ED520" s="34"/>
      <c r="EE520" s="34"/>
    </row>
    <row r="521" spans="1:135" customFormat="1">
      <c r="A521" s="71">
        <f>'Old Data'!$I517-'Old Data'!$S517</f>
        <v>-57</v>
      </c>
      <c r="B521" s="72">
        <f>VLOOKUP('Old Data'!$F517,$R$6:$T$135,2,FALSE)+VLOOKUP('Old Data'!$P517,$R$6:$T$135,3,FALSE)+$B$2</f>
        <v>129.07854596482832</v>
      </c>
      <c r="C521" s="72">
        <f>VLOOKUP('Old Data'!$P517,$R$6:$T$135,2,FALSE)+VLOOKUP('Old Data'!$F517,$R$6:$T$135,3,FALSE)+$B$2</f>
        <v>154.52734629098651</v>
      </c>
      <c r="D521" s="74">
        <f>('Old Data'!$I517-$B521)^2+('Old Data'!$S517-$C521)^2</f>
        <v>616.22837704910842</v>
      </c>
      <c r="E521" s="75">
        <f>'Old Data'!$K517-'Old Data'!$U517</f>
        <v>-1</v>
      </c>
      <c r="F521" s="72">
        <f>VLOOKUP('Old Data'!$F517,$V$6:$X$135,2,FALSE)+VLOOKUP('Old Data'!$P517,$V$6:$X$135,3,FALSE)+$C$2</f>
        <v>289.59359463405309</v>
      </c>
      <c r="G521" s="72">
        <f>VLOOKUP('Old Data'!$P517,$V$6:$X$135,2,FALSE)+VLOOKUP('Old Data'!$F517,$V$6:$X$135,3,FALSE)+$C$2</f>
        <v>209.18587733312069</v>
      </c>
      <c r="H521" s="74">
        <f>('Old Data'!$K517-$F521)^2+('Old Data'!$U517-$G521)^2</f>
        <v>19553.327580289617</v>
      </c>
      <c r="I521" s="75">
        <f>('Old Data'!$L517+'Old Data'!$M517)-('Old Data'!$V517+'Old Data'!$W517)</f>
        <v>-99</v>
      </c>
      <c r="J521" s="72">
        <f>VLOOKUP('Old Data'!$F517,$Z$6:$AB$135,2,FALSE)+VLOOKUP('Old Data'!$P517,$Z$6:$AB$135,3,FALSE)+$D$2</f>
        <v>4.3075425465302999</v>
      </c>
      <c r="K521" s="72">
        <f>VLOOKUP('Old Data'!$P517,$Z$6:$AB$135,2,FALSE)+VLOOKUP('Old Data'!$F517,$Z$6:$AB$135,3,FALSE)+$D$2</f>
        <v>82.448407963538415</v>
      </c>
      <c r="L521" s="74">
        <f>('Old Data'!$L517+'Old Data'!$M517-$J521)^2+('Old Data'!$V517+'Old Data'!$W517-$K521)^2</f>
        <v>1027.3435074497033</v>
      </c>
      <c r="M521" s="75">
        <f>'Old Data'!$N517-'Old Data'!$X517</f>
        <v>2</v>
      </c>
      <c r="N521" s="72">
        <f>VLOOKUP('Old Data'!$F517,$AD$6:$AF$135,2,FALSE)+VLOOKUP('Old Data'!$P517,$AD$6:$AF$135,3,FALSE)+$E$2</f>
        <v>1.0459045031223424</v>
      </c>
      <c r="O521" s="72">
        <f>VLOOKUP('Old Data'!$P517,$AD$6:$AF$135,2,FALSE)+VLOOKUP('Old Data'!$F517,$AD$6:$AF$135,3,FALSE)+$E$2</f>
        <v>1.3292402417699472</v>
      </c>
      <c r="P521" s="73">
        <f>('Old Data'!$N517-$N521)^2+('Old Data'!$X517-$O521)^2</f>
        <v>3.9268883477182728</v>
      </c>
      <c r="Q521" s="62"/>
      <c r="R521" s="3"/>
      <c r="S521" s="3"/>
      <c r="T521" s="3"/>
      <c r="V521" s="3"/>
      <c r="W521" s="3"/>
      <c r="X521" s="3"/>
      <c r="Z521" s="3"/>
      <c r="AA521" s="3"/>
      <c r="AB521" s="3"/>
      <c r="AC521" s="3"/>
      <c r="AD521" s="3"/>
      <c r="AE521" s="3"/>
      <c r="AF521" s="3"/>
      <c r="AG521" s="3"/>
      <c r="AH521" s="37"/>
      <c r="AI521" s="1"/>
      <c r="AK521" s="10"/>
      <c r="AL521" s="10"/>
      <c r="AM521" s="10"/>
      <c r="AN521" s="11"/>
      <c r="AO521" s="11"/>
      <c r="AP521" s="11"/>
      <c r="AQ521" s="36"/>
      <c r="AR521" s="11"/>
      <c r="AS521" s="11"/>
      <c r="AT521" s="11"/>
      <c r="AU521" s="12"/>
      <c r="AV521" s="11"/>
      <c r="AW521" s="11"/>
      <c r="AX521" s="15"/>
      <c r="AY521" s="15"/>
      <c r="AZ521" s="15"/>
      <c r="BA521" s="15"/>
      <c r="BB521" s="15"/>
      <c r="BC521" s="15"/>
      <c r="BD521" s="15"/>
      <c r="BE521" s="12"/>
      <c r="BF521" s="11"/>
      <c r="BG521" s="11"/>
      <c r="BH521" s="10"/>
      <c r="BI521" s="10"/>
      <c r="BJ521" s="10"/>
      <c r="BK521" s="23"/>
      <c r="BL521" s="23"/>
      <c r="BM521" s="23"/>
      <c r="BN521" s="23"/>
      <c r="BO521" s="23"/>
      <c r="BP521" s="23"/>
      <c r="BQ521" s="23"/>
      <c r="BR521" s="10"/>
      <c r="BS521" s="16"/>
      <c r="BT521" s="16"/>
      <c r="BU521" s="16"/>
      <c r="BV521" s="16"/>
      <c r="BW521" s="11"/>
      <c r="BX521" s="16"/>
      <c r="BY521" s="16"/>
      <c r="BZ521" s="17"/>
      <c r="CA521" s="18"/>
      <c r="CB521" s="18"/>
      <c r="CC521" s="18"/>
      <c r="CD521" s="18"/>
      <c r="CE521" s="18"/>
      <c r="CF521" s="18"/>
      <c r="CG521" s="19"/>
      <c r="CH521" s="15"/>
      <c r="CI521" s="17"/>
      <c r="CJ521" s="10"/>
      <c r="CK521" s="10"/>
      <c r="CL521" s="10"/>
      <c r="CM521" s="17"/>
      <c r="CN521" s="17"/>
      <c r="CO521" s="10"/>
      <c r="CP521" s="10"/>
      <c r="CQ521" s="10"/>
      <c r="CR521" s="10"/>
      <c r="CS521" s="10"/>
      <c r="CT521" s="10"/>
      <c r="CU521" s="10"/>
      <c r="CV521" s="10"/>
      <c r="CW521" s="10"/>
      <c r="CX521" s="10"/>
      <c r="CY521" s="10"/>
      <c r="CZ521" s="10"/>
      <c r="DA521" s="34"/>
      <c r="DB521" s="34"/>
      <c r="DC521" s="34"/>
      <c r="DD521" s="34"/>
      <c r="DE521" s="34"/>
      <c r="DF521" s="34"/>
      <c r="DG521" s="34"/>
      <c r="DH521" s="34"/>
      <c r="DI521" s="34"/>
      <c r="DJ521" s="34"/>
      <c r="DK521" s="34"/>
      <c r="DL521" s="34"/>
      <c r="DM521" s="34"/>
      <c r="DN521" s="34"/>
      <c r="DO521" s="34"/>
      <c r="DP521" s="34"/>
      <c r="DQ521" s="34"/>
      <c r="DR521" s="34"/>
      <c r="DS521" s="34"/>
      <c r="DT521" s="34"/>
      <c r="DU521" s="34"/>
      <c r="DV521" s="34"/>
      <c r="DW521" s="34"/>
      <c r="DX521" s="34"/>
      <c r="DY521" s="34"/>
      <c r="DZ521" s="34"/>
      <c r="EA521" s="34"/>
      <c r="EB521" s="34"/>
      <c r="EC521" s="34"/>
      <c r="ED521" s="34"/>
      <c r="EE521" s="34"/>
    </row>
    <row r="522" spans="1:135" customFormat="1">
      <c r="A522" s="71">
        <f>'Old Data'!$I518-'Old Data'!$S518</f>
        <v>381</v>
      </c>
      <c r="B522" s="72">
        <f>VLOOKUP('Old Data'!$F518,$R$6:$T$135,2,FALSE)+VLOOKUP('Old Data'!$P518,$R$6:$T$135,3,FALSE)+$B$2</f>
        <v>382.04422474239664</v>
      </c>
      <c r="C522" s="72">
        <f>VLOOKUP('Old Data'!$P518,$R$6:$T$135,2,FALSE)+VLOOKUP('Old Data'!$F518,$R$6:$T$135,3,FALSE)+$B$2</f>
        <v>100.46889427221501</v>
      </c>
      <c r="D522" s="74">
        <f>('Old Data'!$I518-$B522)^2+('Old Data'!$S518-$C522)^2</f>
        <v>5407.3574116654145</v>
      </c>
      <c r="E522" s="75">
        <f>'Old Data'!$K518-'Old Data'!$U518</f>
        <v>32</v>
      </c>
      <c r="F522" s="72">
        <f>VLOOKUP('Old Data'!$F518,$V$6:$X$135,2,FALSE)+VLOOKUP('Old Data'!$P518,$V$6:$X$135,3,FALSE)+$C$2</f>
        <v>189.83106647936711</v>
      </c>
      <c r="G522" s="72">
        <f>VLOOKUP('Old Data'!$P518,$V$6:$X$135,2,FALSE)+VLOOKUP('Old Data'!$F518,$V$6:$X$135,3,FALSE)+$C$2</f>
        <v>208.61541407804461</v>
      </c>
      <c r="H522" s="74">
        <f>('Old Data'!$K518-$F522)^2+('Old Data'!$U518-$G522)^2</f>
        <v>7611.6304753858358</v>
      </c>
      <c r="I522" s="75">
        <f>('Old Data'!$L518+'Old Data'!$M518)-('Old Data'!$V518+'Old Data'!$W518)</f>
        <v>-9</v>
      </c>
      <c r="J522" s="72">
        <f>VLOOKUP('Old Data'!$F518,$Z$6:$AB$135,2,FALSE)+VLOOKUP('Old Data'!$P518,$Z$6:$AB$135,3,FALSE)+$D$2</f>
        <v>28.307811758605396</v>
      </c>
      <c r="K522" s="72">
        <f>VLOOKUP('Old Data'!$P518,$Z$6:$AB$135,2,FALSE)+VLOOKUP('Old Data'!$F518,$Z$6:$AB$135,3,FALSE)+$D$2</f>
        <v>43.535710134119007</v>
      </c>
      <c r="L522" s="74">
        <f>('Old Data'!$L518+'Old Data'!$M518-$J522)^2+('Old Data'!$V518+'Old Data'!$W518-$K522)^2</f>
        <v>626.42886803224496</v>
      </c>
      <c r="M522" s="75">
        <f>'Old Data'!$N518-'Old Data'!$X518</f>
        <v>-1</v>
      </c>
      <c r="N522" s="72">
        <f>VLOOKUP('Old Data'!$F518,$AD$6:$AF$135,2,FALSE)+VLOOKUP('Old Data'!$P518,$AD$6:$AF$135,3,FALSE)+$E$2</f>
        <v>1.9197005338004791</v>
      </c>
      <c r="O522" s="72">
        <f>VLOOKUP('Old Data'!$P518,$AD$6:$AF$135,2,FALSE)+VLOOKUP('Old Data'!$F518,$AD$6:$AF$135,3,FALSE)+$E$2</f>
        <v>0.60386442634614312</v>
      </c>
      <c r="P522" s="73">
        <f>('Old Data'!$N518-$N522)^2+('Old Data'!$X518-$O522)^2</f>
        <v>3.8421735321879145</v>
      </c>
      <c r="Q522" s="62"/>
      <c r="R522" s="3"/>
      <c r="S522" s="3"/>
      <c r="T522" s="3"/>
      <c r="V522" s="3"/>
      <c r="W522" s="3"/>
      <c r="X522" s="3"/>
      <c r="Z522" s="3"/>
      <c r="AA522" s="3"/>
      <c r="AB522" s="3"/>
      <c r="AC522" s="3"/>
      <c r="AD522" s="3"/>
      <c r="AE522" s="3"/>
      <c r="AF522" s="3"/>
      <c r="AG522" s="3"/>
      <c r="AH522" s="37"/>
      <c r="AI522" s="1"/>
      <c r="AK522" s="10"/>
      <c r="AL522" s="10"/>
      <c r="AM522" s="10"/>
      <c r="AN522" s="11"/>
      <c r="AO522" s="11"/>
      <c r="AP522" s="11"/>
      <c r="AQ522" s="36"/>
      <c r="AR522" s="11"/>
      <c r="AS522" s="11"/>
      <c r="AT522" s="11"/>
      <c r="AU522" s="12"/>
      <c r="AV522" s="11"/>
      <c r="AW522" s="11"/>
      <c r="AX522" s="15"/>
      <c r="AY522" s="15"/>
      <c r="AZ522" s="15"/>
      <c r="BA522" s="15"/>
      <c r="BB522" s="15"/>
      <c r="BC522" s="15"/>
      <c r="BD522" s="15"/>
      <c r="BE522" s="12"/>
      <c r="BF522" s="11"/>
      <c r="BG522" s="11"/>
      <c r="BH522" s="10"/>
      <c r="BI522" s="10"/>
      <c r="BJ522" s="10"/>
      <c r="BK522" s="23"/>
      <c r="BL522" s="23"/>
      <c r="BM522" s="23"/>
      <c r="BN522" s="23"/>
      <c r="BO522" s="23"/>
      <c r="BP522" s="23"/>
      <c r="BQ522" s="23"/>
      <c r="BR522" s="10"/>
      <c r="BS522" s="16"/>
      <c r="BT522" s="16"/>
      <c r="BU522" s="16"/>
      <c r="BV522" s="16"/>
      <c r="BW522" s="11"/>
      <c r="BX522" s="16"/>
      <c r="BY522" s="16"/>
      <c r="BZ522" s="17"/>
      <c r="CA522" s="18"/>
      <c r="CB522" s="18"/>
      <c r="CC522" s="18"/>
      <c r="CD522" s="18"/>
      <c r="CE522" s="18"/>
      <c r="CF522" s="18"/>
      <c r="CG522" s="19"/>
      <c r="CH522" s="15"/>
      <c r="CI522" s="17"/>
      <c r="CJ522" s="10"/>
      <c r="CK522" s="10"/>
      <c r="CL522" s="10"/>
      <c r="CM522" s="17"/>
      <c r="CN522" s="17"/>
      <c r="CO522" s="10"/>
      <c r="CP522" s="10"/>
      <c r="CQ522" s="10"/>
      <c r="CR522" s="10"/>
      <c r="CS522" s="10"/>
      <c r="CT522" s="10"/>
      <c r="CU522" s="10"/>
      <c r="CV522" s="10"/>
      <c r="CW522" s="10"/>
      <c r="CX522" s="10"/>
      <c r="CY522" s="10"/>
      <c r="CZ522" s="10"/>
      <c r="DA522" s="34"/>
      <c r="DB522" s="34"/>
      <c r="DC522" s="34"/>
      <c r="DD522" s="34"/>
      <c r="DE522" s="34"/>
      <c r="DF522" s="34"/>
      <c r="DG522" s="34"/>
      <c r="DH522" s="34"/>
      <c r="DI522" s="34"/>
      <c r="DJ522" s="34"/>
      <c r="DK522" s="34"/>
      <c r="DL522" s="34"/>
      <c r="DM522" s="34"/>
      <c r="DN522" s="34"/>
      <c r="DO522" s="34"/>
      <c r="DP522" s="34"/>
      <c r="DQ522" s="34"/>
      <c r="DR522" s="34"/>
      <c r="DS522" s="34"/>
      <c r="DT522" s="34"/>
      <c r="DU522" s="34"/>
      <c r="DV522" s="34"/>
      <c r="DW522" s="34"/>
      <c r="DX522" s="34"/>
      <c r="DY522" s="34"/>
      <c r="DZ522" s="34"/>
      <c r="EA522" s="34"/>
      <c r="EB522" s="34"/>
      <c r="EC522" s="34"/>
      <c r="ED522" s="34"/>
      <c r="EE522" s="34"/>
    </row>
    <row r="523" spans="1:135" customFormat="1">
      <c r="A523" s="71">
        <f>'Old Data'!$I519-'Old Data'!$S519</f>
        <v>-122</v>
      </c>
      <c r="B523" s="72">
        <f>VLOOKUP('Old Data'!$F519,$R$6:$T$135,2,FALSE)+VLOOKUP('Old Data'!$P519,$R$6:$T$135,3,FALSE)+$B$2</f>
        <v>56.486237971549599</v>
      </c>
      <c r="C523" s="72">
        <f>VLOOKUP('Old Data'!$P519,$R$6:$T$135,2,FALSE)+VLOOKUP('Old Data'!$F519,$R$6:$T$135,3,FALSE)+$B$2</f>
        <v>209.12345763268058</v>
      </c>
      <c r="D523" s="74">
        <f>('Old Data'!$I519-$B523)^2+('Old Data'!$S519-$C523)^2</f>
        <v>5917.9874402029345</v>
      </c>
      <c r="E523" s="75">
        <f>'Old Data'!$K519-'Old Data'!$U519</f>
        <v>-137</v>
      </c>
      <c r="F523" s="72">
        <f>VLOOKUP('Old Data'!$F519,$V$6:$X$135,2,FALSE)+VLOOKUP('Old Data'!$P519,$V$6:$X$135,3,FALSE)+$C$2</f>
        <v>131.82980788090481</v>
      </c>
      <c r="G523" s="72">
        <f>VLOOKUP('Old Data'!$P519,$V$6:$X$135,2,FALSE)+VLOOKUP('Old Data'!$F519,$V$6:$X$135,3,FALSE)+$C$2</f>
        <v>306.75274739708061</v>
      </c>
      <c r="H523" s="74">
        <f>('Old Data'!$K519-$F523)^2+('Old Data'!$U519-$G523)^2</f>
        <v>1181.6851424821702</v>
      </c>
      <c r="I523" s="75">
        <f>('Old Data'!$L519+'Old Data'!$M519)-('Old Data'!$V519+'Old Data'!$W519)</f>
        <v>12</v>
      </c>
      <c r="J523" s="72">
        <f>VLOOKUP('Old Data'!$F519,$Z$6:$AB$135,2,FALSE)+VLOOKUP('Old Data'!$P519,$Z$6:$AB$135,3,FALSE)+$D$2</f>
        <v>23.030779073375577</v>
      </c>
      <c r="K523" s="72">
        <f>VLOOKUP('Old Data'!$P519,$Z$6:$AB$135,2,FALSE)+VLOOKUP('Old Data'!$F519,$Z$6:$AB$135,3,FALSE)+$D$2</f>
        <v>35.480862325132449</v>
      </c>
      <c r="L523" s="74">
        <f>('Old Data'!$L519+'Old Data'!$M519-$J523)^2+('Old Data'!$V519+'Old Data'!$W519-$K523)^2</f>
        <v>309.08073956328667</v>
      </c>
      <c r="M523" s="75">
        <f>'Old Data'!$N519-'Old Data'!$X519</f>
        <v>-4</v>
      </c>
      <c r="N523" s="72">
        <f>VLOOKUP('Old Data'!$F519,$AD$6:$AF$135,2,FALSE)+VLOOKUP('Old Data'!$P519,$AD$6:$AF$135,3,FALSE)+$E$2</f>
        <v>0.32659890773164313</v>
      </c>
      <c r="O523" s="72">
        <f>VLOOKUP('Old Data'!$P519,$AD$6:$AF$135,2,FALSE)+VLOOKUP('Old Data'!$F519,$AD$6:$AF$135,3,FALSE)+$E$2</f>
        <v>2.6237072085215281</v>
      </c>
      <c r="P523" s="73">
        <f>('Old Data'!$N519-$N523)^2+('Old Data'!$X519-$O523)^2</f>
        <v>2.0008486944071069</v>
      </c>
      <c r="Q523" s="62"/>
      <c r="R523" s="3"/>
      <c r="S523" s="3"/>
      <c r="T523" s="3"/>
      <c r="V523" s="3"/>
      <c r="W523" s="3"/>
      <c r="X523" s="3"/>
      <c r="Z523" s="3"/>
      <c r="AA523" s="3"/>
      <c r="AB523" s="3"/>
      <c r="AC523" s="3"/>
      <c r="AD523" s="3"/>
      <c r="AE523" s="3"/>
      <c r="AF523" s="3"/>
      <c r="AG523" s="3"/>
      <c r="AH523" s="37"/>
      <c r="AI523" s="1"/>
      <c r="AK523" s="10"/>
      <c r="AL523" s="10"/>
      <c r="AM523" s="10"/>
      <c r="AN523" s="11"/>
      <c r="AO523" s="11"/>
      <c r="AP523" s="11"/>
      <c r="AQ523" s="36"/>
      <c r="AR523" s="11"/>
      <c r="AS523" s="11"/>
      <c r="AT523" s="11"/>
      <c r="AU523" s="12"/>
      <c r="AV523" s="11"/>
      <c r="AW523" s="11"/>
      <c r="AX523" s="15"/>
      <c r="AY523" s="15"/>
      <c r="AZ523" s="15"/>
      <c r="BA523" s="15"/>
      <c r="BB523" s="15"/>
      <c r="BC523" s="15"/>
      <c r="BD523" s="15"/>
      <c r="BE523" s="12"/>
      <c r="BF523" s="11"/>
      <c r="BG523" s="11"/>
      <c r="BH523" s="10"/>
      <c r="BI523" s="10"/>
      <c r="BJ523" s="10"/>
      <c r="BK523" s="23"/>
      <c r="BL523" s="23"/>
      <c r="BM523" s="23"/>
      <c r="BN523" s="23"/>
      <c r="BO523" s="23"/>
      <c r="BP523" s="23"/>
      <c r="BQ523" s="23"/>
      <c r="BR523" s="10"/>
      <c r="BS523" s="16"/>
      <c r="BT523" s="16"/>
      <c r="BU523" s="16"/>
      <c r="BV523" s="16"/>
      <c r="BW523" s="11"/>
      <c r="BX523" s="16"/>
      <c r="BY523" s="16"/>
      <c r="BZ523" s="17"/>
      <c r="CA523" s="18"/>
      <c r="CB523" s="18"/>
      <c r="CC523" s="18"/>
      <c r="CD523" s="18"/>
      <c r="CE523" s="18"/>
      <c r="CF523" s="18"/>
      <c r="CG523" s="19"/>
      <c r="CH523" s="15"/>
      <c r="CI523" s="17"/>
      <c r="CJ523" s="10"/>
      <c r="CK523" s="10"/>
      <c r="CL523" s="10"/>
      <c r="CM523" s="17"/>
      <c r="CN523" s="17"/>
      <c r="CO523" s="10"/>
      <c r="CP523" s="10"/>
      <c r="CQ523" s="10"/>
      <c r="CR523" s="10"/>
      <c r="CS523" s="10"/>
      <c r="CT523" s="10"/>
      <c r="CU523" s="10"/>
      <c r="CV523" s="10"/>
      <c r="CW523" s="10"/>
      <c r="CX523" s="10"/>
      <c r="CY523" s="10"/>
      <c r="CZ523" s="10"/>
      <c r="DA523" s="34"/>
      <c r="DB523" s="34"/>
      <c r="DC523" s="34"/>
      <c r="DD523" s="34"/>
      <c r="DE523" s="34"/>
      <c r="DF523" s="34"/>
      <c r="DG523" s="34"/>
      <c r="DH523" s="34"/>
      <c r="DI523" s="34"/>
      <c r="DJ523" s="34"/>
      <c r="DK523" s="34"/>
      <c r="DL523" s="34"/>
      <c r="DM523" s="34"/>
      <c r="DN523" s="34"/>
      <c r="DO523" s="34"/>
      <c r="DP523" s="34"/>
      <c r="DQ523" s="34"/>
      <c r="DR523" s="34"/>
      <c r="DS523" s="34"/>
      <c r="DT523" s="34"/>
      <c r="DU523" s="34"/>
      <c r="DV523" s="34"/>
      <c r="DW523" s="34"/>
      <c r="DX523" s="34"/>
      <c r="DY523" s="34"/>
      <c r="DZ523" s="34"/>
      <c r="EA523" s="34"/>
      <c r="EB523" s="34"/>
      <c r="EC523" s="34"/>
      <c r="ED523" s="34"/>
      <c r="EE523" s="34"/>
    </row>
    <row r="524" spans="1:135" customFormat="1">
      <c r="A524" s="71">
        <f>'Old Data'!$I520-'Old Data'!$S520</f>
        <v>177</v>
      </c>
      <c r="B524" s="72">
        <f>VLOOKUP('Old Data'!$F520,$R$6:$T$135,2,FALSE)+VLOOKUP('Old Data'!$P520,$R$6:$T$135,3,FALSE)+$B$2</f>
        <v>198.5310102675416</v>
      </c>
      <c r="C524" s="72">
        <f>VLOOKUP('Old Data'!$P520,$R$6:$T$135,2,FALSE)+VLOOKUP('Old Data'!$F520,$R$6:$T$135,3,FALSE)+$B$2</f>
        <v>73.762236523335304</v>
      </c>
      <c r="D524" s="74">
        <f>('Old Data'!$I520-$B524)^2+('Old Data'!$S520-$C524)^2</f>
        <v>2753.05141501566</v>
      </c>
      <c r="E524" s="75">
        <f>'Old Data'!$K520-'Old Data'!$U520</f>
        <v>-87</v>
      </c>
      <c r="F524" s="72">
        <f>VLOOKUP('Old Data'!$F520,$V$6:$X$135,2,FALSE)+VLOOKUP('Old Data'!$P520,$V$6:$X$135,3,FALSE)+$C$2</f>
        <v>153.7198915762115</v>
      </c>
      <c r="G524" s="72">
        <f>VLOOKUP('Old Data'!$P520,$V$6:$X$135,2,FALSE)+VLOOKUP('Old Data'!$F520,$V$6:$X$135,3,FALSE)+$C$2</f>
        <v>279.64198975803441</v>
      </c>
      <c r="H524" s="74">
        <f>('Old Data'!$K520-$F524)^2+('Old Data'!$U520-$G524)^2</f>
        <v>991.56895313435928</v>
      </c>
      <c r="I524" s="75">
        <f>('Old Data'!$L520+'Old Data'!$M520)-('Old Data'!$V520+'Old Data'!$W520)</f>
        <v>14</v>
      </c>
      <c r="J524" s="72">
        <f>VLOOKUP('Old Data'!$F520,$Z$6:$AB$135,2,FALSE)+VLOOKUP('Old Data'!$P520,$Z$6:$AB$135,3,FALSE)+$D$2</f>
        <v>18.090669784932999</v>
      </c>
      <c r="K524" s="72">
        <f>VLOOKUP('Old Data'!$P520,$Z$6:$AB$135,2,FALSE)+VLOOKUP('Old Data'!$F520,$Z$6:$AB$135,3,FALSE)+$D$2</f>
        <v>47.619671702241874</v>
      </c>
      <c r="L524" s="74">
        <f>('Old Data'!$L520+'Old Data'!$M520-$J524)^2+('Old Data'!$V520+'Old Data'!$W520-$K524)^2</f>
        <v>994.53236985731451</v>
      </c>
      <c r="M524" s="75">
        <f>'Old Data'!$N520-'Old Data'!$X520</f>
        <v>0</v>
      </c>
      <c r="N524" s="72">
        <f>VLOOKUP('Old Data'!$F520,$AD$6:$AF$135,2,FALSE)+VLOOKUP('Old Data'!$P520,$AD$6:$AF$135,3,FALSE)+$E$2</f>
        <v>1.4702262529154531</v>
      </c>
      <c r="O524" s="72">
        <f>VLOOKUP('Old Data'!$P520,$AD$6:$AF$135,2,FALSE)+VLOOKUP('Old Data'!$F520,$AD$6:$AF$135,3,FALSE)+$E$2</f>
        <v>1.6950546798824693</v>
      </c>
      <c r="P524" s="73">
        <f>('Old Data'!$N520-$N524)^2+('Old Data'!$X520-$O524)^2</f>
        <v>0.37365187136158479</v>
      </c>
      <c r="Q524" s="62"/>
      <c r="R524" s="3"/>
      <c r="S524" s="3"/>
      <c r="T524" s="3"/>
      <c r="V524" s="3"/>
      <c r="W524" s="3"/>
      <c r="X524" s="3"/>
      <c r="Z524" s="3"/>
      <c r="AA524" s="3"/>
      <c r="AB524" s="3"/>
      <c r="AC524" s="3"/>
      <c r="AD524" s="3"/>
      <c r="AE524" s="3"/>
      <c r="AF524" s="3"/>
      <c r="AG524" s="3"/>
      <c r="AH524" s="37"/>
      <c r="AI524" s="1"/>
      <c r="AK524" s="10"/>
      <c r="AL524" s="10"/>
      <c r="AM524" s="10"/>
      <c r="AN524" s="11"/>
      <c r="AO524" s="11"/>
      <c r="AP524" s="11"/>
      <c r="AQ524" s="36"/>
      <c r="AR524" s="11"/>
      <c r="AS524" s="11"/>
      <c r="AT524" s="11"/>
      <c r="AU524" s="12"/>
      <c r="AV524" s="11"/>
      <c r="AW524" s="11"/>
      <c r="AX524" s="15"/>
      <c r="AY524" s="15"/>
      <c r="AZ524" s="15"/>
      <c r="BA524" s="15"/>
      <c r="BB524" s="15"/>
      <c r="BC524" s="15"/>
      <c r="BD524" s="15"/>
      <c r="BE524" s="12"/>
      <c r="BF524" s="11"/>
      <c r="BG524" s="11"/>
      <c r="BH524" s="10"/>
      <c r="BI524" s="10"/>
      <c r="BJ524" s="10"/>
      <c r="BK524" s="23"/>
      <c r="BL524" s="23"/>
      <c r="BM524" s="23"/>
      <c r="BN524" s="23"/>
      <c r="BO524" s="23"/>
      <c r="BP524" s="23"/>
      <c r="BQ524" s="23"/>
      <c r="BR524" s="10"/>
      <c r="BS524" s="16"/>
      <c r="BT524" s="16"/>
      <c r="BU524" s="16"/>
      <c r="BV524" s="16"/>
      <c r="BW524" s="11"/>
      <c r="BX524" s="16"/>
      <c r="BY524" s="16"/>
      <c r="BZ524" s="17"/>
      <c r="CA524" s="18"/>
      <c r="CB524" s="18"/>
      <c r="CC524" s="18"/>
      <c r="CD524" s="18"/>
      <c r="CE524" s="18"/>
      <c r="CF524" s="18"/>
      <c r="CG524" s="19"/>
      <c r="CH524" s="15"/>
      <c r="CI524" s="17"/>
      <c r="CJ524" s="10"/>
      <c r="CK524" s="10"/>
      <c r="CL524" s="10"/>
      <c r="CM524" s="17"/>
      <c r="CN524" s="17"/>
      <c r="CO524" s="10"/>
      <c r="CP524" s="10"/>
      <c r="CQ524" s="10"/>
      <c r="CR524" s="10"/>
      <c r="CS524" s="10"/>
      <c r="CT524" s="10"/>
      <c r="CU524" s="10"/>
      <c r="CV524" s="10"/>
      <c r="CW524" s="10"/>
      <c r="CX524" s="10"/>
      <c r="CY524" s="10"/>
      <c r="CZ524" s="10"/>
      <c r="DA524" s="34"/>
      <c r="DB524" s="34"/>
      <c r="DC524" s="34"/>
      <c r="DD524" s="34"/>
      <c r="DE524" s="34"/>
      <c r="DF524" s="34"/>
      <c r="DG524" s="34"/>
      <c r="DH524" s="34"/>
      <c r="DI524" s="34"/>
      <c r="DJ524" s="34"/>
      <c r="DK524" s="34"/>
      <c r="DL524" s="34"/>
      <c r="DM524" s="34"/>
      <c r="DN524" s="34"/>
      <c r="DO524" s="34"/>
      <c r="DP524" s="34"/>
      <c r="DQ524" s="34"/>
      <c r="DR524" s="34"/>
      <c r="DS524" s="34"/>
      <c r="DT524" s="34"/>
      <c r="DU524" s="34"/>
      <c r="DV524" s="34"/>
      <c r="DW524" s="34"/>
      <c r="DX524" s="34"/>
      <c r="DY524" s="34"/>
      <c r="DZ524" s="34"/>
      <c r="EA524" s="34"/>
      <c r="EB524" s="34"/>
      <c r="EC524" s="34"/>
      <c r="ED524" s="34"/>
      <c r="EE524" s="34"/>
    </row>
    <row r="525" spans="1:135" customFormat="1">
      <c r="A525" s="71">
        <f>'Old Data'!$I521-'Old Data'!$S521</f>
        <v>321</v>
      </c>
      <c r="B525" s="72">
        <f>VLOOKUP('Old Data'!$F521,$R$6:$T$135,2,FALSE)+VLOOKUP('Old Data'!$P521,$R$6:$T$135,3,FALSE)+$B$2</f>
        <v>321.81519166894236</v>
      </c>
      <c r="C525" s="72">
        <f>VLOOKUP('Old Data'!$P521,$R$6:$T$135,2,FALSE)+VLOOKUP('Old Data'!$F521,$R$6:$T$135,3,FALSE)+$B$2</f>
        <v>93.297807882559098</v>
      </c>
      <c r="D525" s="74">
        <f>('Old Data'!$I521-$B525)^2+('Old Data'!$S521-$C525)^2</f>
        <v>4723.1335487618389</v>
      </c>
      <c r="E525" s="75">
        <f>'Old Data'!$K521-'Old Data'!$U521</f>
        <v>245</v>
      </c>
      <c r="F525" s="72">
        <f>VLOOKUP('Old Data'!$F521,$V$6:$X$135,2,FALSE)+VLOOKUP('Old Data'!$P521,$V$6:$X$135,3,FALSE)+$C$2</f>
        <v>317.01465994581821</v>
      </c>
      <c r="G525" s="72">
        <f>VLOOKUP('Old Data'!$P521,$V$6:$X$135,2,FALSE)+VLOOKUP('Old Data'!$F521,$V$6:$X$135,3,FALSE)+$C$2</f>
        <v>111.6473831849392</v>
      </c>
      <c r="H525" s="74">
        <f>('Old Data'!$K521-$F525)^2+('Old Data'!$U521-$G525)^2</f>
        <v>1225.2947770198371</v>
      </c>
      <c r="I525" s="75">
        <f>('Old Data'!$L521+'Old Data'!$M521)-('Old Data'!$V521+'Old Data'!$W521)</f>
        <v>-79</v>
      </c>
      <c r="J525" s="72">
        <f>VLOOKUP('Old Data'!$F521,$Z$6:$AB$135,2,FALSE)+VLOOKUP('Old Data'!$P521,$Z$6:$AB$135,3,FALSE)+$D$2</f>
        <v>66.341894574371594</v>
      </c>
      <c r="K525" s="72">
        <f>VLOOKUP('Old Data'!$P521,$Z$6:$AB$135,2,FALSE)+VLOOKUP('Old Data'!$F521,$Z$6:$AB$135,3,FALSE)+$D$2</f>
        <v>99.44745729033761</v>
      </c>
      <c r="L525" s="74">
        <f>('Old Data'!$L521+'Old Data'!$M521-$J525)^2+('Old Data'!$V521+'Old Data'!$W521-$K525)^2</f>
        <v>4515.1556683566505</v>
      </c>
      <c r="M525" s="75">
        <f>'Old Data'!$N521-'Old Data'!$X521</f>
        <v>1</v>
      </c>
      <c r="N525" s="72">
        <f>VLOOKUP('Old Data'!$F521,$AD$6:$AF$135,2,FALSE)+VLOOKUP('Old Data'!$P521,$AD$6:$AF$135,3,FALSE)+$E$2</f>
        <v>2.1863424424795102</v>
      </c>
      <c r="O525" s="72">
        <f>VLOOKUP('Old Data'!$P521,$AD$6:$AF$135,2,FALSE)+VLOOKUP('Old Data'!$F521,$AD$6:$AF$135,3,FALSE)+$E$2</f>
        <v>0.8784294057177533</v>
      </c>
      <c r="P525" s="73">
        <f>('Old Data'!$N521-$N525)^2+('Old Data'!$X521-$O525)^2</f>
        <v>4.9502915263368183E-2</v>
      </c>
      <c r="Q525" s="62"/>
      <c r="R525" s="3"/>
      <c r="S525" s="3"/>
      <c r="T525" s="3"/>
      <c r="V525" s="3"/>
      <c r="W525" s="3"/>
      <c r="X525" s="3"/>
      <c r="Z525" s="3"/>
      <c r="AA525" s="3"/>
      <c r="AB525" s="3"/>
      <c r="AC525" s="3"/>
      <c r="AD525" s="3"/>
      <c r="AE525" s="3"/>
      <c r="AF525" s="3"/>
      <c r="AG525" s="3"/>
      <c r="AH525" s="37"/>
      <c r="AI525" s="1"/>
      <c r="AK525" s="10"/>
      <c r="AL525" s="10"/>
      <c r="AM525" s="10"/>
      <c r="AN525" s="11"/>
      <c r="AO525" s="11"/>
      <c r="AP525" s="11"/>
      <c r="AQ525" s="36"/>
      <c r="AR525" s="11"/>
      <c r="AS525" s="11"/>
      <c r="AT525" s="11"/>
      <c r="AU525" s="12"/>
      <c r="AV525" s="11"/>
      <c r="AW525" s="11"/>
      <c r="AX525" s="15"/>
      <c r="AY525" s="15"/>
      <c r="AZ525" s="15"/>
      <c r="BA525" s="15"/>
      <c r="BB525" s="15"/>
      <c r="BC525" s="15"/>
      <c r="BD525" s="15"/>
      <c r="BE525" s="12"/>
      <c r="BF525" s="11"/>
      <c r="BG525" s="11"/>
      <c r="BH525" s="10"/>
      <c r="BI525" s="10"/>
      <c r="BJ525" s="10"/>
      <c r="BK525" s="23"/>
      <c r="BL525" s="23"/>
      <c r="BM525" s="23"/>
      <c r="BN525" s="23"/>
      <c r="BO525" s="23"/>
      <c r="BP525" s="23"/>
      <c r="BQ525" s="23"/>
      <c r="BR525" s="10"/>
      <c r="BS525" s="16"/>
      <c r="BT525" s="16"/>
      <c r="BU525" s="16"/>
      <c r="BV525" s="16"/>
      <c r="BW525" s="11"/>
      <c r="BX525" s="16"/>
      <c r="BY525" s="16"/>
      <c r="BZ525" s="17"/>
      <c r="CA525" s="18"/>
      <c r="CB525" s="18"/>
      <c r="CC525" s="18"/>
      <c r="CD525" s="18"/>
      <c r="CE525" s="18"/>
      <c r="CF525" s="18"/>
      <c r="CG525" s="19"/>
      <c r="CH525" s="15"/>
      <c r="CI525" s="17"/>
      <c r="CJ525" s="10"/>
      <c r="CK525" s="10"/>
      <c r="CL525" s="10"/>
      <c r="CM525" s="17"/>
      <c r="CN525" s="17"/>
      <c r="CO525" s="10"/>
      <c r="CP525" s="10"/>
      <c r="CQ525" s="10"/>
      <c r="CR525" s="10"/>
      <c r="CS525" s="10"/>
      <c r="CT525" s="10"/>
      <c r="CU525" s="10"/>
      <c r="CV525" s="10"/>
      <c r="CW525" s="10"/>
      <c r="CX525" s="10"/>
      <c r="CY525" s="10"/>
      <c r="CZ525" s="10"/>
      <c r="DA525" s="34"/>
      <c r="DB525" s="34"/>
      <c r="DC525" s="34"/>
      <c r="DD525" s="34"/>
      <c r="DE525" s="34"/>
      <c r="DF525" s="34"/>
      <c r="DG525" s="34"/>
      <c r="DH525" s="34"/>
      <c r="DI525" s="34"/>
      <c r="DJ525" s="34"/>
      <c r="DK525" s="34"/>
      <c r="DL525" s="34"/>
      <c r="DM525" s="34"/>
      <c r="DN525" s="34"/>
      <c r="DO525" s="34"/>
      <c r="DP525" s="34"/>
      <c r="DQ525" s="34"/>
      <c r="DR525" s="34"/>
      <c r="DS525" s="34"/>
      <c r="DT525" s="34"/>
      <c r="DU525" s="34"/>
      <c r="DV525" s="34"/>
      <c r="DW525" s="34"/>
      <c r="DX525" s="34"/>
      <c r="DY525" s="34"/>
      <c r="DZ525" s="34"/>
      <c r="EA525" s="34"/>
      <c r="EB525" s="34"/>
      <c r="EC525" s="34"/>
      <c r="ED525" s="34"/>
      <c r="EE525" s="34"/>
    </row>
    <row r="526" spans="1:135" customFormat="1">
      <c r="A526" s="71">
        <f>'Old Data'!$I522-'Old Data'!$S522</f>
        <v>31</v>
      </c>
      <c r="B526" s="72">
        <f>VLOOKUP('Old Data'!$F522,$R$6:$T$135,2,FALSE)+VLOOKUP('Old Data'!$P522,$R$6:$T$135,3,FALSE)+$B$2</f>
        <v>205.2976929057416</v>
      </c>
      <c r="C526" s="72">
        <f>VLOOKUP('Old Data'!$P522,$R$6:$T$135,2,FALSE)+VLOOKUP('Old Data'!$F522,$R$6:$T$135,3,FALSE)+$B$2</f>
        <v>120.41220801093462</v>
      </c>
      <c r="D526" s="74">
        <f>('Old Data'!$I522-$B526)^2+('Old Data'!$S522-$C526)^2</f>
        <v>6381.084629162362</v>
      </c>
      <c r="E526" s="75">
        <f>'Old Data'!$K522-'Old Data'!$U522</f>
        <v>-9</v>
      </c>
      <c r="F526" s="72">
        <f>VLOOKUP('Old Data'!$F522,$V$6:$X$135,2,FALSE)+VLOOKUP('Old Data'!$P522,$V$6:$X$135,3,FALSE)+$C$2</f>
        <v>269.37587752126512</v>
      </c>
      <c r="G526" s="72">
        <f>VLOOKUP('Old Data'!$P522,$V$6:$X$135,2,FALSE)+VLOOKUP('Old Data'!$F522,$V$6:$X$135,3,FALSE)+$C$2</f>
        <v>282.56914794182291</v>
      </c>
      <c r="H526" s="74">
        <f>('Old Data'!$K522-$F526)^2+('Old Data'!$U522-$G526)^2</f>
        <v>13.458193120552668</v>
      </c>
      <c r="I526" s="75">
        <f>('Old Data'!$L522+'Old Data'!$M522)-('Old Data'!$V522+'Old Data'!$W522)</f>
        <v>45</v>
      </c>
      <c r="J526" s="72">
        <f>VLOOKUP('Old Data'!$F522,$Z$6:$AB$135,2,FALSE)+VLOOKUP('Old Data'!$P522,$Z$6:$AB$135,3,FALSE)+$D$2</f>
        <v>104.45575660125164</v>
      </c>
      <c r="K526" s="72">
        <f>VLOOKUP('Old Data'!$P522,$Z$6:$AB$135,2,FALSE)+VLOOKUP('Old Data'!$F522,$Z$6:$AB$135,3,FALSE)+$D$2</f>
        <v>50.067394884797238</v>
      </c>
      <c r="L526" s="74">
        <f>('Old Data'!$L522+'Old Data'!$M522-$J526)^2+('Old Data'!$V522+'Old Data'!$W522-$K526)^2</f>
        <v>946.21199769806935</v>
      </c>
      <c r="M526" s="75">
        <f>'Old Data'!$N522-'Old Data'!$X522</f>
        <v>-2</v>
      </c>
      <c r="N526" s="72">
        <f>VLOOKUP('Old Data'!$F522,$AD$6:$AF$135,2,FALSE)+VLOOKUP('Old Data'!$P522,$AD$6:$AF$135,3,FALSE)+$E$2</f>
        <v>0.25534686662541217</v>
      </c>
      <c r="O526" s="72">
        <f>VLOOKUP('Old Data'!$P522,$AD$6:$AF$135,2,FALSE)+VLOOKUP('Old Data'!$F522,$AD$6:$AF$135,3,FALSE)+$E$2</f>
        <v>1.222062886043235</v>
      </c>
      <c r="P526" s="73">
        <f>('Old Data'!$N522-$N526)^2+('Old Data'!$X522-$O526)^2</f>
        <v>0.67038817556679686</v>
      </c>
      <c r="Q526" s="62"/>
      <c r="R526" s="3"/>
      <c r="S526" s="3"/>
      <c r="T526" s="3"/>
      <c r="V526" s="3"/>
      <c r="W526" s="3"/>
      <c r="X526" s="3"/>
      <c r="Z526" s="3"/>
      <c r="AA526" s="3"/>
      <c r="AB526" s="3"/>
      <c r="AC526" s="3"/>
      <c r="AD526" s="3"/>
      <c r="AE526" s="3"/>
      <c r="AF526" s="3"/>
      <c r="AG526" s="3"/>
      <c r="AH526" s="37"/>
      <c r="AI526" s="1"/>
      <c r="AK526" s="10"/>
      <c r="AL526" s="10"/>
      <c r="AM526" s="10"/>
      <c r="AN526" s="11"/>
      <c r="AO526" s="11"/>
      <c r="AP526" s="11"/>
      <c r="AQ526" s="36"/>
      <c r="AR526" s="11"/>
      <c r="AS526" s="11"/>
      <c r="AT526" s="11"/>
      <c r="AU526" s="12"/>
      <c r="AV526" s="11"/>
      <c r="AW526" s="11"/>
      <c r="AX526" s="15"/>
      <c r="AY526" s="15"/>
      <c r="AZ526" s="15"/>
      <c r="BA526" s="15"/>
      <c r="BB526" s="15"/>
      <c r="BC526" s="15"/>
      <c r="BD526" s="15"/>
      <c r="BE526" s="12"/>
      <c r="BF526" s="11"/>
      <c r="BG526" s="11"/>
      <c r="BH526" s="10"/>
      <c r="BI526" s="10"/>
      <c r="BJ526" s="10"/>
      <c r="BK526" s="23"/>
      <c r="BL526" s="23"/>
      <c r="BM526" s="23"/>
      <c r="BN526" s="23"/>
      <c r="BO526" s="23"/>
      <c r="BP526" s="23"/>
      <c r="BQ526" s="23"/>
      <c r="BR526" s="10"/>
      <c r="BS526" s="16"/>
      <c r="BT526" s="16"/>
      <c r="BU526" s="16"/>
      <c r="BV526" s="16"/>
      <c r="BW526" s="11"/>
      <c r="BX526" s="16"/>
      <c r="BY526" s="16"/>
      <c r="BZ526" s="17"/>
      <c r="CA526" s="18"/>
      <c r="CB526" s="18"/>
      <c r="CC526" s="18"/>
      <c r="CD526" s="18"/>
      <c r="CE526" s="18"/>
      <c r="CF526" s="18"/>
      <c r="CG526" s="19"/>
      <c r="CH526" s="15"/>
      <c r="CI526" s="17"/>
      <c r="CJ526" s="10"/>
      <c r="CK526" s="10"/>
      <c r="CL526" s="10"/>
      <c r="CM526" s="17"/>
      <c r="CN526" s="17"/>
      <c r="CO526" s="10"/>
      <c r="CP526" s="10"/>
      <c r="CQ526" s="10"/>
      <c r="CR526" s="10"/>
      <c r="CS526" s="10"/>
      <c r="CT526" s="10"/>
      <c r="CU526" s="10"/>
      <c r="CV526" s="10"/>
      <c r="CW526" s="10"/>
      <c r="CX526" s="10"/>
      <c r="CY526" s="10"/>
      <c r="CZ526" s="10"/>
      <c r="DA526" s="34"/>
      <c r="DB526" s="34"/>
      <c r="DC526" s="34"/>
      <c r="DD526" s="34"/>
      <c r="DE526" s="34"/>
      <c r="DF526" s="34"/>
      <c r="DG526" s="34"/>
      <c r="DH526" s="34"/>
      <c r="DI526" s="34"/>
      <c r="DJ526" s="34"/>
      <c r="DK526" s="34"/>
      <c r="DL526" s="34"/>
      <c r="DM526" s="34"/>
      <c r="DN526" s="34"/>
      <c r="DO526" s="34"/>
      <c r="DP526" s="34"/>
      <c r="DQ526" s="34"/>
      <c r="DR526" s="34"/>
      <c r="DS526" s="34"/>
      <c r="DT526" s="34"/>
      <c r="DU526" s="34"/>
      <c r="DV526" s="34"/>
      <c r="DW526" s="34"/>
      <c r="DX526" s="34"/>
      <c r="DY526" s="34"/>
      <c r="DZ526" s="34"/>
      <c r="EA526" s="34"/>
      <c r="EB526" s="34"/>
      <c r="EC526" s="34"/>
      <c r="ED526" s="34"/>
      <c r="EE526" s="34"/>
    </row>
    <row r="527" spans="1:135" customFormat="1">
      <c r="A527" s="71">
        <f>'Old Data'!$I523-'Old Data'!$S523</f>
        <v>-76</v>
      </c>
      <c r="B527" s="72">
        <f>VLOOKUP('Old Data'!$F523,$R$6:$T$135,2,FALSE)+VLOOKUP('Old Data'!$P523,$R$6:$T$135,3,FALSE)+$B$2</f>
        <v>127.3876311928431</v>
      </c>
      <c r="C527" s="72">
        <f>VLOOKUP('Old Data'!$P523,$R$6:$T$135,2,FALSE)+VLOOKUP('Old Data'!$F523,$R$6:$T$135,3,FALSE)+$B$2</f>
        <v>168.70299322038161</v>
      </c>
      <c r="D527" s="74">
        <f>('Old Data'!$I523-$B527)^2+('Old Data'!$S523-$C527)^2</f>
        <v>16459.647307586492</v>
      </c>
      <c r="E527" s="75">
        <f>'Old Data'!$K523-'Old Data'!$U523</f>
        <v>220</v>
      </c>
      <c r="F527" s="72">
        <f>VLOOKUP('Old Data'!$F523,$V$6:$X$135,2,FALSE)+VLOOKUP('Old Data'!$P523,$V$6:$X$135,3,FALSE)+$C$2</f>
        <v>237.57964442408991</v>
      </c>
      <c r="G527" s="72">
        <f>VLOOKUP('Old Data'!$P523,$V$6:$X$135,2,FALSE)+VLOOKUP('Old Data'!$F523,$V$6:$X$135,3,FALSE)+$C$2</f>
        <v>200.16332579334011</v>
      </c>
      <c r="H527" s="74">
        <f>('Old Data'!$K523-$F527)^2+('Old Data'!$U523-$G527)^2</f>
        <v>16698.377145067945</v>
      </c>
      <c r="I527" s="75">
        <f>('Old Data'!$L523+'Old Data'!$M523)-('Old Data'!$V523+'Old Data'!$W523)</f>
        <v>-68</v>
      </c>
      <c r="J527" s="72">
        <f>VLOOKUP('Old Data'!$F523,$Z$6:$AB$135,2,FALSE)+VLOOKUP('Old Data'!$P523,$Z$6:$AB$135,3,FALSE)+$D$2</f>
        <v>82.806782723723757</v>
      </c>
      <c r="K527" s="72">
        <f>VLOOKUP('Old Data'!$P523,$Z$6:$AB$135,2,FALSE)+VLOOKUP('Old Data'!$F523,$Z$6:$AB$135,3,FALSE)+$D$2</f>
        <v>58.113259589936249</v>
      </c>
      <c r="L527" s="74">
        <f>('Old Data'!$L523+'Old Data'!$M523-$J527)^2+('Old Data'!$V523+'Old Data'!$W523-$K527)^2</f>
        <v>4843.1864157420223</v>
      </c>
      <c r="M527" s="75">
        <f>'Old Data'!$N523-'Old Data'!$X523</f>
        <v>0</v>
      </c>
      <c r="N527" s="72">
        <f>VLOOKUP('Old Data'!$F523,$AD$6:$AF$135,2,FALSE)+VLOOKUP('Old Data'!$P523,$AD$6:$AF$135,3,FALSE)+$E$2</f>
        <v>1.1325167297293612</v>
      </c>
      <c r="O527" s="72">
        <f>VLOOKUP('Old Data'!$P523,$AD$6:$AF$135,2,FALSE)+VLOOKUP('Old Data'!$F523,$AD$6:$AF$135,3,FALSE)+$E$2</f>
        <v>1.0417357237116542</v>
      </c>
      <c r="P527" s="73">
        <f>('Old Data'!$N523-$N527)^2+('Old Data'!$X523-$O527)^2</f>
        <v>1.9302554291900111E-2</v>
      </c>
      <c r="Q527" s="62"/>
      <c r="R527" s="3"/>
      <c r="S527" s="3"/>
      <c r="T527" s="3"/>
      <c r="V527" s="3"/>
      <c r="W527" s="3"/>
      <c r="X527" s="3"/>
      <c r="Z527" s="3"/>
      <c r="AA527" s="3"/>
      <c r="AB527" s="3"/>
      <c r="AC527" s="3"/>
      <c r="AD527" s="3"/>
      <c r="AE527" s="3"/>
      <c r="AF527" s="3"/>
      <c r="AG527" s="3"/>
      <c r="AH527" s="37"/>
      <c r="AI527" s="1"/>
      <c r="AK527" s="10"/>
      <c r="AL527" s="10"/>
      <c r="AM527" s="10"/>
      <c r="AN527" s="11"/>
      <c r="AO527" s="11"/>
      <c r="AP527" s="11"/>
      <c r="AQ527" s="36"/>
      <c r="AR527" s="11"/>
      <c r="AS527" s="11"/>
      <c r="AT527" s="11"/>
      <c r="AU527" s="12"/>
      <c r="AV527" s="11"/>
      <c r="AW527" s="11"/>
      <c r="AX527" s="15"/>
      <c r="AY527" s="15"/>
      <c r="AZ527" s="15"/>
      <c r="BA527" s="15"/>
      <c r="BB527" s="15"/>
      <c r="BC527" s="15"/>
      <c r="BD527" s="15"/>
      <c r="BE527" s="12"/>
      <c r="BF527" s="11"/>
      <c r="BG527" s="11"/>
      <c r="BH527" s="10"/>
      <c r="BI527" s="10"/>
      <c r="BJ527" s="10"/>
      <c r="BK527" s="23"/>
      <c r="BL527" s="23"/>
      <c r="BM527" s="23"/>
      <c r="BN527" s="23"/>
      <c r="BO527" s="23"/>
      <c r="BP527" s="23"/>
      <c r="BQ527" s="23"/>
      <c r="BR527" s="10"/>
      <c r="BS527" s="16"/>
      <c r="BT527" s="16"/>
      <c r="BU527" s="16"/>
      <c r="BV527" s="16"/>
      <c r="BW527" s="11"/>
      <c r="BX527" s="16"/>
      <c r="BY527" s="16"/>
      <c r="BZ527" s="17"/>
      <c r="CA527" s="18"/>
      <c r="CB527" s="18"/>
      <c r="CC527" s="18"/>
      <c r="CD527" s="18"/>
      <c r="CE527" s="18"/>
      <c r="CF527" s="18"/>
      <c r="CG527" s="19"/>
      <c r="CH527" s="15"/>
      <c r="CI527" s="17"/>
      <c r="CJ527" s="10"/>
      <c r="CK527" s="10"/>
      <c r="CL527" s="10"/>
      <c r="CM527" s="17"/>
      <c r="CN527" s="17"/>
      <c r="CO527" s="10"/>
      <c r="CP527" s="10"/>
      <c r="CQ527" s="10"/>
      <c r="CR527" s="10"/>
      <c r="CS527" s="10"/>
      <c r="CT527" s="10"/>
      <c r="CU527" s="10"/>
      <c r="CV527" s="10"/>
      <c r="CW527" s="10"/>
      <c r="CX527" s="10"/>
      <c r="CY527" s="10"/>
      <c r="CZ527" s="10"/>
      <c r="DA527" s="34"/>
      <c r="DB527" s="34"/>
      <c r="DC527" s="34"/>
      <c r="DD527" s="34"/>
      <c r="DE527" s="34"/>
      <c r="DF527" s="34"/>
      <c r="DG527" s="34"/>
      <c r="DH527" s="34"/>
      <c r="DI527" s="34"/>
      <c r="DJ527" s="34"/>
      <c r="DK527" s="34"/>
      <c r="DL527" s="34"/>
      <c r="DM527" s="34"/>
      <c r="DN527" s="34"/>
      <c r="DO527" s="34"/>
      <c r="DP527" s="34"/>
      <c r="DQ527" s="34"/>
      <c r="DR527" s="34"/>
      <c r="DS527" s="34"/>
      <c r="DT527" s="34"/>
      <c r="DU527" s="34"/>
      <c r="DV527" s="34"/>
      <c r="DW527" s="34"/>
      <c r="DX527" s="34"/>
      <c r="DY527" s="34"/>
      <c r="DZ527" s="34"/>
      <c r="EA527" s="34"/>
      <c r="EB527" s="34"/>
      <c r="EC527" s="34"/>
      <c r="ED527" s="34"/>
      <c r="EE527" s="34"/>
    </row>
    <row r="528" spans="1:135" customFormat="1">
      <c r="A528" s="71">
        <f>'Old Data'!$I524-'Old Data'!$S524</f>
        <v>84</v>
      </c>
      <c r="B528" s="72">
        <f>VLOOKUP('Old Data'!$F524,$R$6:$T$135,2,FALSE)+VLOOKUP('Old Data'!$P524,$R$6:$T$135,3,FALSE)+$B$2</f>
        <v>115.70335414397221</v>
      </c>
      <c r="C528" s="72">
        <f>VLOOKUP('Old Data'!$P524,$R$6:$T$135,2,FALSE)+VLOOKUP('Old Data'!$F524,$R$6:$T$135,3,FALSE)+$B$2</f>
        <v>36.869817202803802</v>
      </c>
      <c r="D528" s="74">
        <f>('Old Data'!$I524-$B528)^2+('Old Data'!$S524-$C528)^2</f>
        <v>69.24214643327835</v>
      </c>
      <c r="E528" s="75">
        <f>'Old Data'!$K524-'Old Data'!$U524</f>
        <v>-1</v>
      </c>
      <c r="F528" s="72">
        <f>VLOOKUP('Old Data'!$F524,$V$6:$X$135,2,FALSE)+VLOOKUP('Old Data'!$P524,$V$6:$X$135,3,FALSE)+$C$2</f>
        <v>230.8496185892933</v>
      </c>
      <c r="G528" s="72">
        <f>VLOOKUP('Old Data'!$P524,$V$6:$X$135,2,FALSE)+VLOOKUP('Old Data'!$F524,$V$6:$X$135,3,FALSE)+$C$2</f>
        <v>187.86283247989414</v>
      </c>
      <c r="H528" s="74">
        <f>('Old Data'!$K524-$F528)^2+('Old Data'!$U524-$G528)^2</f>
        <v>1297.9837461096945</v>
      </c>
      <c r="I528" s="75">
        <f>('Old Data'!$L524+'Old Data'!$M524)-('Old Data'!$V524+'Old Data'!$W524)</f>
        <v>12</v>
      </c>
      <c r="J528" s="72">
        <f>VLOOKUP('Old Data'!$F524,$Z$6:$AB$135,2,FALSE)+VLOOKUP('Old Data'!$P524,$Z$6:$AB$135,3,FALSE)+$D$2</f>
        <v>45.655552127325706</v>
      </c>
      <c r="K528" s="72">
        <f>VLOOKUP('Old Data'!$P524,$Z$6:$AB$135,2,FALSE)+VLOOKUP('Old Data'!$F524,$Z$6:$AB$135,3,FALSE)+$D$2</f>
        <v>35.769176000461819</v>
      </c>
      <c r="L528" s="74">
        <f>('Old Data'!$L524+'Old Data'!$M524-$J528)^2+('Old Data'!$V524+'Old Data'!$W524-$K528)^2</f>
        <v>825.41004669052393</v>
      </c>
      <c r="M528" s="75">
        <f>'Old Data'!$N524-'Old Data'!$X524</f>
        <v>0</v>
      </c>
      <c r="N528" s="72">
        <f>VLOOKUP('Old Data'!$F524,$AD$6:$AF$135,2,FALSE)+VLOOKUP('Old Data'!$P524,$AD$6:$AF$135,3,FALSE)+$E$2</f>
        <v>2.099890820285113</v>
      </c>
      <c r="O528" s="72">
        <f>VLOOKUP('Old Data'!$P524,$AD$6:$AF$135,2,FALSE)+VLOOKUP('Old Data'!$F524,$AD$6:$AF$135,3,FALSE)+$E$2</f>
        <v>0.67990745954908616</v>
      </c>
      <c r="P528" s="73">
        <f>('Old Data'!$N524-$N528)^2+('Old Data'!$X524-$O528)^2</f>
        <v>1.3122190509997786</v>
      </c>
      <c r="Q528" s="62"/>
      <c r="R528" s="3"/>
      <c r="S528" s="3"/>
      <c r="T528" s="3"/>
      <c r="V528" s="3"/>
      <c r="W528" s="3"/>
      <c r="X528" s="3"/>
      <c r="Z528" s="3"/>
      <c r="AA528" s="3"/>
      <c r="AB528" s="3"/>
      <c r="AC528" s="3"/>
      <c r="AD528" s="3"/>
      <c r="AE528" s="3"/>
      <c r="AF528" s="3"/>
      <c r="AG528" s="3"/>
      <c r="AH528" s="37"/>
      <c r="AI528" s="1"/>
      <c r="AK528" s="10"/>
      <c r="AL528" s="10"/>
      <c r="AM528" s="10"/>
      <c r="AN528" s="11"/>
      <c r="AO528" s="11"/>
      <c r="AP528" s="11"/>
      <c r="AQ528" s="36"/>
      <c r="AR528" s="11"/>
      <c r="AS528" s="11"/>
      <c r="AT528" s="11"/>
      <c r="AU528" s="12"/>
      <c r="AV528" s="11"/>
      <c r="AW528" s="11"/>
      <c r="AX528" s="15"/>
      <c r="AY528" s="15"/>
      <c r="AZ528" s="15"/>
      <c r="BA528" s="15"/>
      <c r="BB528" s="15"/>
      <c r="BC528" s="15"/>
      <c r="BD528" s="15"/>
      <c r="BE528" s="12"/>
      <c r="BF528" s="11"/>
      <c r="BG528" s="11"/>
      <c r="BH528" s="10"/>
      <c r="BI528" s="10"/>
      <c r="BJ528" s="10"/>
      <c r="BK528" s="23"/>
      <c r="BL528" s="23"/>
      <c r="BM528" s="23"/>
      <c r="BN528" s="23"/>
      <c r="BO528" s="23"/>
      <c r="BP528" s="23"/>
      <c r="BQ528" s="23"/>
      <c r="BR528" s="10"/>
      <c r="BS528" s="16"/>
      <c r="BT528" s="16"/>
      <c r="BU528" s="16"/>
      <c r="BV528" s="16"/>
      <c r="BW528" s="11"/>
      <c r="BX528" s="16"/>
      <c r="BY528" s="16"/>
      <c r="BZ528" s="17"/>
      <c r="CA528" s="18"/>
      <c r="CB528" s="18"/>
      <c r="CC528" s="18"/>
      <c r="CD528" s="18"/>
      <c r="CE528" s="18"/>
      <c r="CF528" s="18"/>
      <c r="CG528" s="19"/>
      <c r="CH528" s="15"/>
      <c r="CI528" s="17"/>
      <c r="CJ528" s="10"/>
      <c r="CK528" s="10"/>
      <c r="CL528" s="10"/>
      <c r="CM528" s="17"/>
      <c r="CN528" s="17"/>
      <c r="CO528" s="10"/>
      <c r="CP528" s="10"/>
      <c r="CQ528" s="10"/>
      <c r="CR528" s="10"/>
      <c r="CS528" s="10"/>
      <c r="CT528" s="10"/>
      <c r="CU528" s="10"/>
      <c r="CV528" s="10"/>
      <c r="CW528" s="10"/>
      <c r="CX528" s="10"/>
      <c r="CY528" s="10"/>
      <c r="CZ528" s="10"/>
      <c r="DA528" s="34"/>
      <c r="DB528" s="34"/>
      <c r="DC528" s="34"/>
      <c r="DD528" s="34"/>
      <c r="DE528" s="34"/>
      <c r="DF528" s="34"/>
      <c r="DG528" s="34"/>
      <c r="DH528" s="34"/>
      <c r="DI528" s="34"/>
      <c r="DJ528" s="34"/>
      <c r="DK528" s="34"/>
      <c r="DL528" s="34"/>
      <c r="DM528" s="34"/>
      <c r="DN528" s="34"/>
      <c r="DO528" s="34"/>
      <c r="DP528" s="34"/>
      <c r="DQ528" s="34"/>
      <c r="DR528" s="34"/>
      <c r="DS528" s="34"/>
      <c r="DT528" s="34"/>
      <c r="DU528" s="34"/>
      <c r="DV528" s="34"/>
      <c r="DW528" s="34"/>
      <c r="DX528" s="34"/>
      <c r="DY528" s="34"/>
      <c r="DZ528" s="34"/>
      <c r="EA528" s="34"/>
      <c r="EB528" s="34"/>
      <c r="EC528" s="34"/>
      <c r="ED528" s="34"/>
      <c r="EE528" s="34"/>
    </row>
    <row r="529" spans="1:135" customFormat="1">
      <c r="A529" s="71">
        <f>'Old Data'!$I525-'Old Data'!$S525</f>
        <v>91</v>
      </c>
      <c r="B529" s="72">
        <f>VLOOKUP('Old Data'!$F525,$R$6:$T$135,2,FALSE)+VLOOKUP('Old Data'!$P525,$R$6:$T$135,3,FALSE)+$B$2</f>
        <v>97.303521270522396</v>
      </c>
      <c r="C529" s="72">
        <f>VLOOKUP('Old Data'!$P525,$R$6:$T$135,2,FALSE)+VLOOKUP('Old Data'!$F525,$R$6:$T$135,3,FALSE)+$B$2</f>
        <v>122.77449551189841</v>
      </c>
      <c r="D529" s="74">
        <f>('Old Data'!$I525-$B529)^2+('Old Data'!$S525-$C529)^2</f>
        <v>6842.3887790701783</v>
      </c>
      <c r="E529" s="75">
        <f>'Old Data'!$K525-'Old Data'!$U525</f>
        <v>61</v>
      </c>
      <c r="F529" s="72">
        <f>VLOOKUP('Old Data'!$F525,$V$6:$X$135,2,FALSE)+VLOOKUP('Old Data'!$P525,$V$6:$X$135,3,FALSE)+$C$2</f>
        <v>268.16089253688449</v>
      </c>
      <c r="G529" s="72">
        <f>VLOOKUP('Old Data'!$P525,$V$6:$X$135,2,FALSE)+VLOOKUP('Old Data'!$F525,$V$6:$X$135,3,FALSE)+$C$2</f>
        <v>207.132711031947</v>
      </c>
      <c r="H529" s="74">
        <f>('Old Data'!$K525-$F529)^2+('Old Data'!$U525-$G529)^2</f>
        <v>21693.113040943375</v>
      </c>
      <c r="I529" s="75">
        <f>('Old Data'!$L525+'Old Data'!$M525)-('Old Data'!$V525+'Old Data'!$W525)</f>
        <v>-53</v>
      </c>
      <c r="J529" s="72">
        <f>VLOOKUP('Old Data'!$F525,$Z$6:$AB$135,2,FALSE)+VLOOKUP('Old Data'!$P525,$Z$6:$AB$135,3,FALSE)+$D$2</f>
        <v>34.740670993994328</v>
      </c>
      <c r="K529" s="72">
        <f>VLOOKUP('Old Data'!$P525,$Z$6:$AB$135,2,FALSE)+VLOOKUP('Old Data'!$F525,$Z$6:$AB$135,3,FALSE)+$D$2</f>
        <v>38.901462266786595</v>
      </c>
      <c r="L529" s="74">
        <f>('Old Data'!$L525+'Old Data'!$M525-$J529)^2+('Old Data'!$V525+'Old Data'!$W525-$K529)^2</f>
        <v>1203.4088551553064</v>
      </c>
      <c r="M529" s="75">
        <f>'Old Data'!$N525-'Old Data'!$X525</f>
        <v>1</v>
      </c>
      <c r="N529" s="72">
        <f>VLOOKUP('Old Data'!$F525,$AD$6:$AF$135,2,FALSE)+VLOOKUP('Old Data'!$P525,$AD$6:$AF$135,3,FALSE)+$E$2</f>
        <v>1.3542324048789971</v>
      </c>
      <c r="O529" s="72">
        <f>VLOOKUP('Old Data'!$P525,$AD$6:$AF$135,2,FALSE)+VLOOKUP('Old Data'!$F525,$AD$6:$AF$135,3,FALSE)+$E$2</f>
        <v>2.1900344591485403</v>
      </c>
      <c r="P529" s="73">
        <f>('Old Data'!$N525-$N529)^2+('Old Data'!$X525-$O529)^2</f>
        <v>1.8331978008693224</v>
      </c>
      <c r="Q529" s="62"/>
      <c r="R529" s="3"/>
      <c r="S529" s="3"/>
      <c r="T529" s="3"/>
      <c r="V529" s="3"/>
      <c r="W529" s="3"/>
      <c r="X529" s="3"/>
      <c r="Z529" s="3"/>
      <c r="AA529" s="3"/>
      <c r="AB529" s="3"/>
      <c r="AC529" s="3"/>
      <c r="AD529" s="3"/>
      <c r="AE529" s="3"/>
      <c r="AF529" s="3"/>
      <c r="AG529" s="3"/>
      <c r="AH529" s="37"/>
      <c r="AI529" s="1"/>
      <c r="AK529" s="10"/>
      <c r="AL529" s="10"/>
      <c r="AM529" s="10"/>
      <c r="AN529" s="11"/>
      <c r="AO529" s="11"/>
      <c r="AP529" s="11"/>
      <c r="AQ529" s="36"/>
      <c r="AR529" s="11"/>
      <c r="AS529" s="11"/>
      <c r="AT529" s="11"/>
      <c r="AU529" s="12"/>
      <c r="AV529" s="11"/>
      <c r="AW529" s="11"/>
      <c r="AX529" s="15"/>
      <c r="AY529" s="15"/>
      <c r="AZ529" s="15"/>
      <c r="BA529" s="15"/>
      <c r="BB529" s="15"/>
      <c r="BC529" s="15"/>
      <c r="BD529" s="15"/>
      <c r="BE529" s="12"/>
      <c r="BF529" s="11"/>
      <c r="BG529" s="11"/>
      <c r="BH529" s="10"/>
      <c r="BI529" s="10"/>
      <c r="BJ529" s="10"/>
      <c r="BK529" s="23"/>
      <c r="BL529" s="23"/>
      <c r="BM529" s="23"/>
      <c r="BN529" s="23"/>
      <c r="BO529" s="23"/>
      <c r="BP529" s="23"/>
      <c r="BQ529" s="23"/>
      <c r="BR529" s="10"/>
      <c r="BS529" s="16"/>
      <c r="BT529" s="16"/>
      <c r="BU529" s="16"/>
      <c r="BV529" s="16"/>
      <c r="BW529" s="11"/>
      <c r="BX529" s="16"/>
      <c r="BY529" s="16"/>
      <c r="BZ529" s="17"/>
      <c r="CA529" s="18"/>
      <c r="CB529" s="18"/>
      <c r="CC529" s="18"/>
      <c r="CD529" s="18"/>
      <c r="CE529" s="18"/>
      <c r="CF529" s="18"/>
      <c r="CG529" s="19"/>
      <c r="CH529" s="15"/>
      <c r="CI529" s="17"/>
      <c r="CJ529" s="10"/>
      <c r="CK529" s="10"/>
      <c r="CL529" s="10"/>
      <c r="CM529" s="17"/>
      <c r="CN529" s="17"/>
      <c r="CO529" s="10"/>
      <c r="CP529" s="10"/>
      <c r="CQ529" s="10"/>
      <c r="CR529" s="10"/>
      <c r="CS529" s="10"/>
      <c r="CT529" s="10"/>
      <c r="CU529" s="10"/>
      <c r="CV529" s="10"/>
      <c r="CW529" s="10"/>
      <c r="CX529" s="10"/>
      <c r="CY529" s="10"/>
      <c r="CZ529" s="10"/>
      <c r="DA529" s="34"/>
      <c r="DB529" s="34"/>
      <c r="DC529" s="34"/>
      <c r="DD529" s="34"/>
      <c r="DE529" s="34"/>
      <c r="DF529" s="34"/>
      <c r="DG529" s="34"/>
      <c r="DH529" s="34"/>
      <c r="DI529" s="34"/>
      <c r="DJ529" s="34"/>
      <c r="DK529" s="34"/>
      <c r="DL529" s="34"/>
      <c r="DM529" s="34"/>
      <c r="DN529" s="34"/>
      <c r="DO529" s="34"/>
      <c r="DP529" s="34"/>
      <c r="DQ529" s="34"/>
      <c r="DR529" s="34"/>
      <c r="DS529" s="34"/>
      <c r="DT529" s="34"/>
      <c r="DU529" s="34"/>
      <c r="DV529" s="34"/>
      <c r="DW529" s="34"/>
      <c r="DX529" s="34"/>
      <c r="DY529" s="34"/>
      <c r="DZ529" s="34"/>
      <c r="EA529" s="34"/>
      <c r="EB529" s="34"/>
      <c r="EC529" s="34"/>
      <c r="ED529" s="34"/>
      <c r="EE529" s="34"/>
    </row>
    <row r="530" spans="1:135" customFormat="1">
      <c r="A530" s="71">
        <f>'Old Data'!$I526-'Old Data'!$S526</f>
        <v>76</v>
      </c>
      <c r="B530" s="72">
        <f>VLOOKUP('Old Data'!$F526,$R$6:$T$135,2,FALSE)+VLOOKUP('Old Data'!$P526,$R$6:$T$135,3,FALSE)+$B$2</f>
        <v>241.69297066347741</v>
      </c>
      <c r="C530" s="72">
        <f>VLOOKUP('Old Data'!$P526,$R$6:$T$135,2,FALSE)+VLOOKUP('Old Data'!$F526,$R$6:$T$135,3,FALSE)+$B$2</f>
        <v>99.537582664315863</v>
      </c>
      <c r="D530" s="74">
        <f>('Old Data'!$I526-$B530)^2+('Old Data'!$S526-$C530)^2</f>
        <v>2546.5693182278637</v>
      </c>
      <c r="E530" s="75">
        <f>'Old Data'!$K526-'Old Data'!$U526</f>
        <v>-84</v>
      </c>
      <c r="F530" s="72">
        <f>VLOOKUP('Old Data'!$F526,$V$6:$X$135,2,FALSE)+VLOOKUP('Old Data'!$P526,$V$6:$X$135,3,FALSE)+$C$2</f>
        <v>382.93840483468307</v>
      </c>
      <c r="G530" s="72">
        <f>VLOOKUP('Old Data'!$P526,$V$6:$X$135,2,FALSE)+VLOOKUP('Old Data'!$F526,$V$6:$X$135,3,FALSE)+$C$2</f>
        <v>363.45955627795729</v>
      </c>
      <c r="H530" s="74">
        <f>('Old Data'!$K526-$F530)^2+('Old Data'!$U526-$G530)^2</f>
        <v>19065.95369113818</v>
      </c>
      <c r="I530" s="75">
        <f>('Old Data'!$L526+'Old Data'!$M526)-('Old Data'!$V526+'Old Data'!$W526)</f>
        <v>28</v>
      </c>
      <c r="J530" s="72">
        <f>VLOOKUP('Old Data'!$F526,$Z$6:$AB$135,2,FALSE)+VLOOKUP('Old Data'!$P526,$Z$6:$AB$135,3,FALSE)+$D$2</f>
        <v>81.035807625436291</v>
      </c>
      <c r="K530" s="72">
        <f>VLOOKUP('Old Data'!$P526,$Z$6:$AB$135,2,FALSE)+VLOOKUP('Old Data'!$F526,$Z$6:$AB$135,3,FALSE)+$D$2</f>
        <v>90.840296102995495</v>
      </c>
      <c r="L530" s="74">
        <f>('Old Data'!$L526+'Old Data'!$M526-$J530)^2+('Old Data'!$V526+'Old Data'!$W526-$K530)^2</f>
        <v>912.11942423664323</v>
      </c>
      <c r="M530" s="75">
        <f>'Old Data'!$N526-'Old Data'!$X526</f>
        <v>0</v>
      </c>
      <c r="N530" s="72">
        <f>VLOOKUP('Old Data'!$F526,$AD$6:$AF$135,2,FALSE)+VLOOKUP('Old Data'!$P526,$AD$6:$AF$135,3,FALSE)+$E$2</f>
        <v>1.5838399114381749</v>
      </c>
      <c r="O530" s="72">
        <f>VLOOKUP('Old Data'!$P526,$AD$6:$AF$135,2,FALSE)+VLOOKUP('Old Data'!$F526,$AD$6:$AF$135,3,FALSE)+$E$2</f>
        <v>1.2886988860842057</v>
      </c>
      <c r="P530" s="73">
        <f>('Old Data'!$N526-$N530)^2+('Old Data'!$X526-$O530)^2</f>
        <v>0.42421608901439711</v>
      </c>
      <c r="Q530" s="62"/>
      <c r="R530" s="3"/>
      <c r="S530" s="3"/>
      <c r="T530" s="3"/>
      <c r="V530" s="3"/>
      <c r="W530" s="3"/>
      <c r="X530" s="3"/>
      <c r="Z530" s="3"/>
      <c r="AA530" s="3"/>
      <c r="AB530" s="3"/>
      <c r="AC530" s="3"/>
      <c r="AD530" s="3"/>
      <c r="AE530" s="3"/>
      <c r="AF530" s="3"/>
      <c r="AG530" s="3"/>
      <c r="AH530" s="37"/>
      <c r="AI530" s="1"/>
      <c r="AK530" s="10"/>
      <c r="AL530" s="10"/>
      <c r="AM530" s="10"/>
      <c r="AN530" s="11"/>
      <c r="AO530" s="11"/>
      <c r="AP530" s="11"/>
      <c r="AQ530" s="36"/>
      <c r="AR530" s="11"/>
      <c r="AS530" s="11"/>
      <c r="AT530" s="11"/>
      <c r="AU530" s="12"/>
      <c r="AV530" s="11"/>
      <c r="AW530" s="11"/>
      <c r="AX530" s="15"/>
      <c r="AY530" s="15"/>
      <c r="AZ530" s="15"/>
      <c r="BA530" s="15"/>
      <c r="BB530" s="15"/>
      <c r="BC530" s="15"/>
      <c r="BD530" s="15"/>
      <c r="BE530" s="12"/>
      <c r="BF530" s="11"/>
      <c r="BG530" s="11"/>
      <c r="BH530" s="10"/>
      <c r="BI530" s="10"/>
      <c r="BJ530" s="10"/>
      <c r="BK530" s="23"/>
      <c r="BL530" s="23"/>
      <c r="BM530" s="23"/>
      <c r="BN530" s="23"/>
      <c r="BO530" s="23"/>
      <c r="BP530" s="23"/>
      <c r="BQ530" s="23"/>
      <c r="BR530" s="10"/>
      <c r="BS530" s="16"/>
      <c r="BT530" s="16"/>
      <c r="BU530" s="16"/>
      <c r="BV530" s="16"/>
      <c r="BW530" s="11"/>
      <c r="BX530" s="16"/>
      <c r="BY530" s="16"/>
      <c r="BZ530" s="17"/>
      <c r="CA530" s="18"/>
      <c r="CB530" s="18"/>
      <c r="CC530" s="18"/>
      <c r="CD530" s="18"/>
      <c r="CE530" s="18"/>
      <c r="CF530" s="18"/>
      <c r="CG530" s="19"/>
      <c r="CH530" s="15"/>
      <c r="CI530" s="17"/>
      <c r="CJ530" s="10"/>
      <c r="CK530" s="10"/>
      <c r="CL530" s="10"/>
      <c r="CM530" s="17"/>
      <c r="CN530" s="17"/>
      <c r="CO530" s="10"/>
      <c r="CP530" s="10"/>
      <c r="CQ530" s="10"/>
      <c r="CR530" s="10"/>
      <c r="CS530" s="10"/>
      <c r="CT530" s="10"/>
      <c r="CU530" s="10"/>
      <c r="CV530" s="10"/>
      <c r="CW530" s="10"/>
      <c r="CX530" s="10"/>
      <c r="CY530" s="10"/>
      <c r="CZ530" s="10"/>
      <c r="DA530" s="34"/>
      <c r="DB530" s="34"/>
      <c r="DC530" s="34"/>
      <c r="DD530" s="34"/>
      <c r="DE530" s="34"/>
      <c r="DF530" s="34"/>
      <c r="DG530" s="34"/>
      <c r="DH530" s="34"/>
      <c r="DI530" s="34"/>
      <c r="DJ530" s="34"/>
      <c r="DK530" s="34"/>
      <c r="DL530" s="34"/>
      <c r="DM530" s="34"/>
      <c r="DN530" s="34"/>
      <c r="DO530" s="34"/>
      <c r="DP530" s="34"/>
      <c r="DQ530" s="34"/>
      <c r="DR530" s="34"/>
      <c r="DS530" s="34"/>
      <c r="DT530" s="34"/>
      <c r="DU530" s="34"/>
      <c r="DV530" s="34"/>
      <c r="DW530" s="34"/>
      <c r="DX530" s="34"/>
      <c r="DY530" s="34"/>
      <c r="DZ530" s="34"/>
      <c r="EA530" s="34"/>
      <c r="EB530" s="34"/>
      <c r="EC530" s="34"/>
      <c r="ED530" s="34"/>
      <c r="EE530" s="34"/>
    </row>
    <row r="531" spans="1:135" customFormat="1">
      <c r="A531" s="71">
        <f>'Old Data'!$I527-'Old Data'!$S527</f>
        <v>69</v>
      </c>
      <c r="B531" s="72">
        <f>VLOOKUP('Old Data'!$F527,$R$6:$T$135,2,FALSE)+VLOOKUP('Old Data'!$P527,$R$6:$T$135,3,FALSE)+$B$2</f>
        <v>183.06922078329671</v>
      </c>
      <c r="C531" s="72">
        <f>VLOOKUP('Old Data'!$P527,$R$6:$T$135,2,FALSE)+VLOOKUP('Old Data'!$F527,$R$6:$T$135,3,FALSE)+$B$2</f>
        <v>146.08624777231901</v>
      </c>
      <c r="D531" s="74">
        <f>('Old Data'!$I527-$B531)^2+('Old Data'!$S527-$C531)^2</f>
        <v>2444.1961442919587</v>
      </c>
      <c r="E531" s="75">
        <f>'Old Data'!$K527-'Old Data'!$U527</f>
        <v>-55</v>
      </c>
      <c r="F531" s="72">
        <f>VLOOKUP('Old Data'!$F527,$V$6:$X$135,2,FALSE)+VLOOKUP('Old Data'!$P527,$V$6:$X$135,3,FALSE)+$C$2</f>
        <v>162.34248812608391</v>
      </c>
      <c r="G531" s="72">
        <f>VLOOKUP('Old Data'!$P527,$V$6:$X$135,2,FALSE)+VLOOKUP('Old Data'!$F527,$V$6:$X$135,3,FALSE)+$C$2</f>
        <v>194.53081877561419</v>
      </c>
      <c r="H531" s="74">
        <f>('Old Data'!$K527-$F531)^2+('Old Data'!$U527-$G531)^2</f>
        <v>499.40690668551656</v>
      </c>
      <c r="I531" s="75">
        <f>('Old Data'!$L527+'Old Data'!$M527)-('Old Data'!$V527+'Old Data'!$W527)</f>
        <v>22</v>
      </c>
      <c r="J531" s="72">
        <f>VLOOKUP('Old Data'!$F527,$Z$6:$AB$135,2,FALSE)+VLOOKUP('Old Data'!$P527,$Z$6:$AB$135,3,FALSE)+$D$2</f>
        <v>65.597206635968874</v>
      </c>
      <c r="K531" s="72">
        <f>VLOOKUP('Old Data'!$P527,$Z$6:$AB$135,2,FALSE)+VLOOKUP('Old Data'!$F527,$Z$6:$AB$135,3,FALSE)+$D$2</f>
        <v>46.586316600864919</v>
      </c>
      <c r="L531" s="74">
        <f>('Old Data'!$L527+'Old Data'!$M527-$J531)^2+('Old Data'!$V527+'Old Data'!$W527-$K531)^2</f>
        <v>2756.0649491060503</v>
      </c>
      <c r="M531" s="75">
        <f>'Old Data'!$N527-'Old Data'!$X527</f>
        <v>-1</v>
      </c>
      <c r="N531" s="72">
        <f>VLOOKUP('Old Data'!$F527,$AD$6:$AF$135,2,FALSE)+VLOOKUP('Old Data'!$P527,$AD$6:$AF$135,3,FALSE)+$E$2</f>
        <v>1.8846133303789712</v>
      </c>
      <c r="O531" s="72">
        <f>VLOOKUP('Old Data'!$P527,$AD$6:$AF$135,2,FALSE)+VLOOKUP('Old Data'!$F527,$AD$6:$AF$135,3,FALSE)+$E$2</f>
        <v>2.573448816452653</v>
      </c>
      <c r="P531" s="73">
        <f>('Old Data'!$N527-$N531)^2+('Old Data'!$X527-$O531)^2</f>
        <v>0.19525999571187497</v>
      </c>
      <c r="Q531" s="62"/>
      <c r="R531" s="3"/>
      <c r="S531" s="3"/>
      <c r="T531" s="3"/>
      <c r="V531" s="3"/>
      <c r="W531" s="3"/>
      <c r="X531" s="3"/>
      <c r="Z531" s="3"/>
      <c r="AA531" s="3"/>
      <c r="AB531" s="3"/>
      <c r="AC531" s="3"/>
      <c r="AD531" s="3"/>
      <c r="AE531" s="3"/>
      <c r="AF531" s="3"/>
      <c r="AG531" s="3"/>
      <c r="AH531" s="37"/>
      <c r="AI531" s="1"/>
      <c r="AK531" s="10"/>
      <c r="AL531" s="10"/>
      <c r="AM531" s="10"/>
      <c r="AN531" s="11"/>
      <c r="AO531" s="11"/>
      <c r="AP531" s="11"/>
      <c r="AQ531" s="36"/>
      <c r="AR531" s="11"/>
      <c r="AS531" s="11"/>
      <c r="AT531" s="11"/>
      <c r="AU531" s="12"/>
      <c r="AV531" s="11"/>
      <c r="AW531" s="11"/>
      <c r="AX531" s="15"/>
      <c r="AY531" s="15"/>
      <c r="AZ531" s="15"/>
      <c r="BA531" s="15"/>
      <c r="BB531" s="15"/>
      <c r="BC531" s="15"/>
      <c r="BD531" s="15"/>
      <c r="BE531" s="12"/>
      <c r="BF531" s="11"/>
      <c r="BG531" s="11"/>
      <c r="BH531" s="10"/>
      <c r="BI531" s="10"/>
      <c r="BJ531" s="10"/>
      <c r="BK531" s="23"/>
      <c r="BL531" s="23"/>
      <c r="BM531" s="23"/>
      <c r="BN531" s="23"/>
      <c r="BO531" s="23"/>
      <c r="BP531" s="23"/>
      <c r="BQ531" s="23"/>
      <c r="BR531" s="10"/>
      <c r="BS531" s="16"/>
      <c r="BT531" s="16"/>
      <c r="BU531" s="16"/>
      <c r="BV531" s="16"/>
      <c r="BW531" s="11"/>
      <c r="BX531" s="16"/>
      <c r="BY531" s="16"/>
      <c r="BZ531" s="17"/>
      <c r="CA531" s="18"/>
      <c r="CB531" s="18"/>
      <c r="CC531" s="18"/>
      <c r="CD531" s="18"/>
      <c r="CE531" s="18"/>
      <c r="CF531" s="18"/>
      <c r="CG531" s="19"/>
      <c r="CH531" s="15"/>
      <c r="CI531" s="17"/>
      <c r="CJ531" s="10"/>
      <c r="CK531" s="10"/>
      <c r="CL531" s="10"/>
      <c r="CM531" s="17"/>
      <c r="CN531" s="17"/>
      <c r="CO531" s="10"/>
      <c r="CP531" s="10"/>
      <c r="CQ531" s="10"/>
      <c r="CR531" s="10"/>
      <c r="CS531" s="10"/>
      <c r="CT531" s="10"/>
      <c r="CU531" s="10"/>
      <c r="CV531" s="10"/>
      <c r="CW531" s="10"/>
      <c r="CX531" s="10"/>
      <c r="CY531" s="10"/>
      <c r="CZ531" s="10"/>
      <c r="DA531" s="34"/>
      <c r="DB531" s="34"/>
      <c r="DC531" s="34"/>
      <c r="DD531" s="34"/>
      <c r="DE531" s="34"/>
      <c r="DF531" s="34"/>
      <c r="DG531" s="34"/>
      <c r="DH531" s="34"/>
      <c r="DI531" s="34"/>
      <c r="DJ531" s="34"/>
      <c r="DK531" s="34"/>
      <c r="DL531" s="34"/>
      <c r="DM531" s="34"/>
      <c r="DN531" s="34"/>
      <c r="DO531" s="34"/>
      <c r="DP531" s="34"/>
      <c r="DQ531" s="34"/>
      <c r="DR531" s="34"/>
      <c r="DS531" s="34"/>
      <c r="DT531" s="34"/>
      <c r="DU531" s="34"/>
      <c r="DV531" s="34"/>
      <c r="DW531" s="34"/>
      <c r="DX531" s="34"/>
      <c r="DY531" s="34"/>
      <c r="DZ531" s="34"/>
      <c r="EA531" s="34"/>
      <c r="EB531" s="34"/>
      <c r="EC531" s="34"/>
      <c r="ED531" s="34"/>
      <c r="EE531" s="34"/>
    </row>
    <row r="532" spans="1:135" customFormat="1">
      <c r="A532" s="71">
        <f>'Old Data'!$I528-'Old Data'!$S528</f>
        <v>163</v>
      </c>
      <c r="B532" s="72">
        <f>VLOOKUP('Old Data'!$F528,$R$6:$T$135,2,FALSE)+VLOOKUP('Old Data'!$P528,$R$6:$T$135,3,FALSE)+$B$2</f>
        <v>150.71735106574999</v>
      </c>
      <c r="C532" s="72">
        <f>VLOOKUP('Old Data'!$P528,$R$6:$T$135,2,FALSE)+VLOOKUP('Old Data'!$F528,$R$6:$T$135,3,FALSE)+$B$2</f>
        <v>162.6549649571875</v>
      </c>
      <c r="D532" s="74">
        <f>('Old Data'!$I528-$B532)^2+('Old Data'!$S528-$C532)^2</f>
        <v>16471.524855726304</v>
      </c>
      <c r="E532" s="75">
        <f>'Old Data'!$K528-'Old Data'!$U528</f>
        <v>10</v>
      </c>
      <c r="F532" s="72">
        <f>VLOOKUP('Old Data'!$F528,$V$6:$X$135,2,FALSE)+VLOOKUP('Old Data'!$P528,$V$6:$X$135,3,FALSE)+$C$2</f>
        <v>271.2178435520396</v>
      </c>
      <c r="G532" s="72">
        <f>VLOOKUP('Old Data'!$P528,$V$6:$X$135,2,FALSE)+VLOOKUP('Old Data'!$F528,$V$6:$X$135,3,FALSE)+$C$2</f>
        <v>229.61474693533791</v>
      </c>
      <c r="H532" s="74">
        <f>('Old Data'!$K528-$F532)^2+('Old Data'!$U528-$G532)^2</f>
        <v>614.40301354408666</v>
      </c>
      <c r="I532" s="75">
        <f>('Old Data'!$L528+'Old Data'!$M528)-('Old Data'!$V528+'Old Data'!$W528)</f>
        <v>-45</v>
      </c>
      <c r="J532" s="72">
        <f>VLOOKUP('Old Data'!$F528,$Z$6:$AB$135,2,FALSE)+VLOOKUP('Old Data'!$P528,$Z$6:$AB$135,3,FALSE)+$D$2</f>
        <v>33.96485524971574</v>
      </c>
      <c r="K532" s="72">
        <f>VLOOKUP('Old Data'!$P528,$Z$6:$AB$135,2,FALSE)+VLOOKUP('Old Data'!$F528,$Z$6:$AB$135,3,FALSE)+$D$2</f>
        <v>71.417117525379595</v>
      </c>
      <c r="L532" s="74">
        <f>('Old Data'!$L528+'Old Data'!$M528-$J532)^2+('Old Data'!$V528+'Old Data'!$W528-$K532)^2</f>
        <v>1068.9863763237549</v>
      </c>
      <c r="M532" s="75">
        <f>'Old Data'!$N528-'Old Data'!$X528</f>
        <v>0</v>
      </c>
      <c r="N532" s="72">
        <f>VLOOKUP('Old Data'!$F528,$AD$6:$AF$135,2,FALSE)+VLOOKUP('Old Data'!$P528,$AD$6:$AF$135,3,FALSE)+$E$2</f>
        <v>1.3274186261436891</v>
      </c>
      <c r="O532" s="72">
        <f>VLOOKUP('Old Data'!$P528,$AD$6:$AF$135,2,FALSE)+VLOOKUP('Old Data'!$F528,$AD$6:$AF$135,3,FALSE)+$E$2</f>
        <v>0.74341125035499112</v>
      </c>
      <c r="P532" s="73">
        <f>('Old Data'!$N528-$N532)^2+('Old Data'!$X528-$O532)^2</f>
        <v>0.1730407431902099</v>
      </c>
      <c r="Q532" s="62"/>
      <c r="R532" s="3"/>
      <c r="S532" s="3"/>
      <c r="T532" s="3"/>
      <c r="V532" s="3"/>
      <c r="W532" s="3"/>
      <c r="X532" s="3"/>
      <c r="Z532" s="3"/>
      <c r="AA532" s="3"/>
      <c r="AB532" s="3"/>
      <c r="AC532" s="3"/>
      <c r="AD532" s="3"/>
      <c r="AE532" s="3"/>
      <c r="AF532" s="3"/>
      <c r="AG532" s="3"/>
      <c r="AH532" s="37"/>
      <c r="AI532" s="1"/>
      <c r="AK532" s="10"/>
      <c r="AL532" s="10"/>
      <c r="AM532" s="10"/>
      <c r="AN532" s="11"/>
      <c r="AO532" s="11"/>
      <c r="AP532" s="11"/>
      <c r="AQ532" s="36"/>
      <c r="AR532" s="11"/>
      <c r="AS532" s="11"/>
      <c r="AT532" s="11"/>
      <c r="AU532" s="12"/>
      <c r="AV532" s="11"/>
      <c r="AW532" s="11"/>
      <c r="AX532" s="15"/>
      <c r="AY532" s="15"/>
      <c r="AZ532" s="15"/>
      <c r="BA532" s="15"/>
      <c r="BB532" s="15"/>
      <c r="BC532" s="15"/>
      <c r="BD532" s="15"/>
      <c r="BE532" s="12"/>
      <c r="BF532" s="11"/>
      <c r="BG532" s="11"/>
      <c r="BH532" s="10"/>
      <c r="BI532" s="10"/>
      <c r="BJ532" s="10"/>
      <c r="BK532" s="23"/>
      <c r="BL532" s="23"/>
      <c r="BM532" s="23"/>
      <c r="BN532" s="23"/>
      <c r="BO532" s="23"/>
      <c r="BP532" s="23"/>
      <c r="BQ532" s="23"/>
      <c r="BR532" s="10"/>
      <c r="BS532" s="16"/>
      <c r="BT532" s="16"/>
      <c r="BU532" s="16"/>
      <c r="BV532" s="16"/>
      <c r="BW532" s="11"/>
      <c r="BX532" s="16"/>
      <c r="BY532" s="16"/>
      <c r="BZ532" s="17"/>
      <c r="CA532" s="18"/>
      <c r="CB532" s="18"/>
      <c r="CC532" s="18"/>
      <c r="CD532" s="18"/>
      <c r="CE532" s="18"/>
      <c r="CF532" s="18"/>
      <c r="CG532" s="19"/>
      <c r="CH532" s="15"/>
      <c r="CI532" s="17"/>
      <c r="CJ532" s="10"/>
      <c r="CK532" s="10"/>
      <c r="CL532" s="10"/>
      <c r="CM532" s="17"/>
      <c r="CN532" s="17"/>
      <c r="CO532" s="10"/>
      <c r="CP532" s="10"/>
      <c r="CQ532" s="10"/>
      <c r="CR532" s="10"/>
      <c r="CS532" s="10"/>
      <c r="CT532" s="10"/>
      <c r="CU532" s="10"/>
      <c r="CV532" s="10"/>
      <c r="CW532" s="10"/>
      <c r="CX532" s="10"/>
      <c r="CY532" s="10"/>
      <c r="CZ532" s="10"/>
      <c r="DA532" s="34"/>
      <c r="DB532" s="34"/>
      <c r="DC532" s="34"/>
      <c r="DD532" s="34"/>
      <c r="DE532" s="34"/>
      <c r="DF532" s="34"/>
      <c r="DG532" s="34"/>
      <c r="DH532" s="34"/>
      <c r="DI532" s="34"/>
      <c r="DJ532" s="34"/>
      <c r="DK532" s="34"/>
      <c r="DL532" s="34"/>
      <c r="DM532" s="34"/>
      <c r="DN532" s="34"/>
      <c r="DO532" s="34"/>
      <c r="DP532" s="34"/>
      <c r="DQ532" s="34"/>
      <c r="DR532" s="34"/>
      <c r="DS532" s="34"/>
      <c r="DT532" s="34"/>
      <c r="DU532" s="34"/>
      <c r="DV532" s="34"/>
      <c r="DW532" s="34"/>
      <c r="DX532" s="34"/>
      <c r="DY532" s="34"/>
      <c r="DZ532" s="34"/>
      <c r="EA532" s="34"/>
      <c r="EB532" s="34"/>
      <c r="EC532" s="34"/>
      <c r="ED532" s="34"/>
      <c r="EE532" s="34"/>
    </row>
    <row r="533" spans="1:135" customFormat="1">
      <c r="A533" s="71">
        <f>'Old Data'!$I529-'Old Data'!$S529</f>
        <v>121</v>
      </c>
      <c r="B533" s="72">
        <f>VLOOKUP('Old Data'!$F529,$R$6:$T$135,2,FALSE)+VLOOKUP('Old Data'!$P529,$R$6:$T$135,3,FALSE)+$B$2</f>
        <v>98.6929511345582</v>
      </c>
      <c r="C533" s="72">
        <f>VLOOKUP('Old Data'!$P529,$R$6:$T$135,2,FALSE)+VLOOKUP('Old Data'!$F529,$R$6:$T$135,3,FALSE)+$B$2</f>
        <v>240.69031234366341</v>
      </c>
      <c r="D533" s="74">
        <f>('Old Data'!$I529-$B533)^2+('Old Data'!$S529-$C533)^2</f>
        <v>38248.918787796087</v>
      </c>
      <c r="E533" s="75">
        <f>'Old Data'!$K529-'Old Data'!$U529</f>
        <v>149</v>
      </c>
      <c r="F533" s="72">
        <f>VLOOKUP('Old Data'!$F529,$V$6:$X$135,2,FALSE)+VLOOKUP('Old Data'!$P529,$V$6:$X$135,3,FALSE)+$C$2</f>
        <v>303.62029424921371</v>
      </c>
      <c r="G533" s="72">
        <f>VLOOKUP('Old Data'!$P529,$V$6:$X$135,2,FALSE)+VLOOKUP('Old Data'!$F529,$V$6:$X$135,3,FALSE)+$C$2</f>
        <v>155.57506385357729</v>
      </c>
      <c r="H533" s="74">
        <f>('Old Data'!$K529-$F533)^2+('Old Data'!$U529-$G533)^2</f>
        <v>1342.3162535477391</v>
      </c>
      <c r="I533" s="75">
        <f>('Old Data'!$L529+'Old Data'!$M529)-('Old Data'!$V529+'Old Data'!$W529)</f>
        <v>-48</v>
      </c>
      <c r="J533" s="72">
        <f>VLOOKUP('Old Data'!$F529,$Z$6:$AB$135,2,FALSE)+VLOOKUP('Old Data'!$P529,$Z$6:$AB$135,3,FALSE)+$D$2</f>
        <v>50.573747410883499</v>
      </c>
      <c r="K533" s="72">
        <f>VLOOKUP('Old Data'!$P529,$Z$6:$AB$135,2,FALSE)+VLOOKUP('Old Data'!$F529,$Z$6:$AB$135,3,FALSE)+$D$2</f>
        <v>31.107192048043487</v>
      </c>
      <c r="L533" s="74">
        <f>('Old Data'!$L529+'Old Data'!$M529-$J533)^2+('Old Data'!$V529+'Old Data'!$W529-$K533)^2</f>
        <v>2716.3471298458226</v>
      </c>
      <c r="M533" s="75">
        <f>'Old Data'!$N529-'Old Data'!$X529</f>
        <v>-2</v>
      </c>
      <c r="N533" s="72">
        <f>VLOOKUP('Old Data'!$F529,$AD$6:$AF$135,2,FALSE)+VLOOKUP('Old Data'!$P529,$AD$6:$AF$135,3,FALSE)+$E$2</f>
        <v>0.79843868939521911</v>
      </c>
      <c r="O533" s="72">
        <f>VLOOKUP('Old Data'!$P529,$AD$6:$AF$135,2,FALSE)+VLOOKUP('Old Data'!$F529,$AD$6:$AF$135,3,FALSE)+$E$2</f>
        <v>1.708511315716476</v>
      </c>
      <c r="P533" s="73">
        <f>('Old Data'!$N529-$N533)^2+('Old Data'!$X529-$O533)^2</f>
        <v>0.72246999378849519</v>
      </c>
      <c r="Q533" s="62"/>
      <c r="R533" s="3"/>
      <c r="S533" s="3"/>
      <c r="T533" s="3"/>
      <c r="V533" s="3"/>
      <c r="W533" s="3"/>
      <c r="X533" s="3"/>
      <c r="Z533" s="3"/>
      <c r="AA533" s="3"/>
      <c r="AB533" s="3"/>
      <c r="AC533" s="3"/>
      <c r="AD533" s="3"/>
      <c r="AE533" s="3"/>
      <c r="AF533" s="3"/>
      <c r="AG533" s="3"/>
      <c r="AH533" s="37"/>
      <c r="AI533" s="1"/>
      <c r="AK533" s="10"/>
      <c r="AL533" s="10"/>
      <c r="AM533" s="10"/>
      <c r="AN533" s="11"/>
      <c r="AO533" s="11"/>
      <c r="AP533" s="11"/>
      <c r="AQ533" s="36"/>
      <c r="AR533" s="11"/>
      <c r="AS533" s="11"/>
      <c r="AT533" s="11"/>
      <c r="AU533" s="12"/>
      <c r="AV533" s="11"/>
      <c r="AW533" s="11"/>
      <c r="AX533" s="15"/>
      <c r="AY533" s="15"/>
      <c r="AZ533" s="15"/>
      <c r="BA533" s="15"/>
      <c r="BB533" s="15"/>
      <c r="BC533" s="15"/>
      <c r="BD533" s="15"/>
      <c r="BE533" s="12"/>
      <c r="BF533" s="11"/>
      <c r="BG533" s="11"/>
      <c r="BH533" s="10"/>
      <c r="BI533" s="10"/>
      <c r="BJ533" s="10"/>
      <c r="BK533" s="23"/>
      <c r="BL533" s="23"/>
      <c r="BM533" s="23"/>
      <c r="BN533" s="23"/>
      <c r="BO533" s="23"/>
      <c r="BP533" s="23"/>
      <c r="BQ533" s="23"/>
      <c r="BR533" s="10"/>
      <c r="BS533" s="16"/>
      <c r="BT533" s="16"/>
      <c r="BU533" s="16"/>
      <c r="BV533" s="16"/>
      <c r="BW533" s="11"/>
      <c r="BX533" s="16"/>
      <c r="BY533" s="16"/>
      <c r="BZ533" s="17"/>
      <c r="CA533" s="18"/>
      <c r="CB533" s="18"/>
      <c r="CC533" s="18"/>
      <c r="CD533" s="18"/>
      <c r="CE533" s="18"/>
      <c r="CF533" s="18"/>
      <c r="CG533" s="19"/>
      <c r="CH533" s="15"/>
      <c r="CI533" s="17"/>
      <c r="CJ533" s="10"/>
      <c r="CK533" s="10"/>
      <c r="CL533" s="10"/>
      <c r="CM533" s="17"/>
      <c r="CN533" s="17"/>
      <c r="CO533" s="10"/>
      <c r="CP533" s="10"/>
      <c r="CQ533" s="10"/>
      <c r="CR533" s="10"/>
      <c r="CS533" s="10"/>
      <c r="CT533" s="10"/>
      <c r="CU533" s="10"/>
      <c r="CV533" s="10"/>
      <c r="CW533" s="10"/>
      <c r="CX533" s="10"/>
      <c r="CY533" s="10"/>
      <c r="CZ533" s="10"/>
      <c r="DA533" s="34"/>
      <c r="DB533" s="34"/>
      <c r="DC533" s="34"/>
      <c r="DD533" s="34"/>
      <c r="DE533" s="34"/>
      <c r="DF533" s="34"/>
      <c r="DG533" s="34"/>
      <c r="DH533" s="34"/>
      <c r="DI533" s="34"/>
      <c r="DJ533" s="34"/>
      <c r="DK533" s="34"/>
      <c r="DL533" s="34"/>
      <c r="DM533" s="34"/>
      <c r="DN533" s="34"/>
      <c r="DO533" s="34"/>
      <c r="DP533" s="34"/>
      <c r="DQ533" s="34"/>
      <c r="DR533" s="34"/>
      <c r="DS533" s="34"/>
      <c r="DT533" s="34"/>
      <c r="DU533" s="34"/>
      <c r="DV533" s="34"/>
      <c r="DW533" s="34"/>
      <c r="DX533" s="34"/>
      <c r="DY533" s="34"/>
      <c r="DZ533" s="34"/>
      <c r="EA533" s="34"/>
      <c r="EB533" s="34"/>
      <c r="EC533" s="34"/>
      <c r="ED533" s="34"/>
      <c r="EE533" s="34"/>
    </row>
    <row r="534" spans="1:135" customFormat="1">
      <c r="A534" s="71">
        <f>'Old Data'!$I530-'Old Data'!$S530</f>
        <v>-132</v>
      </c>
      <c r="B534" s="72">
        <f>VLOOKUP('Old Data'!$F530,$R$6:$T$135,2,FALSE)+VLOOKUP('Old Data'!$P530,$R$6:$T$135,3,FALSE)+$B$2</f>
        <v>75.595323100785095</v>
      </c>
      <c r="C534" s="72">
        <f>VLOOKUP('Old Data'!$P530,$R$6:$T$135,2,FALSE)+VLOOKUP('Old Data'!$F530,$R$6:$T$135,3,FALSE)+$B$2</f>
        <v>192.6986218335438</v>
      </c>
      <c r="D534" s="74">
        <f>('Old Data'!$I530-$B534)^2+('Old Data'!$S530-$C534)^2</f>
        <v>632.40529403344749</v>
      </c>
      <c r="E534" s="75">
        <f>'Old Data'!$K530-'Old Data'!$U530</f>
        <v>209</v>
      </c>
      <c r="F534" s="72">
        <f>VLOOKUP('Old Data'!$F530,$V$6:$X$135,2,FALSE)+VLOOKUP('Old Data'!$P530,$V$6:$X$135,3,FALSE)+$C$2</f>
        <v>231.43748758147527</v>
      </c>
      <c r="G534" s="72">
        <f>VLOOKUP('Old Data'!$P530,$V$6:$X$135,2,FALSE)+VLOOKUP('Old Data'!$F530,$V$6:$X$135,3,FALSE)+$C$2</f>
        <v>123.3889378766828</v>
      </c>
      <c r="H534" s="74">
        <f>('Old Data'!$K530-$F534)^2+('Old Data'!$U530-$G534)^2</f>
        <v>21689.203289028897</v>
      </c>
      <c r="I534" s="75">
        <f>('Old Data'!$L530+'Old Data'!$M530)-('Old Data'!$V530+'Old Data'!$W530)</f>
        <v>46</v>
      </c>
      <c r="J534" s="72">
        <f>VLOOKUP('Old Data'!$F530,$Z$6:$AB$135,2,FALSE)+VLOOKUP('Old Data'!$P530,$Z$6:$AB$135,3,FALSE)+$D$2</f>
        <v>101.6047173667608</v>
      </c>
      <c r="K534" s="72">
        <f>VLOOKUP('Old Data'!$P530,$Z$6:$AB$135,2,FALSE)+VLOOKUP('Old Data'!$F530,$Z$6:$AB$135,3,FALSE)+$D$2</f>
        <v>71.810438431477479</v>
      </c>
      <c r="L534" s="74">
        <f>('Old Data'!$L530+'Old Data'!$M530-$J534)^2+('Old Data'!$V530+'Old Data'!$W530-$K534)^2</f>
        <v>662.19873344024336</v>
      </c>
      <c r="M534" s="75">
        <f>'Old Data'!$N530-'Old Data'!$X530</f>
        <v>-2</v>
      </c>
      <c r="N534" s="72">
        <f>VLOOKUP('Old Data'!$F530,$AD$6:$AF$135,2,FALSE)+VLOOKUP('Old Data'!$P530,$AD$6:$AF$135,3,FALSE)+$E$2</f>
        <v>1.1925234721733582</v>
      </c>
      <c r="O534" s="72">
        <f>VLOOKUP('Old Data'!$P530,$AD$6:$AF$135,2,FALSE)+VLOOKUP('Old Data'!$F530,$AD$6:$AF$135,3,FALSE)+$E$2</f>
        <v>2.0576793975016479</v>
      </c>
      <c r="P534" s="73">
        <f>('Old Data'!$N530-$N534)^2+('Old Data'!$X530-$O534)^2</f>
        <v>1.4254391445805552</v>
      </c>
      <c r="Q534" s="62"/>
      <c r="R534" s="3"/>
      <c r="S534" s="3"/>
      <c r="T534" s="3"/>
      <c r="V534" s="3"/>
      <c r="W534" s="3"/>
      <c r="X534" s="3"/>
      <c r="Z534" s="3"/>
      <c r="AA534" s="3"/>
      <c r="AB534" s="3"/>
      <c r="AC534" s="3"/>
      <c r="AD534" s="3"/>
      <c r="AE534" s="3"/>
      <c r="AF534" s="3"/>
      <c r="AG534" s="3"/>
      <c r="AH534" s="37"/>
      <c r="AI534" s="1"/>
      <c r="AK534" s="10"/>
      <c r="AL534" s="10"/>
      <c r="AM534" s="10"/>
      <c r="AN534" s="11"/>
      <c r="AO534" s="11"/>
      <c r="AP534" s="11"/>
      <c r="AQ534" s="36"/>
      <c r="AR534" s="11"/>
      <c r="AS534" s="11"/>
      <c r="AT534" s="11"/>
      <c r="AU534" s="12"/>
      <c r="AV534" s="11"/>
      <c r="AW534" s="11"/>
      <c r="AX534" s="15"/>
      <c r="AY534" s="15"/>
      <c r="AZ534" s="15"/>
      <c r="BA534" s="15"/>
      <c r="BB534" s="15"/>
      <c r="BC534" s="15"/>
      <c r="BD534" s="15"/>
      <c r="BE534" s="12"/>
      <c r="BF534" s="11"/>
      <c r="BG534" s="11"/>
      <c r="BH534" s="10"/>
      <c r="BI534" s="10"/>
      <c r="BJ534" s="10"/>
      <c r="BK534" s="23"/>
      <c r="BL534" s="23"/>
      <c r="BM534" s="23"/>
      <c r="BN534" s="23"/>
      <c r="BO534" s="23"/>
      <c r="BP534" s="23"/>
      <c r="BQ534" s="23"/>
      <c r="BR534" s="10"/>
      <c r="BS534" s="16"/>
      <c r="BT534" s="16"/>
      <c r="BU534" s="16"/>
      <c r="BV534" s="16"/>
      <c r="BW534" s="11"/>
      <c r="BX534" s="16"/>
      <c r="BY534" s="16"/>
      <c r="BZ534" s="17"/>
      <c r="CA534" s="18"/>
      <c r="CB534" s="18"/>
      <c r="CC534" s="18"/>
      <c r="CD534" s="18"/>
      <c r="CE534" s="18"/>
      <c r="CF534" s="18"/>
      <c r="CG534" s="19"/>
      <c r="CH534" s="15"/>
      <c r="CI534" s="17"/>
      <c r="CJ534" s="10"/>
      <c r="CK534" s="10"/>
      <c r="CL534" s="10"/>
      <c r="CM534" s="17"/>
      <c r="CN534" s="17"/>
      <c r="CO534" s="10"/>
      <c r="CP534" s="10"/>
      <c r="CQ534" s="10"/>
      <c r="CR534" s="10"/>
      <c r="CS534" s="10"/>
      <c r="CT534" s="10"/>
      <c r="CU534" s="10"/>
      <c r="CV534" s="10"/>
      <c r="CW534" s="10"/>
      <c r="CX534" s="10"/>
      <c r="CY534" s="10"/>
      <c r="CZ534" s="10"/>
      <c r="DA534" s="34"/>
      <c r="DB534" s="34"/>
      <c r="DC534" s="34"/>
      <c r="DD534" s="34"/>
      <c r="DE534" s="34"/>
      <c r="DF534" s="34"/>
      <c r="DG534" s="34"/>
      <c r="DH534" s="34"/>
      <c r="DI534" s="34"/>
      <c r="DJ534" s="34"/>
      <c r="DK534" s="34"/>
      <c r="DL534" s="34"/>
      <c r="DM534" s="34"/>
      <c r="DN534" s="34"/>
      <c r="DO534" s="34"/>
      <c r="DP534" s="34"/>
      <c r="DQ534" s="34"/>
      <c r="DR534" s="34"/>
      <c r="DS534" s="34"/>
      <c r="DT534" s="34"/>
      <c r="DU534" s="34"/>
      <c r="DV534" s="34"/>
      <c r="DW534" s="34"/>
      <c r="DX534" s="34"/>
      <c r="DY534" s="34"/>
      <c r="DZ534" s="34"/>
      <c r="EA534" s="34"/>
      <c r="EB534" s="34"/>
      <c r="EC534" s="34"/>
      <c r="ED534" s="34"/>
      <c r="EE534" s="34"/>
    </row>
    <row r="535" spans="1:135" customFormat="1">
      <c r="A535" s="71">
        <f>'Old Data'!$I531-'Old Data'!$S531</f>
        <v>45</v>
      </c>
      <c r="B535" s="72">
        <f>VLOOKUP('Old Data'!$F531,$R$6:$T$135,2,FALSE)+VLOOKUP('Old Data'!$P531,$R$6:$T$135,3,FALSE)+$B$2</f>
        <v>160.77930780350289</v>
      </c>
      <c r="C535" s="72">
        <f>VLOOKUP('Old Data'!$P531,$R$6:$T$135,2,FALSE)+VLOOKUP('Old Data'!$F531,$R$6:$T$135,3,FALSE)+$B$2</f>
        <v>251.79967094489768</v>
      </c>
      <c r="D535" s="74">
        <f>('Old Data'!$I531-$B535)^2+('Old Data'!$S531-$C535)^2</f>
        <v>15254.545886329668</v>
      </c>
      <c r="E535" s="75">
        <f>'Old Data'!$K531-'Old Data'!$U531</f>
        <v>-139</v>
      </c>
      <c r="F535" s="72">
        <f>VLOOKUP('Old Data'!$F531,$V$6:$X$135,2,FALSE)+VLOOKUP('Old Data'!$P531,$V$6:$X$135,3,FALSE)+$C$2</f>
        <v>160.41812692957879</v>
      </c>
      <c r="G535" s="72">
        <f>VLOOKUP('Old Data'!$P531,$V$6:$X$135,2,FALSE)+VLOOKUP('Old Data'!$F531,$V$6:$X$135,3,FALSE)+$C$2</f>
        <v>213.94733072194347</v>
      </c>
      <c r="H535" s="74">
        <f>('Old Data'!$K531-$F535)^2+('Old Data'!$U531-$G535)^2</f>
        <v>22593.931039784253</v>
      </c>
      <c r="I535" s="75">
        <f>('Old Data'!$L531+'Old Data'!$M531)-('Old Data'!$V531+'Old Data'!$W531)</f>
        <v>5</v>
      </c>
      <c r="J535" s="72">
        <f>VLOOKUP('Old Data'!$F531,$Z$6:$AB$135,2,FALSE)+VLOOKUP('Old Data'!$P531,$Z$6:$AB$135,3,FALSE)+$D$2</f>
        <v>60.662626229789048</v>
      </c>
      <c r="K535" s="72">
        <f>VLOOKUP('Old Data'!$P531,$Z$6:$AB$135,2,FALSE)+VLOOKUP('Old Data'!$F531,$Z$6:$AB$135,3,FALSE)+$D$2</f>
        <v>15.428067894749901</v>
      </c>
      <c r="L535" s="74">
        <f>('Old Data'!$L531+'Old Data'!$M531-$J535)^2+('Old Data'!$V531+'Old Data'!$W531-$K535)^2</f>
        <v>3059.9904612640566</v>
      </c>
      <c r="M535" s="75">
        <f>'Old Data'!$N531-'Old Data'!$X531</f>
        <v>0</v>
      </c>
      <c r="N535" s="72">
        <f>VLOOKUP('Old Data'!$F531,$AD$6:$AF$135,2,FALSE)+VLOOKUP('Old Data'!$P531,$AD$6:$AF$135,3,FALSE)+$E$2</f>
        <v>0.23614337032673904</v>
      </c>
      <c r="O535" s="72">
        <f>VLOOKUP('Old Data'!$P531,$AD$6:$AF$135,2,FALSE)+VLOOKUP('Old Data'!$F531,$AD$6:$AF$135,3,FALSE)+$E$2</f>
        <v>1.1531424549596445</v>
      </c>
      <c r="P535" s="73">
        <f>('Old Data'!$N531-$N535)^2+('Old Data'!$X531-$O535)^2</f>
        <v>0.60692956220686001</v>
      </c>
      <c r="Q535" s="62"/>
      <c r="R535" s="3"/>
      <c r="S535" s="3"/>
      <c r="T535" s="3"/>
      <c r="V535" s="3"/>
      <c r="W535" s="3"/>
      <c r="X535" s="3"/>
      <c r="Z535" s="3"/>
      <c r="AA535" s="3"/>
      <c r="AB535" s="3"/>
      <c r="AC535" s="3"/>
      <c r="AD535" s="3"/>
      <c r="AE535" s="3"/>
      <c r="AF535" s="3"/>
      <c r="AG535" s="3"/>
      <c r="AH535" s="37"/>
      <c r="AI535" s="1"/>
      <c r="AK535" s="10"/>
      <c r="AL535" s="10"/>
      <c r="AM535" s="10"/>
      <c r="AN535" s="11"/>
      <c r="AO535" s="11"/>
      <c r="AP535" s="11"/>
      <c r="AQ535" s="36"/>
      <c r="AR535" s="11"/>
      <c r="AS535" s="11"/>
      <c r="AT535" s="11"/>
      <c r="AU535" s="12"/>
      <c r="AV535" s="11"/>
      <c r="AW535" s="11"/>
      <c r="AX535" s="15"/>
      <c r="AY535" s="15"/>
      <c r="AZ535" s="15"/>
      <c r="BA535" s="15"/>
      <c r="BB535" s="15"/>
      <c r="BC535" s="15"/>
      <c r="BD535" s="15"/>
      <c r="BE535" s="12"/>
      <c r="BF535" s="11"/>
      <c r="BG535" s="11"/>
      <c r="BH535" s="10"/>
      <c r="BI535" s="10"/>
      <c r="BJ535" s="10"/>
      <c r="BK535" s="23"/>
      <c r="BL535" s="23"/>
      <c r="BM535" s="23"/>
      <c r="BN535" s="23"/>
      <c r="BO535" s="23"/>
      <c r="BP535" s="23"/>
      <c r="BQ535" s="23"/>
      <c r="BR535" s="10"/>
      <c r="BS535" s="16"/>
      <c r="BT535" s="16"/>
      <c r="BU535" s="16"/>
      <c r="BV535" s="16"/>
      <c r="BW535" s="11"/>
      <c r="BX535" s="16"/>
      <c r="BY535" s="16"/>
      <c r="BZ535" s="17"/>
      <c r="CA535" s="18"/>
      <c r="CB535" s="18"/>
      <c r="CC535" s="18"/>
      <c r="CD535" s="18"/>
      <c r="CE535" s="18"/>
      <c r="CF535" s="18"/>
      <c r="CG535" s="19"/>
      <c r="CH535" s="15"/>
      <c r="CI535" s="17"/>
      <c r="CJ535" s="10"/>
      <c r="CK535" s="10"/>
      <c r="CL535" s="10"/>
      <c r="CM535" s="17"/>
      <c r="CN535" s="17"/>
      <c r="CO535" s="10"/>
      <c r="CP535" s="10"/>
      <c r="CQ535" s="10"/>
      <c r="CR535" s="10"/>
      <c r="CS535" s="10"/>
      <c r="CT535" s="10"/>
      <c r="CU535" s="10"/>
      <c r="CV535" s="10"/>
      <c r="CW535" s="10"/>
      <c r="CX535" s="10"/>
      <c r="CY535" s="10"/>
      <c r="CZ535" s="10"/>
      <c r="DA535" s="34"/>
      <c r="DB535" s="34"/>
      <c r="DC535" s="34"/>
      <c r="DD535" s="34"/>
      <c r="DE535" s="34"/>
      <c r="DF535" s="34"/>
      <c r="DG535" s="34"/>
      <c r="DH535" s="34"/>
      <c r="DI535" s="34"/>
      <c r="DJ535" s="34"/>
      <c r="DK535" s="34"/>
      <c r="DL535" s="34"/>
      <c r="DM535" s="34"/>
      <c r="DN535" s="34"/>
      <c r="DO535" s="34"/>
      <c r="DP535" s="34"/>
      <c r="DQ535" s="34"/>
      <c r="DR535" s="34"/>
      <c r="DS535" s="34"/>
      <c r="DT535" s="34"/>
      <c r="DU535" s="34"/>
      <c r="DV535" s="34"/>
      <c r="DW535" s="34"/>
      <c r="DX535" s="34"/>
      <c r="DY535" s="34"/>
      <c r="DZ535" s="34"/>
      <c r="EA535" s="34"/>
      <c r="EB535" s="34"/>
      <c r="EC535" s="34"/>
      <c r="ED535" s="34"/>
      <c r="EE535" s="34"/>
    </row>
    <row r="536" spans="1:135" customFormat="1">
      <c r="A536" s="71">
        <f>'Old Data'!$I532-'Old Data'!$S532</f>
        <v>12</v>
      </c>
      <c r="B536" s="72">
        <f>VLOOKUP('Old Data'!$F532,$R$6:$T$135,2,FALSE)+VLOOKUP('Old Data'!$P532,$R$6:$T$135,3,FALSE)+$B$2</f>
        <v>187.75393388671472</v>
      </c>
      <c r="C536" s="72">
        <f>VLOOKUP('Old Data'!$P532,$R$6:$T$135,2,FALSE)+VLOOKUP('Old Data'!$F532,$R$6:$T$135,3,FALSE)+$B$2</f>
        <v>152.96312166533721</v>
      </c>
      <c r="D536" s="74">
        <f>('Old Data'!$I532-$B536)^2+('Old Data'!$S532-$C536)^2</f>
        <v>1172.0839783735905</v>
      </c>
      <c r="E536" s="75">
        <f>'Old Data'!$K532-'Old Data'!$U532</f>
        <v>29</v>
      </c>
      <c r="F536" s="72">
        <f>VLOOKUP('Old Data'!$F532,$V$6:$X$135,2,FALSE)+VLOOKUP('Old Data'!$P532,$V$6:$X$135,3,FALSE)+$C$2</f>
        <v>270.17526819475097</v>
      </c>
      <c r="G536" s="72">
        <f>VLOOKUP('Old Data'!$P532,$V$6:$X$135,2,FALSE)+VLOOKUP('Old Data'!$F532,$V$6:$X$135,3,FALSE)+$C$2</f>
        <v>157.34691840820415</v>
      </c>
      <c r="H536" s="74">
        <f>('Old Data'!$K532-$F536)^2+('Old Data'!$U532-$G536)^2</f>
        <v>5282.4012572146685</v>
      </c>
      <c r="I536" s="75">
        <f>('Old Data'!$L532+'Old Data'!$M532)-('Old Data'!$V532+'Old Data'!$W532)</f>
        <v>121</v>
      </c>
      <c r="J536" s="72">
        <f>VLOOKUP('Old Data'!$F532,$Z$6:$AB$135,2,FALSE)+VLOOKUP('Old Data'!$P532,$Z$6:$AB$135,3,FALSE)+$D$2</f>
        <v>108.61763967299109</v>
      </c>
      <c r="K536" s="72">
        <f>VLOOKUP('Old Data'!$P532,$Z$6:$AB$135,2,FALSE)+VLOOKUP('Old Data'!$F532,$Z$6:$AB$135,3,FALSE)+$D$2</f>
        <v>55.957321320378398</v>
      </c>
      <c r="L536" s="74">
        <f>('Old Data'!$L532+'Old Data'!$M532-$J536)^2+('Old Data'!$V532+'Old Data'!$W532-$K536)^2</f>
        <v>2380.9959828453966</v>
      </c>
      <c r="M536" s="75">
        <f>'Old Data'!$N532-'Old Data'!$X532</f>
        <v>1</v>
      </c>
      <c r="N536" s="72">
        <f>VLOOKUP('Old Data'!$F532,$AD$6:$AF$135,2,FALSE)+VLOOKUP('Old Data'!$P532,$AD$6:$AF$135,3,FALSE)+$E$2</f>
        <v>1.7046323626393458</v>
      </c>
      <c r="O536" s="72">
        <f>VLOOKUP('Old Data'!$P532,$AD$6:$AF$135,2,FALSE)+VLOOKUP('Old Data'!$F532,$AD$6:$AF$135,3,FALSE)+$E$2</f>
        <v>1.0382964304334381</v>
      </c>
      <c r="P536" s="73">
        <f>('Old Data'!$N532-$N536)^2+('Old Data'!$X532-$O536)^2</f>
        <v>1.574566243929526</v>
      </c>
      <c r="Q536" s="62"/>
      <c r="R536" s="3"/>
      <c r="S536" s="3"/>
      <c r="T536" s="3"/>
      <c r="V536" s="3"/>
      <c r="W536" s="3"/>
      <c r="X536" s="3"/>
      <c r="Z536" s="3"/>
      <c r="AA536" s="3"/>
      <c r="AB536" s="3"/>
      <c r="AC536" s="3"/>
      <c r="AD536" s="3"/>
      <c r="AE536" s="3"/>
      <c r="AF536" s="3"/>
      <c r="AG536" s="3"/>
      <c r="AH536" s="37"/>
      <c r="AI536" s="1"/>
      <c r="AK536" s="10"/>
      <c r="AL536" s="10"/>
      <c r="AM536" s="10"/>
      <c r="AN536" s="11"/>
      <c r="AO536" s="11"/>
      <c r="AP536" s="11"/>
      <c r="AQ536" s="36"/>
      <c r="AR536" s="11"/>
      <c r="AS536" s="11"/>
      <c r="AT536" s="11"/>
      <c r="AU536" s="12"/>
      <c r="AV536" s="11"/>
      <c r="AW536" s="11"/>
      <c r="AX536" s="15"/>
      <c r="AY536" s="15"/>
      <c r="AZ536" s="15"/>
      <c r="BA536" s="15"/>
      <c r="BB536" s="15"/>
      <c r="BC536" s="15"/>
      <c r="BD536" s="15"/>
      <c r="BE536" s="12"/>
      <c r="BF536" s="11"/>
      <c r="BG536" s="11"/>
      <c r="BH536" s="10"/>
      <c r="BI536" s="10"/>
      <c r="BJ536" s="10"/>
      <c r="BK536" s="23"/>
      <c r="BL536" s="23"/>
      <c r="BM536" s="23"/>
      <c r="BN536" s="23"/>
      <c r="BO536" s="23"/>
      <c r="BP536" s="23"/>
      <c r="BQ536" s="23"/>
      <c r="BR536" s="10"/>
      <c r="BS536" s="16"/>
      <c r="BT536" s="16"/>
      <c r="BU536" s="16"/>
      <c r="BV536" s="16"/>
      <c r="BW536" s="11"/>
      <c r="BX536" s="16"/>
      <c r="BY536" s="16"/>
      <c r="BZ536" s="17"/>
      <c r="CA536" s="18"/>
      <c r="CB536" s="18"/>
      <c r="CC536" s="18"/>
      <c r="CD536" s="18"/>
      <c r="CE536" s="18"/>
      <c r="CF536" s="18"/>
      <c r="CG536" s="19"/>
      <c r="CH536" s="15"/>
      <c r="CI536" s="17"/>
      <c r="CJ536" s="10"/>
      <c r="CK536" s="10"/>
      <c r="CL536" s="10"/>
      <c r="CM536" s="17"/>
      <c r="CN536" s="17"/>
      <c r="CO536" s="10"/>
      <c r="CP536" s="10"/>
      <c r="CQ536" s="10"/>
      <c r="CR536" s="10"/>
      <c r="CS536" s="10"/>
      <c r="CT536" s="10"/>
      <c r="CU536" s="10"/>
      <c r="CV536" s="10"/>
      <c r="CW536" s="10"/>
      <c r="CX536" s="10"/>
      <c r="CY536" s="10"/>
      <c r="CZ536" s="10"/>
      <c r="DA536" s="34"/>
      <c r="DB536" s="34"/>
      <c r="DC536" s="34"/>
      <c r="DD536" s="34"/>
      <c r="DE536" s="34"/>
      <c r="DF536" s="34"/>
      <c r="DG536" s="34"/>
      <c r="DH536" s="34"/>
      <c r="DI536" s="34"/>
      <c r="DJ536" s="34"/>
      <c r="DK536" s="34"/>
      <c r="DL536" s="34"/>
      <c r="DM536" s="34"/>
      <c r="DN536" s="34"/>
      <c r="DO536" s="34"/>
      <c r="DP536" s="34"/>
      <c r="DQ536" s="34"/>
      <c r="DR536" s="34"/>
      <c r="DS536" s="34"/>
      <c r="DT536" s="34"/>
      <c r="DU536" s="34"/>
      <c r="DV536" s="34"/>
      <c r="DW536" s="34"/>
      <c r="DX536" s="34"/>
      <c r="DY536" s="34"/>
      <c r="DZ536" s="34"/>
      <c r="EA536" s="34"/>
      <c r="EB536" s="34"/>
      <c r="EC536" s="34"/>
      <c r="ED536" s="34"/>
      <c r="EE536" s="34"/>
    </row>
    <row r="537" spans="1:135" customFormat="1">
      <c r="A537" s="71">
        <f>'Old Data'!$I533-'Old Data'!$S533</f>
        <v>165</v>
      </c>
      <c r="B537" s="72">
        <f>VLOOKUP('Old Data'!$F533,$R$6:$T$135,2,FALSE)+VLOOKUP('Old Data'!$P533,$R$6:$T$135,3,FALSE)+$B$2</f>
        <v>179.91744394639053</v>
      </c>
      <c r="C537" s="72">
        <f>VLOOKUP('Old Data'!$P533,$R$6:$T$135,2,FALSE)+VLOOKUP('Old Data'!$F533,$R$6:$T$135,3,FALSE)+$B$2</f>
        <v>146.94520434431158</v>
      </c>
      <c r="D537" s="74">
        <f>('Old Data'!$I533-$B537)^2+('Old Data'!$S533-$C537)^2</f>
        <v>9358.7295290567235</v>
      </c>
      <c r="E537" s="75">
        <f>'Old Data'!$K533-'Old Data'!$U533</f>
        <v>4</v>
      </c>
      <c r="F537" s="72">
        <f>VLOOKUP('Old Data'!$F533,$V$6:$X$135,2,FALSE)+VLOOKUP('Old Data'!$P533,$V$6:$X$135,3,FALSE)+$C$2</f>
        <v>259.39446146894528</v>
      </c>
      <c r="G537" s="72">
        <f>VLOOKUP('Old Data'!$P533,$V$6:$X$135,2,FALSE)+VLOOKUP('Old Data'!$F533,$V$6:$X$135,3,FALSE)+$C$2</f>
        <v>287.41305140186569</v>
      </c>
      <c r="H537" s="74">
        <f>('Old Data'!$K533-$F537)^2+('Old Data'!$U533-$G537)^2</f>
        <v>2744.2169386380424</v>
      </c>
      <c r="I537" s="75">
        <f>('Old Data'!$L533+'Old Data'!$M533)-('Old Data'!$V533+'Old Data'!$W533)</f>
        <v>127</v>
      </c>
      <c r="J537" s="72">
        <f>VLOOKUP('Old Data'!$F533,$Z$6:$AB$135,2,FALSE)+VLOOKUP('Old Data'!$P533,$Z$6:$AB$135,3,FALSE)+$D$2</f>
        <v>114.1148099118528</v>
      </c>
      <c r="K537" s="72">
        <f>VLOOKUP('Old Data'!$P533,$Z$6:$AB$135,2,FALSE)+VLOOKUP('Old Data'!$F533,$Z$6:$AB$135,3,FALSE)+$D$2</f>
        <v>24.850686175873996</v>
      </c>
      <c r="L537" s="74">
        <f>('Old Data'!$L533+'Old Data'!$M533-$J537)^2+('Old Data'!$V533+'Old Data'!$W533-$K537)^2</f>
        <v>784.41282091401854</v>
      </c>
      <c r="M537" s="75">
        <f>'Old Data'!$N533-'Old Data'!$X533</f>
        <v>0</v>
      </c>
      <c r="N537" s="72">
        <f>VLOOKUP('Old Data'!$F533,$AD$6:$AF$135,2,FALSE)+VLOOKUP('Old Data'!$P533,$AD$6:$AF$135,3,FALSE)+$E$2</f>
        <v>1.3111376802361652</v>
      </c>
      <c r="O537" s="72">
        <f>VLOOKUP('Old Data'!$P533,$AD$6:$AF$135,2,FALSE)+VLOOKUP('Old Data'!$F533,$AD$6:$AF$135,3,FALSE)+$E$2</f>
        <v>2.58608047801774</v>
      </c>
      <c r="P537" s="73">
        <f>('Old Data'!$N533-$N537)^2+('Old Data'!$X533-$O537)^2</f>
        <v>0.81802162230391451</v>
      </c>
      <c r="Q537" s="62"/>
      <c r="R537" s="3"/>
      <c r="S537" s="3"/>
      <c r="T537" s="3"/>
      <c r="V537" s="3"/>
      <c r="W537" s="3"/>
      <c r="X537" s="3"/>
      <c r="Z537" s="3"/>
      <c r="AA537" s="3"/>
      <c r="AB537" s="3"/>
      <c r="AC537" s="3"/>
      <c r="AD537" s="3"/>
      <c r="AE537" s="3"/>
      <c r="AF537" s="3"/>
      <c r="AG537" s="3"/>
      <c r="AH537" s="37"/>
      <c r="AI537" s="1"/>
      <c r="AK537" s="10"/>
      <c r="AL537" s="10"/>
      <c r="AM537" s="10"/>
      <c r="AN537" s="11"/>
      <c r="AO537" s="11"/>
      <c r="AP537" s="11"/>
      <c r="AQ537" s="36"/>
      <c r="AR537" s="11"/>
      <c r="AS537" s="11"/>
      <c r="AT537" s="11"/>
      <c r="AU537" s="12"/>
      <c r="AV537" s="11"/>
      <c r="AW537" s="11"/>
      <c r="AX537" s="15"/>
      <c r="AY537" s="15"/>
      <c r="AZ537" s="15"/>
      <c r="BA537" s="15"/>
      <c r="BB537" s="15"/>
      <c r="BC537" s="15"/>
      <c r="BD537" s="15"/>
      <c r="BE537" s="12"/>
      <c r="BF537" s="11"/>
      <c r="BG537" s="11"/>
      <c r="BH537" s="10"/>
      <c r="BI537" s="10"/>
      <c r="BJ537" s="10"/>
      <c r="BK537" s="23"/>
      <c r="BL537" s="23"/>
      <c r="BM537" s="23"/>
      <c r="BN537" s="23"/>
      <c r="BO537" s="23"/>
      <c r="BP537" s="23"/>
      <c r="BQ537" s="23"/>
      <c r="BR537" s="10"/>
      <c r="BS537" s="16"/>
      <c r="BT537" s="16"/>
      <c r="BU537" s="16"/>
      <c r="BV537" s="16"/>
      <c r="BW537" s="11"/>
      <c r="BX537" s="16"/>
      <c r="BY537" s="16"/>
      <c r="BZ537" s="17"/>
      <c r="CA537" s="18"/>
      <c r="CB537" s="18"/>
      <c r="CC537" s="18"/>
      <c r="CD537" s="18"/>
      <c r="CE537" s="18"/>
      <c r="CF537" s="18"/>
      <c r="CG537" s="19"/>
      <c r="CH537" s="15"/>
      <c r="CI537" s="17"/>
      <c r="CJ537" s="10"/>
      <c r="CK537" s="10"/>
      <c r="CL537" s="10"/>
      <c r="CM537" s="17"/>
      <c r="CN537" s="17"/>
      <c r="CO537" s="10"/>
      <c r="CP537" s="10"/>
      <c r="CQ537" s="10"/>
      <c r="CR537" s="10"/>
      <c r="CS537" s="10"/>
      <c r="CT537" s="10"/>
      <c r="CU537" s="10"/>
      <c r="CV537" s="10"/>
      <c r="CW537" s="10"/>
      <c r="CX537" s="10"/>
      <c r="CY537" s="10"/>
      <c r="CZ537" s="10"/>
      <c r="DA537" s="34"/>
      <c r="DB537" s="34"/>
      <c r="DC537" s="34"/>
      <c r="DD537" s="34"/>
      <c r="DE537" s="34"/>
      <c r="DF537" s="34"/>
      <c r="DG537" s="34"/>
      <c r="DH537" s="34"/>
      <c r="DI537" s="34"/>
      <c r="DJ537" s="34"/>
      <c r="DK537" s="34"/>
      <c r="DL537" s="34"/>
      <c r="DM537" s="34"/>
      <c r="DN537" s="34"/>
      <c r="DO537" s="34"/>
      <c r="DP537" s="34"/>
      <c r="DQ537" s="34"/>
      <c r="DR537" s="34"/>
      <c r="DS537" s="34"/>
      <c r="DT537" s="34"/>
      <c r="DU537" s="34"/>
      <c r="DV537" s="34"/>
      <c r="DW537" s="34"/>
      <c r="DX537" s="34"/>
      <c r="DY537" s="34"/>
      <c r="DZ537" s="34"/>
      <c r="EA537" s="34"/>
      <c r="EB537" s="34"/>
      <c r="EC537" s="34"/>
      <c r="ED537" s="34"/>
      <c r="EE537" s="34"/>
    </row>
    <row r="538" spans="1:135" customFormat="1">
      <c r="A538" s="71">
        <f>'Old Data'!$I534-'Old Data'!$S534</f>
        <v>214</v>
      </c>
      <c r="B538" s="72">
        <f>VLOOKUP('Old Data'!$F534,$R$6:$T$135,2,FALSE)+VLOOKUP('Old Data'!$P534,$R$6:$T$135,3,FALSE)+$B$2</f>
        <v>194.5261595547984</v>
      </c>
      <c r="C538" s="72">
        <f>VLOOKUP('Old Data'!$P534,$R$6:$T$135,2,FALSE)+VLOOKUP('Old Data'!$F534,$R$6:$T$135,3,FALSE)+$B$2</f>
        <v>69.69085365114735</v>
      </c>
      <c r="D538" s="74">
        <f>('Old Data'!$I534-$B538)^2+('Old Data'!$S534-$C538)^2</f>
        <v>11885.851220064356</v>
      </c>
      <c r="E538" s="75">
        <f>'Old Data'!$K534-'Old Data'!$U534</f>
        <v>-35</v>
      </c>
      <c r="F538" s="72">
        <f>VLOOKUP('Old Data'!$F534,$V$6:$X$135,2,FALSE)+VLOOKUP('Old Data'!$P534,$V$6:$X$135,3,FALSE)+$C$2</f>
        <v>186.13374153844168</v>
      </c>
      <c r="G538" s="72">
        <f>VLOOKUP('Old Data'!$P534,$V$6:$X$135,2,FALSE)+VLOOKUP('Old Data'!$F534,$V$6:$X$135,3,FALSE)+$C$2</f>
        <v>181.11721236124345</v>
      </c>
      <c r="H538" s="74">
        <f>('Old Data'!$K534-$F538)^2+('Old Data'!$U534-$G538)^2</f>
        <v>895.17943802907075</v>
      </c>
      <c r="I538" s="75">
        <f>('Old Data'!$L534+'Old Data'!$M534)-('Old Data'!$V534+'Old Data'!$W534)</f>
        <v>47</v>
      </c>
      <c r="J538" s="72">
        <f>VLOOKUP('Old Data'!$F534,$Z$6:$AB$135,2,FALSE)+VLOOKUP('Old Data'!$P534,$Z$6:$AB$135,3,FALSE)+$D$2</f>
        <v>54.972890914681898</v>
      </c>
      <c r="K538" s="72">
        <f>VLOOKUP('Old Data'!$P534,$Z$6:$AB$135,2,FALSE)+VLOOKUP('Old Data'!$F534,$Z$6:$AB$135,3,FALSE)+$D$2</f>
        <v>20.060508088041928</v>
      </c>
      <c r="L538" s="74">
        <f>('Old Data'!$L534+'Old Data'!$M534-$J538)^2+('Old Data'!$V534+'Old Data'!$W534-$K538)^2</f>
        <v>200.52141816796444</v>
      </c>
      <c r="M538" s="75">
        <f>'Old Data'!$N534-'Old Data'!$X534</f>
        <v>-1</v>
      </c>
      <c r="N538" s="72">
        <f>VLOOKUP('Old Data'!$F534,$AD$6:$AF$135,2,FALSE)+VLOOKUP('Old Data'!$P534,$AD$6:$AF$135,3,FALSE)+$E$2</f>
        <v>1.0284003035054932</v>
      </c>
      <c r="O538" s="72">
        <f>VLOOKUP('Old Data'!$P534,$AD$6:$AF$135,2,FALSE)+VLOOKUP('Old Data'!$F534,$AD$6:$AF$135,3,FALSE)+$E$2</f>
        <v>1.6238790003347923</v>
      </c>
      <c r="P538" s="73">
        <f>('Old Data'!$N534-$N538)^2+('Old Data'!$X534-$O538)^2</f>
        <v>0.14227358362835932</v>
      </c>
      <c r="Q538" s="62"/>
      <c r="R538" s="3"/>
      <c r="S538" s="3"/>
      <c r="T538" s="3"/>
      <c r="V538" s="3"/>
      <c r="W538" s="3"/>
      <c r="X538" s="3"/>
      <c r="Z538" s="3"/>
      <c r="AA538" s="3"/>
      <c r="AB538" s="3"/>
      <c r="AC538" s="3"/>
      <c r="AD538" s="3"/>
      <c r="AE538" s="3"/>
      <c r="AF538" s="3"/>
      <c r="AG538" s="3"/>
      <c r="AH538" s="37"/>
      <c r="AI538" s="1"/>
      <c r="AK538" s="10"/>
      <c r="AL538" s="10"/>
      <c r="AM538" s="10"/>
      <c r="AN538" s="11"/>
      <c r="AO538" s="11"/>
      <c r="AP538" s="11"/>
      <c r="AQ538" s="36"/>
      <c r="AR538" s="11"/>
      <c r="AS538" s="11"/>
      <c r="AT538" s="11"/>
      <c r="AU538" s="12"/>
      <c r="AV538" s="11"/>
      <c r="AW538" s="11"/>
      <c r="AX538" s="15"/>
      <c r="AY538" s="15"/>
      <c r="AZ538" s="15"/>
      <c r="BA538" s="15"/>
      <c r="BB538" s="15"/>
      <c r="BC538" s="15"/>
      <c r="BD538" s="15"/>
      <c r="BE538" s="12"/>
      <c r="BF538" s="11"/>
      <c r="BG538" s="11"/>
      <c r="BH538" s="10"/>
      <c r="BI538" s="10"/>
      <c r="BJ538" s="10"/>
      <c r="BK538" s="23"/>
      <c r="BL538" s="23"/>
      <c r="BM538" s="23"/>
      <c r="BN538" s="23"/>
      <c r="BO538" s="23"/>
      <c r="BP538" s="23"/>
      <c r="BQ538" s="23"/>
      <c r="BR538" s="10"/>
      <c r="BS538" s="16"/>
      <c r="BT538" s="16"/>
      <c r="BU538" s="16"/>
      <c r="BV538" s="16"/>
      <c r="BW538" s="11"/>
      <c r="BX538" s="16"/>
      <c r="BY538" s="16"/>
      <c r="BZ538" s="17"/>
      <c r="CA538" s="18"/>
      <c r="CB538" s="18"/>
      <c r="CC538" s="18"/>
      <c r="CD538" s="18"/>
      <c r="CE538" s="18"/>
      <c r="CF538" s="18"/>
      <c r="CG538" s="19"/>
      <c r="CH538" s="15"/>
      <c r="CI538" s="17"/>
      <c r="CJ538" s="10"/>
      <c r="CK538" s="10"/>
      <c r="CL538" s="10"/>
      <c r="CM538" s="17"/>
      <c r="CN538" s="17"/>
      <c r="CO538" s="10"/>
      <c r="CP538" s="10"/>
      <c r="CQ538" s="10"/>
      <c r="CR538" s="10"/>
      <c r="CS538" s="10"/>
      <c r="CT538" s="10"/>
      <c r="CU538" s="10"/>
      <c r="CV538" s="10"/>
      <c r="CW538" s="10"/>
      <c r="CX538" s="10"/>
      <c r="CY538" s="10"/>
      <c r="CZ538" s="10"/>
      <c r="DA538" s="34"/>
      <c r="DB538" s="34"/>
      <c r="DC538" s="34"/>
      <c r="DD538" s="34"/>
      <c r="DE538" s="34"/>
      <c r="DF538" s="34"/>
      <c r="DG538" s="34"/>
      <c r="DH538" s="34"/>
      <c r="DI538" s="34"/>
      <c r="DJ538" s="34"/>
      <c r="DK538" s="34"/>
      <c r="DL538" s="34"/>
      <c r="DM538" s="34"/>
      <c r="DN538" s="34"/>
      <c r="DO538" s="34"/>
      <c r="DP538" s="34"/>
      <c r="DQ538" s="34"/>
      <c r="DR538" s="34"/>
      <c r="DS538" s="34"/>
      <c r="DT538" s="34"/>
      <c r="DU538" s="34"/>
      <c r="DV538" s="34"/>
      <c r="DW538" s="34"/>
      <c r="DX538" s="34"/>
      <c r="DY538" s="34"/>
      <c r="DZ538" s="34"/>
      <c r="EA538" s="34"/>
      <c r="EB538" s="34"/>
      <c r="EC538" s="34"/>
      <c r="ED538" s="34"/>
      <c r="EE538" s="34"/>
    </row>
    <row r="539" spans="1:135" customFormat="1">
      <c r="A539" s="71">
        <f>'Old Data'!$I535-'Old Data'!$S535</f>
        <v>-76</v>
      </c>
      <c r="B539" s="72">
        <f>VLOOKUP('Old Data'!$F535,$R$6:$T$135,2,FALSE)+VLOOKUP('Old Data'!$P535,$R$6:$T$135,3,FALSE)+$B$2</f>
        <v>84.344873528697306</v>
      </c>
      <c r="C539" s="72">
        <f>VLOOKUP('Old Data'!$P535,$R$6:$T$135,2,FALSE)+VLOOKUP('Old Data'!$F535,$R$6:$T$135,3,FALSE)+$B$2</f>
        <v>133.02591243181061</v>
      </c>
      <c r="D539" s="74">
        <f>('Old Data'!$I535-$B539)^2+('Old Data'!$S535-$C539)^2</f>
        <v>1148.1922112806681</v>
      </c>
      <c r="E539" s="75">
        <f>'Old Data'!$K535-'Old Data'!$U535</f>
        <v>144</v>
      </c>
      <c r="F539" s="72">
        <f>VLOOKUP('Old Data'!$F535,$V$6:$X$135,2,FALSE)+VLOOKUP('Old Data'!$P535,$V$6:$X$135,3,FALSE)+$C$2</f>
        <v>345.12009930297813</v>
      </c>
      <c r="G539" s="72">
        <f>VLOOKUP('Old Data'!$P535,$V$6:$X$135,2,FALSE)+VLOOKUP('Old Data'!$F535,$V$6:$X$135,3,FALSE)+$C$2</f>
        <v>323.28292205033097</v>
      </c>
      <c r="H539" s="74">
        <f>('Old Data'!$K535-$F539)^2+('Old Data'!$U535-$G539)^2</f>
        <v>24315.802914897311</v>
      </c>
      <c r="I539" s="75">
        <f>('Old Data'!$L535+'Old Data'!$M535)-('Old Data'!$V535+'Old Data'!$W535)</f>
        <v>-16</v>
      </c>
      <c r="J539" s="72">
        <f>VLOOKUP('Old Data'!$F535,$Z$6:$AB$135,2,FALSE)+VLOOKUP('Old Data'!$P535,$Z$6:$AB$135,3,FALSE)+$D$2</f>
        <v>66.766790642367653</v>
      </c>
      <c r="K539" s="72">
        <f>VLOOKUP('Old Data'!$P535,$Z$6:$AB$135,2,FALSE)+VLOOKUP('Old Data'!$F535,$Z$6:$AB$135,3,FALSE)+$D$2</f>
        <v>62.429856654210198</v>
      </c>
      <c r="L539" s="74">
        <f>('Old Data'!$L535+'Old Data'!$M535-$J539)^2+('Old Data'!$V535+'Old Data'!$W535-$K539)^2</f>
        <v>232.69130817500758</v>
      </c>
      <c r="M539" s="75">
        <f>'Old Data'!$N535-'Old Data'!$X535</f>
        <v>-4</v>
      </c>
      <c r="N539" s="72">
        <f>VLOOKUP('Old Data'!$F535,$AD$6:$AF$135,2,FALSE)+VLOOKUP('Old Data'!$P535,$AD$6:$AF$135,3,FALSE)+$E$2</f>
        <v>1.0116370547502642</v>
      </c>
      <c r="O539" s="72">
        <f>VLOOKUP('Old Data'!$P535,$AD$6:$AF$135,2,FALSE)+VLOOKUP('Old Data'!$F535,$AD$6:$AF$135,3,FALSE)+$E$2</f>
        <v>2.0833192409051278</v>
      </c>
      <c r="P539" s="73">
        <f>('Old Data'!$N535-$N539)^2+('Old Data'!$X535-$O539)^2</f>
        <v>4.6970746628282845</v>
      </c>
      <c r="Q539" s="62"/>
      <c r="R539" s="3"/>
      <c r="S539" s="3"/>
      <c r="T539" s="3"/>
      <c r="V539" s="3"/>
      <c r="W539" s="3"/>
      <c r="X539" s="3"/>
      <c r="Z539" s="3"/>
      <c r="AA539" s="3"/>
      <c r="AB539" s="3"/>
      <c r="AC539" s="3"/>
      <c r="AD539" s="3"/>
      <c r="AE539" s="3"/>
      <c r="AF539" s="3"/>
      <c r="AG539" s="3"/>
      <c r="AH539" s="37"/>
      <c r="AI539" s="1"/>
      <c r="AK539" s="10"/>
      <c r="AL539" s="10"/>
      <c r="AM539" s="10"/>
      <c r="AN539" s="11"/>
      <c r="AO539" s="11"/>
      <c r="AP539" s="11"/>
      <c r="AQ539" s="36"/>
      <c r="AR539" s="11"/>
      <c r="AS539" s="11"/>
      <c r="AT539" s="11"/>
      <c r="AU539" s="12"/>
      <c r="AV539" s="11"/>
      <c r="AW539" s="11"/>
      <c r="AX539" s="15"/>
      <c r="AY539" s="15"/>
      <c r="AZ539" s="15"/>
      <c r="BA539" s="15"/>
      <c r="BB539" s="15"/>
      <c r="BC539" s="15"/>
      <c r="BD539" s="15"/>
      <c r="BE539" s="12"/>
      <c r="BF539" s="11"/>
      <c r="BG539" s="11"/>
      <c r="BH539" s="10"/>
      <c r="BI539" s="10"/>
      <c r="BJ539" s="10"/>
      <c r="BK539" s="23"/>
      <c r="BL539" s="23"/>
      <c r="BM539" s="23"/>
      <c r="BN539" s="23"/>
      <c r="BO539" s="23"/>
      <c r="BP539" s="23"/>
      <c r="BQ539" s="23"/>
      <c r="BR539" s="10"/>
      <c r="BS539" s="16"/>
      <c r="BT539" s="16"/>
      <c r="BU539" s="16"/>
      <c r="BV539" s="16"/>
      <c r="BW539" s="11"/>
      <c r="BX539" s="16"/>
      <c r="BY539" s="16"/>
      <c r="BZ539" s="17"/>
      <c r="CA539" s="18"/>
      <c r="CB539" s="18"/>
      <c r="CC539" s="18"/>
      <c r="CD539" s="18"/>
      <c r="CE539" s="18"/>
      <c r="CF539" s="18"/>
      <c r="CG539" s="19"/>
      <c r="CH539" s="15"/>
      <c r="CI539" s="17"/>
      <c r="CJ539" s="10"/>
      <c r="CK539" s="10"/>
      <c r="CL539" s="10"/>
      <c r="CM539" s="17"/>
      <c r="CN539" s="17"/>
      <c r="CO539" s="10"/>
      <c r="CP539" s="10"/>
      <c r="CQ539" s="10"/>
      <c r="CR539" s="10"/>
      <c r="CS539" s="10"/>
      <c r="CT539" s="10"/>
      <c r="CU539" s="10"/>
      <c r="CV539" s="10"/>
      <c r="CW539" s="10"/>
      <c r="CX539" s="10"/>
      <c r="CY539" s="10"/>
      <c r="CZ539" s="10"/>
      <c r="DA539" s="34"/>
      <c r="DB539" s="34"/>
      <c r="DC539" s="34"/>
      <c r="DD539" s="34"/>
      <c r="DE539" s="34"/>
      <c r="DF539" s="34"/>
      <c r="DG539" s="34"/>
      <c r="DH539" s="34"/>
      <c r="DI539" s="34"/>
      <c r="DJ539" s="34"/>
      <c r="DK539" s="34"/>
      <c r="DL539" s="34"/>
      <c r="DM539" s="34"/>
      <c r="DN539" s="34"/>
      <c r="DO539" s="34"/>
      <c r="DP539" s="34"/>
      <c r="DQ539" s="34"/>
      <c r="DR539" s="34"/>
      <c r="DS539" s="34"/>
      <c r="DT539" s="34"/>
      <c r="DU539" s="34"/>
      <c r="DV539" s="34"/>
      <c r="DW539" s="34"/>
      <c r="DX539" s="34"/>
      <c r="DY539" s="34"/>
      <c r="DZ539" s="34"/>
      <c r="EA539" s="34"/>
      <c r="EB539" s="34"/>
      <c r="EC539" s="34"/>
      <c r="ED539" s="34"/>
      <c r="EE539" s="34"/>
    </row>
    <row r="540" spans="1:135" customFormat="1">
      <c r="A540" s="71">
        <f>'Old Data'!$I536-'Old Data'!$S536</f>
        <v>97</v>
      </c>
      <c r="B540" s="72">
        <f>VLOOKUP('Old Data'!$F536,$R$6:$T$135,2,FALSE)+VLOOKUP('Old Data'!$P536,$R$6:$T$135,3,FALSE)+$B$2</f>
        <v>163.66385749640949</v>
      </c>
      <c r="C540" s="72">
        <f>VLOOKUP('Old Data'!$P536,$R$6:$T$135,2,FALSE)+VLOOKUP('Old Data'!$F536,$R$6:$T$135,3,FALSE)+$B$2</f>
        <v>147.1966864455766</v>
      </c>
      <c r="D540" s="74">
        <f>('Old Data'!$I536-$B540)^2+('Old Data'!$S536-$C540)^2</f>
        <v>4485.8051903732676</v>
      </c>
      <c r="E540" s="75">
        <f>'Old Data'!$K536-'Old Data'!$U536</f>
        <v>-49</v>
      </c>
      <c r="F540" s="72">
        <f>VLOOKUP('Old Data'!$F536,$V$6:$X$135,2,FALSE)+VLOOKUP('Old Data'!$P536,$V$6:$X$135,3,FALSE)+$C$2</f>
        <v>177.67382777925431</v>
      </c>
      <c r="G540" s="72">
        <f>VLOOKUP('Old Data'!$P536,$V$6:$X$135,2,FALSE)+VLOOKUP('Old Data'!$F536,$V$6:$X$135,3,FALSE)+$C$2</f>
        <v>195.51128385893409</v>
      </c>
      <c r="H540" s="74">
        <f>('Old Data'!$K536-$F540)^2+('Old Data'!$U536-$G540)^2</f>
        <v>12624.691789394848</v>
      </c>
      <c r="I540" s="75">
        <f>('Old Data'!$L536+'Old Data'!$M536)-('Old Data'!$V536+'Old Data'!$W536)</f>
        <v>68</v>
      </c>
      <c r="J540" s="72">
        <f>VLOOKUP('Old Data'!$F536,$Z$6:$AB$135,2,FALSE)+VLOOKUP('Old Data'!$P536,$Z$6:$AB$135,3,FALSE)+$D$2</f>
        <v>62.032039734315504</v>
      </c>
      <c r="K540" s="72">
        <f>VLOOKUP('Old Data'!$P536,$Z$6:$AB$135,2,FALSE)+VLOOKUP('Old Data'!$F536,$Z$6:$AB$135,3,FALSE)+$D$2</f>
        <v>69.327267567111349</v>
      </c>
      <c r="L540" s="74">
        <f>('Old Data'!$L536+'Old Data'!$M536-$J540)^2+('Old Data'!$V536+'Old Data'!$W536-$K540)^2</f>
        <v>2845.4536815576121</v>
      </c>
      <c r="M540" s="75">
        <f>'Old Data'!$N536-'Old Data'!$X536</f>
        <v>1</v>
      </c>
      <c r="N540" s="72">
        <f>VLOOKUP('Old Data'!$F536,$AD$6:$AF$135,2,FALSE)+VLOOKUP('Old Data'!$P536,$AD$6:$AF$135,3,FALSE)+$E$2</f>
        <v>1.2745981652483347</v>
      </c>
      <c r="O540" s="72">
        <f>VLOOKUP('Old Data'!$P536,$AD$6:$AF$135,2,FALSE)+VLOOKUP('Old Data'!$F536,$AD$6:$AF$135,3,FALSE)+$E$2</f>
        <v>2.0194687514002192</v>
      </c>
      <c r="P540" s="73">
        <f>('Old Data'!$N536-$N540)^2+('Old Data'!$X536-$O540)^2</f>
        <v>1.5655243569426043</v>
      </c>
      <c r="Q540" s="62"/>
      <c r="R540" s="3"/>
      <c r="S540" s="3"/>
      <c r="T540" s="3"/>
      <c r="V540" s="3"/>
      <c r="W540" s="3"/>
      <c r="X540" s="3"/>
      <c r="Z540" s="3"/>
      <c r="AA540" s="3"/>
      <c r="AB540" s="3"/>
      <c r="AC540" s="3"/>
      <c r="AD540" s="3"/>
      <c r="AE540" s="3"/>
      <c r="AF540" s="3"/>
      <c r="AG540" s="3"/>
      <c r="AH540" s="37"/>
      <c r="AI540" s="1"/>
      <c r="AK540" s="10"/>
      <c r="AL540" s="10"/>
      <c r="AM540" s="10"/>
      <c r="AN540" s="11"/>
      <c r="AO540" s="11"/>
      <c r="AP540" s="11"/>
      <c r="AQ540" s="36"/>
      <c r="AR540" s="11"/>
      <c r="AS540" s="11"/>
      <c r="AT540" s="11"/>
      <c r="AU540" s="12"/>
      <c r="AV540" s="11"/>
      <c r="AW540" s="11"/>
      <c r="AX540" s="15"/>
      <c r="AY540" s="15"/>
      <c r="AZ540" s="15"/>
      <c r="BA540" s="15"/>
      <c r="BB540" s="15"/>
      <c r="BC540" s="15"/>
      <c r="BD540" s="15"/>
      <c r="BE540" s="12"/>
      <c r="BF540" s="11"/>
      <c r="BG540" s="11"/>
      <c r="BH540" s="10"/>
      <c r="BI540" s="10"/>
      <c r="BJ540" s="10"/>
      <c r="BK540" s="23"/>
      <c r="BL540" s="23"/>
      <c r="BM540" s="23"/>
      <c r="BN540" s="23"/>
      <c r="BO540" s="23"/>
      <c r="BP540" s="23"/>
      <c r="BQ540" s="23"/>
      <c r="BR540" s="10"/>
      <c r="BS540" s="16"/>
      <c r="BT540" s="16"/>
      <c r="BU540" s="16"/>
      <c r="BV540" s="16"/>
      <c r="BW540" s="11"/>
      <c r="BX540" s="16"/>
      <c r="BY540" s="16"/>
      <c r="BZ540" s="17"/>
      <c r="CA540" s="18"/>
      <c r="CB540" s="18"/>
      <c r="CC540" s="18"/>
      <c r="CD540" s="18"/>
      <c r="CE540" s="18"/>
      <c r="CF540" s="18"/>
      <c r="CG540" s="19"/>
      <c r="CH540" s="15"/>
      <c r="CI540" s="17"/>
      <c r="CJ540" s="10"/>
      <c r="CK540" s="10"/>
      <c r="CL540" s="10"/>
      <c r="CM540" s="17"/>
      <c r="CN540" s="17"/>
      <c r="CO540" s="10"/>
      <c r="CP540" s="10"/>
      <c r="CQ540" s="10"/>
      <c r="CR540" s="10"/>
      <c r="CS540" s="10"/>
      <c r="CT540" s="10"/>
      <c r="CU540" s="10"/>
      <c r="CV540" s="10"/>
      <c r="CW540" s="10"/>
      <c r="CX540" s="10"/>
      <c r="CY540" s="10"/>
      <c r="CZ540" s="10"/>
      <c r="DA540" s="34"/>
      <c r="DB540" s="34"/>
      <c r="DC540" s="34"/>
      <c r="DD540" s="34"/>
      <c r="DE540" s="34"/>
      <c r="DF540" s="34"/>
      <c r="DG540" s="34"/>
      <c r="DH540" s="34"/>
      <c r="DI540" s="34"/>
      <c r="DJ540" s="34"/>
      <c r="DK540" s="34"/>
      <c r="DL540" s="34"/>
      <c r="DM540" s="34"/>
      <c r="DN540" s="34"/>
      <c r="DO540" s="34"/>
      <c r="DP540" s="34"/>
      <c r="DQ540" s="34"/>
      <c r="DR540" s="34"/>
      <c r="DS540" s="34"/>
      <c r="DT540" s="34"/>
      <c r="DU540" s="34"/>
      <c r="DV540" s="34"/>
      <c r="DW540" s="34"/>
      <c r="DX540" s="34"/>
      <c r="DY540" s="34"/>
      <c r="DZ540" s="34"/>
      <c r="EA540" s="34"/>
      <c r="EB540" s="34"/>
      <c r="EC540" s="34"/>
      <c r="ED540" s="34"/>
      <c r="EE540" s="34"/>
    </row>
    <row r="541" spans="1:135" customFormat="1">
      <c r="A541" s="71">
        <f>'Old Data'!$I537-'Old Data'!$S537</f>
        <v>-37</v>
      </c>
      <c r="B541" s="72">
        <f>VLOOKUP('Old Data'!$F537,$R$6:$T$135,2,FALSE)+VLOOKUP('Old Data'!$P537,$R$6:$T$135,3,FALSE)+$B$2</f>
        <v>153.0351305194981</v>
      </c>
      <c r="C541" s="72">
        <f>VLOOKUP('Old Data'!$P537,$R$6:$T$135,2,FALSE)+VLOOKUP('Old Data'!$F537,$R$6:$T$135,3,FALSE)+$B$2</f>
        <v>166.06309857779041</v>
      </c>
      <c r="D541" s="74">
        <f>('Old Data'!$I537-$B541)^2+('Old Data'!$S537-$C541)^2</f>
        <v>627.88793871440498</v>
      </c>
      <c r="E541" s="75">
        <f>'Old Data'!$K537-'Old Data'!$U537</f>
        <v>-3</v>
      </c>
      <c r="F541" s="72">
        <f>VLOOKUP('Old Data'!$F537,$V$6:$X$135,2,FALSE)+VLOOKUP('Old Data'!$P537,$V$6:$X$135,3,FALSE)+$C$2</f>
        <v>270.71537648494251</v>
      </c>
      <c r="G541" s="72">
        <f>VLOOKUP('Old Data'!$P537,$V$6:$X$135,2,FALSE)+VLOOKUP('Old Data'!$F537,$V$6:$X$135,3,FALSE)+$C$2</f>
        <v>319.80360612145813</v>
      </c>
      <c r="H541" s="74">
        <f>('Old Data'!$K537-$F541)^2+('Old Data'!$U537-$G541)^2</f>
        <v>1232.8364574653592</v>
      </c>
      <c r="I541" s="75">
        <f>('Old Data'!$L537+'Old Data'!$M537)-('Old Data'!$V537+'Old Data'!$W537)</f>
        <v>60</v>
      </c>
      <c r="J541" s="72">
        <f>VLOOKUP('Old Data'!$F537,$Z$6:$AB$135,2,FALSE)+VLOOKUP('Old Data'!$P537,$Z$6:$AB$135,3,FALSE)+$D$2</f>
        <v>86.070283898826489</v>
      </c>
      <c r="K541" s="72">
        <f>VLOOKUP('Old Data'!$P537,$Z$6:$AB$135,2,FALSE)+VLOOKUP('Old Data'!$F537,$Z$6:$AB$135,3,FALSE)+$D$2</f>
        <v>43.062206599490096</v>
      </c>
      <c r="L541" s="74">
        <f>('Old Data'!$L537+'Old Data'!$M537-$J541)^2+('Old Data'!$V537+'Old Data'!$W537-$K541)^2</f>
        <v>2265.4833777893136</v>
      </c>
      <c r="M541" s="75">
        <f>'Old Data'!$N537-'Old Data'!$X537</f>
        <v>2</v>
      </c>
      <c r="N541" s="72">
        <f>VLOOKUP('Old Data'!$F537,$AD$6:$AF$135,2,FALSE)+VLOOKUP('Old Data'!$P537,$AD$6:$AF$135,3,FALSE)+$E$2</f>
        <v>0.7986267411212431</v>
      </c>
      <c r="O541" s="72">
        <f>VLOOKUP('Old Data'!$P537,$AD$6:$AF$135,2,FALSE)+VLOOKUP('Old Data'!$F537,$AD$6:$AF$135,3,FALSE)+$E$2</f>
        <v>1.7198433571260052</v>
      </c>
      <c r="P541" s="73">
        <f>('Old Data'!$N537-$N541)^2+('Old Data'!$X537-$O541)^2</f>
        <v>4.4011588801994126</v>
      </c>
      <c r="Q541" s="62"/>
      <c r="R541" s="3"/>
      <c r="S541" s="3"/>
      <c r="T541" s="3"/>
      <c r="V541" s="3"/>
      <c r="W541" s="3"/>
      <c r="X541" s="3"/>
      <c r="Z541" s="3"/>
      <c r="AA541" s="3"/>
      <c r="AB541" s="3"/>
      <c r="AC541" s="3"/>
      <c r="AD541" s="3"/>
      <c r="AE541" s="3"/>
      <c r="AF541" s="3"/>
      <c r="AG541" s="3"/>
      <c r="AH541" s="37"/>
      <c r="AI541" s="1"/>
      <c r="AK541" s="10"/>
      <c r="AL541" s="10"/>
      <c r="AM541" s="10"/>
      <c r="AN541" s="11"/>
      <c r="AO541" s="11"/>
      <c r="AP541" s="11"/>
      <c r="AQ541" s="36"/>
      <c r="AR541" s="11"/>
      <c r="AS541" s="11"/>
      <c r="AT541" s="11"/>
      <c r="AU541" s="12"/>
      <c r="AV541" s="11"/>
      <c r="AW541" s="11"/>
      <c r="AX541" s="15"/>
      <c r="AY541" s="15"/>
      <c r="AZ541" s="15"/>
      <c r="BA541" s="15"/>
      <c r="BB541" s="15"/>
      <c r="BC541" s="15"/>
      <c r="BD541" s="15"/>
      <c r="BE541" s="12"/>
      <c r="BF541" s="11"/>
      <c r="BG541" s="11"/>
      <c r="BH541" s="10"/>
      <c r="BI541" s="10"/>
      <c r="BJ541" s="10"/>
      <c r="BK541" s="23"/>
      <c r="BL541" s="23"/>
      <c r="BM541" s="23"/>
      <c r="BN541" s="23"/>
      <c r="BO541" s="23"/>
      <c r="BP541" s="23"/>
      <c r="BQ541" s="23"/>
      <c r="BR541" s="10"/>
      <c r="BS541" s="16"/>
      <c r="BT541" s="16"/>
      <c r="BU541" s="16"/>
      <c r="BV541" s="16"/>
      <c r="BW541" s="11"/>
      <c r="BX541" s="16"/>
      <c r="BY541" s="16"/>
      <c r="BZ541" s="17"/>
      <c r="CA541" s="18"/>
      <c r="CB541" s="18"/>
      <c r="CC541" s="18"/>
      <c r="CD541" s="18"/>
      <c r="CE541" s="18"/>
      <c r="CF541" s="18"/>
      <c r="CG541" s="19"/>
      <c r="CH541" s="15"/>
      <c r="CI541" s="17"/>
      <c r="CJ541" s="10"/>
      <c r="CK541" s="10"/>
      <c r="CL541" s="10"/>
      <c r="CM541" s="17"/>
      <c r="CN541" s="17"/>
      <c r="CO541" s="10"/>
      <c r="CP541" s="10"/>
      <c r="CQ541" s="10"/>
      <c r="CR541" s="10"/>
      <c r="CS541" s="10"/>
      <c r="CT541" s="10"/>
      <c r="CU541" s="10"/>
      <c r="CV541" s="10"/>
      <c r="CW541" s="10"/>
      <c r="CX541" s="10"/>
      <c r="CY541" s="10"/>
      <c r="CZ541" s="10"/>
      <c r="DA541" s="34"/>
      <c r="DB541" s="34"/>
      <c r="DC541" s="34"/>
      <c r="DD541" s="34"/>
      <c r="DE541" s="34"/>
      <c r="DF541" s="34"/>
      <c r="DG541" s="34"/>
      <c r="DH541" s="34"/>
      <c r="DI541" s="34"/>
      <c r="DJ541" s="34"/>
      <c r="DK541" s="34"/>
      <c r="DL541" s="34"/>
      <c r="DM541" s="34"/>
      <c r="DN541" s="34"/>
      <c r="DO541" s="34"/>
      <c r="DP541" s="34"/>
      <c r="DQ541" s="34"/>
      <c r="DR541" s="34"/>
      <c r="DS541" s="34"/>
      <c r="DT541" s="34"/>
      <c r="DU541" s="34"/>
      <c r="DV541" s="34"/>
      <c r="DW541" s="34"/>
      <c r="DX541" s="34"/>
      <c r="DY541" s="34"/>
      <c r="DZ541" s="34"/>
      <c r="EA541" s="34"/>
      <c r="EB541" s="34"/>
      <c r="EC541" s="34"/>
      <c r="ED541" s="34"/>
      <c r="EE541" s="34"/>
    </row>
    <row r="542" spans="1:135" customFormat="1">
      <c r="A542" s="71">
        <f>'Old Data'!$I538-'Old Data'!$S538</f>
        <v>-472</v>
      </c>
      <c r="B542" s="72">
        <f>VLOOKUP('Old Data'!$F538,$R$6:$T$135,2,FALSE)+VLOOKUP('Old Data'!$P538,$R$6:$T$135,3,FALSE)+$B$2</f>
        <v>99.208097408970787</v>
      </c>
      <c r="C542" s="72">
        <f>VLOOKUP('Old Data'!$P538,$R$6:$T$135,2,FALSE)+VLOOKUP('Old Data'!$F538,$R$6:$T$135,3,FALSE)+$B$2</f>
        <v>409.49454158789649</v>
      </c>
      <c r="D542" s="74">
        <f>('Old Data'!$I538-$B542)^2+('Old Data'!$S538-$C542)^2</f>
        <v>13192.641694977938</v>
      </c>
      <c r="E542" s="75">
        <f>'Old Data'!$K538-'Old Data'!$U538</f>
        <v>51</v>
      </c>
      <c r="F542" s="72">
        <f>VLOOKUP('Old Data'!$F538,$V$6:$X$135,2,FALSE)+VLOOKUP('Old Data'!$P538,$V$6:$X$135,3,FALSE)+$C$2</f>
        <v>130.99039807144038</v>
      </c>
      <c r="G542" s="72">
        <f>VLOOKUP('Old Data'!$P538,$V$6:$X$135,2,FALSE)+VLOOKUP('Old Data'!$F538,$V$6:$X$135,3,FALSE)+$C$2</f>
        <v>150.63338861531668</v>
      </c>
      <c r="H542" s="74">
        <f>('Old Data'!$K538-$F542)^2+('Old Data'!$U538-$G542)^2</f>
        <v>11556.99802743183</v>
      </c>
      <c r="I542" s="75">
        <f>('Old Data'!$L538+'Old Data'!$M538)-('Old Data'!$V538+'Old Data'!$W538)</f>
        <v>174</v>
      </c>
      <c r="J542" s="72">
        <f>VLOOKUP('Old Data'!$F538,$Z$6:$AB$135,2,FALSE)+VLOOKUP('Old Data'!$P538,$Z$6:$AB$135,3,FALSE)+$D$2</f>
        <v>145.68035099809578</v>
      </c>
      <c r="K542" s="72">
        <f>VLOOKUP('Old Data'!$P538,$Z$6:$AB$135,2,FALSE)+VLOOKUP('Old Data'!$F538,$Z$6:$AB$135,3,FALSE)+$D$2</f>
        <v>37.886352382370994</v>
      </c>
      <c r="L542" s="74">
        <f>('Old Data'!$L538+'Old Data'!$M538-$J542)^2+('Old Data'!$V538+'Old Data'!$W538-$K542)^2</f>
        <v>2212.3109623447749</v>
      </c>
      <c r="M542" s="75">
        <f>'Old Data'!$N538-'Old Data'!$X538</f>
        <v>-1</v>
      </c>
      <c r="N542" s="72">
        <f>VLOOKUP('Old Data'!$F538,$AD$6:$AF$135,2,FALSE)+VLOOKUP('Old Data'!$P538,$AD$6:$AF$135,3,FALSE)+$E$2</f>
        <v>1.8107741801550925</v>
      </c>
      <c r="O542" s="72">
        <f>VLOOKUP('Old Data'!$P538,$AD$6:$AF$135,2,FALSE)+VLOOKUP('Old Data'!$F538,$AD$6:$AF$135,3,FALSE)+$E$2</f>
        <v>1.2594045079131191</v>
      </c>
      <c r="P542" s="73">
        <f>('Old Data'!$N538-$N542)^2+('Old Data'!$X538-$O542)^2</f>
        <v>1.2058364541055715</v>
      </c>
      <c r="Q542" s="62"/>
      <c r="R542" s="3"/>
      <c r="S542" s="3"/>
      <c r="T542" s="3"/>
      <c r="V542" s="3"/>
      <c r="W542" s="3"/>
      <c r="X542" s="3"/>
      <c r="Z542" s="3"/>
      <c r="AA542" s="3"/>
      <c r="AB542" s="3"/>
      <c r="AC542" s="3"/>
      <c r="AD542" s="3"/>
      <c r="AE542" s="3"/>
      <c r="AF542" s="3"/>
      <c r="AG542" s="3"/>
      <c r="AH542" s="37"/>
      <c r="AI542" s="1"/>
      <c r="AK542" s="10"/>
      <c r="AL542" s="10"/>
      <c r="AM542" s="10"/>
      <c r="AN542" s="11"/>
      <c r="AO542" s="11"/>
      <c r="AP542" s="11"/>
      <c r="AQ542" s="36"/>
      <c r="AR542" s="11"/>
      <c r="AS542" s="11"/>
      <c r="AT542" s="11"/>
      <c r="AU542" s="12"/>
      <c r="AV542" s="11"/>
      <c r="AW542" s="11"/>
      <c r="AX542" s="15"/>
      <c r="AY542" s="15"/>
      <c r="AZ542" s="15"/>
      <c r="BA542" s="15"/>
      <c r="BB542" s="15"/>
      <c r="BC542" s="15"/>
      <c r="BD542" s="15"/>
      <c r="BE542" s="12"/>
      <c r="BF542" s="11"/>
      <c r="BG542" s="11"/>
      <c r="BH542" s="10"/>
      <c r="BI542" s="10"/>
      <c r="BJ542" s="10"/>
      <c r="BK542" s="23"/>
      <c r="BL542" s="23"/>
      <c r="BM542" s="23"/>
      <c r="BN542" s="23"/>
      <c r="BO542" s="23"/>
      <c r="BP542" s="23"/>
      <c r="BQ542" s="23"/>
      <c r="BR542" s="10"/>
      <c r="BS542" s="16"/>
      <c r="BT542" s="16"/>
      <c r="BU542" s="16"/>
      <c r="BV542" s="16"/>
      <c r="BW542" s="11"/>
      <c r="BX542" s="16"/>
      <c r="BY542" s="16"/>
      <c r="BZ542" s="17"/>
      <c r="CA542" s="18"/>
      <c r="CB542" s="18"/>
      <c r="CC542" s="18"/>
      <c r="CD542" s="18"/>
      <c r="CE542" s="18"/>
      <c r="CF542" s="18"/>
      <c r="CG542" s="19"/>
      <c r="CH542" s="15"/>
      <c r="CI542" s="17"/>
      <c r="CJ542" s="10"/>
      <c r="CK542" s="10"/>
      <c r="CL542" s="10"/>
      <c r="CM542" s="17"/>
      <c r="CN542" s="17"/>
      <c r="CO542" s="10"/>
      <c r="CP542" s="10"/>
      <c r="CQ542" s="10"/>
      <c r="CR542" s="10"/>
      <c r="CS542" s="10"/>
      <c r="CT542" s="10"/>
      <c r="CU542" s="10"/>
      <c r="CV542" s="10"/>
      <c r="CW542" s="10"/>
      <c r="CX542" s="10"/>
      <c r="CY542" s="10"/>
      <c r="CZ542" s="10"/>
      <c r="DA542" s="34"/>
      <c r="DB542" s="34"/>
      <c r="DC542" s="34"/>
      <c r="DD542" s="34"/>
      <c r="DE542" s="34"/>
      <c r="DF542" s="34"/>
      <c r="DG542" s="34"/>
      <c r="DH542" s="34"/>
      <c r="DI542" s="34"/>
      <c r="DJ542" s="34"/>
      <c r="DK542" s="34"/>
      <c r="DL542" s="34"/>
      <c r="DM542" s="34"/>
      <c r="DN542" s="34"/>
      <c r="DO542" s="34"/>
      <c r="DP542" s="34"/>
      <c r="DQ542" s="34"/>
      <c r="DR542" s="34"/>
      <c r="DS542" s="34"/>
      <c r="DT542" s="34"/>
      <c r="DU542" s="34"/>
      <c r="DV542" s="34"/>
      <c r="DW542" s="34"/>
      <c r="DX542" s="34"/>
      <c r="DY542" s="34"/>
      <c r="DZ542" s="34"/>
      <c r="EA542" s="34"/>
      <c r="EB542" s="34"/>
      <c r="EC542" s="34"/>
      <c r="ED542" s="34"/>
      <c r="EE542" s="34"/>
    </row>
    <row r="543" spans="1:135" customFormat="1">
      <c r="A543" s="71">
        <f>'Old Data'!$I539-'Old Data'!$S539</f>
        <v>-198</v>
      </c>
      <c r="B543" s="72">
        <f>VLOOKUP('Old Data'!$F539,$R$6:$T$135,2,FALSE)+VLOOKUP('Old Data'!$P539,$R$6:$T$135,3,FALSE)+$B$2</f>
        <v>54.61376116946451</v>
      </c>
      <c r="C543" s="72">
        <f>VLOOKUP('Old Data'!$P539,$R$6:$T$135,2,FALSE)+VLOOKUP('Old Data'!$F539,$R$6:$T$135,3,FALSE)+$B$2</f>
        <v>174.96505468556421</v>
      </c>
      <c r="D543" s="74">
        <f>('Old Data'!$I539-$B543)^2+('Old Data'!$S539-$C543)^2</f>
        <v>5934.7595023712556</v>
      </c>
      <c r="E543" s="75">
        <f>'Old Data'!$K539-'Old Data'!$U539</f>
        <v>42</v>
      </c>
      <c r="F543" s="72">
        <f>VLOOKUP('Old Data'!$F539,$V$6:$X$135,2,FALSE)+VLOOKUP('Old Data'!$P539,$V$6:$X$135,3,FALSE)+$C$2</f>
        <v>207.85819497744029</v>
      </c>
      <c r="G543" s="72">
        <f>VLOOKUP('Old Data'!$P539,$V$6:$X$135,2,FALSE)+VLOOKUP('Old Data'!$F539,$V$6:$X$135,3,FALSE)+$C$2</f>
        <v>273.38172395101276</v>
      </c>
      <c r="H543" s="74">
        <f>('Old Data'!$K539-$F543)^2+('Old Data'!$U539-$G543)^2</f>
        <v>7172.467718803442</v>
      </c>
      <c r="I543" s="75">
        <f>('Old Data'!$L539+'Old Data'!$M539)-('Old Data'!$V539+'Old Data'!$W539)</f>
        <v>100</v>
      </c>
      <c r="J543" s="72">
        <f>VLOOKUP('Old Data'!$F539,$Z$6:$AB$135,2,FALSE)+VLOOKUP('Old Data'!$P539,$Z$6:$AB$135,3,FALSE)+$D$2</f>
        <v>74.887955224670321</v>
      </c>
      <c r="K543" s="72">
        <f>VLOOKUP('Old Data'!$P539,$Z$6:$AB$135,2,FALSE)+VLOOKUP('Old Data'!$F539,$Z$6:$AB$135,3,FALSE)+$D$2</f>
        <v>-9.0782066265756072</v>
      </c>
      <c r="L543" s="74">
        <f>('Old Data'!$L539+'Old Data'!$M539-$J543)^2+('Old Data'!$V539+'Old Data'!$W539-$K543)^2</f>
        <v>1388.0726507834484</v>
      </c>
      <c r="M543" s="75">
        <f>'Old Data'!$N539-'Old Data'!$X539</f>
        <v>-1</v>
      </c>
      <c r="N543" s="72">
        <f>VLOOKUP('Old Data'!$F539,$AD$6:$AF$135,2,FALSE)+VLOOKUP('Old Data'!$P539,$AD$6:$AF$135,3,FALSE)+$E$2</f>
        <v>0.69032239994318711</v>
      </c>
      <c r="O543" s="72">
        <f>VLOOKUP('Old Data'!$P539,$AD$6:$AF$135,2,FALSE)+VLOOKUP('Old Data'!$F539,$AD$6:$AF$135,3,FALSE)+$E$2</f>
        <v>2.3159134930301239</v>
      </c>
      <c r="P543" s="73">
        <f>('Old Data'!$N539-$N543)^2+('Old Data'!$X539-$O543)^2</f>
        <v>2.2081733370020635</v>
      </c>
      <c r="Q543" s="62"/>
      <c r="R543" s="3"/>
      <c r="S543" s="3"/>
      <c r="T543" s="3"/>
      <c r="V543" s="3"/>
      <c r="W543" s="3"/>
      <c r="X543" s="3"/>
      <c r="Z543" s="3"/>
      <c r="AA543" s="3"/>
      <c r="AB543" s="3"/>
      <c r="AC543" s="3"/>
      <c r="AD543" s="3"/>
      <c r="AE543" s="3"/>
      <c r="AF543" s="3"/>
      <c r="AG543" s="3"/>
      <c r="AH543" s="37"/>
      <c r="AI543" s="1"/>
      <c r="AK543" s="10"/>
      <c r="AL543" s="10"/>
      <c r="AM543" s="10"/>
      <c r="AN543" s="11"/>
      <c r="AO543" s="11"/>
      <c r="AP543" s="11"/>
      <c r="AQ543" s="36"/>
      <c r="AR543" s="11"/>
      <c r="AS543" s="11"/>
      <c r="AT543" s="11"/>
      <c r="AU543" s="12"/>
      <c r="AV543" s="11"/>
      <c r="AW543" s="11"/>
      <c r="AX543" s="15"/>
      <c r="AY543" s="15"/>
      <c r="AZ543" s="15"/>
      <c r="BA543" s="15"/>
      <c r="BB543" s="15"/>
      <c r="BC543" s="15"/>
      <c r="BD543" s="15"/>
      <c r="BE543" s="12"/>
      <c r="BF543" s="11"/>
      <c r="BG543" s="11"/>
      <c r="BH543" s="10"/>
      <c r="BI543" s="10"/>
      <c r="BJ543" s="10"/>
      <c r="BK543" s="23"/>
      <c r="BL543" s="23"/>
      <c r="BM543" s="23"/>
      <c r="BN543" s="23"/>
      <c r="BO543" s="23"/>
      <c r="BP543" s="23"/>
      <c r="BQ543" s="23"/>
      <c r="BR543" s="10"/>
      <c r="BS543" s="16"/>
      <c r="BT543" s="16"/>
      <c r="BU543" s="16"/>
      <c r="BV543" s="16"/>
      <c r="BW543" s="11"/>
      <c r="BX543" s="16"/>
      <c r="BY543" s="16"/>
      <c r="BZ543" s="17"/>
      <c r="CA543" s="18"/>
      <c r="CB543" s="18"/>
      <c r="CC543" s="18"/>
      <c r="CD543" s="18"/>
      <c r="CE543" s="18"/>
      <c r="CF543" s="18"/>
      <c r="CG543" s="19"/>
      <c r="CH543" s="15"/>
      <c r="CI543" s="17"/>
      <c r="CJ543" s="10"/>
      <c r="CK543" s="10"/>
      <c r="CL543" s="10"/>
      <c r="CM543" s="17"/>
      <c r="CN543" s="17"/>
      <c r="CO543" s="10"/>
      <c r="CP543" s="10"/>
      <c r="CQ543" s="10"/>
      <c r="CR543" s="10"/>
      <c r="CS543" s="10"/>
      <c r="CT543" s="10"/>
      <c r="CU543" s="10"/>
      <c r="CV543" s="10"/>
      <c r="CW543" s="10"/>
      <c r="CX543" s="10"/>
      <c r="CY543" s="10"/>
      <c r="CZ543" s="10"/>
      <c r="DA543" s="34"/>
      <c r="DB543" s="34"/>
      <c r="DC543" s="34"/>
      <c r="DD543" s="34"/>
      <c r="DE543" s="34"/>
      <c r="DF543" s="34"/>
      <c r="DG543" s="34"/>
      <c r="DH543" s="34"/>
      <c r="DI543" s="34"/>
      <c r="DJ543" s="34"/>
      <c r="DK543" s="34"/>
      <c r="DL543" s="34"/>
      <c r="DM543" s="34"/>
      <c r="DN543" s="34"/>
      <c r="DO543" s="34"/>
      <c r="DP543" s="34"/>
      <c r="DQ543" s="34"/>
      <c r="DR543" s="34"/>
      <c r="DS543" s="34"/>
      <c r="DT543" s="34"/>
      <c r="DU543" s="34"/>
      <c r="DV543" s="34"/>
      <c r="DW543" s="34"/>
      <c r="DX543" s="34"/>
      <c r="DY543" s="34"/>
      <c r="DZ543" s="34"/>
      <c r="EA543" s="34"/>
      <c r="EB543" s="34"/>
      <c r="EC543" s="34"/>
      <c r="ED543" s="34"/>
      <c r="EE543" s="34"/>
    </row>
    <row r="544" spans="1:135" customFormat="1">
      <c r="A544" s="71">
        <f>'Old Data'!$I540-'Old Data'!$S540</f>
        <v>61</v>
      </c>
      <c r="B544" s="72">
        <f>VLOOKUP('Old Data'!$F540,$R$6:$T$135,2,FALSE)+VLOOKUP('Old Data'!$P540,$R$6:$T$135,3,FALSE)+$B$2</f>
        <v>222.1557396024873</v>
      </c>
      <c r="C544" s="72">
        <f>VLOOKUP('Old Data'!$P540,$R$6:$T$135,2,FALSE)+VLOOKUP('Old Data'!$F540,$R$6:$T$135,3,FALSE)+$B$2</f>
        <v>200.18525677718117</v>
      </c>
      <c r="D544" s="74">
        <f>('Old Data'!$I540-$B544)^2+('Old Data'!$S540-$C544)^2</f>
        <v>2079.600560073427</v>
      </c>
      <c r="E544" s="75">
        <f>'Old Data'!$K540-'Old Data'!$U540</f>
        <v>-97</v>
      </c>
      <c r="F544" s="72">
        <f>VLOOKUP('Old Data'!$F540,$V$6:$X$135,2,FALSE)+VLOOKUP('Old Data'!$P540,$V$6:$X$135,3,FALSE)+$C$2</f>
        <v>237.83194933072389</v>
      </c>
      <c r="G544" s="72">
        <f>VLOOKUP('Old Data'!$P540,$V$6:$X$135,2,FALSE)+VLOOKUP('Old Data'!$F540,$V$6:$X$135,3,FALSE)+$C$2</f>
        <v>267.54136130909427</v>
      </c>
      <c r="H544" s="74">
        <f>('Old Data'!$K540-$F544)^2+('Old Data'!$U540-$G544)^2</f>
        <v>3130.4022516928799</v>
      </c>
      <c r="I544" s="75">
        <f>('Old Data'!$L540+'Old Data'!$M540)-('Old Data'!$V540+'Old Data'!$W540)</f>
        <v>101</v>
      </c>
      <c r="J544" s="72">
        <f>VLOOKUP('Old Data'!$F540,$Z$6:$AB$135,2,FALSE)+VLOOKUP('Old Data'!$P540,$Z$6:$AB$135,3,FALSE)+$D$2</f>
        <v>87.107936951368288</v>
      </c>
      <c r="K544" s="72">
        <f>VLOOKUP('Old Data'!$P540,$Z$6:$AB$135,2,FALSE)+VLOOKUP('Old Data'!$F540,$Z$6:$AB$135,3,FALSE)+$D$2</f>
        <v>52.451460399095538</v>
      </c>
      <c r="L544" s="74">
        <f>('Old Data'!$L540+'Old Data'!$M540-$J544)^2+('Old Data'!$V540+'Old Data'!$W540-$K544)^2</f>
        <v>2200.8880144274208</v>
      </c>
      <c r="M544" s="75">
        <f>'Old Data'!$N540-'Old Data'!$X540</f>
        <v>-1</v>
      </c>
      <c r="N544" s="72">
        <f>VLOOKUP('Old Data'!$F540,$AD$6:$AF$135,2,FALSE)+VLOOKUP('Old Data'!$P540,$AD$6:$AF$135,3,FALSE)+$E$2</f>
        <v>1.161066493917212</v>
      </c>
      <c r="O544" s="72">
        <f>VLOOKUP('Old Data'!$P540,$AD$6:$AF$135,2,FALSE)+VLOOKUP('Old Data'!$F540,$AD$6:$AF$135,3,FALSE)+$E$2</f>
        <v>1.8861914689570809</v>
      </c>
      <c r="P544" s="73">
        <f>('Old Data'!$N540-$N544)^2+('Old Data'!$X540-$O544)^2</f>
        <v>2.1334107229495158</v>
      </c>
      <c r="Q544" s="62"/>
      <c r="R544" s="3"/>
      <c r="S544" s="3"/>
      <c r="T544" s="3"/>
      <c r="V544" s="3"/>
      <c r="W544" s="3"/>
      <c r="X544" s="3"/>
      <c r="Z544" s="3"/>
      <c r="AA544" s="3"/>
      <c r="AB544" s="3"/>
      <c r="AC544" s="3"/>
      <c r="AD544" s="3"/>
      <c r="AE544" s="3"/>
      <c r="AF544" s="3"/>
      <c r="AG544" s="3"/>
      <c r="AH544" s="37"/>
      <c r="AI544" s="1"/>
      <c r="AK544" s="10"/>
      <c r="AL544" s="10"/>
      <c r="AM544" s="10"/>
      <c r="AN544" s="11"/>
      <c r="AO544" s="11"/>
      <c r="AP544" s="11"/>
      <c r="AQ544" s="36"/>
      <c r="AR544" s="11"/>
      <c r="AS544" s="11"/>
      <c r="AT544" s="11"/>
      <c r="AU544" s="12"/>
      <c r="AV544" s="11"/>
      <c r="AW544" s="11"/>
      <c r="AX544" s="15"/>
      <c r="AY544" s="15"/>
      <c r="AZ544" s="15"/>
      <c r="BA544" s="15"/>
      <c r="BB544" s="15"/>
      <c r="BC544" s="15"/>
      <c r="BD544" s="15"/>
      <c r="BE544" s="12"/>
      <c r="BF544" s="11"/>
      <c r="BG544" s="11"/>
      <c r="BH544" s="10"/>
      <c r="BI544" s="10"/>
      <c r="BJ544" s="10"/>
      <c r="BK544" s="23"/>
      <c r="BL544" s="23"/>
      <c r="BM544" s="23"/>
      <c r="BN544" s="23"/>
      <c r="BO544" s="23"/>
      <c r="BP544" s="23"/>
      <c r="BQ544" s="23"/>
      <c r="BR544" s="10"/>
      <c r="BS544" s="16"/>
      <c r="BT544" s="16"/>
      <c r="BU544" s="16"/>
      <c r="BV544" s="16"/>
      <c r="BW544" s="11"/>
      <c r="BX544" s="16"/>
      <c r="BY544" s="16"/>
      <c r="BZ544" s="17"/>
      <c r="CA544" s="18"/>
      <c r="CB544" s="18"/>
      <c r="CC544" s="18"/>
      <c r="CD544" s="18"/>
      <c r="CE544" s="18"/>
      <c r="CF544" s="18"/>
      <c r="CG544" s="19"/>
      <c r="CH544" s="15"/>
      <c r="CI544" s="17"/>
      <c r="CJ544" s="10"/>
      <c r="CK544" s="10"/>
      <c r="CL544" s="10"/>
      <c r="CM544" s="17"/>
      <c r="CN544" s="17"/>
      <c r="CO544" s="10"/>
      <c r="CP544" s="10"/>
      <c r="CQ544" s="10"/>
      <c r="CR544" s="10"/>
      <c r="CS544" s="10"/>
      <c r="CT544" s="10"/>
      <c r="CU544" s="10"/>
      <c r="CV544" s="10"/>
      <c r="CW544" s="10"/>
      <c r="CX544" s="10"/>
      <c r="CY544" s="10"/>
      <c r="CZ544" s="10"/>
      <c r="DA544" s="34"/>
      <c r="DB544" s="34"/>
      <c r="DC544" s="34"/>
      <c r="DD544" s="34"/>
      <c r="DE544" s="34"/>
      <c r="DF544" s="34"/>
      <c r="DG544" s="34"/>
      <c r="DH544" s="34"/>
      <c r="DI544" s="34"/>
      <c r="DJ544" s="34"/>
      <c r="DK544" s="34"/>
      <c r="DL544" s="34"/>
      <c r="DM544" s="34"/>
      <c r="DN544" s="34"/>
      <c r="DO544" s="34"/>
      <c r="DP544" s="34"/>
      <c r="DQ544" s="34"/>
      <c r="DR544" s="34"/>
      <c r="DS544" s="34"/>
      <c r="DT544" s="34"/>
      <c r="DU544" s="34"/>
      <c r="DV544" s="34"/>
      <c r="DW544" s="34"/>
      <c r="DX544" s="34"/>
      <c r="DY544" s="34"/>
      <c r="DZ544" s="34"/>
      <c r="EA544" s="34"/>
      <c r="EB544" s="34"/>
      <c r="EC544" s="34"/>
      <c r="ED544" s="34"/>
      <c r="EE544" s="34"/>
    </row>
    <row r="545" spans="1:135" customFormat="1">
      <c r="A545" s="71">
        <f>'Old Data'!$I541-'Old Data'!$S541</f>
        <v>2</v>
      </c>
      <c r="B545" s="72">
        <f>VLOOKUP('Old Data'!$F541,$R$6:$T$135,2,FALSE)+VLOOKUP('Old Data'!$P541,$R$6:$T$135,3,FALSE)+$B$2</f>
        <v>220.1411918646487</v>
      </c>
      <c r="C545" s="72">
        <f>VLOOKUP('Old Data'!$P541,$R$6:$T$135,2,FALSE)+VLOOKUP('Old Data'!$F541,$R$6:$T$135,3,FALSE)+$B$2</f>
        <v>141.17781977310597</v>
      </c>
      <c r="D545" s="74">
        <f>('Old Data'!$I541-$B545)^2+('Old Data'!$S541-$C545)^2</f>
        <v>3018.7220780478401</v>
      </c>
      <c r="E545" s="75">
        <f>'Old Data'!$K541-'Old Data'!$U541</f>
        <v>148</v>
      </c>
      <c r="F545" s="72">
        <f>VLOOKUP('Old Data'!$F541,$V$6:$X$135,2,FALSE)+VLOOKUP('Old Data'!$P541,$V$6:$X$135,3,FALSE)+$C$2</f>
        <v>211.95430808391819</v>
      </c>
      <c r="G545" s="72">
        <f>VLOOKUP('Old Data'!$P541,$V$6:$X$135,2,FALSE)+VLOOKUP('Old Data'!$F541,$V$6:$X$135,3,FALSE)+$C$2</f>
        <v>138.53784808737433</v>
      </c>
      <c r="H545" s="74">
        <f>('Old Data'!$K541-$F545)^2+('Old Data'!$U541-$G545)^2</f>
        <v>3034.3007643404771</v>
      </c>
      <c r="I545" s="75">
        <f>('Old Data'!$L541+'Old Data'!$M541)-('Old Data'!$V541+'Old Data'!$W541)</f>
        <v>-66</v>
      </c>
      <c r="J545" s="72">
        <f>VLOOKUP('Old Data'!$F541,$Z$6:$AB$135,2,FALSE)+VLOOKUP('Old Data'!$P541,$Z$6:$AB$135,3,FALSE)+$D$2</f>
        <v>69.9288616618297</v>
      </c>
      <c r="K545" s="72">
        <f>VLOOKUP('Old Data'!$P541,$Z$6:$AB$135,2,FALSE)+VLOOKUP('Old Data'!$F541,$Z$6:$AB$135,3,FALSE)+$D$2</f>
        <v>59.288243517924002</v>
      </c>
      <c r="L545" s="74">
        <f>('Old Data'!$L541+'Old Data'!$M541-$J545)^2+('Old Data'!$V541+'Old Data'!$W541-$K545)^2</f>
        <v>3113.2907436542014</v>
      </c>
      <c r="M545" s="75">
        <f>'Old Data'!$N541-'Old Data'!$X541</f>
        <v>1</v>
      </c>
      <c r="N545" s="72">
        <f>VLOOKUP('Old Data'!$F541,$AD$6:$AF$135,2,FALSE)+VLOOKUP('Old Data'!$P541,$AD$6:$AF$135,3,FALSE)+$E$2</f>
        <v>1.8294263703245091</v>
      </c>
      <c r="O545" s="72">
        <f>VLOOKUP('Old Data'!$P541,$AD$6:$AF$135,2,FALSE)+VLOOKUP('Old Data'!$F541,$AD$6:$AF$135,3,FALSE)+$E$2</f>
        <v>1.0660591513879512</v>
      </c>
      <c r="P545" s="73">
        <f>('Old Data'!$N541-$N545)^2+('Old Data'!$X541-$O545)^2</f>
        <v>2.2424881311978475</v>
      </c>
      <c r="Q545" s="62"/>
      <c r="R545" s="3"/>
      <c r="S545" s="3"/>
      <c r="T545" s="3"/>
      <c r="V545" s="3"/>
      <c r="W545" s="3"/>
      <c r="X545" s="3"/>
      <c r="Z545" s="3"/>
      <c r="AA545" s="3"/>
      <c r="AB545" s="3"/>
      <c r="AC545" s="3"/>
      <c r="AD545" s="3"/>
      <c r="AE545" s="3"/>
      <c r="AF545" s="3"/>
      <c r="AG545" s="3"/>
      <c r="AH545" s="37"/>
      <c r="AI545" s="1"/>
      <c r="AK545" s="10"/>
      <c r="AL545" s="10"/>
      <c r="AM545" s="10"/>
      <c r="AN545" s="11"/>
      <c r="AO545" s="11"/>
      <c r="AP545" s="11"/>
      <c r="AQ545" s="36"/>
      <c r="AR545" s="11"/>
      <c r="AS545" s="11"/>
      <c r="AT545" s="11"/>
      <c r="AU545" s="12"/>
      <c r="AV545" s="11"/>
      <c r="AW545" s="11"/>
      <c r="AX545" s="15"/>
      <c r="AY545" s="15"/>
      <c r="AZ545" s="15"/>
      <c r="BA545" s="15"/>
      <c r="BB545" s="15"/>
      <c r="BC545" s="15"/>
      <c r="BD545" s="15"/>
      <c r="BE545" s="12"/>
      <c r="BF545" s="11"/>
      <c r="BG545" s="11"/>
      <c r="BH545" s="10"/>
      <c r="BI545" s="10"/>
      <c r="BJ545" s="10"/>
      <c r="BK545" s="23"/>
      <c r="BL545" s="23"/>
      <c r="BM545" s="23"/>
      <c r="BN545" s="23"/>
      <c r="BO545" s="23"/>
      <c r="BP545" s="23"/>
      <c r="BQ545" s="23"/>
      <c r="BR545" s="10"/>
      <c r="BS545" s="16"/>
      <c r="BT545" s="16"/>
      <c r="BU545" s="16"/>
      <c r="BV545" s="16"/>
      <c r="BW545" s="11"/>
      <c r="BX545" s="16"/>
      <c r="BY545" s="16"/>
      <c r="BZ545" s="17"/>
      <c r="CA545" s="18"/>
      <c r="CB545" s="18"/>
      <c r="CC545" s="18"/>
      <c r="CD545" s="18"/>
      <c r="CE545" s="18"/>
      <c r="CF545" s="18"/>
      <c r="CG545" s="19"/>
      <c r="CH545" s="15"/>
      <c r="CI545" s="17"/>
      <c r="CJ545" s="10"/>
      <c r="CK545" s="10"/>
      <c r="CL545" s="10"/>
      <c r="CM545" s="17"/>
      <c r="CN545" s="17"/>
      <c r="CO545" s="10"/>
      <c r="CP545" s="10"/>
      <c r="CQ545" s="10"/>
      <c r="CR545" s="10"/>
      <c r="CS545" s="10"/>
      <c r="CT545" s="10"/>
      <c r="CU545" s="10"/>
      <c r="CV545" s="10"/>
      <c r="CW545" s="10"/>
      <c r="CX545" s="10"/>
      <c r="CY545" s="10"/>
      <c r="CZ545" s="10"/>
      <c r="DA545" s="34"/>
      <c r="DB545" s="34"/>
      <c r="DC545" s="34"/>
      <c r="DD545" s="34"/>
      <c r="DE545" s="34"/>
      <c r="DF545" s="34"/>
      <c r="DG545" s="34"/>
      <c r="DH545" s="34"/>
      <c r="DI545" s="34"/>
      <c r="DJ545" s="34"/>
      <c r="DK545" s="34"/>
      <c r="DL545" s="34"/>
      <c r="DM545" s="34"/>
      <c r="DN545" s="34"/>
      <c r="DO545" s="34"/>
      <c r="DP545" s="34"/>
      <c r="DQ545" s="34"/>
      <c r="DR545" s="34"/>
      <c r="DS545" s="34"/>
      <c r="DT545" s="34"/>
      <c r="DU545" s="34"/>
      <c r="DV545" s="34"/>
      <c r="DW545" s="34"/>
      <c r="DX545" s="34"/>
      <c r="DY545" s="34"/>
      <c r="DZ545" s="34"/>
      <c r="EA545" s="34"/>
      <c r="EB545" s="34"/>
      <c r="EC545" s="34"/>
      <c r="ED545" s="34"/>
      <c r="EE545" s="34"/>
    </row>
    <row r="546" spans="1:135" customFormat="1">
      <c r="A546" s="71">
        <f>'Old Data'!$I542-'Old Data'!$S542</f>
        <v>-14</v>
      </c>
      <c r="B546" s="72">
        <f>VLOOKUP('Old Data'!$F542,$R$6:$T$135,2,FALSE)+VLOOKUP('Old Data'!$P542,$R$6:$T$135,3,FALSE)+$B$2</f>
        <v>207.12758361001315</v>
      </c>
      <c r="C546" s="72">
        <f>VLOOKUP('Old Data'!$P542,$R$6:$T$135,2,FALSE)+VLOOKUP('Old Data'!$F542,$R$6:$T$135,3,FALSE)+$B$2</f>
        <v>183.38934125480432</v>
      </c>
      <c r="D546" s="74">
        <f>('Old Data'!$I542-$B546)^2+('Old Data'!$S542-$C546)^2</f>
        <v>1491.5440790954733</v>
      </c>
      <c r="E546" s="75">
        <f>'Old Data'!$K542-'Old Data'!$U542</f>
        <v>78</v>
      </c>
      <c r="F546" s="72">
        <f>VLOOKUP('Old Data'!$F542,$V$6:$X$135,2,FALSE)+VLOOKUP('Old Data'!$P542,$V$6:$X$135,3,FALSE)+$C$2</f>
        <v>197.67396054562221</v>
      </c>
      <c r="G546" s="72">
        <f>VLOOKUP('Old Data'!$P542,$V$6:$X$135,2,FALSE)+VLOOKUP('Old Data'!$F542,$V$6:$X$135,3,FALSE)+$C$2</f>
        <v>241.7380048745047</v>
      </c>
      <c r="H546" s="74">
        <f>('Old Data'!$K542-$F546)^2+('Old Data'!$U542-$G546)^2</f>
        <v>10860.207186844853</v>
      </c>
      <c r="I546" s="75">
        <f>('Old Data'!$L542+'Old Data'!$M542)-('Old Data'!$V542+'Old Data'!$W542)</f>
        <v>42</v>
      </c>
      <c r="J546" s="72">
        <f>VLOOKUP('Old Data'!$F542,$Z$6:$AB$135,2,FALSE)+VLOOKUP('Old Data'!$P542,$Z$6:$AB$135,3,FALSE)+$D$2</f>
        <v>102.66891923616822</v>
      </c>
      <c r="K546" s="72">
        <f>VLOOKUP('Old Data'!$P542,$Z$6:$AB$135,2,FALSE)+VLOOKUP('Old Data'!$F542,$Z$6:$AB$135,3,FALSE)+$D$2</f>
        <v>14.930423980433346</v>
      </c>
      <c r="L546" s="74">
        <f>('Old Data'!$L542+'Old Data'!$M542-$J546)^2+('Old Data'!$V542+'Old Data'!$W542-$K546)^2</f>
        <v>3903.6353215202016</v>
      </c>
      <c r="M546" s="75">
        <f>'Old Data'!$N542-'Old Data'!$X542</f>
        <v>-2</v>
      </c>
      <c r="N546" s="72">
        <f>VLOOKUP('Old Data'!$F542,$AD$6:$AF$135,2,FALSE)+VLOOKUP('Old Data'!$P542,$AD$6:$AF$135,3,FALSE)+$E$2</f>
        <v>0.85852348858937511</v>
      </c>
      <c r="O546" s="72">
        <f>VLOOKUP('Old Data'!$P542,$AD$6:$AF$135,2,FALSE)+VLOOKUP('Old Data'!$F542,$AD$6:$AF$135,3,FALSE)+$E$2</f>
        <v>1.2346126641880399</v>
      </c>
      <c r="P546" s="73">
        <f>('Old Data'!$N542-$N546)^2+('Old Data'!$X542-$O546)^2</f>
        <v>1.322880354281001</v>
      </c>
      <c r="Q546" s="62"/>
      <c r="R546" s="3"/>
      <c r="S546" s="3"/>
      <c r="T546" s="3"/>
      <c r="V546" s="3"/>
      <c r="W546" s="3"/>
      <c r="X546" s="3"/>
      <c r="Z546" s="3"/>
      <c r="AA546" s="3"/>
      <c r="AB546" s="3"/>
      <c r="AC546" s="3"/>
      <c r="AD546" s="3"/>
      <c r="AE546" s="3"/>
      <c r="AF546" s="3"/>
      <c r="AG546" s="3"/>
      <c r="AH546" s="37"/>
      <c r="AI546" s="1"/>
      <c r="AK546" s="10"/>
      <c r="AL546" s="10"/>
      <c r="AM546" s="10"/>
      <c r="AN546" s="11"/>
      <c r="AO546" s="11"/>
      <c r="AP546" s="11"/>
      <c r="AQ546" s="36"/>
      <c r="AR546" s="11"/>
      <c r="AS546" s="11"/>
      <c r="AT546" s="11"/>
      <c r="AU546" s="12"/>
      <c r="AV546" s="11"/>
      <c r="AW546" s="11"/>
      <c r="AX546" s="15"/>
      <c r="AY546" s="15"/>
      <c r="AZ546" s="15"/>
      <c r="BA546" s="15"/>
      <c r="BB546" s="15"/>
      <c r="BC546" s="15"/>
      <c r="BD546" s="15"/>
      <c r="BE546" s="12"/>
      <c r="BF546" s="11"/>
      <c r="BG546" s="11"/>
      <c r="BH546" s="10"/>
      <c r="BI546" s="10"/>
      <c r="BJ546" s="10"/>
      <c r="BK546" s="23"/>
      <c r="BL546" s="23"/>
      <c r="BM546" s="23"/>
      <c r="BN546" s="23"/>
      <c r="BO546" s="23"/>
      <c r="BP546" s="23"/>
      <c r="BQ546" s="23"/>
      <c r="BR546" s="10"/>
      <c r="BS546" s="16"/>
      <c r="BT546" s="16"/>
      <c r="BU546" s="16"/>
      <c r="BV546" s="16"/>
      <c r="BW546" s="11"/>
      <c r="BX546" s="16"/>
      <c r="BY546" s="16"/>
      <c r="BZ546" s="17"/>
      <c r="CA546" s="18"/>
      <c r="CB546" s="18"/>
      <c r="CC546" s="18"/>
      <c r="CD546" s="18"/>
      <c r="CE546" s="18"/>
      <c r="CF546" s="18"/>
      <c r="CG546" s="19"/>
      <c r="CH546" s="15"/>
      <c r="CI546" s="17"/>
      <c r="CJ546" s="10"/>
      <c r="CK546" s="10"/>
      <c r="CL546" s="10"/>
      <c r="CM546" s="17"/>
      <c r="CN546" s="17"/>
      <c r="CO546" s="10"/>
      <c r="CP546" s="10"/>
      <c r="CQ546" s="10"/>
      <c r="CR546" s="10"/>
      <c r="CS546" s="10"/>
      <c r="CT546" s="10"/>
      <c r="CU546" s="10"/>
      <c r="CV546" s="10"/>
      <c r="CW546" s="10"/>
      <c r="CX546" s="10"/>
      <c r="CY546" s="10"/>
      <c r="CZ546" s="10"/>
      <c r="DA546" s="34"/>
      <c r="DB546" s="34"/>
      <c r="DC546" s="34"/>
      <c r="DD546" s="34"/>
      <c r="DE546" s="34"/>
      <c r="DF546" s="34"/>
      <c r="DG546" s="34"/>
      <c r="DH546" s="34"/>
      <c r="DI546" s="34"/>
      <c r="DJ546" s="34"/>
      <c r="DK546" s="34"/>
      <c r="DL546" s="34"/>
      <c r="DM546" s="34"/>
      <c r="DN546" s="34"/>
      <c r="DO546" s="34"/>
      <c r="DP546" s="34"/>
      <c r="DQ546" s="34"/>
      <c r="DR546" s="34"/>
      <c r="DS546" s="34"/>
      <c r="DT546" s="34"/>
      <c r="DU546" s="34"/>
      <c r="DV546" s="34"/>
      <c r="DW546" s="34"/>
      <c r="DX546" s="34"/>
      <c r="DY546" s="34"/>
      <c r="DZ546" s="34"/>
      <c r="EA546" s="34"/>
      <c r="EB546" s="34"/>
      <c r="EC546" s="34"/>
      <c r="ED546" s="34"/>
      <c r="EE546" s="34"/>
    </row>
    <row r="547" spans="1:135" customFormat="1">
      <c r="A547" s="71">
        <f>'Old Data'!$I543-'Old Data'!$S543</f>
        <v>-126</v>
      </c>
      <c r="B547" s="72">
        <f>VLOOKUP('Old Data'!$F543,$R$6:$T$135,2,FALSE)+VLOOKUP('Old Data'!$P543,$R$6:$T$135,3,FALSE)+$B$2</f>
        <v>127.0760020167494</v>
      </c>
      <c r="C547" s="72">
        <f>VLOOKUP('Old Data'!$P543,$R$6:$T$135,2,FALSE)+VLOOKUP('Old Data'!$F543,$R$6:$T$135,3,FALSE)+$B$2</f>
        <v>302.19606278152099</v>
      </c>
      <c r="D547" s="74">
        <f>('Old Data'!$I543-$B547)^2+('Old Data'!$S543-$C547)^2</f>
        <v>3336.6114062822312</v>
      </c>
      <c r="E547" s="75">
        <f>'Old Data'!$K543-'Old Data'!$U543</f>
        <v>31</v>
      </c>
      <c r="F547" s="72">
        <f>VLOOKUP('Old Data'!$F543,$V$6:$X$135,2,FALSE)+VLOOKUP('Old Data'!$P543,$V$6:$X$135,3,FALSE)+$C$2</f>
        <v>205.33458986550829</v>
      </c>
      <c r="G547" s="72">
        <f>VLOOKUP('Old Data'!$P543,$V$6:$X$135,2,FALSE)+VLOOKUP('Old Data'!$F543,$V$6:$X$135,3,FALSE)+$C$2</f>
        <v>154.43614167942332</v>
      </c>
      <c r="H547" s="74">
        <f>('Old Data'!$K543-$F547)^2+('Old Data'!$U543-$G547)^2</f>
        <v>2044.515026360227</v>
      </c>
      <c r="I547" s="75">
        <f>('Old Data'!$L543+'Old Data'!$M543)-('Old Data'!$V543+'Old Data'!$W543)</f>
        <v>147</v>
      </c>
      <c r="J547" s="72">
        <f>VLOOKUP('Old Data'!$F543,$Z$6:$AB$135,2,FALSE)+VLOOKUP('Old Data'!$P543,$Z$6:$AB$135,3,FALSE)+$D$2</f>
        <v>103.58550526778589</v>
      </c>
      <c r="K547" s="72">
        <f>VLOOKUP('Old Data'!$P543,$Z$6:$AB$135,2,FALSE)+VLOOKUP('Old Data'!$F543,$Z$6:$AB$135,3,FALSE)+$D$2</f>
        <v>18.377084390846093</v>
      </c>
      <c r="L547" s="74">
        <f>('Old Data'!$L543+'Old Data'!$M543-$J547)^2+('Old Data'!$V543+'Old Data'!$W543-$K547)^2</f>
        <v>9726.2766176985278</v>
      </c>
      <c r="M547" s="75">
        <f>'Old Data'!$N543-'Old Data'!$X543</f>
        <v>0</v>
      </c>
      <c r="N547" s="72">
        <f>VLOOKUP('Old Data'!$F543,$AD$6:$AF$135,2,FALSE)+VLOOKUP('Old Data'!$P543,$AD$6:$AF$135,3,FALSE)+$E$2</f>
        <v>0.82427714127479612</v>
      </c>
      <c r="O547" s="72">
        <f>VLOOKUP('Old Data'!$P543,$AD$6:$AF$135,2,FALSE)+VLOOKUP('Old Data'!$F543,$AD$6:$AF$135,3,FALSE)+$E$2</f>
        <v>0.99490746850273515</v>
      </c>
      <c r="P547" s="73">
        <f>('Old Data'!$N543-$N547)^2+('Old Data'!$X543-$O547)^2</f>
        <v>3.0904456955608596E-2</v>
      </c>
      <c r="Q547" s="62"/>
      <c r="R547" s="3"/>
      <c r="S547" s="3"/>
      <c r="T547" s="3"/>
      <c r="V547" s="3"/>
      <c r="W547" s="3"/>
      <c r="X547" s="3"/>
      <c r="Z547" s="3"/>
      <c r="AA547" s="3"/>
      <c r="AB547" s="3"/>
      <c r="AC547" s="3"/>
      <c r="AD547" s="3"/>
      <c r="AE547" s="3"/>
      <c r="AF547" s="3"/>
      <c r="AG547" s="3"/>
      <c r="AH547" s="37"/>
      <c r="AI547" s="1"/>
      <c r="AK547" s="10"/>
      <c r="AL547" s="10"/>
      <c r="AM547" s="10"/>
      <c r="AN547" s="11"/>
      <c r="AO547" s="11"/>
      <c r="AP547" s="11"/>
      <c r="AQ547" s="36"/>
      <c r="AR547" s="11"/>
      <c r="AS547" s="11"/>
      <c r="AT547" s="11"/>
      <c r="AU547" s="12"/>
      <c r="AV547" s="11"/>
      <c r="AW547" s="11"/>
      <c r="AX547" s="15"/>
      <c r="AY547" s="15"/>
      <c r="AZ547" s="15"/>
      <c r="BA547" s="15"/>
      <c r="BB547" s="15"/>
      <c r="BC547" s="15"/>
      <c r="BD547" s="15"/>
      <c r="BE547" s="12"/>
      <c r="BF547" s="11"/>
      <c r="BG547" s="11"/>
      <c r="BH547" s="10"/>
      <c r="BI547" s="10"/>
      <c r="BJ547" s="10"/>
      <c r="BK547" s="23"/>
      <c r="BL547" s="23"/>
      <c r="BM547" s="23"/>
      <c r="BN547" s="23"/>
      <c r="BO547" s="23"/>
      <c r="BP547" s="23"/>
      <c r="BQ547" s="23"/>
      <c r="BR547" s="10"/>
      <c r="BS547" s="16"/>
      <c r="BT547" s="16"/>
      <c r="BU547" s="16"/>
      <c r="BV547" s="16"/>
      <c r="BW547" s="11"/>
      <c r="BX547" s="16"/>
      <c r="BY547" s="16"/>
      <c r="BZ547" s="17"/>
      <c r="CA547" s="18"/>
      <c r="CB547" s="18"/>
      <c r="CC547" s="18"/>
      <c r="CD547" s="18"/>
      <c r="CE547" s="18"/>
      <c r="CF547" s="18"/>
      <c r="CG547" s="19"/>
      <c r="CH547" s="15"/>
      <c r="CI547" s="17"/>
      <c r="CJ547" s="10"/>
      <c r="CK547" s="10"/>
      <c r="CL547" s="10"/>
      <c r="CM547" s="17"/>
      <c r="CN547" s="17"/>
      <c r="CO547" s="10"/>
      <c r="CP547" s="10"/>
      <c r="CQ547" s="10"/>
      <c r="CR547" s="10"/>
      <c r="CS547" s="10"/>
      <c r="CT547" s="10"/>
      <c r="CU547" s="10"/>
      <c r="CV547" s="10"/>
      <c r="CW547" s="10"/>
      <c r="CX547" s="10"/>
      <c r="CY547" s="10"/>
      <c r="CZ547" s="10"/>
      <c r="DA547" s="34"/>
      <c r="DB547" s="34"/>
      <c r="DC547" s="34"/>
      <c r="DD547" s="34"/>
      <c r="DE547" s="34"/>
      <c r="DF547" s="34"/>
      <c r="DG547" s="34"/>
      <c r="DH547" s="34"/>
      <c r="DI547" s="34"/>
      <c r="DJ547" s="34"/>
      <c r="DK547" s="34"/>
      <c r="DL547" s="34"/>
      <c r="DM547" s="34"/>
      <c r="DN547" s="34"/>
      <c r="DO547" s="34"/>
      <c r="DP547" s="34"/>
      <c r="DQ547" s="34"/>
      <c r="DR547" s="34"/>
      <c r="DS547" s="34"/>
      <c r="DT547" s="34"/>
      <c r="DU547" s="34"/>
      <c r="DV547" s="34"/>
      <c r="DW547" s="34"/>
      <c r="DX547" s="34"/>
      <c r="DY547" s="34"/>
      <c r="DZ547" s="34"/>
      <c r="EA547" s="34"/>
      <c r="EB547" s="34"/>
      <c r="EC547" s="34"/>
      <c r="ED547" s="34"/>
      <c r="EE547" s="34"/>
    </row>
    <row r="548" spans="1:135" customFormat="1">
      <c r="A548" s="71">
        <f>'Old Data'!$I544-'Old Data'!$S544</f>
        <v>3</v>
      </c>
      <c r="B548" s="72">
        <f>VLOOKUP('Old Data'!$F544,$R$6:$T$135,2,FALSE)+VLOOKUP('Old Data'!$P544,$R$6:$T$135,3,FALSE)+$B$2</f>
        <v>104.09213247889817</v>
      </c>
      <c r="C548" s="72">
        <f>VLOOKUP('Old Data'!$P544,$R$6:$T$135,2,FALSE)+VLOOKUP('Old Data'!$F544,$R$6:$T$135,3,FALSE)+$B$2</f>
        <v>131.79379027825891</v>
      </c>
      <c r="D548" s="74">
        <f>('Old Data'!$I544-$B548)^2+('Old Data'!$S544-$C548)^2</f>
        <v>1236.2514150940656</v>
      </c>
      <c r="E548" s="75">
        <f>'Old Data'!$K544-'Old Data'!$U544</f>
        <v>37</v>
      </c>
      <c r="F548" s="72">
        <f>VLOOKUP('Old Data'!$F544,$V$6:$X$135,2,FALSE)+VLOOKUP('Old Data'!$P544,$V$6:$X$135,3,FALSE)+$C$2</f>
        <v>255.26662493246565</v>
      </c>
      <c r="G548" s="72">
        <f>VLOOKUP('Old Data'!$P544,$V$6:$X$135,2,FALSE)+VLOOKUP('Old Data'!$F544,$V$6:$X$135,3,FALSE)+$C$2</f>
        <v>287.35374217915358</v>
      </c>
      <c r="H548" s="74">
        <f>('Old Data'!$K544-$F548)^2+('Old Data'!$U544-$G548)^2</f>
        <v>11960.976283890319</v>
      </c>
      <c r="I548" s="75">
        <f>('Old Data'!$L544+'Old Data'!$M544)-('Old Data'!$V544+'Old Data'!$W544)</f>
        <v>-43</v>
      </c>
      <c r="J548" s="72">
        <f>VLOOKUP('Old Data'!$F544,$Z$6:$AB$135,2,FALSE)+VLOOKUP('Old Data'!$P544,$Z$6:$AB$135,3,FALSE)+$D$2</f>
        <v>50.292742193510769</v>
      </c>
      <c r="K548" s="72">
        <f>VLOOKUP('Old Data'!$P544,$Z$6:$AB$135,2,FALSE)+VLOOKUP('Old Data'!$F544,$Z$6:$AB$135,3,FALSE)+$D$2</f>
        <v>42.152587591393754</v>
      </c>
      <c r="L548" s="74">
        <f>('Old Data'!$L544+'Old Data'!$M544-$J548)^2+('Old Data'!$V544+'Old Data'!$W544-$K548)^2</f>
        <v>1975.7796636314094</v>
      </c>
      <c r="M548" s="75">
        <f>'Old Data'!$N544-'Old Data'!$X544</f>
        <v>1</v>
      </c>
      <c r="N548" s="72">
        <f>VLOOKUP('Old Data'!$F544,$AD$6:$AF$135,2,FALSE)+VLOOKUP('Old Data'!$P544,$AD$6:$AF$135,3,FALSE)+$E$2</f>
        <v>0.70742418117573602</v>
      </c>
      <c r="O548" s="72">
        <f>VLOOKUP('Old Data'!$P544,$AD$6:$AF$135,2,FALSE)+VLOOKUP('Old Data'!$F544,$AD$6:$AF$135,3,FALSE)+$E$2</f>
        <v>1.6809380897745871</v>
      </c>
      <c r="P548" s="73">
        <f>('Old Data'!$N544-$N548)^2+('Old Data'!$X544-$O548)^2</f>
        <v>2.9111534714157266</v>
      </c>
      <c r="Q548" s="62"/>
      <c r="R548" s="3"/>
      <c r="S548" s="3"/>
      <c r="T548" s="3"/>
      <c r="V548" s="3"/>
      <c r="W548" s="3"/>
      <c r="X548" s="3"/>
      <c r="Z548" s="3"/>
      <c r="AA548" s="3"/>
      <c r="AB548" s="3"/>
      <c r="AC548" s="3"/>
      <c r="AD548" s="3"/>
      <c r="AE548" s="3"/>
      <c r="AF548" s="3"/>
      <c r="AG548" s="3"/>
      <c r="AH548" s="37"/>
      <c r="AI548" s="1"/>
      <c r="AK548" s="10"/>
      <c r="AL548" s="10"/>
      <c r="AM548" s="10"/>
      <c r="AN548" s="11"/>
      <c r="AO548" s="11"/>
      <c r="AP548" s="11"/>
      <c r="AQ548" s="36"/>
      <c r="AR548" s="11"/>
      <c r="AS548" s="11"/>
      <c r="AT548" s="11"/>
      <c r="AU548" s="12"/>
      <c r="AV548" s="11"/>
      <c r="AW548" s="11"/>
      <c r="AX548" s="15"/>
      <c r="AY548" s="15"/>
      <c r="AZ548" s="15"/>
      <c r="BA548" s="15"/>
      <c r="BB548" s="15"/>
      <c r="BC548" s="15"/>
      <c r="BD548" s="15"/>
      <c r="BE548" s="12"/>
      <c r="BF548" s="11"/>
      <c r="BG548" s="11"/>
      <c r="BH548" s="10"/>
      <c r="BI548" s="10"/>
      <c r="BJ548" s="10"/>
      <c r="BK548" s="23"/>
      <c r="BL548" s="23"/>
      <c r="BM548" s="23"/>
      <c r="BN548" s="23"/>
      <c r="BO548" s="23"/>
      <c r="BP548" s="23"/>
      <c r="BQ548" s="23"/>
      <c r="BR548" s="10"/>
      <c r="BS548" s="16"/>
      <c r="BT548" s="16"/>
      <c r="BU548" s="16"/>
      <c r="BV548" s="16"/>
      <c r="BW548" s="11"/>
      <c r="BX548" s="16"/>
      <c r="BY548" s="16"/>
      <c r="BZ548" s="17"/>
      <c r="CA548" s="18"/>
      <c r="CB548" s="18"/>
      <c r="CC548" s="18"/>
      <c r="CD548" s="18"/>
      <c r="CE548" s="18"/>
      <c r="CF548" s="18"/>
      <c r="CG548" s="19"/>
      <c r="CH548" s="15"/>
      <c r="CI548" s="17"/>
      <c r="CJ548" s="10"/>
      <c r="CK548" s="10"/>
      <c r="CL548" s="10"/>
      <c r="CM548" s="17"/>
      <c r="CN548" s="17"/>
      <c r="CO548" s="10"/>
      <c r="CP548" s="10"/>
      <c r="CQ548" s="10"/>
      <c r="CR548" s="10"/>
      <c r="CS548" s="10"/>
      <c r="CT548" s="10"/>
      <c r="CU548" s="10"/>
      <c r="CV548" s="10"/>
      <c r="CW548" s="10"/>
      <c r="CX548" s="10"/>
      <c r="CY548" s="10"/>
      <c r="CZ548" s="10"/>
      <c r="DA548" s="34"/>
      <c r="DB548" s="34"/>
      <c r="DC548" s="34"/>
      <c r="DD548" s="34"/>
      <c r="DE548" s="34"/>
      <c r="DF548" s="34"/>
      <c r="DG548" s="34"/>
      <c r="DH548" s="34"/>
      <c r="DI548" s="34"/>
      <c r="DJ548" s="34"/>
      <c r="DK548" s="34"/>
      <c r="DL548" s="34"/>
      <c r="DM548" s="34"/>
      <c r="DN548" s="34"/>
      <c r="DO548" s="34"/>
      <c r="DP548" s="34"/>
      <c r="DQ548" s="34"/>
      <c r="DR548" s="34"/>
      <c r="DS548" s="34"/>
      <c r="DT548" s="34"/>
      <c r="DU548" s="34"/>
      <c r="DV548" s="34"/>
      <c r="DW548" s="34"/>
      <c r="DX548" s="34"/>
      <c r="DY548" s="34"/>
      <c r="DZ548" s="34"/>
      <c r="EA548" s="34"/>
      <c r="EB548" s="34"/>
      <c r="EC548" s="34"/>
      <c r="ED548" s="34"/>
      <c r="EE548" s="34"/>
    </row>
    <row r="549" spans="1:135" customFormat="1">
      <c r="A549" s="71">
        <f>'Old Data'!$I545-'Old Data'!$S545</f>
        <v>125</v>
      </c>
      <c r="B549" s="72">
        <f>VLOOKUP('Old Data'!$F545,$R$6:$T$135,2,FALSE)+VLOOKUP('Old Data'!$P545,$R$6:$T$135,3,FALSE)+$B$2</f>
        <v>198.91545957544324</v>
      </c>
      <c r="C549" s="72">
        <f>VLOOKUP('Old Data'!$P545,$R$6:$T$135,2,FALSE)+VLOOKUP('Old Data'!$F545,$R$6:$T$135,3,FALSE)+$B$2</f>
        <v>127.31309531548249</v>
      </c>
      <c r="D549" s="74">
        <f>('Old Data'!$I545-$B549)^2+('Old Data'!$S545-$C549)^2</f>
        <v>3685.4930476740647</v>
      </c>
      <c r="E549" s="75">
        <f>'Old Data'!$K545-'Old Data'!$U545</f>
        <v>19</v>
      </c>
      <c r="F549" s="72">
        <f>VLOOKUP('Old Data'!$F545,$V$6:$X$135,2,FALSE)+VLOOKUP('Old Data'!$P545,$V$6:$X$135,3,FALSE)+$C$2</f>
        <v>229.72843127569621</v>
      </c>
      <c r="G549" s="72">
        <f>VLOOKUP('Old Data'!$P545,$V$6:$X$135,2,FALSE)+VLOOKUP('Old Data'!$F545,$V$6:$X$135,3,FALSE)+$C$2</f>
        <v>266.32695918861094</v>
      </c>
      <c r="H549" s="74">
        <f>('Old Data'!$K545-$F549)^2+('Old Data'!$U545-$G549)^2</f>
        <v>5511.0294384166837</v>
      </c>
      <c r="I549" s="75">
        <f>('Old Data'!$L545+'Old Data'!$M545)-('Old Data'!$V545+'Old Data'!$W545)</f>
        <v>-29</v>
      </c>
      <c r="J549" s="72">
        <f>VLOOKUP('Old Data'!$F545,$Z$6:$AB$135,2,FALSE)+VLOOKUP('Old Data'!$P545,$Z$6:$AB$135,3,FALSE)+$D$2</f>
        <v>88.080384691929396</v>
      </c>
      <c r="K549" s="72">
        <f>VLOOKUP('Old Data'!$P545,$Z$6:$AB$135,2,FALSE)+VLOOKUP('Old Data'!$F545,$Z$6:$AB$135,3,FALSE)+$D$2</f>
        <v>81.793770323759844</v>
      </c>
      <c r="L549" s="74">
        <f>('Old Data'!$L545+'Old Data'!$M545-$J549)^2+('Old Data'!$V545+'Old Data'!$W545-$K549)^2</f>
        <v>2020.4107110955226</v>
      </c>
      <c r="M549" s="75">
        <f>'Old Data'!$N545-'Old Data'!$X545</f>
        <v>1</v>
      </c>
      <c r="N549" s="72">
        <f>VLOOKUP('Old Data'!$F545,$AD$6:$AF$135,2,FALSE)+VLOOKUP('Old Data'!$P545,$AD$6:$AF$135,3,FALSE)+$E$2</f>
        <v>2.168108550223256</v>
      </c>
      <c r="O549" s="72">
        <f>VLOOKUP('Old Data'!$P545,$AD$6:$AF$135,2,FALSE)+VLOOKUP('Old Data'!$F545,$AD$6:$AF$135,3,FALSE)+$E$2</f>
        <v>1.177426842722199</v>
      </c>
      <c r="P549" s="73">
        <f>('Old Data'!$N545-$N549)^2+('Old Data'!$X545-$O549)^2</f>
        <v>5.9740769176532919E-2</v>
      </c>
      <c r="Q549" s="62"/>
      <c r="R549" s="3"/>
      <c r="S549" s="3"/>
      <c r="T549" s="3"/>
      <c r="V549" s="3"/>
      <c r="W549" s="3"/>
      <c r="X549" s="3"/>
      <c r="Z549" s="3"/>
      <c r="AA549" s="3"/>
      <c r="AB549" s="3"/>
      <c r="AC549" s="3"/>
      <c r="AD549" s="3"/>
      <c r="AE549" s="3"/>
      <c r="AF549" s="3"/>
      <c r="AG549" s="3"/>
      <c r="AH549" s="37"/>
      <c r="AI549" s="1"/>
      <c r="AK549" s="10"/>
      <c r="AL549" s="10"/>
      <c r="AM549" s="10"/>
      <c r="AN549" s="11"/>
      <c r="AO549" s="11"/>
      <c r="AP549" s="11"/>
      <c r="AQ549" s="36"/>
      <c r="AR549" s="11"/>
      <c r="AS549" s="11"/>
      <c r="AT549" s="11"/>
      <c r="AU549" s="12"/>
      <c r="AV549" s="11"/>
      <c r="AW549" s="11"/>
      <c r="AX549" s="15"/>
      <c r="AY549" s="15"/>
      <c r="AZ549" s="15"/>
      <c r="BA549" s="15"/>
      <c r="BB549" s="15"/>
      <c r="BC549" s="15"/>
      <c r="BD549" s="15"/>
      <c r="BE549" s="12"/>
      <c r="BF549" s="11"/>
      <c r="BG549" s="11"/>
      <c r="BH549" s="10"/>
      <c r="BI549" s="10"/>
      <c r="BJ549" s="10"/>
      <c r="BK549" s="23"/>
      <c r="BL549" s="23"/>
      <c r="BM549" s="23"/>
      <c r="BN549" s="23"/>
      <c r="BO549" s="23"/>
      <c r="BP549" s="23"/>
      <c r="BQ549" s="23"/>
      <c r="BR549" s="10"/>
      <c r="BS549" s="16"/>
      <c r="BT549" s="16"/>
      <c r="BU549" s="16"/>
      <c r="BV549" s="16"/>
      <c r="BW549" s="11"/>
      <c r="BX549" s="16"/>
      <c r="BY549" s="16"/>
      <c r="BZ549" s="17"/>
      <c r="CA549" s="18"/>
      <c r="CB549" s="18"/>
      <c r="CC549" s="18"/>
      <c r="CD549" s="18"/>
      <c r="CE549" s="18"/>
      <c r="CF549" s="18"/>
      <c r="CG549" s="19"/>
      <c r="CH549" s="15"/>
      <c r="CI549" s="17"/>
      <c r="CJ549" s="10"/>
      <c r="CK549" s="10"/>
      <c r="CL549" s="10"/>
      <c r="CM549" s="17"/>
      <c r="CN549" s="17"/>
      <c r="CO549" s="10"/>
      <c r="CP549" s="10"/>
      <c r="CQ549" s="10"/>
      <c r="CR549" s="10"/>
      <c r="CS549" s="10"/>
      <c r="CT549" s="10"/>
      <c r="CU549" s="10"/>
      <c r="CV549" s="10"/>
      <c r="CW549" s="10"/>
      <c r="CX549" s="10"/>
      <c r="CY549" s="10"/>
      <c r="CZ549" s="10"/>
      <c r="DA549" s="34"/>
      <c r="DB549" s="34"/>
      <c r="DC549" s="34"/>
      <c r="DD549" s="34"/>
      <c r="DE549" s="34"/>
      <c r="DF549" s="34"/>
      <c r="DG549" s="34"/>
      <c r="DH549" s="34"/>
      <c r="DI549" s="34"/>
      <c r="DJ549" s="34"/>
      <c r="DK549" s="34"/>
      <c r="DL549" s="34"/>
      <c r="DM549" s="34"/>
      <c r="DN549" s="34"/>
      <c r="DO549" s="34"/>
      <c r="DP549" s="34"/>
      <c r="DQ549" s="34"/>
      <c r="DR549" s="34"/>
      <c r="DS549" s="34"/>
      <c r="DT549" s="34"/>
      <c r="DU549" s="34"/>
      <c r="DV549" s="34"/>
      <c r="DW549" s="34"/>
      <c r="DX549" s="34"/>
      <c r="DY549" s="34"/>
      <c r="DZ549" s="34"/>
      <c r="EA549" s="34"/>
      <c r="EB549" s="34"/>
      <c r="EC549" s="34"/>
      <c r="ED549" s="34"/>
      <c r="EE549" s="34"/>
    </row>
    <row r="550" spans="1:135" customFormat="1">
      <c r="A550" s="71">
        <f>'Old Data'!$I546-'Old Data'!$S546</f>
        <v>32</v>
      </c>
      <c r="B550" s="72">
        <f>VLOOKUP('Old Data'!$F546,$R$6:$T$135,2,FALSE)+VLOOKUP('Old Data'!$P546,$R$6:$T$135,3,FALSE)+$B$2</f>
        <v>140.9918860527801</v>
      </c>
      <c r="C550" s="72">
        <f>VLOOKUP('Old Data'!$P546,$R$6:$T$135,2,FALSE)+VLOOKUP('Old Data'!$F546,$R$6:$T$135,3,FALSE)+$B$2</f>
        <v>85.599741877466215</v>
      </c>
      <c r="D550" s="74">
        <f>('Old Data'!$I546-$B550)^2+('Old Data'!$S546-$C550)^2</f>
        <v>1763.7191245965607</v>
      </c>
      <c r="E550" s="75">
        <f>'Old Data'!$K546-'Old Data'!$U546</f>
        <v>187</v>
      </c>
      <c r="F550" s="72">
        <f>VLOOKUP('Old Data'!$F546,$V$6:$X$135,2,FALSE)+VLOOKUP('Old Data'!$P546,$V$6:$X$135,3,FALSE)+$C$2</f>
        <v>210.22255103621234</v>
      </c>
      <c r="G550" s="72">
        <f>VLOOKUP('Old Data'!$P546,$V$6:$X$135,2,FALSE)+VLOOKUP('Old Data'!$F546,$V$6:$X$135,3,FALSE)+$C$2</f>
        <v>176.3262569491925</v>
      </c>
      <c r="H550" s="74">
        <f>('Old Data'!$K546-$F550)^2+('Old Data'!$U546-$G550)^2</f>
        <v>14344.959994312027</v>
      </c>
      <c r="I550" s="75">
        <f>('Old Data'!$L546+'Old Data'!$M546)-('Old Data'!$V546+'Old Data'!$W546)</f>
        <v>-16</v>
      </c>
      <c r="J550" s="72">
        <f>VLOOKUP('Old Data'!$F546,$Z$6:$AB$135,2,FALSE)+VLOOKUP('Old Data'!$P546,$Z$6:$AB$135,3,FALSE)+$D$2</f>
        <v>77.142458768463797</v>
      </c>
      <c r="K550" s="72">
        <f>VLOOKUP('Old Data'!$P546,$Z$6:$AB$135,2,FALSE)+VLOOKUP('Old Data'!$F546,$Z$6:$AB$135,3,FALSE)+$D$2</f>
        <v>25.170095939507227</v>
      </c>
      <c r="L550" s="74">
        <f>('Old Data'!$L546+'Old Data'!$M546-$J550)^2+('Old Data'!$V546+'Old Data'!$W546-$K550)^2</f>
        <v>2898.7967595694108</v>
      </c>
      <c r="M550" s="75">
        <f>'Old Data'!$N546-'Old Data'!$X546</f>
        <v>1</v>
      </c>
      <c r="N550" s="72">
        <f>VLOOKUP('Old Data'!$F546,$AD$6:$AF$135,2,FALSE)+VLOOKUP('Old Data'!$P546,$AD$6:$AF$135,3,FALSE)+$E$2</f>
        <v>1.506297109885127</v>
      </c>
      <c r="O550" s="72">
        <f>VLOOKUP('Old Data'!$P546,$AD$6:$AF$135,2,FALSE)+VLOOKUP('Old Data'!$F546,$AD$6:$AF$135,3,FALSE)+$E$2</f>
        <v>0.65398035167342017</v>
      </c>
      <c r="P550" s="73">
        <f>('Old Data'!$N546-$N550)^2+('Old Data'!$X546-$O550)^2</f>
        <v>4.0429172176187347</v>
      </c>
      <c r="Q550" s="62"/>
      <c r="R550" s="3"/>
      <c r="S550" s="3"/>
      <c r="T550" s="3"/>
      <c r="V550" s="3"/>
      <c r="W550" s="3"/>
      <c r="X550" s="3"/>
      <c r="Z550" s="3"/>
      <c r="AA550" s="3"/>
      <c r="AB550" s="3"/>
      <c r="AC550" s="3"/>
      <c r="AD550" s="3"/>
      <c r="AE550" s="3"/>
      <c r="AF550" s="3"/>
      <c r="AG550" s="3"/>
      <c r="AH550" s="37"/>
      <c r="AI550" s="1"/>
      <c r="AK550" s="10"/>
      <c r="AL550" s="10"/>
      <c r="AM550" s="10"/>
      <c r="AN550" s="11"/>
      <c r="AO550" s="11"/>
      <c r="AP550" s="11"/>
      <c r="AQ550" s="36"/>
      <c r="AR550" s="11"/>
      <c r="AS550" s="11"/>
      <c r="AT550" s="11"/>
      <c r="AU550" s="12"/>
      <c r="AV550" s="11"/>
      <c r="AW550" s="11"/>
      <c r="AX550" s="15"/>
      <c r="AY550" s="15"/>
      <c r="AZ550" s="15"/>
      <c r="BA550" s="15"/>
      <c r="BB550" s="15"/>
      <c r="BC550" s="15"/>
      <c r="BD550" s="15"/>
      <c r="BE550" s="12"/>
      <c r="BF550" s="11"/>
      <c r="BG550" s="11"/>
      <c r="BH550" s="10"/>
      <c r="BI550" s="10"/>
      <c r="BJ550" s="10"/>
      <c r="BK550" s="23"/>
      <c r="BL550" s="23"/>
      <c r="BM550" s="23"/>
      <c r="BN550" s="23"/>
      <c r="BO550" s="23"/>
      <c r="BP550" s="23"/>
      <c r="BQ550" s="23"/>
      <c r="BR550" s="10"/>
      <c r="BS550" s="16"/>
      <c r="BT550" s="16"/>
      <c r="BU550" s="16"/>
      <c r="BV550" s="16"/>
      <c r="BW550" s="11"/>
      <c r="BX550" s="16"/>
      <c r="BY550" s="16"/>
      <c r="BZ550" s="17"/>
      <c r="CA550" s="18"/>
      <c r="CB550" s="18"/>
      <c r="CC550" s="18"/>
      <c r="CD550" s="18"/>
      <c r="CE550" s="18"/>
      <c r="CF550" s="18"/>
      <c r="CG550" s="19"/>
      <c r="CH550" s="15"/>
      <c r="CI550" s="17"/>
      <c r="CJ550" s="10"/>
      <c r="CK550" s="10"/>
      <c r="CL550" s="10"/>
      <c r="CM550" s="17"/>
      <c r="CN550" s="17"/>
      <c r="CO550" s="10"/>
      <c r="CP550" s="10"/>
      <c r="CQ550" s="10"/>
      <c r="CR550" s="10"/>
      <c r="CS550" s="10"/>
      <c r="CT550" s="10"/>
      <c r="CU550" s="10"/>
      <c r="CV550" s="10"/>
      <c r="CW550" s="10"/>
      <c r="CX550" s="10"/>
      <c r="CY550" s="10"/>
      <c r="CZ550" s="10"/>
      <c r="DA550" s="34"/>
      <c r="DB550" s="34"/>
      <c r="DC550" s="34"/>
      <c r="DD550" s="34"/>
      <c r="DE550" s="34"/>
      <c r="DF550" s="34"/>
      <c r="DG550" s="34"/>
      <c r="DH550" s="34"/>
      <c r="DI550" s="34"/>
      <c r="DJ550" s="34"/>
      <c r="DK550" s="34"/>
      <c r="DL550" s="34"/>
      <c r="DM550" s="34"/>
      <c r="DN550" s="34"/>
      <c r="DO550" s="34"/>
      <c r="DP550" s="34"/>
      <c r="DQ550" s="34"/>
      <c r="DR550" s="34"/>
      <c r="DS550" s="34"/>
      <c r="DT550" s="34"/>
      <c r="DU550" s="34"/>
      <c r="DV550" s="34"/>
      <c r="DW550" s="34"/>
      <c r="DX550" s="34"/>
      <c r="DY550" s="34"/>
      <c r="DZ550" s="34"/>
      <c r="EA550" s="34"/>
      <c r="EB550" s="34"/>
      <c r="EC550" s="34"/>
      <c r="ED550" s="34"/>
      <c r="EE550" s="34"/>
    </row>
    <row r="551" spans="1:135" customFormat="1">
      <c r="A551" s="71">
        <f>'Old Data'!$I547-'Old Data'!$S547</f>
        <v>-162</v>
      </c>
      <c r="B551" s="72">
        <f>VLOOKUP('Old Data'!$F547,$R$6:$T$135,2,FALSE)+VLOOKUP('Old Data'!$P547,$R$6:$T$135,3,FALSE)+$B$2</f>
        <v>123.0277199717881</v>
      </c>
      <c r="C551" s="72">
        <f>VLOOKUP('Old Data'!$P547,$R$6:$T$135,2,FALSE)+VLOOKUP('Old Data'!$F547,$R$6:$T$135,3,FALSE)+$B$2</f>
        <v>186.9552869008576</v>
      </c>
      <c r="D551" s="74">
        <f>('Old Data'!$I547-$B551)^2+('Old Data'!$S547-$C551)^2</f>
        <v>4826.9992498451338</v>
      </c>
      <c r="E551" s="75">
        <f>'Old Data'!$K547-'Old Data'!$U547</f>
        <v>118</v>
      </c>
      <c r="F551" s="72">
        <f>VLOOKUP('Old Data'!$F547,$V$6:$X$135,2,FALSE)+VLOOKUP('Old Data'!$P547,$V$6:$X$135,3,FALSE)+$C$2</f>
        <v>317.31344770472771</v>
      </c>
      <c r="G551" s="72">
        <f>VLOOKUP('Old Data'!$P547,$V$6:$X$135,2,FALSE)+VLOOKUP('Old Data'!$F547,$V$6:$X$135,3,FALSE)+$C$2</f>
        <v>229.67514086393689</v>
      </c>
      <c r="H551" s="74">
        <f>('Old Data'!$K547-$F551)^2+('Old Data'!$U547-$G551)^2</f>
        <v>2980.6060592325539</v>
      </c>
      <c r="I551" s="75">
        <f>('Old Data'!$L547+'Old Data'!$M547)-('Old Data'!$V547+'Old Data'!$W547)</f>
        <v>65</v>
      </c>
      <c r="J551" s="72">
        <f>VLOOKUP('Old Data'!$F547,$Z$6:$AB$135,2,FALSE)+VLOOKUP('Old Data'!$P547,$Z$6:$AB$135,3,FALSE)+$D$2</f>
        <v>117.6718662921888</v>
      </c>
      <c r="K551" s="72">
        <f>VLOOKUP('Old Data'!$P547,$Z$6:$AB$135,2,FALSE)+VLOOKUP('Old Data'!$F547,$Z$6:$AB$135,3,FALSE)+$D$2</f>
        <v>49.038706505184997</v>
      </c>
      <c r="L551" s="74">
        <f>('Old Data'!$L547+'Old Data'!$M547-$J551)^2+('Old Data'!$V547+'Old Data'!$W547-$K551)^2</f>
        <v>40.957226692770419</v>
      </c>
      <c r="M551" s="75">
        <f>'Old Data'!$N547-'Old Data'!$X547</f>
        <v>-2</v>
      </c>
      <c r="N551" s="72">
        <f>VLOOKUP('Old Data'!$F547,$AD$6:$AF$135,2,FALSE)+VLOOKUP('Old Data'!$P547,$AD$6:$AF$135,3,FALSE)+$E$2</f>
        <v>1.5120976248585296</v>
      </c>
      <c r="O551" s="72">
        <f>VLOOKUP('Old Data'!$P547,$AD$6:$AF$135,2,FALSE)+VLOOKUP('Old Data'!$F547,$AD$6:$AF$135,3,FALSE)+$E$2</f>
        <v>1.8193132413154851</v>
      </c>
      <c r="P551" s="73">
        <f>('Old Data'!$N547-$N551)^2+('Old Data'!$X547-$O551)^2</f>
        <v>12.330621734822634</v>
      </c>
      <c r="Q551" s="62"/>
      <c r="R551" s="3"/>
      <c r="S551" s="3"/>
      <c r="T551" s="3"/>
      <c r="V551" s="3"/>
      <c r="W551" s="3"/>
      <c r="X551" s="3"/>
      <c r="Z551" s="3"/>
      <c r="AA551" s="3"/>
      <c r="AB551" s="3"/>
      <c r="AC551" s="3"/>
      <c r="AD551" s="3"/>
      <c r="AE551" s="3"/>
      <c r="AF551" s="3"/>
      <c r="AG551" s="3"/>
      <c r="AH551" s="37"/>
      <c r="AI551" s="1"/>
      <c r="AK551" s="10"/>
      <c r="AL551" s="10"/>
      <c r="AM551" s="10"/>
      <c r="AN551" s="11"/>
      <c r="AO551" s="11"/>
      <c r="AP551" s="11"/>
      <c r="AQ551" s="36"/>
      <c r="AR551" s="11"/>
      <c r="AS551" s="11"/>
      <c r="AT551" s="11"/>
      <c r="AU551" s="12"/>
      <c r="AV551" s="11"/>
      <c r="AW551" s="11"/>
      <c r="AX551" s="15"/>
      <c r="AY551" s="15"/>
      <c r="AZ551" s="15"/>
      <c r="BA551" s="15"/>
      <c r="BB551" s="15"/>
      <c r="BC551" s="15"/>
      <c r="BD551" s="15"/>
      <c r="BE551" s="12"/>
      <c r="BF551" s="11"/>
      <c r="BG551" s="11"/>
      <c r="BH551" s="10"/>
      <c r="BI551" s="10"/>
      <c r="BJ551" s="10"/>
      <c r="BK551" s="23"/>
      <c r="BL551" s="23"/>
      <c r="BM551" s="23"/>
      <c r="BN551" s="23"/>
      <c r="BO551" s="23"/>
      <c r="BP551" s="23"/>
      <c r="BQ551" s="23"/>
      <c r="BR551" s="10"/>
      <c r="BS551" s="16"/>
      <c r="BT551" s="16"/>
      <c r="BU551" s="16"/>
      <c r="BV551" s="16"/>
      <c r="BW551" s="11"/>
      <c r="BX551" s="16"/>
      <c r="BY551" s="16"/>
      <c r="BZ551" s="17"/>
      <c r="CA551" s="18"/>
      <c r="CB551" s="18"/>
      <c r="CC551" s="18"/>
      <c r="CD551" s="18"/>
      <c r="CE551" s="18"/>
      <c r="CF551" s="18"/>
      <c r="CG551" s="19"/>
      <c r="CH551" s="15"/>
      <c r="CI551" s="17"/>
      <c r="CJ551" s="10"/>
      <c r="CK551" s="10"/>
      <c r="CL551" s="10"/>
      <c r="CM551" s="17"/>
      <c r="CN551" s="17"/>
      <c r="CO551" s="10"/>
      <c r="CP551" s="10"/>
      <c r="CQ551" s="10"/>
      <c r="CR551" s="10"/>
      <c r="CS551" s="10"/>
      <c r="CT551" s="10"/>
      <c r="CU551" s="10"/>
      <c r="CV551" s="10"/>
      <c r="CW551" s="10"/>
      <c r="CX551" s="10"/>
      <c r="CY551" s="10"/>
      <c r="CZ551" s="10"/>
      <c r="DA551" s="34"/>
      <c r="DB551" s="34"/>
      <c r="DC551" s="34"/>
      <c r="DD551" s="34"/>
      <c r="DE551" s="34"/>
      <c r="DF551" s="34"/>
      <c r="DG551" s="34"/>
      <c r="DH551" s="34"/>
      <c r="DI551" s="34"/>
      <c r="DJ551" s="34"/>
      <c r="DK551" s="34"/>
      <c r="DL551" s="34"/>
      <c r="DM551" s="34"/>
      <c r="DN551" s="34"/>
      <c r="DO551" s="34"/>
      <c r="DP551" s="34"/>
      <c r="DQ551" s="34"/>
      <c r="DR551" s="34"/>
      <c r="DS551" s="34"/>
      <c r="DT551" s="34"/>
      <c r="DU551" s="34"/>
      <c r="DV551" s="34"/>
      <c r="DW551" s="34"/>
      <c r="DX551" s="34"/>
      <c r="DY551" s="34"/>
      <c r="DZ551" s="34"/>
      <c r="EA551" s="34"/>
      <c r="EB551" s="34"/>
      <c r="EC551" s="34"/>
      <c r="ED551" s="34"/>
      <c r="EE551" s="34"/>
    </row>
    <row r="552" spans="1:135" customFormat="1">
      <c r="A552" s="71">
        <f>'Old Data'!$I548-'Old Data'!$S548</f>
        <v>-58</v>
      </c>
      <c r="B552" s="72">
        <f>VLOOKUP('Old Data'!$F548,$R$6:$T$135,2,FALSE)+VLOOKUP('Old Data'!$P548,$R$6:$T$135,3,FALSE)+$B$2</f>
        <v>117.67512273951201</v>
      </c>
      <c r="C552" s="72">
        <f>VLOOKUP('Old Data'!$P548,$R$6:$T$135,2,FALSE)+VLOOKUP('Old Data'!$F548,$R$6:$T$135,3,FALSE)+$B$2</f>
        <v>144.5433620564927</v>
      </c>
      <c r="D552" s="74">
        <f>('Old Data'!$I548-$B552)^2+('Old Data'!$S548-$C552)^2</f>
        <v>941.17167329557708</v>
      </c>
      <c r="E552" s="75">
        <f>'Old Data'!$K548-'Old Data'!$U548</f>
        <v>132</v>
      </c>
      <c r="F552" s="72">
        <f>VLOOKUP('Old Data'!$F548,$V$6:$X$135,2,FALSE)+VLOOKUP('Old Data'!$P548,$V$6:$X$135,3,FALSE)+$C$2</f>
        <v>173.46759299194761</v>
      </c>
      <c r="G552" s="72">
        <f>VLOOKUP('Old Data'!$P548,$V$6:$X$135,2,FALSE)+VLOOKUP('Old Data'!$F548,$V$6:$X$135,3,FALSE)+$C$2</f>
        <v>198.88683071224966</v>
      </c>
      <c r="H552" s="74">
        <f>('Old Data'!$K548-$F552)^2+('Old Data'!$U548-$G552)^2</f>
        <v>12597.559484385478</v>
      </c>
      <c r="I552" s="75">
        <f>('Old Data'!$L548+'Old Data'!$M548)-('Old Data'!$V548+'Old Data'!$W548)</f>
        <v>24</v>
      </c>
      <c r="J552" s="72">
        <f>VLOOKUP('Old Data'!$F548,$Z$6:$AB$135,2,FALSE)+VLOOKUP('Old Data'!$P548,$Z$6:$AB$135,3,FALSE)+$D$2</f>
        <v>36.437456275686856</v>
      </c>
      <c r="K552" s="72">
        <f>VLOOKUP('Old Data'!$P548,$Z$6:$AB$135,2,FALSE)+VLOOKUP('Old Data'!$F548,$Z$6:$AB$135,3,FALSE)+$D$2</f>
        <v>33.347421085081251</v>
      </c>
      <c r="L552" s="74">
        <f>('Old Data'!$L548+'Old Data'!$M548-$J552)^2+('Old Data'!$V548+'Old Data'!$W548-$K552)^2</f>
        <v>235.34571720461969</v>
      </c>
      <c r="M552" s="75">
        <f>'Old Data'!$N548-'Old Data'!$X548</f>
        <v>-1</v>
      </c>
      <c r="N552" s="72">
        <f>VLOOKUP('Old Data'!$F548,$AD$6:$AF$135,2,FALSE)+VLOOKUP('Old Data'!$P548,$AD$6:$AF$135,3,FALSE)+$E$2</f>
        <v>1.245303715518385</v>
      </c>
      <c r="O552" s="72">
        <f>VLOOKUP('Old Data'!$P548,$AD$6:$AF$135,2,FALSE)+VLOOKUP('Old Data'!$F548,$AD$6:$AF$135,3,FALSE)+$E$2</f>
        <v>1.10573872164793</v>
      </c>
      <c r="P552" s="73">
        <f>('Old Data'!$N548-$N552)^2+('Old Data'!$X548-$O552)^2</f>
        <v>1.5619620211396332</v>
      </c>
      <c r="Q552" s="62"/>
      <c r="R552" s="3"/>
      <c r="S552" s="3"/>
      <c r="T552" s="3"/>
      <c r="V552" s="3"/>
      <c r="W552" s="3"/>
      <c r="X552" s="3"/>
      <c r="Z552" s="3"/>
      <c r="AA552" s="3"/>
      <c r="AB552" s="3"/>
      <c r="AC552" s="3"/>
      <c r="AD552" s="3"/>
      <c r="AE552" s="3"/>
      <c r="AF552" s="3"/>
      <c r="AG552" s="3"/>
      <c r="AH552" s="37"/>
      <c r="AI552" s="1"/>
      <c r="AK552" s="10"/>
      <c r="AL552" s="10"/>
      <c r="AM552" s="10"/>
      <c r="AN552" s="11"/>
      <c r="AO552" s="11"/>
      <c r="AP552" s="11"/>
      <c r="AQ552" s="36"/>
      <c r="AR552" s="11"/>
      <c r="AS552" s="11"/>
      <c r="AT552" s="11"/>
      <c r="AU552" s="12"/>
      <c r="AV552" s="11"/>
      <c r="AW552" s="11"/>
      <c r="AX552" s="15"/>
      <c r="AY552" s="15"/>
      <c r="AZ552" s="15"/>
      <c r="BA552" s="15"/>
      <c r="BB552" s="15"/>
      <c r="BC552" s="15"/>
      <c r="BD552" s="15"/>
      <c r="BE552" s="12"/>
      <c r="BF552" s="11"/>
      <c r="BG552" s="11"/>
      <c r="BH552" s="10"/>
      <c r="BI552" s="10"/>
      <c r="BJ552" s="10"/>
      <c r="BK552" s="23"/>
      <c r="BL552" s="23"/>
      <c r="BM552" s="23"/>
      <c r="BN552" s="23"/>
      <c r="BO552" s="23"/>
      <c r="BP552" s="23"/>
      <c r="BQ552" s="23"/>
      <c r="BR552" s="10"/>
      <c r="BS552" s="16"/>
      <c r="BT552" s="16"/>
      <c r="BU552" s="16"/>
      <c r="BV552" s="16"/>
      <c r="BW552" s="11"/>
      <c r="BX552" s="16"/>
      <c r="BY552" s="16"/>
      <c r="BZ552" s="17"/>
      <c r="CA552" s="18"/>
      <c r="CB552" s="18"/>
      <c r="CC552" s="18"/>
      <c r="CD552" s="18"/>
      <c r="CE552" s="18"/>
      <c r="CF552" s="18"/>
      <c r="CG552" s="19"/>
      <c r="CH552" s="15"/>
      <c r="CI552" s="17"/>
      <c r="CJ552" s="10"/>
      <c r="CK552" s="10"/>
      <c r="CL552" s="10"/>
      <c r="CM552" s="17"/>
      <c r="CN552" s="17"/>
      <c r="CO552" s="10"/>
      <c r="CP552" s="10"/>
      <c r="CQ552" s="10"/>
      <c r="CR552" s="10"/>
      <c r="CS552" s="10"/>
      <c r="CT552" s="10"/>
      <c r="CU552" s="10"/>
      <c r="CV552" s="10"/>
      <c r="CW552" s="10"/>
      <c r="CX552" s="10"/>
      <c r="CY552" s="10"/>
      <c r="CZ552" s="10"/>
      <c r="DA552" s="34"/>
      <c r="DB552" s="34"/>
      <c r="DC552" s="34"/>
      <c r="DD552" s="34"/>
      <c r="DE552" s="34"/>
      <c r="DF552" s="34"/>
      <c r="DG552" s="34"/>
      <c r="DH552" s="34"/>
      <c r="DI552" s="34"/>
      <c r="DJ552" s="34"/>
      <c r="DK552" s="34"/>
      <c r="DL552" s="34"/>
      <c r="DM552" s="34"/>
      <c r="DN552" s="34"/>
      <c r="DO552" s="34"/>
      <c r="DP552" s="34"/>
      <c r="DQ552" s="34"/>
      <c r="DR552" s="34"/>
      <c r="DS552" s="34"/>
      <c r="DT552" s="34"/>
      <c r="DU552" s="34"/>
      <c r="DV552" s="34"/>
      <c r="DW552" s="34"/>
      <c r="DX552" s="34"/>
      <c r="DY552" s="34"/>
      <c r="DZ552" s="34"/>
      <c r="EA552" s="34"/>
      <c r="EB552" s="34"/>
      <c r="EC552" s="34"/>
      <c r="ED552" s="34"/>
      <c r="EE552" s="34"/>
    </row>
    <row r="553" spans="1:135" customFormat="1">
      <c r="A553" s="71">
        <f>'Old Data'!$I549-'Old Data'!$S549</f>
        <v>86</v>
      </c>
      <c r="B553" s="72">
        <f>VLOOKUP('Old Data'!$F549,$R$6:$T$135,2,FALSE)+VLOOKUP('Old Data'!$P549,$R$6:$T$135,3,FALSE)+$B$2</f>
        <v>193.17314818167151</v>
      </c>
      <c r="C553" s="72">
        <f>VLOOKUP('Old Data'!$P549,$R$6:$T$135,2,FALSE)+VLOOKUP('Old Data'!$F549,$R$6:$T$135,3,FALSE)+$B$2</f>
        <v>180.08761997404028</v>
      </c>
      <c r="D553" s="74">
        <f>('Old Data'!$I549-$B553)^2+('Old Data'!$S549-$C553)^2</f>
        <v>2662.0117939284519</v>
      </c>
      <c r="E553" s="75">
        <f>'Old Data'!$K549-'Old Data'!$U549</f>
        <v>-88</v>
      </c>
      <c r="F553" s="72">
        <f>VLOOKUP('Old Data'!$F549,$V$6:$X$135,2,FALSE)+VLOOKUP('Old Data'!$P549,$V$6:$X$135,3,FALSE)+$C$2</f>
        <v>254.1173772849211</v>
      </c>
      <c r="G553" s="72">
        <f>VLOOKUP('Old Data'!$P549,$V$6:$X$135,2,FALSE)+VLOOKUP('Old Data'!$F549,$V$6:$X$135,3,FALSE)+$C$2</f>
        <v>278.33961981361011</v>
      </c>
      <c r="H553" s="74">
        <f>('Old Data'!$K549-$F553)^2+('Old Data'!$U549-$G553)^2</f>
        <v>6223.8618641438434</v>
      </c>
      <c r="I553" s="75">
        <f>('Old Data'!$L549+'Old Data'!$M549)-('Old Data'!$V549+'Old Data'!$W549)</f>
        <v>-70</v>
      </c>
      <c r="J553" s="72">
        <f>VLOOKUP('Old Data'!$F549,$Z$6:$AB$135,2,FALSE)+VLOOKUP('Old Data'!$P549,$Z$6:$AB$135,3,FALSE)+$D$2</f>
        <v>103.0205179583011</v>
      </c>
      <c r="K553" s="72">
        <f>VLOOKUP('Old Data'!$P549,$Z$6:$AB$135,2,FALSE)+VLOOKUP('Old Data'!$F549,$Z$6:$AB$135,3,FALSE)+$D$2</f>
        <v>134.64776579826611</v>
      </c>
      <c r="L553" s="74">
        <f>('Old Data'!$L549+'Old Data'!$M549-$J553)^2+('Old Data'!$V549+'Old Data'!$W549-$K553)^2</f>
        <v>7737.4315887258836</v>
      </c>
      <c r="M553" s="75">
        <f>'Old Data'!$N549-'Old Data'!$X549</f>
        <v>2</v>
      </c>
      <c r="N553" s="72">
        <f>VLOOKUP('Old Data'!$F549,$AD$6:$AF$135,2,FALSE)+VLOOKUP('Old Data'!$P549,$AD$6:$AF$135,3,FALSE)+$E$2</f>
        <v>3.0188161298749372</v>
      </c>
      <c r="O553" s="72">
        <f>VLOOKUP('Old Data'!$P549,$AD$6:$AF$135,2,FALSE)+VLOOKUP('Old Data'!$F549,$AD$6:$AF$135,3,FALSE)+$E$2</f>
        <v>1.4198401436271382</v>
      </c>
      <c r="P553" s="73">
        <f>('Old Data'!$N549-$N553)^2+('Old Data'!$X549-$O553)^2</f>
        <v>0.1766197929443265</v>
      </c>
      <c r="Q553" s="62"/>
      <c r="R553" s="3"/>
      <c r="S553" s="3"/>
      <c r="T553" s="3"/>
      <c r="V553" s="3"/>
      <c r="W553" s="3"/>
      <c r="X553" s="3"/>
      <c r="Z553" s="3"/>
      <c r="AA553" s="3"/>
      <c r="AB553" s="3"/>
      <c r="AC553" s="3"/>
      <c r="AD553" s="3"/>
      <c r="AE553" s="3"/>
      <c r="AF553" s="3"/>
      <c r="AG553" s="3"/>
      <c r="AH553" s="37"/>
      <c r="AI553" s="1"/>
      <c r="AK553" s="10"/>
      <c r="AL553" s="10"/>
      <c r="AM553" s="10"/>
      <c r="AN553" s="11"/>
      <c r="AO553" s="11"/>
      <c r="AP553" s="11"/>
      <c r="AQ553" s="36"/>
      <c r="AR553" s="11"/>
      <c r="AS553" s="11"/>
      <c r="AT553" s="11"/>
      <c r="AU553" s="12"/>
      <c r="AV553" s="11"/>
      <c r="AW553" s="11"/>
      <c r="AX553" s="15"/>
      <c r="AY553" s="15"/>
      <c r="AZ553" s="15"/>
      <c r="BA553" s="15"/>
      <c r="BB553" s="15"/>
      <c r="BC553" s="15"/>
      <c r="BD553" s="15"/>
      <c r="BE553" s="12"/>
      <c r="BF553" s="11"/>
      <c r="BG553" s="11"/>
      <c r="BH553" s="10"/>
      <c r="BI553" s="10"/>
      <c r="BJ553" s="10"/>
      <c r="BK553" s="23"/>
      <c r="BL553" s="23"/>
      <c r="BM553" s="23"/>
      <c r="BN553" s="23"/>
      <c r="BO553" s="23"/>
      <c r="BP553" s="23"/>
      <c r="BQ553" s="23"/>
      <c r="BR553" s="10"/>
      <c r="BS553" s="16"/>
      <c r="BT553" s="16"/>
      <c r="BU553" s="16"/>
      <c r="BV553" s="16"/>
      <c r="BW553" s="11"/>
      <c r="BX553" s="16"/>
      <c r="BY553" s="16"/>
      <c r="BZ553" s="17"/>
      <c r="CA553" s="18"/>
      <c r="CB553" s="18"/>
      <c r="CC553" s="18"/>
      <c r="CD553" s="18"/>
      <c r="CE553" s="18"/>
      <c r="CF553" s="18"/>
      <c r="CG553" s="19"/>
      <c r="CH553" s="15"/>
      <c r="CI553" s="17"/>
      <c r="CJ553" s="10"/>
      <c r="CK553" s="10"/>
      <c r="CL553" s="10"/>
      <c r="CM553" s="17"/>
      <c r="CN553" s="17"/>
      <c r="CO553" s="10"/>
      <c r="CP553" s="10"/>
      <c r="CQ553" s="10"/>
      <c r="CR553" s="10"/>
      <c r="CS553" s="10"/>
      <c r="CT553" s="10"/>
      <c r="CU553" s="10"/>
      <c r="CV553" s="10"/>
      <c r="CW553" s="10"/>
      <c r="CX553" s="10"/>
      <c r="CY553" s="10"/>
      <c r="CZ553" s="10"/>
      <c r="DA553" s="34"/>
      <c r="DB553" s="34"/>
      <c r="DC553" s="34"/>
      <c r="DD553" s="34"/>
      <c r="DE553" s="34"/>
      <c r="DF553" s="34"/>
      <c r="DG553" s="34"/>
      <c r="DH553" s="34"/>
      <c r="DI553" s="34"/>
      <c r="DJ553" s="34"/>
      <c r="DK553" s="34"/>
      <c r="DL553" s="34"/>
      <c r="DM553" s="34"/>
      <c r="DN553" s="34"/>
      <c r="DO553" s="34"/>
      <c r="DP553" s="34"/>
      <c r="DQ553" s="34"/>
      <c r="DR553" s="34"/>
      <c r="DS553" s="34"/>
      <c r="DT553" s="34"/>
      <c r="DU553" s="34"/>
      <c r="DV553" s="34"/>
      <c r="DW553" s="34"/>
      <c r="DX553" s="34"/>
      <c r="DY553" s="34"/>
      <c r="DZ553" s="34"/>
      <c r="EA553" s="34"/>
      <c r="EB553" s="34"/>
      <c r="EC553" s="34"/>
      <c r="ED553" s="34"/>
      <c r="EE553" s="34"/>
    </row>
    <row r="554" spans="1:135" customFormat="1">
      <c r="A554" s="71">
        <f>'Old Data'!$I550-'Old Data'!$S550</f>
        <v>-115</v>
      </c>
      <c r="B554" s="72">
        <f>VLOOKUP('Old Data'!$F550,$R$6:$T$135,2,FALSE)+VLOOKUP('Old Data'!$P550,$R$6:$T$135,3,FALSE)+$B$2</f>
        <v>142.18636122450292</v>
      </c>
      <c r="C554" s="72">
        <f>VLOOKUP('Old Data'!$P550,$R$6:$T$135,2,FALSE)+VLOOKUP('Old Data'!$F550,$R$6:$T$135,3,FALSE)+$B$2</f>
        <v>214.18354412819872</v>
      </c>
      <c r="D554" s="74">
        <f>('Old Data'!$I550-$B554)^2+('Old Data'!$S550-$C554)^2</f>
        <v>1042.7381343845996</v>
      </c>
      <c r="E554" s="75">
        <f>'Old Data'!$K550-'Old Data'!$U550</f>
        <v>-103</v>
      </c>
      <c r="F554" s="72">
        <f>VLOOKUP('Old Data'!$F550,$V$6:$X$135,2,FALSE)+VLOOKUP('Old Data'!$P550,$V$6:$X$135,3,FALSE)+$C$2</f>
        <v>220.17658421790671</v>
      </c>
      <c r="G554" s="72">
        <f>VLOOKUP('Old Data'!$P550,$V$6:$X$135,2,FALSE)+VLOOKUP('Old Data'!$F550,$V$6:$X$135,3,FALSE)+$C$2</f>
        <v>269.12516911007481</v>
      </c>
      <c r="H554" s="74">
        <f>('Old Data'!$K550-$F554)^2+('Old Data'!$U550-$G554)^2</f>
        <v>1462.2197584590904</v>
      </c>
      <c r="I554" s="75">
        <f>('Old Data'!$L550+'Old Data'!$M550)-('Old Data'!$V550+'Old Data'!$W550)</f>
        <v>-1</v>
      </c>
      <c r="J554" s="72">
        <f>VLOOKUP('Old Data'!$F550,$Z$6:$AB$135,2,FALSE)+VLOOKUP('Old Data'!$P550,$Z$6:$AB$135,3,FALSE)+$D$2</f>
        <v>47.793831775869329</v>
      </c>
      <c r="K554" s="72">
        <f>VLOOKUP('Old Data'!$P550,$Z$6:$AB$135,2,FALSE)+VLOOKUP('Old Data'!$F550,$Z$6:$AB$135,3,FALSE)+$D$2</f>
        <v>62.746425558952716</v>
      </c>
      <c r="L554" s="74">
        <f>('Old Data'!$L550+'Old Data'!$M550-$J554)^2+('Old Data'!$V550+'Old Data'!$W550-$K554)^2</f>
        <v>998.75231023443519</v>
      </c>
      <c r="M554" s="75">
        <f>'Old Data'!$N550-'Old Data'!$X550</f>
        <v>1</v>
      </c>
      <c r="N554" s="72">
        <f>VLOOKUP('Old Data'!$F550,$AD$6:$AF$135,2,FALSE)+VLOOKUP('Old Data'!$P550,$AD$6:$AF$135,3,FALSE)+$E$2</f>
        <v>2.1928067813430943</v>
      </c>
      <c r="O554" s="72">
        <f>VLOOKUP('Old Data'!$P550,$AD$6:$AF$135,2,FALSE)+VLOOKUP('Old Data'!$F550,$AD$6:$AF$135,3,FALSE)+$E$2</f>
        <v>0.8456869738904691</v>
      </c>
      <c r="P554" s="73">
        <f>('Old Data'!$N550-$N554)^2+('Old Data'!$X550-$O554)^2</f>
        <v>1.9839994544918378</v>
      </c>
      <c r="Q554" s="62"/>
      <c r="R554" s="3"/>
      <c r="S554" s="3"/>
      <c r="T554" s="3"/>
      <c r="V554" s="3"/>
      <c r="W554" s="3"/>
      <c r="X554" s="3"/>
      <c r="Z554" s="3"/>
      <c r="AA554" s="3"/>
      <c r="AB554" s="3"/>
      <c r="AC554" s="3"/>
      <c r="AD554" s="3"/>
      <c r="AE554" s="3"/>
      <c r="AF554" s="3"/>
      <c r="AG554" s="3"/>
      <c r="AH554" s="37"/>
      <c r="AI554" s="1"/>
      <c r="AK554" s="10"/>
      <c r="AL554" s="10"/>
      <c r="AM554" s="10"/>
      <c r="AN554" s="11"/>
      <c r="AO554" s="11"/>
      <c r="AP554" s="11"/>
      <c r="AQ554" s="36"/>
      <c r="AR554" s="11"/>
      <c r="AS554" s="11"/>
      <c r="AT554" s="11"/>
      <c r="AU554" s="12"/>
      <c r="AV554" s="11"/>
      <c r="AW554" s="11"/>
      <c r="AX554" s="15"/>
      <c r="AY554" s="15"/>
      <c r="AZ554" s="15"/>
      <c r="BA554" s="15"/>
      <c r="BB554" s="15"/>
      <c r="BC554" s="15"/>
      <c r="BD554" s="15"/>
      <c r="BE554" s="12"/>
      <c r="BF554" s="11"/>
      <c r="BG554" s="11"/>
      <c r="BH554" s="10"/>
      <c r="BI554" s="10"/>
      <c r="BJ554" s="10"/>
      <c r="BK554" s="23"/>
      <c r="BL554" s="23"/>
      <c r="BM554" s="23"/>
      <c r="BN554" s="23"/>
      <c r="BO554" s="23"/>
      <c r="BP554" s="23"/>
      <c r="BQ554" s="23"/>
      <c r="BR554" s="10"/>
      <c r="BS554" s="16"/>
      <c r="BT554" s="16"/>
      <c r="BU554" s="16"/>
      <c r="BV554" s="16"/>
      <c r="BW554" s="11"/>
      <c r="BX554" s="16"/>
      <c r="BY554" s="16"/>
      <c r="BZ554" s="17"/>
      <c r="CA554" s="18"/>
      <c r="CB554" s="18"/>
      <c r="CC554" s="18"/>
      <c r="CD554" s="18"/>
      <c r="CE554" s="18"/>
      <c r="CF554" s="18"/>
      <c r="CG554" s="19"/>
      <c r="CH554" s="15"/>
      <c r="CI554" s="17"/>
      <c r="CJ554" s="10"/>
      <c r="CK554" s="10"/>
      <c r="CL554" s="10"/>
      <c r="CM554" s="17"/>
      <c r="CN554" s="17"/>
      <c r="CO554" s="10"/>
      <c r="CP554" s="10"/>
      <c r="CQ554" s="10"/>
      <c r="CR554" s="10"/>
      <c r="CS554" s="10"/>
      <c r="CT554" s="10"/>
      <c r="CU554" s="10"/>
      <c r="CV554" s="10"/>
      <c r="CW554" s="10"/>
      <c r="CX554" s="10"/>
      <c r="CY554" s="10"/>
      <c r="CZ554" s="10"/>
      <c r="DA554" s="34"/>
      <c r="DB554" s="34"/>
      <c r="DC554" s="34"/>
      <c r="DD554" s="34"/>
      <c r="DE554" s="34"/>
      <c r="DF554" s="34"/>
      <c r="DG554" s="34"/>
      <c r="DH554" s="34"/>
      <c r="DI554" s="34"/>
      <c r="DJ554" s="34"/>
      <c r="DK554" s="34"/>
      <c r="DL554" s="34"/>
      <c r="DM554" s="34"/>
      <c r="DN554" s="34"/>
      <c r="DO554" s="34"/>
      <c r="DP554" s="34"/>
      <c r="DQ554" s="34"/>
      <c r="DR554" s="34"/>
      <c r="DS554" s="34"/>
      <c r="DT554" s="34"/>
      <c r="DU554" s="34"/>
      <c r="DV554" s="34"/>
      <c r="DW554" s="34"/>
      <c r="DX554" s="34"/>
      <c r="DY554" s="34"/>
      <c r="DZ554" s="34"/>
      <c r="EA554" s="34"/>
      <c r="EB554" s="34"/>
      <c r="EC554" s="34"/>
      <c r="ED554" s="34"/>
      <c r="EE554" s="34"/>
    </row>
    <row r="555" spans="1:135" customFormat="1">
      <c r="A555" s="71">
        <f>'Old Data'!$I551-'Old Data'!$S551</f>
        <v>98</v>
      </c>
      <c r="B555" s="72">
        <f>VLOOKUP('Old Data'!$F551,$R$6:$T$135,2,FALSE)+VLOOKUP('Old Data'!$P551,$R$6:$T$135,3,FALSE)+$B$2</f>
        <v>171.73547207044362</v>
      </c>
      <c r="C555" s="72">
        <f>VLOOKUP('Old Data'!$P551,$R$6:$T$135,2,FALSE)+VLOOKUP('Old Data'!$F551,$R$6:$T$135,3,FALSE)+$B$2</f>
        <v>156.14903924100921</v>
      </c>
      <c r="D555" s="74">
        <f>('Old Data'!$I551-$B555)^2+('Old Data'!$S551-$C555)^2</f>
        <v>3404.4666504614424</v>
      </c>
      <c r="E555" s="75">
        <f>'Old Data'!$K551-'Old Data'!$U551</f>
        <v>119</v>
      </c>
      <c r="F555" s="72">
        <f>VLOOKUP('Old Data'!$F551,$V$6:$X$135,2,FALSE)+VLOOKUP('Old Data'!$P551,$V$6:$X$135,3,FALSE)+$C$2</f>
        <v>309.19210107827058</v>
      </c>
      <c r="G555" s="72">
        <f>VLOOKUP('Old Data'!$P551,$V$6:$X$135,2,FALSE)+VLOOKUP('Old Data'!$F551,$V$6:$X$135,3,FALSE)+$C$2</f>
        <v>170.21217040048279</v>
      </c>
      <c r="H555" s="74">
        <f>('Old Data'!$K551-$F555)^2+('Old Data'!$U551-$G555)^2</f>
        <v>253.72324744640329</v>
      </c>
      <c r="I555" s="75">
        <f>('Old Data'!$L551+'Old Data'!$M551)-('Old Data'!$V551+'Old Data'!$W551)</f>
        <v>18</v>
      </c>
      <c r="J555" s="72">
        <f>VLOOKUP('Old Data'!$F551,$Z$6:$AB$135,2,FALSE)+VLOOKUP('Old Data'!$P551,$Z$6:$AB$135,3,FALSE)+$D$2</f>
        <v>62.353498299282634</v>
      </c>
      <c r="K555" s="72">
        <f>VLOOKUP('Old Data'!$P551,$Z$6:$AB$135,2,FALSE)+VLOOKUP('Old Data'!$F551,$Z$6:$AB$135,3,FALSE)+$D$2</f>
        <v>55.73794749524879</v>
      </c>
      <c r="L555" s="74">
        <f>('Old Data'!$L551+'Old Data'!$M551-$J555)^2+('Old Data'!$V551+'Old Data'!$W551-$K555)^2</f>
        <v>304.79521543474459</v>
      </c>
      <c r="M555" s="75">
        <f>'Old Data'!$N551-'Old Data'!$X551</f>
        <v>0</v>
      </c>
      <c r="N555" s="72">
        <f>VLOOKUP('Old Data'!$F551,$AD$6:$AF$135,2,FALSE)+VLOOKUP('Old Data'!$P551,$AD$6:$AF$135,3,FALSE)+$E$2</f>
        <v>2.293886365085481</v>
      </c>
      <c r="O555" s="72">
        <f>VLOOKUP('Old Data'!$P551,$AD$6:$AF$135,2,FALSE)+VLOOKUP('Old Data'!$F551,$AD$6:$AF$135,3,FALSE)+$E$2</f>
        <v>0.368570748818428</v>
      </c>
      <c r="P555" s="73">
        <f>('Old Data'!$N551-$N555)^2+('Old Data'!$X551-$O555)^2</f>
        <v>2.7479305971940216</v>
      </c>
      <c r="Q555" s="62"/>
      <c r="R555" s="3"/>
      <c r="S555" s="3"/>
      <c r="T555" s="3"/>
      <c r="V555" s="3"/>
      <c r="W555" s="3"/>
      <c r="X555" s="3"/>
      <c r="Z555" s="3"/>
      <c r="AA555" s="3"/>
      <c r="AB555" s="3"/>
      <c r="AC555" s="3"/>
      <c r="AD555" s="3"/>
      <c r="AE555" s="3"/>
      <c r="AF555" s="3"/>
      <c r="AG555" s="3"/>
      <c r="AH555" s="37"/>
      <c r="AI555" s="1"/>
      <c r="AK555" s="10"/>
      <c r="AL555" s="10"/>
      <c r="AM555" s="10"/>
      <c r="AN555" s="11"/>
      <c r="AO555" s="11"/>
      <c r="AP555" s="11"/>
      <c r="AQ555" s="36"/>
      <c r="AR555" s="11"/>
      <c r="AS555" s="11"/>
      <c r="AT555" s="11"/>
      <c r="AU555" s="12"/>
      <c r="AV555" s="11"/>
      <c r="AW555" s="11"/>
      <c r="AX555" s="15"/>
      <c r="AY555" s="15"/>
      <c r="AZ555" s="15"/>
      <c r="BA555" s="15"/>
      <c r="BB555" s="15"/>
      <c r="BC555" s="15"/>
      <c r="BD555" s="15"/>
      <c r="BE555" s="12"/>
      <c r="BF555" s="11"/>
      <c r="BG555" s="11"/>
      <c r="BH555" s="10"/>
      <c r="BI555" s="10"/>
      <c r="BJ555" s="10"/>
      <c r="BK555" s="23"/>
      <c r="BL555" s="23"/>
      <c r="BM555" s="23"/>
      <c r="BN555" s="23"/>
      <c r="BO555" s="23"/>
      <c r="BP555" s="23"/>
      <c r="BQ555" s="23"/>
      <c r="BR555" s="10"/>
      <c r="BS555" s="16"/>
      <c r="BT555" s="16"/>
      <c r="BU555" s="16"/>
      <c r="BV555" s="16"/>
      <c r="BW555" s="11"/>
      <c r="BX555" s="16"/>
      <c r="BY555" s="16"/>
      <c r="BZ555" s="17"/>
      <c r="CA555" s="18"/>
      <c r="CB555" s="18"/>
      <c r="CC555" s="18"/>
      <c r="CD555" s="18"/>
      <c r="CE555" s="18"/>
      <c r="CF555" s="18"/>
      <c r="CG555" s="19"/>
      <c r="CH555" s="15"/>
      <c r="CI555" s="17"/>
      <c r="CJ555" s="10"/>
      <c r="CK555" s="10"/>
      <c r="CL555" s="10"/>
      <c r="CM555" s="17"/>
      <c r="CN555" s="17"/>
      <c r="CO555" s="10"/>
      <c r="CP555" s="10"/>
      <c r="CQ555" s="10"/>
      <c r="CR555" s="10"/>
      <c r="CS555" s="10"/>
      <c r="CT555" s="10"/>
      <c r="CU555" s="10"/>
      <c r="CV555" s="10"/>
      <c r="CW555" s="10"/>
      <c r="CX555" s="10"/>
      <c r="CY555" s="10"/>
      <c r="CZ555" s="10"/>
      <c r="DA555" s="34"/>
      <c r="DB555" s="34"/>
      <c r="DC555" s="34"/>
      <c r="DD555" s="34"/>
      <c r="DE555" s="34"/>
      <c r="DF555" s="34"/>
      <c r="DG555" s="34"/>
      <c r="DH555" s="34"/>
      <c r="DI555" s="34"/>
      <c r="DJ555" s="34"/>
      <c r="DK555" s="34"/>
      <c r="DL555" s="34"/>
      <c r="DM555" s="34"/>
      <c r="DN555" s="34"/>
      <c r="DO555" s="34"/>
      <c r="DP555" s="34"/>
      <c r="DQ555" s="34"/>
      <c r="DR555" s="34"/>
      <c r="DS555" s="34"/>
      <c r="DT555" s="34"/>
      <c r="DU555" s="34"/>
      <c r="DV555" s="34"/>
      <c r="DW555" s="34"/>
      <c r="DX555" s="34"/>
      <c r="DY555" s="34"/>
      <c r="DZ555" s="34"/>
      <c r="EA555" s="34"/>
      <c r="EB555" s="34"/>
      <c r="EC555" s="34"/>
      <c r="ED555" s="34"/>
      <c r="EE555" s="34"/>
    </row>
    <row r="556" spans="1:135" customFormat="1">
      <c r="A556" s="71">
        <f>'Old Data'!$I552-'Old Data'!$S552</f>
        <v>79</v>
      </c>
      <c r="B556" s="72">
        <f>VLOOKUP('Old Data'!$F552,$R$6:$T$135,2,FALSE)+VLOOKUP('Old Data'!$P552,$R$6:$T$135,3,FALSE)+$B$2</f>
        <v>144.32397502211379</v>
      </c>
      <c r="C556" s="72">
        <f>VLOOKUP('Old Data'!$P552,$R$6:$T$135,2,FALSE)+VLOOKUP('Old Data'!$F552,$R$6:$T$135,3,FALSE)+$B$2</f>
        <v>100.3884678083472</v>
      </c>
      <c r="D556" s="74">
        <f>('Old Data'!$I552-$B556)^2+('Old Data'!$S552-$C556)^2</f>
        <v>2057.2725845856776</v>
      </c>
      <c r="E556" s="75">
        <f>'Old Data'!$K552-'Old Data'!$U552</f>
        <v>-278</v>
      </c>
      <c r="F556" s="72">
        <f>VLOOKUP('Old Data'!$F552,$V$6:$X$135,2,FALSE)+VLOOKUP('Old Data'!$P552,$V$6:$X$135,3,FALSE)+$C$2</f>
        <v>192.09292156186626</v>
      </c>
      <c r="G556" s="72">
        <f>VLOOKUP('Old Data'!$P552,$V$6:$X$135,2,FALSE)+VLOOKUP('Old Data'!$F552,$V$6:$X$135,3,FALSE)+$C$2</f>
        <v>359.06492345310249</v>
      </c>
      <c r="H556" s="74">
        <f>('Old Data'!$K552-$F556)^2+('Old Data'!$U552-$G556)^2</f>
        <v>6310.8040047986688</v>
      </c>
      <c r="I556" s="75">
        <f>('Old Data'!$L552+'Old Data'!$M552)-('Old Data'!$V552+'Old Data'!$W552)</f>
        <v>11</v>
      </c>
      <c r="J556" s="72">
        <f>VLOOKUP('Old Data'!$F552,$Z$6:$AB$135,2,FALSE)+VLOOKUP('Old Data'!$P552,$Z$6:$AB$135,3,FALSE)+$D$2</f>
        <v>72.317272218374598</v>
      </c>
      <c r="K556" s="72">
        <f>VLOOKUP('Old Data'!$P552,$Z$6:$AB$135,2,FALSE)+VLOOKUP('Old Data'!$F552,$Z$6:$AB$135,3,FALSE)+$D$2</f>
        <v>70.404972071224279</v>
      </c>
      <c r="L556" s="74">
        <f>('Old Data'!$L552+'Old Data'!$M552-$J556)^2+('Old Data'!$V552+'Old Data'!$W552-$K556)^2</f>
        <v>679.33251285063182</v>
      </c>
      <c r="M556" s="75">
        <f>'Old Data'!$N552-'Old Data'!$X552</f>
        <v>-1</v>
      </c>
      <c r="N556" s="72">
        <f>VLOOKUP('Old Data'!$F552,$AD$6:$AF$135,2,FALSE)+VLOOKUP('Old Data'!$P552,$AD$6:$AF$135,3,FALSE)+$E$2</f>
        <v>1.5648660415109261</v>
      </c>
      <c r="O556" s="72">
        <f>VLOOKUP('Old Data'!$P552,$AD$6:$AF$135,2,FALSE)+VLOOKUP('Old Data'!$F552,$AD$6:$AF$135,3,FALSE)+$E$2</f>
        <v>0.62396924979261648</v>
      </c>
      <c r="P556" s="73">
        <f>('Old Data'!$N552-$N556)^2+('Old Data'!$X552-$O556)^2</f>
        <v>2.2125342703685176</v>
      </c>
      <c r="Q556" s="62"/>
      <c r="R556" s="3"/>
      <c r="S556" s="3"/>
      <c r="T556" s="3"/>
      <c r="V556" s="3"/>
      <c r="W556" s="3"/>
      <c r="X556" s="3"/>
      <c r="Z556" s="3"/>
      <c r="AA556" s="3"/>
      <c r="AB556" s="3"/>
      <c r="AC556" s="3"/>
      <c r="AD556" s="3"/>
      <c r="AE556" s="3"/>
      <c r="AF556" s="3"/>
      <c r="AG556" s="3"/>
      <c r="AH556" s="37"/>
      <c r="AI556" s="1"/>
      <c r="AK556" s="10"/>
      <c r="AL556" s="10"/>
      <c r="AM556" s="10"/>
      <c r="AN556" s="11"/>
      <c r="AO556" s="11"/>
      <c r="AP556" s="11"/>
      <c r="AQ556" s="36"/>
      <c r="AR556" s="11"/>
      <c r="AS556" s="11"/>
      <c r="AT556" s="11"/>
      <c r="AU556" s="12"/>
      <c r="AV556" s="11"/>
      <c r="AW556" s="11"/>
      <c r="AX556" s="15"/>
      <c r="AY556" s="15"/>
      <c r="AZ556" s="15"/>
      <c r="BA556" s="15"/>
      <c r="BB556" s="15"/>
      <c r="BC556" s="15"/>
      <c r="BD556" s="15"/>
      <c r="BE556" s="12"/>
      <c r="BF556" s="11"/>
      <c r="BG556" s="11"/>
      <c r="BH556" s="10"/>
      <c r="BI556" s="10"/>
      <c r="BJ556" s="10"/>
      <c r="BK556" s="23"/>
      <c r="BL556" s="23"/>
      <c r="BM556" s="23"/>
      <c r="BN556" s="23"/>
      <c r="BO556" s="23"/>
      <c r="BP556" s="23"/>
      <c r="BQ556" s="23"/>
      <c r="BR556" s="10"/>
      <c r="BS556" s="16"/>
      <c r="BT556" s="16"/>
      <c r="BU556" s="16"/>
      <c r="BV556" s="16"/>
      <c r="BW556" s="11"/>
      <c r="BX556" s="16"/>
      <c r="BY556" s="16"/>
      <c r="BZ556" s="17"/>
      <c r="CA556" s="18"/>
      <c r="CB556" s="18"/>
      <c r="CC556" s="18"/>
      <c r="CD556" s="18"/>
      <c r="CE556" s="18"/>
      <c r="CF556" s="18"/>
      <c r="CG556" s="19"/>
      <c r="CH556" s="15"/>
      <c r="CI556" s="17"/>
      <c r="CJ556" s="10"/>
      <c r="CK556" s="10"/>
      <c r="CL556" s="10"/>
      <c r="CM556" s="17"/>
      <c r="CN556" s="17"/>
      <c r="CO556" s="10"/>
      <c r="CP556" s="10"/>
      <c r="CQ556" s="10"/>
      <c r="CR556" s="10"/>
      <c r="CS556" s="10"/>
      <c r="CT556" s="10"/>
      <c r="CU556" s="10"/>
      <c r="CV556" s="10"/>
      <c r="CW556" s="10"/>
      <c r="CX556" s="10"/>
      <c r="CY556" s="10"/>
      <c r="CZ556" s="10"/>
      <c r="DA556" s="34"/>
      <c r="DB556" s="34"/>
      <c r="DC556" s="34"/>
      <c r="DD556" s="34"/>
      <c r="DE556" s="34"/>
      <c r="DF556" s="34"/>
      <c r="DG556" s="34"/>
      <c r="DH556" s="34"/>
      <c r="DI556" s="34"/>
      <c r="DJ556" s="34"/>
      <c r="DK556" s="34"/>
      <c r="DL556" s="34"/>
      <c r="DM556" s="34"/>
      <c r="DN556" s="34"/>
      <c r="DO556" s="34"/>
      <c r="DP556" s="34"/>
      <c r="DQ556" s="34"/>
      <c r="DR556" s="34"/>
      <c r="DS556" s="34"/>
      <c r="DT556" s="34"/>
      <c r="DU556" s="34"/>
      <c r="DV556" s="34"/>
      <c r="DW556" s="34"/>
      <c r="DX556" s="34"/>
      <c r="DY556" s="34"/>
      <c r="DZ556" s="34"/>
      <c r="EA556" s="34"/>
      <c r="EB556" s="34"/>
      <c r="EC556" s="34"/>
      <c r="ED556" s="34"/>
      <c r="EE556" s="34"/>
    </row>
    <row r="557" spans="1:135" customFormat="1">
      <c r="A557" s="71">
        <f>'Old Data'!$I553-'Old Data'!$S553</f>
        <v>104</v>
      </c>
      <c r="B557" s="72">
        <f>VLOOKUP('Old Data'!$F553,$R$6:$T$135,2,FALSE)+VLOOKUP('Old Data'!$P553,$R$6:$T$135,3,FALSE)+$B$2</f>
        <v>229.53677543473594</v>
      </c>
      <c r="C557" s="72">
        <f>VLOOKUP('Old Data'!$P553,$R$6:$T$135,2,FALSE)+VLOOKUP('Old Data'!$F553,$R$6:$T$135,3,FALSE)+$B$2</f>
        <v>104.99503421072399</v>
      </c>
      <c r="D557" s="74">
        <f>('Old Data'!$I553-$B557)^2+('Old Data'!$S553-$C557)^2</f>
        <v>5467.3675608435515</v>
      </c>
      <c r="E557" s="75">
        <f>'Old Data'!$K553-'Old Data'!$U553</f>
        <v>307</v>
      </c>
      <c r="F557" s="72">
        <f>VLOOKUP('Old Data'!$F553,$V$6:$X$135,2,FALSE)+VLOOKUP('Old Data'!$P553,$V$6:$X$135,3,FALSE)+$C$2</f>
        <v>315.41968023606211</v>
      </c>
      <c r="G557" s="72">
        <f>VLOOKUP('Old Data'!$P553,$V$6:$X$135,2,FALSE)+VLOOKUP('Old Data'!$F553,$V$6:$X$135,3,FALSE)+$C$2</f>
        <v>196.86615944017132</v>
      </c>
      <c r="H557" s="74">
        <f>('Old Data'!$K553-$F557)^2+('Old Data'!$U553-$G557)^2</f>
        <v>25355.736894549351</v>
      </c>
      <c r="I557" s="75">
        <f>('Old Data'!$L553+'Old Data'!$M553)-('Old Data'!$V553+'Old Data'!$W553)</f>
        <v>79</v>
      </c>
      <c r="J557" s="72">
        <f>VLOOKUP('Old Data'!$F553,$Z$6:$AB$135,2,FALSE)+VLOOKUP('Old Data'!$P553,$Z$6:$AB$135,3,FALSE)+$D$2</f>
        <v>89.141813882138905</v>
      </c>
      <c r="K557" s="72">
        <f>VLOOKUP('Old Data'!$P553,$Z$6:$AB$135,2,FALSE)+VLOOKUP('Old Data'!$F553,$Z$6:$AB$135,3,FALSE)+$D$2</f>
        <v>19.053074835592398</v>
      </c>
      <c r="L557" s="74">
        <f>('Old Data'!$L553+'Old Data'!$M553-$J557)^2+('Old Data'!$V553+'Old Data'!$W553-$K557)^2</f>
        <v>717.01339414036374</v>
      </c>
      <c r="M557" s="75">
        <f>'Old Data'!$N553-'Old Data'!$X553</f>
        <v>1</v>
      </c>
      <c r="N557" s="72">
        <f>VLOOKUP('Old Data'!$F553,$AD$6:$AF$135,2,FALSE)+VLOOKUP('Old Data'!$P553,$AD$6:$AF$135,3,FALSE)+$E$2</f>
        <v>2.0561576638444343</v>
      </c>
      <c r="O557" s="72">
        <f>VLOOKUP('Old Data'!$P553,$AD$6:$AF$135,2,FALSE)+VLOOKUP('Old Data'!$F553,$AD$6:$AF$135,3,FALSE)+$E$2</f>
        <v>1.6633728865940411</v>
      </c>
      <c r="P557" s="73">
        <f>('Old Data'!$N553-$N557)^2+('Old Data'!$X553-$O557)^2</f>
        <v>0.44321726987657506</v>
      </c>
      <c r="Q557" s="62"/>
      <c r="R557" s="3"/>
      <c r="S557" s="3"/>
      <c r="T557" s="3"/>
      <c r="V557" s="3"/>
      <c r="W557" s="3"/>
      <c r="X557" s="3"/>
      <c r="Z557" s="3"/>
      <c r="AA557" s="3"/>
      <c r="AB557" s="3"/>
      <c r="AC557" s="3"/>
      <c r="AD557" s="3"/>
      <c r="AE557" s="3"/>
      <c r="AF557" s="3"/>
      <c r="AG557" s="3"/>
      <c r="AH557" s="37"/>
      <c r="AI557" s="1"/>
      <c r="AK557" s="10"/>
      <c r="AL557" s="10"/>
      <c r="AM557" s="10"/>
      <c r="AN557" s="11"/>
      <c r="AO557" s="11"/>
      <c r="AP557" s="11"/>
      <c r="AQ557" s="36"/>
      <c r="AR557" s="11"/>
      <c r="AS557" s="11"/>
      <c r="AT557" s="11"/>
      <c r="AU557" s="12"/>
      <c r="AV557" s="11"/>
      <c r="AW557" s="11"/>
      <c r="AX557" s="15"/>
      <c r="AY557" s="15"/>
      <c r="AZ557" s="15"/>
      <c r="BA557" s="15"/>
      <c r="BB557" s="15"/>
      <c r="BC557" s="15"/>
      <c r="BD557" s="15"/>
      <c r="BE557" s="12"/>
      <c r="BF557" s="11"/>
      <c r="BG557" s="11"/>
      <c r="BH557" s="10"/>
      <c r="BI557" s="10"/>
      <c r="BJ557" s="10"/>
      <c r="BK557" s="23"/>
      <c r="BL557" s="23"/>
      <c r="BM557" s="23"/>
      <c r="BN557" s="23"/>
      <c r="BO557" s="23"/>
      <c r="BP557" s="23"/>
      <c r="BQ557" s="23"/>
      <c r="BR557" s="10"/>
      <c r="BS557" s="16"/>
      <c r="BT557" s="16"/>
      <c r="BU557" s="16"/>
      <c r="BV557" s="16"/>
      <c r="BW557" s="11"/>
      <c r="BX557" s="16"/>
      <c r="BY557" s="16"/>
      <c r="BZ557" s="17"/>
      <c r="CA557" s="18"/>
      <c r="CB557" s="18"/>
      <c r="CC557" s="18"/>
      <c r="CD557" s="18"/>
      <c r="CE557" s="18"/>
      <c r="CF557" s="18"/>
      <c r="CG557" s="19"/>
      <c r="CH557" s="15"/>
      <c r="CI557" s="17"/>
      <c r="CJ557" s="10"/>
      <c r="CK557" s="10"/>
      <c r="CL557" s="10"/>
      <c r="CM557" s="17"/>
      <c r="CN557" s="17"/>
      <c r="CO557" s="10"/>
      <c r="CP557" s="10"/>
      <c r="CQ557" s="10"/>
      <c r="CR557" s="10"/>
      <c r="CS557" s="10"/>
      <c r="CT557" s="10"/>
      <c r="CU557" s="10"/>
      <c r="CV557" s="10"/>
      <c r="CW557" s="10"/>
      <c r="CX557" s="10"/>
      <c r="CY557" s="10"/>
      <c r="CZ557" s="10"/>
      <c r="DA557" s="34"/>
      <c r="DB557" s="34"/>
      <c r="DC557" s="34"/>
      <c r="DD557" s="34"/>
      <c r="DE557" s="34"/>
      <c r="DF557" s="34"/>
      <c r="DG557" s="34"/>
      <c r="DH557" s="34"/>
      <c r="DI557" s="34"/>
      <c r="DJ557" s="34"/>
      <c r="DK557" s="34"/>
      <c r="DL557" s="34"/>
      <c r="DM557" s="34"/>
      <c r="DN557" s="34"/>
      <c r="DO557" s="34"/>
      <c r="DP557" s="34"/>
      <c r="DQ557" s="34"/>
      <c r="DR557" s="34"/>
      <c r="DS557" s="34"/>
      <c r="DT557" s="34"/>
      <c r="DU557" s="34"/>
      <c r="DV557" s="34"/>
      <c r="DW557" s="34"/>
      <c r="DX557" s="34"/>
      <c r="DY557" s="34"/>
      <c r="DZ557" s="34"/>
      <c r="EA557" s="34"/>
      <c r="EB557" s="34"/>
      <c r="EC557" s="34"/>
      <c r="ED557" s="34"/>
      <c r="EE557" s="34"/>
    </row>
    <row r="558" spans="1:135" customFormat="1">
      <c r="A558" s="71">
        <f>'Old Data'!$I554-'Old Data'!$S554</f>
        <v>-188</v>
      </c>
      <c r="B558" s="72">
        <f>VLOOKUP('Old Data'!$F554,$R$6:$T$135,2,FALSE)+VLOOKUP('Old Data'!$P554,$R$6:$T$135,3,FALSE)+$B$2</f>
        <v>66.773318142619402</v>
      </c>
      <c r="C558" s="72">
        <f>VLOOKUP('Old Data'!$P554,$R$6:$T$135,2,FALSE)+VLOOKUP('Old Data'!$F554,$R$6:$T$135,3,FALSE)+$B$2</f>
        <v>271.7603105088337</v>
      </c>
      <c r="D558" s="74">
        <f>('Old Data'!$I554-$B558)^2+('Old Data'!$S554-$C558)^2</f>
        <v>2774.8425974983602</v>
      </c>
      <c r="E558" s="75">
        <f>'Old Data'!$K554-'Old Data'!$U554</f>
        <v>221</v>
      </c>
      <c r="F558" s="72">
        <f>VLOOKUP('Old Data'!$F554,$V$6:$X$135,2,FALSE)+VLOOKUP('Old Data'!$P554,$V$6:$X$135,3,FALSE)+$C$2</f>
        <v>247.7590862651908</v>
      </c>
      <c r="G558" s="72">
        <f>VLOOKUP('Old Data'!$P554,$V$6:$X$135,2,FALSE)+VLOOKUP('Old Data'!$F554,$V$6:$X$135,3,FALSE)+$C$2</f>
        <v>126.8121330270472</v>
      </c>
      <c r="H558" s="74">
        <f>('Old Data'!$K554-$F558)^2+('Old Data'!$U554-$G558)^2</f>
        <v>9849.4185189734617</v>
      </c>
      <c r="I558" s="75">
        <f>('Old Data'!$L554+'Old Data'!$M554)-('Old Data'!$V554+'Old Data'!$W554)</f>
        <v>56</v>
      </c>
      <c r="J558" s="72">
        <f>VLOOKUP('Old Data'!$F554,$Z$6:$AB$135,2,FALSE)+VLOOKUP('Old Data'!$P554,$Z$6:$AB$135,3,FALSE)+$D$2</f>
        <v>75.456012780614543</v>
      </c>
      <c r="K558" s="72">
        <f>VLOOKUP('Old Data'!$P554,$Z$6:$AB$135,2,FALSE)+VLOOKUP('Old Data'!$F554,$Z$6:$AB$135,3,FALSE)+$D$2</f>
        <v>3.0984400481095378</v>
      </c>
      <c r="L558" s="74">
        <f>('Old Data'!$L554+'Old Data'!$M554-$J558)^2+('Old Data'!$V554+'Old Data'!$W554-$K558)^2</f>
        <v>388.13676405116553</v>
      </c>
      <c r="M558" s="75">
        <f>'Old Data'!$N554-'Old Data'!$X554</f>
        <v>0</v>
      </c>
      <c r="N558" s="72">
        <f>VLOOKUP('Old Data'!$F554,$AD$6:$AF$135,2,FALSE)+VLOOKUP('Old Data'!$P554,$AD$6:$AF$135,3,FALSE)+$E$2</f>
        <v>1.4436028104156509</v>
      </c>
      <c r="O558" s="72">
        <f>VLOOKUP('Old Data'!$P554,$AD$6:$AF$135,2,FALSE)+VLOOKUP('Old Data'!$F554,$AD$6:$AF$135,3,FALSE)+$E$2</f>
        <v>1.6529453900181852</v>
      </c>
      <c r="P558" s="73">
        <f>('Old Data'!$N554-$N558)^2+('Old Data'!$X554-$O558)^2</f>
        <v>0.43002473488699178</v>
      </c>
      <c r="Q558" s="62"/>
      <c r="R558" s="3"/>
      <c r="S558" s="3"/>
      <c r="T558" s="3"/>
      <c r="V558" s="3"/>
      <c r="W558" s="3"/>
      <c r="X558" s="3"/>
      <c r="Z558" s="3"/>
      <c r="AA558" s="3"/>
      <c r="AB558" s="3"/>
      <c r="AC558" s="3"/>
      <c r="AD558" s="3"/>
      <c r="AE558" s="3"/>
      <c r="AF558" s="3"/>
      <c r="AG558" s="3"/>
      <c r="AH558" s="37"/>
      <c r="AI558" s="1"/>
      <c r="AK558" s="10"/>
      <c r="AL558" s="10"/>
      <c r="AM558" s="10"/>
      <c r="AN558" s="11"/>
      <c r="AO558" s="11"/>
      <c r="AP558" s="11"/>
      <c r="AQ558" s="36"/>
      <c r="AR558" s="11"/>
      <c r="AS558" s="11"/>
      <c r="AT558" s="11"/>
      <c r="AU558" s="12"/>
      <c r="AV558" s="11"/>
      <c r="AW558" s="11"/>
      <c r="AX558" s="15"/>
      <c r="AY558" s="15"/>
      <c r="AZ558" s="15"/>
      <c r="BA558" s="15"/>
      <c r="BB558" s="15"/>
      <c r="BC558" s="15"/>
      <c r="BD558" s="15"/>
      <c r="BE558" s="12"/>
      <c r="BF558" s="11"/>
      <c r="BG558" s="11"/>
      <c r="BH558" s="10"/>
      <c r="BI558" s="10"/>
      <c r="BJ558" s="10"/>
      <c r="BK558" s="23"/>
      <c r="BL558" s="23"/>
      <c r="BM558" s="23"/>
      <c r="BN558" s="23"/>
      <c r="BO558" s="23"/>
      <c r="BP558" s="23"/>
      <c r="BQ558" s="23"/>
      <c r="BR558" s="10"/>
      <c r="BS558" s="16"/>
      <c r="BT558" s="16"/>
      <c r="BU558" s="16"/>
      <c r="BV558" s="16"/>
      <c r="BW558" s="11"/>
      <c r="BX558" s="16"/>
      <c r="BY558" s="16"/>
      <c r="BZ558" s="17"/>
      <c r="CA558" s="18"/>
      <c r="CB558" s="18"/>
      <c r="CC558" s="18"/>
      <c r="CD558" s="18"/>
      <c r="CE558" s="18"/>
      <c r="CF558" s="18"/>
      <c r="CG558" s="19"/>
      <c r="CH558" s="15"/>
      <c r="CI558" s="17"/>
      <c r="CJ558" s="10"/>
      <c r="CK558" s="10"/>
      <c r="CL558" s="10"/>
      <c r="CM558" s="17"/>
      <c r="CN558" s="17"/>
      <c r="CO558" s="10"/>
      <c r="CP558" s="10"/>
      <c r="CQ558" s="10"/>
      <c r="CR558" s="10"/>
      <c r="CS558" s="10"/>
      <c r="CT558" s="10"/>
      <c r="CU558" s="10"/>
      <c r="CV558" s="10"/>
      <c r="CW558" s="10"/>
      <c r="CX558" s="10"/>
      <c r="CY558" s="10"/>
      <c r="CZ558" s="10"/>
      <c r="DA558" s="34"/>
      <c r="DB558" s="34"/>
      <c r="DC558" s="34"/>
      <c r="DD558" s="34"/>
      <c r="DE558" s="34"/>
      <c r="DF558" s="34"/>
      <c r="DG558" s="34"/>
      <c r="DH558" s="34"/>
      <c r="DI558" s="34"/>
      <c r="DJ558" s="34"/>
      <c r="DK558" s="34"/>
      <c r="DL558" s="34"/>
      <c r="DM558" s="34"/>
      <c r="DN558" s="34"/>
      <c r="DO558" s="34"/>
      <c r="DP558" s="34"/>
      <c r="DQ558" s="34"/>
      <c r="DR558" s="34"/>
      <c r="DS558" s="34"/>
      <c r="DT558" s="34"/>
      <c r="DU558" s="34"/>
      <c r="DV558" s="34"/>
      <c r="DW558" s="34"/>
      <c r="DX558" s="34"/>
      <c r="DY558" s="34"/>
      <c r="DZ558" s="34"/>
      <c r="EA558" s="34"/>
      <c r="EB558" s="34"/>
      <c r="EC558" s="34"/>
      <c r="ED558" s="34"/>
      <c r="EE558" s="34"/>
    </row>
    <row r="559" spans="1:135" customFormat="1">
      <c r="A559" s="71">
        <f>'Old Data'!$I555-'Old Data'!$S555</f>
        <v>-176</v>
      </c>
      <c r="B559" s="72">
        <f>VLOOKUP('Old Data'!$F555,$R$6:$T$135,2,FALSE)+VLOOKUP('Old Data'!$P555,$R$6:$T$135,3,FALSE)+$B$2</f>
        <v>216.29021449809932</v>
      </c>
      <c r="C559" s="72">
        <f>VLOOKUP('Old Data'!$P555,$R$6:$T$135,2,FALSE)+VLOOKUP('Old Data'!$F555,$R$6:$T$135,3,FALSE)+$B$2</f>
        <v>175.7835118210111</v>
      </c>
      <c r="D559" s="74">
        <f>('Old Data'!$I555-$B559)^2+('Old Data'!$S555-$C559)^2</f>
        <v>23468.989059284722</v>
      </c>
      <c r="E559" s="75">
        <f>'Old Data'!$K555-'Old Data'!$U555</f>
        <v>48</v>
      </c>
      <c r="F559" s="72">
        <f>VLOOKUP('Old Data'!$F555,$V$6:$X$135,2,FALSE)+VLOOKUP('Old Data'!$P555,$V$6:$X$135,3,FALSE)+$C$2</f>
        <v>239.33372215389599</v>
      </c>
      <c r="G559" s="72">
        <f>VLOOKUP('Old Data'!$P555,$V$6:$X$135,2,FALSE)+VLOOKUP('Old Data'!$F555,$V$6:$X$135,3,FALSE)+$C$2</f>
        <v>160.82800504862018</v>
      </c>
      <c r="H559" s="74">
        <f>('Old Data'!$K555-$F559)^2+('Old Data'!$U555-$G559)^2</f>
        <v>9464.9839110347421</v>
      </c>
      <c r="I559" s="75">
        <f>('Old Data'!$L555+'Old Data'!$M555)-('Old Data'!$V555+'Old Data'!$W555)</f>
        <v>36</v>
      </c>
      <c r="J559" s="72">
        <f>VLOOKUP('Old Data'!$F555,$Z$6:$AB$135,2,FALSE)+VLOOKUP('Old Data'!$P555,$Z$6:$AB$135,3,FALSE)+$D$2</f>
        <v>66.748379851927893</v>
      </c>
      <c r="K559" s="72">
        <f>VLOOKUP('Old Data'!$P555,$Z$6:$AB$135,2,FALSE)+VLOOKUP('Old Data'!$F555,$Z$6:$AB$135,3,FALSE)+$D$2</f>
        <v>73.993910793053573</v>
      </c>
      <c r="L559" s="74">
        <f>('Old Data'!$L555+'Old Data'!$M555-$J559)^2+('Old Data'!$V555+'Old Data'!$W555-$K559)^2</f>
        <v>1407.6321902401867</v>
      </c>
      <c r="M559" s="75">
        <f>'Old Data'!$N555-'Old Data'!$X555</f>
        <v>-2</v>
      </c>
      <c r="N559" s="72">
        <f>VLOOKUP('Old Data'!$F555,$AD$6:$AF$135,2,FALSE)+VLOOKUP('Old Data'!$P555,$AD$6:$AF$135,3,FALSE)+$E$2</f>
        <v>1.1049478820426251</v>
      </c>
      <c r="O559" s="72">
        <f>VLOOKUP('Old Data'!$P555,$AD$6:$AF$135,2,FALSE)+VLOOKUP('Old Data'!$F555,$AD$6:$AF$135,3,FALSE)+$E$2</f>
        <v>2.4332998515651711</v>
      </c>
      <c r="P559" s="73">
        <f>('Old Data'!$N555-$N559)^2+('Old Data'!$X555-$O559)^2</f>
        <v>1.4086585833968821</v>
      </c>
      <c r="Q559" s="62"/>
      <c r="R559" s="3"/>
      <c r="S559" s="3"/>
      <c r="T559" s="3"/>
      <c r="V559" s="3"/>
      <c r="W559" s="3"/>
      <c r="X559" s="3"/>
      <c r="Z559" s="3"/>
      <c r="AA559" s="3"/>
      <c r="AB559" s="3"/>
      <c r="AC559" s="3"/>
      <c r="AD559" s="3"/>
      <c r="AE559" s="3"/>
      <c r="AF559" s="3"/>
      <c r="AG559" s="3"/>
      <c r="AH559" s="37"/>
      <c r="AI559" s="1"/>
      <c r="AK559" s="10"/>
      <c r="AL559" s="10"/>
      <c r="AM559" s="10"/>
      <c r="AN559" s="11"/>
      <c r="AO559" s="11"/>
      <c r="AP559" s="11"/>
      <c r="AQ559" s="36"/>
      <c r="AR559" s="11"/>
      <c r="AS559" s="11"/>
      <c r="AT559" s="11"/>
      <c r="AU559" s="12"/>
      <c r="AV559" s="11"/>
      <c r="AW559" s="11"/>
      <c r="AX559" s="15"/>
      <c r="AY559" s="15"/>
      <c r="AZ559" s="15"/>
      <c r="BA559" s="15"/>
      <c r="BB559" s="15"/>
      <c r="BC559" s="15"/>
      <c r="BD559" s="15"/>
      <c r="BE559" s="12"/>
      <c r="BF559" s="11"/>
      <c r="BG559" s="11"/>
      <c r="BH559" s="10"/>
      <c r="BI559" s="10"/>
      <c r="BJ559" s="10"/>
      <c r="BK559" s="23"/>
      <c r="BL559" s="23"/>
      <c r="BM559" s="23"/>
      <c r="BN559" s="23"/>
      <c r="BO559" s="23"/>
      <c r="BP559" s="23"/>
      <c r="BQ559" s="23"/>
      <c r="BR559" s="10"/>
      <c r="BS559" s="16"/>
      <c r="BT559" s="16"/>
      <c r="BU559" s="16"/>
      <c r="BV559" s="16"/>
      <c r="BW559" s="11"/>
      <c r="BX559" s="16"/>
      <c r="BY559" s="16"/>
      <c r="BZ559" s="17"/>
      <c r="CA559" s="18"/>
      <c r="CB559" s="18"/>
      <c r="CC559" s="18"/>
      <c r="CD559" s="18"/>
      <c r="CE559" s="18"/>
      <c r="CF559" s="18"/>
      <c r="CG559" s="19"/>
      <c r="CH559" s="15"/>
      <c r="CI559" s="17"/>
      <c r="CJ559" s="10"/>
      <c r="CK559" s="10"/>
      <c r="CL559" s="10"/>
      <c r="CM559" s="17"/>
      <c r="CN559" s="17"/>
      <c r="CO559" s="10"/>
      <c r="CP559" s="10"/>
      <c r="CQ559" s="10"/>
      <c r="CR559" s="10"/>
      <c r="CS559" s="10"/>
      <c r="CT559" s="10"/>
      <c r="CU559" s="10"/>
      <c r="CV559" s="10"/>
      <c r="CW559" s="10"/>
      <c r="CX559" s="10"/>
      <c r="CY559" s="10"/>
      <c r="CZ559" s="10"/>
      <c r="DA559" s="34"/>
      <c r="DB559" s="34"/>
      <c r="DC559" s="34"/>
      <c r="DD559" s="34"/>
      <c r="DE559" s="34"/>
      <c r="DF559" s="34"/>
      <c r="DG559" s="34"/>
      <c r="DH559" s="34"/>
      <c r="DI559" s="34"/>
      <c r="DJ559" s="34"/>
      <c r="DK559" s="34"/>
      <c r="DL559" s="34"/>
      <c r="DM559" s="34"/>
      <c r="DN559" s="34"/>
      <c r="DO559" s="34"/>
      <c r="DP559" s="34"/>
      <c r="DQ559" s="34"/>
      <c r="DR559" s="34"/>
      <c r="DS559" s="34"/>
      <c r="DT559" s="34"/>
      <c r="DU559" s="34"/>
      <c r="DV559" s="34"/>
      <c r="DW559" s="34"/>
      <c r="DX559" s="34"/>
      <c r="DY559" s="34"/>
      <c r="DZ559" s="34"/>
      <c r="EA559" s="34"/>
      <c r="EB559" s="34"/>
      <c r="EC559" s="34"/>
      <c r="ED559" s="34"/>
      <c r="EE559" s="34"/>
    </row>
    <row r="560" spans="1:135" customFormat="1">
      <c r="A560" s="71">
        <f>'Old Data'!$I556-'Old Data'!$S556</f>
        <v>-94</v>
      </c>
      <c r="B560" s="72">
        <f>VLOOKUP('Old Data'!$F556,$R$6:$T$135,2,FALSE)+VLOOKUP('Old Data'!$P556,$R$6:$T$135,3,FALSE)+$B$2</f>
        <v>215.8879990401355</v>
      </c>
      <c r="C560" s="72">
        <f>VLOOKUP('Old Data'!$P556,$R$6:$T$135,2,FALSE)+VLOOKUP('Old Data'!$F556,$R$6:$T$135,3,FALSE)+$B$2</f>
        <v>235.52135048325292</v>
      </c>
      <c r="D560" s="74">
        <f>('Old Data'!$I556-$B560)^2+('Old Data'!$S556-$C560)^2</f>
        <v>2871.6427494567661</v>
      </c>
      <c r="E560" s="75">
        <f>'Old Data'!$K556-'Old Data'!$U556</f>
        <v>-135</v>
      </c>
      <c r="F560" s="72">
        <f>VLOOKUP('Old Data'!$F556,$V$6:$X$135,2,FALSE)+VLOOKUP('Old Data'!$P556,$V$6:$X$135,3,FALSE)+$C$2</f>
        <v>152.62963532696529</v>
      </c>
      <c r="G560" s="72">
        <f>VLOOKUP('Old Data'!$P556,$V$6:$X$135,2,FALSE)+VLOOKUP('Old Data'!$F556,$V$6:$X$135,3,FALSE)+$C$2</f>
        <v>254.7994239411465</v>
      </c>
      <c r="H560" s="74">
        <f>('Old Data'!$K556-$F560)^2+('Old Data'!$U556-$G560)^2</f>
        <v>545.28719867410189</v>
      </c>
      <c r="I560" s="75">
        <f>('Old Data'!$L556+'Old Data'!$M556)-('Old Data'!$V556+'Old Data'!$W556)</f>
        <v>-30</v>
      </c>
      <c r="J560" s="72">
        <f>VLOOKUP('Old Data'!$F556,$Z$6:$AB$135,2,FALSE)+VLOOKUP('Old Data'!$P556,$Z$6:$AB$135,3,FALSE)+$D$2</f>
        <v>23.322331341924198</v>
      </c>
      <c r="K560" s="72">
        <f>VLOOKUP('Old Data'!$P556,$Z$6:$AB$135,2,FALSE)+VLOOKUP('Old Data'!$F556,$Z$6:$AB$135,3,FALSE)+$D$2</f>
        <v>69.823035167527763</v>
      </c>
      <c r="L560" s="74">
        <f>('Old Data'!$L556+'Old Data'!$M556-$J560)^2+('Old Data'!$V556+'Old Data'!$W556-$K560)^2</f>
        <v>1155.1886720065174</v>
      </c>
      <c r="M560" s="75">
        <f>'Old Data'!$N556-'Old Data'!$X556</f>
        <v>-2</v>
      </c>
      <c r="N560" s="72">
        <f>VLOOKUP('Old Data'!$F556,$AD$6:$AF$135,2,FALSE)+VLOOKUP('Old Data'!$P556,$AD$6:$AF$135,3,FALSE)+$E$2</f>
        <v>0.95276515681377882</v>
      </c>
      <c r="O560" s="72">
        <f>VLOOKUP('Old Data'!$P556,$AD$6:$AF$135,2,FALSE)+VLOOKUP('Old Data'!$F556,$AD$6:$AF$135,3,FALSE)+$E$2</f>
        <v>1.3326134803475882</v>
      </c>
      <c r="P560" s="73">
        <f>('Old Data'!$N556-$N560)^2+('Old Data'!$X556-$O560)^2</f>
        <v>2.7824089363294098</v>
      </c>
      <c r="Q560" s="62"/>
      <c r="R560" s="3"/>
      <c r="S560" s="3"/>
      <c r="T560" s="3"/>
      <c r="V560" s="3"/>
      <c r="W560" s="3"/>
      <c r="X560" s="3"/>
      <c r="Z560" s="3"/>
      <c r="AA560" s="3"/>
      <c r="AB560" s="3"/>
      <c r="AC560" s="3"/>
      <c r="AD560" s="3"/>
      <c r="AE560" s="3"/>
      <c r="AF560" s="3"/>
      <c r="AG560" s="3"/>
      <c r="AH560" s="37"/>
      <c r="AI560" s="1"/>
      <c r="AK560" s="10"/>
      <c r="AL560" s="10"/>
      <c r="AM560" s="10"/>
      <c r="AN560" s="11"/>
      <c r="AO560" s="11"/>
      <c r="AP560" s="11"/>
      <c r="AQ560" s="36"/>
      <c r="AR560" s="11"/>
      <c r="AS560" s="11"/>
      <c r="AT560" s="11"/>
      <c r="AU560" s="12"/>
      <c r="AV560" s="11"/>
      <c r="AW560" s="11"/>
      <c r="AX560" s="15"/>
      <c r="AY560" s="15"/>
      <c r="AZ560" s="15"/>
      <c r="BA560" s="15"/>
      <c r="BB560" s="15"/>
      <c r="BC560" s="15"/>
      <c r="BD560" s="15"/>
      <c r="BE560" s="12"/>
      <c r="BF560" s="11"/>
      <c r="BG560" s="11"/>
      <c r="BH560" s="10"/>
      <c r="BI560" s="10"/>
      <c r="BJ560" s="10"/>
      <c r="BK560" s="23"/>
      <c r="BL560" s="23"/>
      <c r="BM560" s="23"/>
      <c r="BN560" s="23"/>
      <c r="BO560" s="23"/>
      <c r="BP560" s="23"/>
      <c r="BQ560" s="23"/>
      <c r="BR560" s="10"/>
      <c r="BS560" s="16"/>
      <c r="BT560" s="16"/>
      <c r="BU560" s="16"/>
      <c r="BV560" s="16"/>
      <c r="BW560" s="11"/>
      <c r="BX560" s="16"/>
      <c r="BY560" s="16"/>
      <c r="BZ560" s="17"/>
      <c r="CA560" s="18"/>
      <c r="CB560" s="18"/>
      <c r="CC560" s="18"/>
      <c r="CD560" s="18"/>
      <c r="CE560" s="18"/>
      <c r="CF560" s="18"/>
      <c r="CG560" s="19"/>
      <c r="CH560" s="15"/>
      <c r="CI560" s="17"/>
      <c r="CJ560" s="10"/>
      <c r="CK560" s="10"/>
      <c r="CL560" s="10"/>
      <c r="CM560" s="17"/>
      <c r="CN560" s="17"/>
      <c r="CO560" s="10"/>
      <c r="CP560" s="10"/>
      <c r="CQ560" s="10"/>
      <c r="CR560" s="10"/>
      <c r="CS560" s="10"/>
      <c r="CT560" s="10"/>
      <c r="CU560" s="10"/>
      <c r="CV560" s="10"/>
      <c r="CW560" s="10"/>
      <c r="CX560" s="10"/>
      <c r="CY560" s="10"/>
      <c r="CZ560" s="10"/>
      <c r="DA560" s="34"/>
      <c r="DB560" s="34"/>
      <c r="DC560" s="34"/>
      <c r="DD560" s="34"/>
      <c r="DE560" s="34"/>
      <c r="DF560" s="34"/>
      <c r="DG560" s="34"/>
      <c r="DH560" s="34"/>
      <c r="DI560" s="34"/>
      <c r="DJ560" s="34"/>
      <c r="DK560" s="34"/>
      <c r="DL560" s="34"/>
      <c r="DM560" s="34"/>
      <c r="DN560" s="34"/>
      <c r="DO560" s="34"/>
      <c r="DP560" s="34"/>
      <c r="DQ560" s="34"/>
      <c r="DR560" s="34"/>
      <c r="DS560" s="34"/>
      <c r="DT560" s="34"/>
      <c r="DU560" s="34"/>
      <c r="DV560" s="34"/>
      <c r="DW560" s="34"/>
      <c r="DX560" s="34"/>
      <c r="DY560" s="34"/>
      <c r="DZ560" s="34"/>
      <c r="EA560" s="34"/>
      <c r="EB560" s="34"/>
      <c r="EC560" s="34"/>
      <c r="ED560" s="34"/>
      <c r="EE560" s="34"/>
    </row>
    <row r="561" spans="1:135" customFormat="1">
      <c r="A561" s="71">
        <f>'Old Data'!$I557-'Old Data'!$S557</f>
        <v>160</v>
      </c>
      <c r="B561" s="72">
        <f>VLOOKUP('Old Data'!$F557,$R$6:$T$135,2,FALSE)+VLOOKUP('Old Data'!$P557,$R$6:$T$135,3,FALSE)+$B$2</f>
        <v>306.81051369319232</v>
      </c>
      <c r="C561" s="72">
        <f>VLOOKUP('Old Data'!$P557,$R$6:$T$135,2,FALSE)+VLOOKUP('Old Data'!$F557,$R$6:$T$135,3,FALSE)+$B$2</f>
        <v>170.2886866591551</v>
      </c>
      <c r="D561" s="74">
        <f>('Old Data'!$I557-$B561)^2+('Old Data'!$S557-$C561)^2</f>
        <v>11094.699675059857</v>
      </c>
      <c r="E561" s="75">
        <f>'Old Data'!$K557-'Old Data'!$U557</f>
        <v>-205</v>
      </c>
      <c r="F561" s="72">
        <f>VLOOKUP('Old Data'!$F557,$V$6:$X$135,2,FALSE)+VLOOKUP('Old Data'!$P557,$V$6:$X$135,3,FALSE)+$C$2</f>
        <v>82.22162515669919</v>
      </c>
      <c r="G561" s="72">
        <f>VLOOKUP('Old Data'!$P557,$V$6:$X$135,2,FALSE)+VLOOKUP('Old Data'!$F557,$V$6:$X$135,3,FALSE)+$C$2</f>
        <v>244.72557887424759</v>
      </c>
      <c r="H561" s="74">
        <f>('Old Data'!$K557-$F561)^2+('Old Data'!$U557-$G561)^2</f>
        <v>1626.9646153513308</v>
      </c>
      <c r="I561" s="75">
        <f>('Old Data'!$L557+'Old Data'!$M557)-('Old Data'!$V557+'Old Data'!$W557)</f>
        <v>40</v>
      </c>
      <c r="J561" s="72">
        <f>VLOOKUP('Old Data'!$F557,$Z$6:$AB$135,2,FALSE)+VLOOKUP('Old Data'!$P557,$Z$6:$AB$135,3,FALSE)+$D$2</f>
        <v>25.237826468508963</v>
      </c>
      <c r="K561" s="72">
        <f>VLOOKUP('Old Data'!$P557,$Z$6:$AB$135,2,FALSE)+VLOOKUP('Old Data'!$F557,$Z$6:$AB$135,3,FALSE)+$D$2</f>
        <v>21.1446360506785</v>
      </c>
      <c r="L561" s="74">
        <f>('Old Data'!$L557+'Old Data'!$M557-$J561)^2+('Old Data'!$V557+'Old Data'!$W557-$K561)^2</f>
        <v>647.48755101275754</v>
      </c>
      <c r="M561" s="75">
        <f>'Old Data'!$N557-'Old Data'!$X557</f>
        <v>3</v>
      </c>
      <c r="N561" s="72">
        <f>VLOOKUP('Old Data'!$F557,$AD$6:$AF$135,2,FALSE)+VLOOKUP('Old Data'!$P557,$AD$6:$AF$135,3,FALSE)+$E$2</f>
        <v>1.6065642595666338</v>
      </c>
      <c r="O561" s="72">
        <f>VLOOKUP('Old Data'!$P557,$AD$6:$AF$135,2,FALSE)+VLOOKUP('Old Data'!$F557,$AD$6:$AF$135,3,FALSE)+$E$2</f>
        <v>1.040366599338872</v>
      </c>
      <c r="P561" s="73">
        <f>('Old Data'!$N557-$N561)^2+('Old Data'!$X557-$O561)^2</f>
        <v>3.0240258237370123</v>
      </c>
      <c r="Q561" s="62"/>
      <c r="R561" s="3"/>
      <c r="S561" s="3"/>
      <c r="T561" s="3"/>
      <c r="V561" s="3"/>
      <c r="W561" s="3"/>
      <c r="X561" s="3"/>
      <c r="Z561" s="3"/>
      <c r="AA561" s="3"/>
      <c r="AB561" s="3"/>
      <c r="AC561" s="3"/>
      <c r="AD561" s="3"/>
      <c r="AE561" s="3"/>
      <c r="AF561" s="3"/>
      <c r="AG561" s="3"/>
      <c r="AH561" s="37"/>
      <c r="AI561" s="1"/>
      <c r="AK561" s="10"/>
      <c r="AL561" s="10"/>
      <c r="AM561" s="10"/>
      <c r="AN561" s="11"/>
      <c r="AO561" s="11"/>
      <c r="AP561" s="11"/>
      <c r="AQ561" s="36"/>
      <c r="AR561" s="11"/>
      <c r="AS561" s="11"/>
      <c r="AT561" s="11"/>
      <c r="AU561" s="12"/>
      <c r="AV561" s="11"/>
      <c r="AW561" s="11"/>
      <c r="AX561" s="15"/>
      <c r="AY561" s="15"/>
      <c r="AZ561" s="15"/>
      <c r="BA561" s="15"/>
      <c r="BB561" s="15"/>
      <c r="BC561" s="15"/>
      <c r="BD561" s="15"/>
      <c r="BE561" s="12"/>
      <c r="BF561" s="11"/>
      <c r="BG561" s="11"/>
      <c r="BH561" s="10"/>
      <c r="BI561" s="10"/>
      <c r="BJ561" s="10"/>
      <c r="BK561" s="23"/>
      <c r="BL561" s="23"/>
      <c r="BM561" s="23"/>
      <c r="BN561" s="23"/>
      <c r="BO561" s="23"/>
      <c r="BP561" s="23"/>
      <c r="BQ561" s="23"/>
      <c r="BR561" s="10"/>
      <c r="BS561" s="16"/>
      <c r="BT561" s="16"/>
      <c r="BU561" s="16"/>
      <c r="BV561" s="16"/>
      <c r="BW561" s="11"/>
      <c r="BX561" s="16"/>
      <c r="BY561" s="16"/>
      <c r="BZ561" s="17"/>
      <c r="CA561" s="18"/>
      <c r="CB561" s="18"/>
      <c r="CC561" s="18"/>
      <c r="CD561" s="18"/>
      <c r="CE561" s="18"/>
      <c r="CF561" s="18"/>
      <c r="CG561" s="19"/>
      <c r="CH561" s="15"/>
      <c r="CI561" s="17"/>
      <c r="CJ561" s="10"/>
      <c r="CK561" s="10"/>
      <c r="CL561" s="10"/>
      <c r="CM561" s="17"/>
      <c r="CN561" s="17"/>
      <c r="CO561" s="10"/>
      <c r="CP561" s="10"/>
      <c r="CQ561" s="10"/>
      <c r="CR561" s="10"/>
      <c r="CS561" s="10"/>
      <c r="CT561" s="10"/>
      <c r="CU561" s="10"/>
      <c r="CV561" s="10"/>
      <c r="CW561" s="10"/>
      <c r="CX561" s="10"/>
      <c r="CY561" s="10"/>
      <c r="CZ561" s="10"/>
      <c r="DA561" s="34"/>
      <c r="DB561" s="34"/>
      <c r="DC561" s="34"/>
      <c r="DD561" s="34"/>
      <c r="DE561" s="34"/>
      <c r="DF561" s="34"/>
      <c r="DG561" s="34"/>
      <c r="DH561" s="34"/>
      <c r="DI561" s="34"/>
      <c r="DJ561" s="34"/>
      <c r="DK561" s="34"/>
      <c r="DL561" s="34"/>
      <c r="DM561" s="34"/>
      <c r="DN561" s="34"/>
      <c r="DO561" s="34"/>
      <c r="DP561" s="34"/>
      <c r="DQ561" s="34"/>
      <c r="DR561" s="34"/>
      <c r="DS561" s="34"/>
      <c r="DT561" s="34"/>
      <c r="DU561" s="34"/>
      <c r="DV561" s="34"/>
      <c r="DW561" s="34"/>
      <c r="DX561" s="34"/>
      <c r="DY561" s="34"/>
      <c r="DZ561" s="34"/>
      <c r="EA561" s="34"/>
      <c r="EB561" s="34"/>
      <c r="EC561" s="34"/>
      <c r="ED561" s="34"/>
      <c r="EE561" s="34"/>
    </row>
    <row r="562" spans="1:135" customFormat="1">
      <c r="A562" s="71">
        <f>'Old Data'!$I558-'Old Data'!$S558</f>
        <v>-191</v>
      </c>
      <c r="B562" s="72">
        <f>VLOOKUP('Old Data'!$F558,$R$6:$T$135,2,FALSE)+VLOOKUP('Old Data'!$P558,$R$6:$T$135,3,FALSE)+$B$2</f>
        <v>149.3817715980733</v>
      </c>
      <c r="C562" s="72">
        <f>VLOOKUP('Old Data'!$P558,$R$6:$T$135,2,FALSE)+VLOOKUP('Old Data'!$F558,$R$6:$T$135,3,FALSE)+$B$2</f>
        <v>232.9187253330164</v>
      </c>
      <c r="D562" s="74">
        <f>('Old Data'!$I558-$B562)^2+('Old Data'!$S558-$C562)^2</f>
        <v>9412.2405446283028</v>
      </c>
      <c r="E562" s="75">
        <f>'Old Data'!$K558-'Old Data'!$U558</f>
        <v>-142</v>
      </c>
      <c r="F562" s="72">
        <f>VLOOKUP('Old Data'!$F558,$V$6:$X$135,2,FALSE)+VLOOKUP('Old Data'!$P558,$V$6:$X$135,3,FALSE)+$C$2</f>
        <v>176.14230917140688</v>
      </c>
      <c r="G562" s="72">
        <f>VLOOKUP('Old Data'!$P558,$V$6:$X$135,2,FALSE)+VLOOKUP('Old Data'!$F558,$V$6:$X$135,3,FALSE)+$C$2</f>
        <v>212.34492077427998</v>
      </c>
      <c r="H562" s="74">
        <f>('Old Data'!$K558-$F562)^2+('Old Data'!$U558-$G562)^2</f>
        <v>9165.5897077739446</v>
      </c>
      <c r="I562" s="75">
        <f>('Old Data'!$L558+'Old Data'!$M558)-('Old Data'!$V558+'Old Data'!$W558)</f>
        <v>76</v>
      </c>
      <c r="J562" s="72">
        <f>VLOOKUP('Old Data'!$F558,$Z$6:$AB$135,2,FALSE)+VLOOKUP('Old Data'!$P558,$Z$6:$AB$135,3,FALSE)+$D$2</f>
        <v>51.371369546859896</v>
      </c>
      <c r="K562" s="72">
        <f>VLOOKUP('Old Data'!$P558,$Z$6:$AB$135,2,FALSE)+VLOOKUP('Old Data'!$F558,$Z$6:$AB$135,3,FALSE)+$D$2</f>
        <v>83.546234448158401</v>
      </c>
      <c r="L562" s="74">
        <f>('Old Data'!$L558+'Old Data'!$M558-$J562)^2+('Old Data'!$V558+'Old Data'!$W558-$K562)^2</f>
        <v>5892.1456568027461</v>
      </c>
      <c r="M562" s="75">
        <f>'Old Data'!$N558-'Old Data'!$X558</f>
        <v>-2</v>
      </c>
      <c r="N562" s="72">
        <f>VLOOKUP('Old Data'!$F558,$AD$6:$AF$135,2,FALSE)+VLOOKUP('Old Data'!$P558,$AD$6:$AF$135,3,FALSE)+$E$2</f>
        <v>1.8299586445693632</v>
      </c>
      <c r="O562" s="72">
        <f>VLOOKUP('Old Data'!$P558,$AD$6:$AF$135,2,FALSE)+VLOOKUP('Old Data'!$F558,$AD$6:$AF$135,3,FALSE)+$E$2</f>
        <v>1.8995542450237131</v>
      </c>
      <c r="P562" s="73">
        <f>('Old Data'!$N558-$N562)^2+('Old Data'!$X558-$O562)^2</f>
        <v>3.3588379905268972</v>
      </c>
      <c r="Q562" s="62"/>
      <c r="R562" s="3"/>
      <c r="S562" s="3"/>
      <c r="T562" s="3"/>
      <c r="V562" s="3"/>
      <c r="W562" s="3"/>
      <c r="X562" s="3"/>
      <c r="Z562" s="3"/>
      <c r="AA562" s="3"/>
      <c r="AB562" s="3"/>
      <c r="AC562" s="3"/>
      <c r="AD562" s="3"/>
      <c r="AE562" s="3"/>
      <c r="AF562" s="3"/>
      <c r="AG562" s="3"/>
      <c r="AH562" s="37"/>
      <c r="AI562" s="1"/>
      <c r="AK562" s="10"/>
      <c r="AL562" s="10"/>
      <c r="AM562" s="10"/>
      <c r="AN562" s="11"/>
      <c r="AO562" s="11"/>
      <c r="AP562" s="11"/>
      <c r="AQ562" s="36"/>
      <c r="AR562" s="11"/>
      <c r="AS562" s="11"/>
      <c r="AT562" s="11"/>
      <c r="AU562" s="12"/>
      <c r="AV562" s="11"/>
      <c r="AW562" s="11"/>
      <c r="AX562" s="15"/>
      <c r="AY562" s="15"/>
      <c r="AZ562" s="15"/>
      <c r="BA562" s="15"/>
      <c r="BB562" s="15"/>
      <c r="BC562" s="15"/>
      <c r="BD562" s="15"/>
      <c r="BE562" s="12"/>
      <c r="BF562" s="11"/>
      <c r="BG562" s="11"/>
      <c r="BH562" s="10"/>
      <c r="BI562" s="10"/>
      <c r="BJ562" s="10"/>
      <c r="BK562" s="23"/>
      <c r="BL562" s="23"/>
      <c r="BM562" s="23"/>
      <c r="BN562" s="23"/>
      <c r="BO562" s="23"/>
      <c r="BP562" s="23"/>
      <c r="BQ562" s="23"/>
      <c r="BR562" s="10"/>
      <c r="BS562" s="16"/>
      <c r="BT562" s="16"/>
      <c r="BU562" s="16"/>
      <c r="BV562" s="16"/>
      <c r="BW562" s="11"/>
      <c r="BX562" s="16"/>
      <c r="BY562" s="16"/>
      <c r="BZ562" s="17"/>
      <c r="CA562" s="18"/>
      <c r="CB562" s="18"/>
      <c r="CC562" s="18"/>
      <c r="CD562" s="18"/>
      <c r="CE562" s="18"/>
      <c r="CF562" s="18"/>
      <c r="CG562" s="19"/>
      <c r="CH562" s="15"/>
      <c r="CI562" s="17"/>
      <c r="CJ562" s="10"/>
      <c r="CK562" s="10"/>
      <c r="CL562" s="10"/>
      <c r="CM562" s="17"/>
      <c r="CN562" s="17"/>
      <c r="CO562" s="10"/>
      <c r="CP562" s="10"/>
      <c r="CQ562" s="10"/>
      <c r="CR562" s="10"/>
      <c r="CS562" s="10"/>
      <c r="CT562" s="10"/>
      <c r="CU562" s="10"/>
      <c r="CV562" s="10"/>
      <c r="CW562" s="10"/>
      <c r="CX562" s="10"/>
      <c r="CY562" s="10"/>
      <c r="CZ562" s="10"/>
      <c r="DA562" s="34"/>
      <c r="DB562" s="34"/>
      <c r="DC562" s="34"/>
      <c r="DD562" s="34"/>
      <c r="DE562" s="34"/>
      <c r="DF562" s="34"/>
      <c r="DG562" s="34"/>
      <c r="DH562" s="34"/>
      <c r="DI562" s="34"/>
      <c r="DJ562" s="34"/>
      <c r="DK562" s="34"/>
      <c r="DL562" s="34"/>
      <c r="DM562" s="34"/>
      <c r="DN562" s="34"/>
      <c r="DO562" s="34"/>
      <c r="DP562" s="34"/>
      <c r="DQ562" s="34"/>
      <c r="DR562" s="34"/>
      <c r="DS562" s="34"/>
      <c r="DT562" s="34"/>
      <c r="DU562" s="34"/>
      <c r="DV562" s="34"/>
      <c r="DW562" s="34"/>
      <c r="DX562" s="34"/>
      <c r="DY562" s="34"/>
      <c r="DZ562" s="34"/>
      <c r="EA562" s="34"/>
      <c r="EB562" s="34"/>
      <c r="EC562" s="34"/>
      <c r="ED562" s="34"/>
      <c r="EE562" s="34"/>
    </row>
    <row r="563" spans="1:135" customFormat="1">
      <c r="A563" s="71">
        <f>'Old Data'!$I559-'Old Data'!$S559</f>
        <v>-65</v>
      </c>
      <c r="B563" s="72">
        <f>VLOOKUP('Old Data'!$F559,$R$6:$T$135,2,FALSE)+VLOOKUP('Old Data'!$P559,$R$6:$T$135,3,FALSE)+$B$2</f>
        <v>178.34151995040688</v>
      </c>
      <c r="C563" s="72">
        <f>VLOOKUP('Old Data'!$P559,$R$6:$T$135,2,FALSE)+VLOOKUP('Old Data'!$F559,$R$6:$T$135,3,FALSE)+$B$2</f>
        <v>201.6610233783378</v>
      </c>
      <c r="D563" s="74">
        <f>('Old Data'!$I559-$B563)^2+('Old Data'!$S559-$C563)^2</f>
        <v>7713.4294699445181</v>
      </c>
      <c r="E563" s="75">
        <f>'Old Data'!$K559-'Old Data'!$U559</f>
        <v>-210</v>
      </c>
      <c r="F563" s="72">
        <f>VLOOKUP('Old Data'!$F559,$V$6:$X$135,2,FALSE)+VLOOKUP('Old Data'!$P559,$V$6:$X$135,3,FALSE)+$C$2</f>
        <v>215.58115293769495</v>
      </c>
      <c r="G563" s="72">
        <f>VLOOKUP('Old Data'!$P559,$V$6:$X$135,2,FALSE)+VLOOKUP('Old Data'!$F559,$V$6:$X$135,3,FALSE)+$C$2</f>
        <v>325.20115211931363</v>
      </c>
      <c r="H563" s="74">
        <f>('Old Data'!$K559-$F563)^2+('Old Data'!$U559-$G563)^2</f>
        <v>5178.8951636623651</v>
      </c>
      <c r="I563" s="75">
        <f>('Old Data'!$L559+'Old Data'!$M559)-('Old Data'!$V559+'Old Data'!$W559)</f>
        <v>49</v>
      </c>
      <c r="J563" s="72">
        <f>VLOOKUP('Old Data'!$F559,$Z$6:$AB$135,2,FALSE)+VLOOKUP('Old Data'!$P559,$Z$6:$AB$135,3,FALSE)+$D$2</f>
        <v>50.315857213574233</v>
      </c>
      <c r="K563" s="72">
        <f>VLOOKUP('Old Data'!$P559,$Z$6:$AB$135,2,FALSE)+VLOOKUP('Old Data'!$F559,$Z$6:$AB$135,3,FALSE)+$D$2</f>
        <v>81.883768938061593</v>
      </c>
      <c r="L563" s="74">
        <f>('Old Data'!$L559+'Old Data'!$M559-$J563)^2+('Old Data'!$V559+'Old Data'!$W559-$K563)^2</f>
        <v>3246.3137512742378</v>
      </c>
      <c r="M563" s="75">
        <f>'Old Data'!$N559-'Old Data'!$X559</f>
        <v>0</v>
      </c>
      <c r="N563" s="72">
        <f>VLOOKUP('Old Data'!$F559,$AD$6:$AF$135,2,FALSE)+VLOOKUP('Old Data'!$P559,$AD$6:$AF$135,3,FALSE)+$E$2</f>
        <v>1.105447664006169</v>
      </c>
      <c r="O563" s="72">
        <f>VLOOKUP('Old Data'!$P559,$AD$6:$AF$135,2,FALSE)+VLOOKUP('Old Data'!$F559,$AD$6:$AF$135,3,FALSE)+$E$2</f>
        <v>1.8315692795500662</v>
      </c>
      <c r="P563" s="73">
        <f>('Old Data'!$N559-$N563)^2+('Old Data'!$X559-$O563)^2</f>
        <v>0.70262667653577404</v>
      </c>
      <c r="Q563" s="62"/>
      <c r="R563" s="3"/>
      <c r="S563" s="3"/>
      <c r="T563" s="3"/>
      <c r="V563" s="3"/>
      <c r="W563" s="3"/>
      <c r="X563" s="3"/>
      <c r="Z563" s="3"/>
      <c r="AA563" s="3"/>
      <c r="AB563" s="3"/>
      <c r="AC563" s="3"/>
      <c r="AD563" s="3"/>
      <c r="AE563" s="3"/>
      <c r="AF563" s="3"/>
      <c r="AG563" s="3"/>
      <c r="AH563" s="37"/>
      <c r="AI563" s="1"/>
      <c r="AK563" s="10"/>
      <c r="AL563" s="10"/>
      <c r="AM563" s="10"/>
      <c r="AN563" s="11"/>
      <c r="AO563" s="11"/>
      <c r="AP563" s="11"/>
      <c r="AQ563" s="36"/>
      <c r="AR563" s="11"/>
      <c r="AS563" s="11"/>
      <c r="AT563" s="11"/>
      <c r="AU563" s="12"/>
      <c r="AV563" s="11"/>
      <c r="AW563" s="11"/>
      <c r="AX563" s="15"/>
      <c r="AY563" s="15"/>
      <c r="AZ563" s="15"/>
      <c r="BA563" s="15"/>
      <c r="BB563" s="15"/>
      <c r="BC563" s="15"/>
      <c r="BD563" s="15"/>
      <c r="BE563" s="12"/>
      <c r="BF563" s="11"/>
      <c r="BG563" s="11"/>
      <c r="BH563" s="10"/>
      <c r="BI563" s="10"/>
      <c r="BJ563" s="10"/>
      <c r="BK563" s="23"/>
      <c r="BL563" s="23"/>
      <c r="BM563" s="23"/>
      <c r="BN563" s="23"/>
      <c r="BO563" s="23"/>
      <c r="BP563" s="23"/>
      <c r="BQ563" s="23"/>
      <c r="BR563" s="10"/>
      <c r="BS563" s="16"/>
      <c r="BT563" s="16"/>
      <c r="BU563" s="16"/>
      <c r="BV563" s="16"/>
      <c r="BW563" s="11"/>
      <c r="BX563" s="16"/>
      <c r="BY563" s="16"/>
      <c r="BZ563" s="17"/>
      <c r="CA563" s="18"/>
      <c r="CB563" s="18"/>
      <c r="CC563" s="18"/>
      <c r="CD563" s="18"/>
      <c r="CE563" s="18"/>
      <c r="CF563" s="18"/>
      <c r="CG563" s="19"/>
      <c r="CH563" s="15"/>
      <c r="CI563" s="17"/>
      <c r="CJ563" s="10"/>
      <c r="CK563" s="10"/>
      <c r="CL563" s="10"/>
      <c r="CM563" s="17"/>
      <c r="CN563" s="17"/>
      <c r="CO563" s="10"/>
      <c r="CP563" s="10"/>
      <c r="CQ563" s="10"/>
      <c r="CR563" s="10"/>
      <c r="CS563" s="10"/>
      <c r="CT563" s="10"/>
      <c r="CU563" s="10"/>
      <c r="CV563" s="10"/>
      <c r="CW563" s="10"/>
      <c r="CX563" s="10"/>
      <c r="CY563" s="10"/>
      <c r="CZ563" s="10"/>
      <c r="DA563" s="34"/>
      <c r="DB563" s="34"/>
      <c r="DC563" s="34"/>
      <c r="DD563" s="34"/>
      <c r="DE563" s="34"/>
      <c r="DF563" s="34"/>
      <c r="DG563" s="34"/>
      <c r="DH563" s="34"/>
      <c r="DI563" s="34"/>
      <c r="DJ563" s="34"/>
      <c r="DK563" s="34"/>
      <c r="DL563" s="34"/>
      <c r="DM563" s="34"/>
      <c r="DN563" s="34"/>
      <c r="DO563" s="34"/>
      <c r="DP563" s="34"/>
      <c r="DQ563" s="34"/>
      <c r="DR563" s="34"/>
      <c r="DS563" s="34"/>
      <c r="DT563" s="34"/>
      <c r="DU563" s="34"/>
      <c r="DV563" s="34"/>
      <c r="DW563" s="34"/>
      <c r="DX563" s="34"/>
      <c r="DY563" s="34"/>
      <c r="DZ563" s="34"/>
      <c r="EA563" s="34"/>
      <c r="EB563" s="34"/>
      <c r="EC563" s="34"/>
      <c r="ED563" s="34"/>
      <c r="EE563" s="34"/>
    </row>
    <row r="564" spans="1:135" customFormat="1">
      <c r="A564" s="71">
        <f>'Old Data'!$I560-'Old Data'!$S560</f>
        <v>60</v>
      </c>
      <c r="B564" s="72">
        <f>VLOOKUP('Old Data'!$F560,$R$6:$T$135,2,FALSE)+VLOOKUP('Old Data'!$P560,$R$6:$T$135,3,FALSE)+$B$2</f>
        <v>92.020907115099249</v>
      </c>
      <c r="C564" s="72">
        <f>VLOOKUP('Old Data'!$P560,$R$6:$T$135,2,FALSE)+VLOOKUP('Old Data'!$F560,$R$6:$T$135,3,FALSE)+$B$2</f>
        <v>137.02079814591741</v>
      </c>
      <c r="D564" s="74">
        <f>('Old Data'!$I560-$B564)^2+('Old Data'!$S560-$C564)^2</f>
        <v>6438.7827541299594</v>
      </c>
      <c r="E564" s="75">
        <f>'Old Data'!$K560-'Old Data'!$U560</f>
        <v>-195</v>
      </c>
      <c r="F564" s="72">
        <f>VLOOKUP('Old Data'!$F560,$V$6:$X$135,2,FALSE)+VLOOKUP('Old Data'!$P560,$V$6:$X$135,3,FALSE)+$C$2</f>
        <v>223.39739510476392</v>
      </c>
      <c r="G564" s="72">
        <f>VLOOKUP('Old Data'!$P560,$V$6:$X$135,2,FALSE)+VLOOKUP('Old Data'!$F560,$V$6:$X$135,3,FALSE)+$C$2</f>
        <v>229.72898574822011</v>
      </c>
      <c r="H564" s="74">
        <f>('Old Data'!$K560-$F564)^2+('Old Data'!$U560-$G564)^2</f>
        <v>21658.770815561598</v>
      </c>
      <c r="I564" s="75">
        <f>('Old Data'!$L560+'Old Data'!$M560)-('Old Data'!$V560+'Old Data'!$W560)</f>
        <v>-42</v>
      </c>
      <c r="J564" s="72">
        <f>VLOOKUP('Old Data'!$F560,$Z$6:$AB$135,2,FALSE)+VLOOKUP('Old Data'!$P560,$Z$6:$AB$135,3,FALSE)+$D$2</f>
        <v>67.208070428106922</v>
      </c>
      <c r="K564" s="72">
        <f>VLOOKUP('Old Data'!$P560,$Z$6:$AB$135,2,FALSE)+VLOOKUP('Old Data'!$F560,$Z$6:$AB$135,3,FALSE)+$D$2</f>
        <v>23.780134496378494</v>
      </c>
      <c r="L564" s="74">
        <f>('Old Data'!$L560+'Old Data'!$M560-$J564)^2+('Old Data'!$V560+'Old Data'!$W560-$K564)^2</f>
        <v>3649.4779834151664</v>
      </c>
      <c r="M564" s="75">
        <f>'Old Data'!$N560-'Old Data'!$X560</f>
        <v>0</v>
      </c>
      <c r="N564" s="72">
        <f>VLOOKUP('Old Data'!$F560,$AD$6:$AF$135,2,FALSE)+VLOOKUP('Old Data'!$P560,$AD$6:$AF$135,3,FALSE)+$E$2</f>
        <v>1.064194116489547</v>
      </c>
      <c r="O564" s="72">
        <f>VLOOKUP('Old Data'!$P560,$AD$6:$AF$135,2,FALSE)+VLOOKUP('Old Data'!$F560,$AD$6:$AF$135,3,FALSE)+$E$2</f>
        <v>0.85708184915460039</v>
      </c>
      <c r="P564" s="73">
        <f>('Old Data'!$N560-$N564)^2+('Old Data'!$X560-$O564)^2</f>
        <v>1.8670984137212365</v>
      </c>
      <c r="Q564" s="62"/>
      <c r="R564" s="3"/>
      <c r="S564" s="3"/>
      <c r="T564" s="3"/>
      <c r="V564" s="3"/>
      <c r="W564" s="3"/>
      <c r="X564" s="3"/>
      <c r="Z564" s="3"/>
      <c r="AA564" s="3"/>
      <c r="AB564" s="3"/>
      <c r="AC564" s="3"/>
      <c r="AD564" s="3"/>
      <c r="AE564" s="3"/>
      <c r="AF564" s="3"/>
      <c r="AG564" s="3"/>
      <c r="AH564" s="37"/>
      <c r="AI564" s="1"/>
      <c r="AK564" s="10"/>
      <c r="AL564" s="10"/>
      <c r="AM564" s="10"/>
      <c r="AN564" s="11"/>
      <c r="AO564" s="11"/>
      <c r="AP564" s="11"/>
      <c r="AQ564" s="36"/>
      <c r="AR564" s="11"/>
      <c r="AS564" s="11"/>
      <c r="AT564" s="11"/>
      <c r="AU564" s="12"/>
      <c r="AV564" s="11"/>
      <c r="AW564" s="11"/>
      <c r="AX564" s="15"/>
      <c r="AY564" s="15"/>
      <c r="AZ564" s="15"/>
      <c r="BA564" s="15"/>
      <c r="BB564" s="15"/>
      <c r="BC564" s="15"/>
      <c r="BD564" s="15"/>
      <c r="BE564" s="12"/>
      <c r="BF564" s="11"/>
      <c r="BG564" s="11"/>
      <c r="BH564" s="10"/>
      <c r="BI564" s="10"/>
      <c r="BJ564" s="10"/>
      <c r="BK564" s="23"/>
      <c r="BL564" s="23"/>
      <c r="BM564" s="23"/>
      <c r="BN564" s="23"/>
      <c r="BO564" s="23"/>
      <c r="BP564" s="23"/>
      <c r="BQ564" s="23"/>
      <c r="BR564" s="10"/>
      <c r="BS564" s="16"/>
      <c r="BT564" s="16"/>
      <c r="BU564" s="16"/>
      <c r="BV564" s="16"/>
      <c r="BW564" s="11"/>
      <c r="BX564" s="16"/>
      <c r="BY564" s="16"/>
      <c r="BZ564" s="17"/>
      <c r="CA564" s="18"/>
      <c r="CB564" s="18"/>
      <c r="CC564" s="18"/>
      <c r="CD564" s="18"/>
      <c r="CE564" s="18"/>
      <c r="CF564" s="18"/>
      <c r="CG564" s="19"/>
      <c r="CH564" s="15"/>
      <c r="CI564" s="17"/>
      <c r="CJ564" s="10"/>
      <c r="CK564" s="10"/>
      <c r="CL564" s="10"/>
      <c r="CM564" s="17"/>
      <c r="CN564" s="17"/>
      <c r="CO564" s="10"/>
      <c r="CP564" s="10"/>
      <c r="CQ564" s="10"/>
      <c r="CR564" s="10"/>
      <c r="CS564" s="10"/>
      <c r="CT564" s="10"/>
      <c r="CU564" s="10"/>
      <c r="CV564" s="10"/>
      <c r="CW564" s="10"/>
      <c r="CX564" s="10"/>
      <c r="CY564" s="10"/>
      <c r="CZ564" s="10"/>
      <c r="DA564" s="34"/>
      <c r="DB564" s="34"/>
      <c r="DC564" s="34"/>
      <c r="DD564" s="34"/>
      <c r="DE564" s="34"/>
      <c r="DF564" s="34"/>
      <c r="DG564" s="34"/>
      <c r="DH564" s="34"/>
      <c r="DI564" s="34"/>
      <c r="DJ564" s="34"/>
      <c r="DK564" s="34"/>
      <c r="DL564" s="34"/>
      <c r="DM564" s="34"/>
      <c r="DN564" s="34"/>
      <c r="DO564" s="34"/>
      <c r="DP564" s="34"/>
      <c r="DQ564" s="34"/>
      <c r="DR564" s="34"/>
      <c r="DS564" s="34"/>
      <c r="DT564" s="34"/>
      <c r="DU564" s="34"/>
      <c r="DV564" s="34"/>
      <c r="DW564" s="34"/>
      <c r="DX564" s="34"/>
      <c r="DY564" s="34"/>
      <c r="DZ564" s="34"/>
      <c r="EA564" s="34"/>
      <c r="EB564" s="34"/>
      <c r="EC564" s="34"/>
      <c r="ED564" s="34"/>
      <c r="EE564" s="34"/>
    </row>
    <row r="565" spans="1:135" customFormat="1">
      <c r="A565" s="71">
        <f>'Old Data'!$I561-'Old Data'!$S561</f>
        <v>58</v>
      </c>
      <c r="B565" s="72">
        <f>VLOOKUP('Old Data'!$F561,$R$6:$T$135,2,FALSE)+VLOOKUP('Old Data'!$P561,$R$6:$T$135,3,FALSE)+$B$2</f>
        <v>118.84914834935682</v>
      </c>
      <c r="C565" s="72">
        <f>VLOOKUP('Old Data'!$P561,$R$6:$T$135,2,FALSE)+VLOOKUP('Old Data'!$F561,$R$6:$T$135,3,FALSE)+$B$2</f>
        <v>154.4283848973115</v>
      </c>
      <c r="D565" s="74">
        <f>('Old Data'!$I561-$B565)^2+('Old Data'!$S561-$C565)^2</f>
        <v>10132.771326194043</v>
      </c>
      <c r="E565" s="75">
        <f>'Old Data'!$K561-'Old Data'!$U561</f>
        <v>81</v>
      </c>
      <c r="F565" s="72">
        <f>VLOOKUP('Old Data'!$F561,$V$6:$X$135,2,FALSE)+VLOOKUP('Old Data'!$P561,$V$6:$X$135,3,FALSE)+$C$2</f>
        <v>377.97034941948687</v>
      </c>
      <c r="G565" s="72">
        <f>VLOOKUP('Old Data'!$P561,$V$6:$X$135,2,FALSE)+VLOOKUP('Old Data'!$F561,$V$6:$X$135,3,FALSE)+$C$2</f>
        <v>272.390576621317</v>
      </c>
      <c r="H565" s="74">
        <f>('Old Data'!$K561-$F565)^2+('Old Data'!$U561-$G565)^2</f>
        <v>574.94904814677966</v>
      </c>
      <c r="I565" s="75">
        <f>('Old Data'!$L561+'Old Data'!$M561)-('Old Data'!$V561+'Old Data'!$W561)</f>
        <v>-24</v>
      </c>
      <c r="J565" s="72">
        <f>VLOOKUP('Old Data'!$F561,$Z$6:$AB$135,2,FALSE)+VLOOKUP('Old Data'!$P561,$Z$6:$AB$135,3,FALSE)+$D$2</f>
        <v>34.108463041034881</v>
      </c>
      <c r="K565" s="72">
        <f>VLOOKUP('Old Data'!$P561,$Z$6:$AB$135,2,FALSE)+VLOOKUP('Old Data'!$F561,$Z$6:$AB$135,3,FALSE)+$D$2</f>
        <v>72.362729964935298</v>
      </c>
      <c r="L565" s="74">
        <f>('Old Data'!$L561+'Old Data'!$M561-$J565)^2+('Old Data'!$V561+'Old Data'!$W561-$K565)^2</f>
        <v>3502.3409006828929</v>
      </c>
      <c r="M565" s="75">
        <f>'Old Data'!$N561-'Old Data'!$X561</f>
        <v>-1</v>
      </c>
      <c r="N565" s="72">
        <f>VLOOKUP('Old Data'!$F561,$AD$6:$AF$135,2,FALSE)+VLOOKUP('Old Data'!$P561,$AD$6:$AF$135,3,FALSE)+$E$2</f>
        <v>0.98336372662980409</v>
      </c>
      <c r="O565" s="72">
        <f>VLOOKUP('Old Data'!$P561,$AD$6:$AF$135,2,FALSE)+VLOOKUP('Old Data'!$F561,$AD$6:$AF$135,3,FALSE)+$E$2</f>
        <v>1.3297043228632881</v>
      </c>
      <c r="P565" s="73">
        <f>('Old Data'!$N561-$N565)^2+('Old Data'!$X561-$O565)^2</f>
        <v>1.0757091593659953</v>
      </c>
      <c r="Q565" s="62"/>
      <c r="R565" s="3"/>
      <c r="S565" s="3"/>
      <c r="T565" s="3"/>
      <c r="V565" s="3"/>
      <c r="W565" s="3"/>
      <c r="X565" s="3"/>
      <c r="Z565" s="3"/>
      <c r="AA565" s="3"/>
      <c r="AB565" s="3"/>
      <c r="AC565" s="3"/>
      <c r="AD565" s="3"/>
      <c r="AE565" s="3"/>
      <c r="AF565" s="3"/>
      <c r="AG565" s="3"/>
      <c r="AH565" s="37"/>
      <c r="AI565" s="1"/>
      <c r="AK565" s="10"/>
      <c r="AL565" s="10"/>
      <c r="AM565" s="10"/>
      <c r="AN565" s="11"/>
      <c r="AO565" s="11"/>
      <c r="AP565" s="11"/>
      <c r="AQ565" s="36"/>
      <c r="AR565" s="11"/>
      <c r="AS565" s="11"/>
      <c r="AT565" s="11"/>
      <c r="AU565" s="12"/>
      <c r="AV565" s="11"/>
      <c r="AW565" s="11"/>
      <c r="AX565" s="15"/>
      <c r="AY565" s="15"/>
      <c r="AZ565" s="15"/>
      <c r="BA565" s="15"/>
      <c r="BB565" s="15"/>
      <c r="BC565" s="15"/>
      <c r="BD565" s="15"/>
      <c r="BE565" s="12"/>
      <c r="BF565" s="11"/>
      <c r="BG565" s="11"/>
      <c r="BH565" s="10"/>
      <c r="BI565" s="10"/>
      <c r="BJ565" s="10"/>
      <c r="BK565" s="23"/>
      <c r="BL565" s="23"/>
      <c r="BM565" s="23"/>
      <c r="BN565" s="23"/>
      <c r="BO565" s="23"/>
      <c r="BP565" s="23"/>
      <c r="BQ565" s="23"/>
      <c r="BR565" s="10"/>
      <c r="BS565" s="16"/>
      <c r="BT565" s="16"/>
      <c r="BU565" s="16"/>
      <c r="BV565" s="16"/>
      <c r="BW565" s="11"/>
      <c r="BX565" s="16"/>
      <c r="BY565" s="16"/>
      <c r="BZ565" s="17"/>
      <c r="CA565" s="18"/>
      <c r="CB565" s="18"/>
      <c r="CC565" s="18"/>
      <c r="CD565" s="18"/>
      <c r="CE565" s="18"/>
      <c r="CF565" s="18"/>
      <c r="CG565" s="19"/>
      <c r="CH565" s="15"/>
      <c r="CI565" s="17"/>
      <c r="CJ565" s="10"/>
      <c r="CK565" s="10"/>
      <c r="CL565" s="10"/>
      <c r="CM565" s="17"/>
      <c r="CN565" s="17"/>
      <c r="CO565" s="10"/>
      <c r="CP565" s="10"/>
      <c r="CQ565" s="10"/>
      <c r="CR565" s="10"/>
      <c r="CS565" s="10"/>
      <c r="CT565" s="10"/>
      <c r="CU565" s="10"/>
      <c r="CV565" s="10"/>
      <c r="CW565" s="10"/>
      <c r="CX565" s="10"/>
      <c r="CY565" s="10"/>
      <c r="CZ565" s="10"/>
      <c r="DA565" s="34"/>
      <c r="DB565" s="34"/>
      <c r="DC565" s="34"/>
      <c r="DD565" s="34"/>
      <c r="DE565" s="34"/>
      <c r="DF565" s="34"/>
      <c r="DG565" s="34"/>
      <c r="DH565" s="34"/>
      <c r="DI565" s="34"/>
      <c r="DJ565" s="34"/>
      <c r="DK565" s="34"/>
      <c r="DL565" s="34"/>
      <c r="DM565" s="34"/>
      <c r="DN565" s="34"/>
      <c r="DO565" s="34"/>
      <c r="DP565" s="34"/>
      <c r="DQ565" s="34"/>
      <c r="DR565" s="34"/>
      <c r="DS565" s="34"/>
      <c r="DT565" s="34"/>
      <c r="DU565" s="34"/>
      <c r="DV565" s="34"/>
      <c r="DW565" s="34"/>
      <c r="DX565" s="34"/>
      <c r="DY565" s="34"/>
      <c r="DZ565" s="34"/>
      <c r="EA565" s="34"/>
      <c r="EB565" s="34"/>
      <c r="EC565" s="34"/>
      <c r="ED565" s="34"/>
      <c r="EE565" s="34"/>
    </row>
    <row r="566" spans="1:135" customFormat="1">
      <c r="A566" s="71">
        <f>'Old Data'!$I562-'Old Data'!$S562</f>
        <v>35</v>
      </c>
      <c r="B566" s="72">
        <f>VLOOKUP('Old Data'!$F562,$R$6:$T$135,2,FALSE)+VLOOKUP('Old Data'!$P562,$R$6:$T$135,3,FALSE)+$B$2</f>
        <v>173.14481389705162</v>
      </c>
      <c r="C566" s="72">
        <f>VLOOKUP('Old Data'!$P562,$R$6:$T$135,2,FALSE)+VLOOKUP('Old Data'!$F562,$R$6:$T$135,3,FALSE)+$B$2</f>
        <v>53.589456607963399</v>
      </c>
      <c r="D566" s="74">
        <f>('Old Data'!$I562-$B566)^2+('Old Data'!$S562-$C566)^2</f>
        <v>3732.0563983152051</v>
      </c>
      <c r="E566" s="75">
        <f>'Old Data'!$K562-'Old Data'!$U562</f>
        <v>65</v>
      </c>
      <c r="F566" s="72">
        <f>VLOOKUP('Old Data'!$F562,$V$6:$X$135,2,FALSE)+VLOOKUP('Old Data'!$P562,$V$6:$X$135,3,FALSE)+$C$2</f>
        <v>172.10678724318637</v>
      </c>
      <c r="G566" s="72">
        <f>VLOOKUP('Old Data'!$P562,$V$6:$X$135,2,FALSE)+VLOOKUP('Old Data'!$F562,$V$6:$X$135,3,FALSE)+$C$2</f>
        <v>227.0770158728451</v>
      </c>
      <c r="H566" s="74">
        <f>('Old Data'!$K562-$F566)^2+('Old Data'!$U562-$G566)^2</f>
        <v>16149.815152970808</v>
      </c>
      <c r="I566" s="75">
        <f>('Old Data'!$L562+'Old Data'!$M562)-('Old Data'!$V562+'Old Data'!$W562)</f>
        <v>5</v>
      </c>
      <c r="J566" s="72">
        <f>VLOOKUP('Old Data'!$F562,$Z$6:$AB$135,2,FALSE)+VLOOKUP('Old Data'!$P562,$Z$6:$AB$135,3,FALSE)+$D$2</f>
        <v>68.336312825405699</v>
      </c>
      <c r="K566" s="72">
        <f>VLOOKUP('Old Data'!$P562,$Z$6:$AB$135,2,FALSE)+VLOOKUP('Old Data'!$F562,$Z$6:$AB$135,3,FALSE)+$D$2</f>
        <v>60.573111354890415</v>
      </c>
      <c r="L566" s="74">
        <f>('Old Data'!$L562+'Old Data'!$M562-$J566)^2+('Old Data'!$V562+'Old Data'!$W562-$K566)^2</f>
        <v>2589.3002841542066</v>
      </c>
      <c r="M566" s="75">
        <f>'Old Data'!$N562-'Old Data'!$X562</f>
        <v>-2</v>
      </c>
      <c r="N566" s="72">
        <f>VLOOKUP('Old Data'!$F562,$AD$6:$AF$135,2,FALSE)+VLOOKUP('Old Data'!$P562,$AD$6:$AF$135,3,FALSE)+$E$2</f>
        <v>1.519004356224342</v>
      </c>
      <c r="O566" s="72">
        <f>VLOOKUP('Old Data'!$P562,$AD$6:$AF$135,2,FALSE)+VLOOKUP('Old Data'!$F562,$AD$6:$AF$135,3,FALSE)+$E$2</f>
        <v>0.67540102110517208</v>
      </c>
      <c r="P566" s="73">
        <f>('Old Data'!$N562-$N566)^2+('Old Data'!$X562-$O566)^2</f>
        <v>4.0619366891177489</v>
      </c>
      <c r="Q566" s="62"/>
      <c r="R566" s="3"/>
      <c r="S566" s="3"/>
      <c r="T566" s="3"/>
      <c r="V566" s="3"/>
      <c r="W566" s="3"/>
      <c r="X566" s="3"/>
      <c r="Z566" s="3"/>
      <c r="AA566" s="3"/>
      <c r="AB566" s="3"/>
      <c r="AC566" s="3"/>
      <c r="AD566" s="3"/>
      <c r="AE566" s="3"/>
      <c r="AF566" s="3"/>
      <c r="AG566" s="3"/>
      <c r="AH566" s="37"/>
      <c r="AI566" s="1"/>
      <c r="AK566" s="10"/>
      <c r="AL566" s="10"/>
      <c r="AM566" s="10"/>
      <c r="AN566" s="11"/>
      <c r="AO566" s="11"/>
      <c r="AP566" s="11"/>
      <c r="AQ566" s="36"/>
      <c r="AR566" s="11"/>
      <c r="AS566" s="11"/>
      <c r="AT566" s="11"/>
      <c r="AU566" s="12"/>
      <c r="AV566" s="11"/>
      <c r="AW566" s="11"/>
      <c r="AX566" s="15"/>
      <c r="AY566" s="15"/>
      <c r="AZ566" s="15"/>
      <c r="BA566" s="15"/>
      <c r="BB566" s="15"/>
      <c r="BC566" s="15"/>
      <c r="BD566" s="15"/>
      <c r="BE566" s="12"/>
      <c r="BF566" s="11"/>
      <c r="BG566" s="11"/>
      <c r="BH566" s="10"/>
      <c r="BI566" s="10"/>
      <c r="BJ566" s="10"/>
      <c r="BK566" s="23"/>
      <c r="BL566" s="23"/>
      <c r="BM566" s="23"/>
      <c r="BN566" s="23"/>
      <c r="BO566" s="23"/>
      <c r="BP566" s="23"/>
      <c r="BQ566" s="23"/>
      <c r="BR566" s="10"/>
      <c r="BS566" s="16"/>
      <c r="BT566" s="16"/>
      <c r="BU566" s="16"/>
      <c r="BV566" s="16"/>
      <c r="BW566" s="11"/>
      <c r="BX566" s="16"/>
      <c r="BY566" s="16"/>
      <c r="BZ566" s="17"/>
      <c r="CA566" s="18"/>
      <c r="CB566" s="18"/>
      <c r="CC566" s="18"/>
      <c r="CD566" s="18"/>
      <c r="CE566" s="18"/>
      <c r="CF566" s="18"/>
      <c r="CG566" s="19"/>
      <c r="CH566" s="15"/>
      <c r="CI566" s="17"/>
      <c r="CJ566" s="10"/>
      <c r="CK566" s="10"/>
      <c r="CL566" s="10"/>
      <c r="CM566" s="17"/>
      <c r="CN566" s="17"/>
      <c r="CO566" s="10"/>
      <c r="CP566" s="10"/>
      <c r="CQ566" s="10"/>
      <c r="CR566" s="10"/>
      <c r="CS566" s="10"/>
      <c r="CT566" s="10"/>
      <c r="CU566" s="10"/>
      <c r="CV566" s="10"/>
      <c r="CW566" s="10"/>
      <c r="CX566" s="10"/>
      <c r="CY566" s="10"/>
      <c r="CZ566" s="10"/>
      <c r="DA566" s="34"/>
      <c r="DB566" s="34"/>
      <c r="DC566" s="34"/>
      <c r="DD566" s="34"/>
      <c r="DE566" s="34"/>
      <c r="DF566" s="34"/>
      <c r="DG566" s="34"/>
      <c r="DH566" s="34"/>
      <c r="DI566" s="34"/>
      <c r="DJ566" s="34"/>
      <c r="DK566" s="34"/>
      <c r="DL566" s="34"/>
      <c r="DM566" s="34"/>
      <c r="DN566" s="34"/>
      <c r="DO566" s="34"/>
      <c r="DP566" s="34"/>
      <c r="DQ566" s="34"/>
      <c r="DR566" s="34"/>
      <c r="DS566" s="34"/>
      <c r="DT566" s="34"/>
      <c r="DU566" s="34"/>
      <c r="DV566" s="34"/>
      <c r="DW566" s="34"/>
      <c r="DX566" s="34"/>
      <c r="DY566" s="34"/>
      <c r="DZ566" s="34"/>
      <c r="EA566" s="34"/>
      <c r="EB566" s="34"/>
      <c r="EC566" s="34"/>
      <c r="ED566" s="34"/>
      <c r="EE566" s="34"/>
    </row>
    <row r="567" spans="1:135" customFormat="1">
      <c r="A567" s="71">
        <f>'Old Data'!$I563-'Old Data'!$S563</f>
        <v>31</v>
      </c>
      <c r="B567" s="72">
        <f>VLOOKUP('Old Data'!$F563,$R$6:$T$135,2,FALSE)+VLOOKUP('Old Data'!$P563,$R$6:$T$135,3,FALSE)+$B$2</f>
        <v>113.71933539853839</v>
      </c>
      <c r="C567" s="72">
        <f>VLOOKUP('Old Data'!$P563,$R$6:$T$135,2,FALSE)+VLOOKUP('Old Data'!$F563,$R$6:$T$135,3,FALSE)+$B$2</f>
        <v>84.007300807329614</v>
      </c>
      <c r="D567" s="74">
        <f>('Old Data'!$I563-$B567)^2+('Old Data'!$S563-$C567)^2</f>
        <v>1609.785055063569</v>
      </c>
      <c r="E567" s="75">
        <f>'Old Data'!$K563-'Old Data'!$U563</f>
        <v>218</v>
      </c>
      <c r="F567" s="72">
        <f>VLOOKUP('Old Data'!$F563,$V$6:$X$135,2,FALSE)+VLOOKUP('Old Data'!$P563,$V$6:$X$135,3,FALSE)+$C$2</f>
        <v>248.91312023703898</v>
      </c>
      <c r="G567" s="72">
        <f>VLOOKUP('Old Data'!$P563,$V$6:$X$135,2,FALSE)+VLOOKUP('Old Data'!$F563,$V$6:$X$135,3,FALSE)+$C$2</f>
        <v>213.82860951162519</v>
      </c>
      <c r="H567" s="74">
        <f>('Old Data'!$K563-$F567)^2+('Old Data'!$U563-$G567)^2</f>
        <v>20536.040971908213</v>
      </c>
      <c r="I567" s="75">
        <f>('Old Data'!$L563+'Old Data'!$M563)-('Old Data'!$V563+'Old Data'!$W563)</f>
        <v>73</v>
      </c>
      <c r="J567" s="72">
        <f>VLOOKUP('Old Data'!$F563,$Z$6:$AB$135,2,FALSE)+VLOOKUP('Old Data'!$P563,$Z$6:$AB$135,3,FALSE)+$D$2</f>
        <v>99.5484531588816</v>
      </c>
      <c r="K567" s="72">
        <f>VLOOKUP('Old Data'!$P563,$Z$6:$AB$135,2,FALSE)+VLOOKUP('Old Data'!$F563,$Z$6:$AB$135,3,FALSE)+$D$2</f>
        <v>32.989545239346</v>
      </c>
      <c r="L567" s="74">
        <f>('Old Data'!$L563+'Old Data'!$M563-$J567)^2+('Old Data'!$V563+'Old Data'!$W563-$K567)^2</f>
        <v>41.622565945165142</v>
      </c>
      <c r="M567" s="75">
        <f>'Old Data'!$N563-'Old Data'!$X563</f>
        <v>1</v>
      </c>
      <c r="N567" s="72">
        <f>VLOOKUP('Old Data'!$F563,$AD$6:$AF$135,2,FALSE)+VLOOKUP('Old Data'!$P563,$AD$6:$AF$135,3,FALSE)+$E$2</f>
        <v>1.7220413463964341</v>
      </c>
      <c r="O567" s="72">
        <f>VLOOKUP('Old Data'!$P563,$AD$6:$AF$135,2,FALSE)+VLOOKUP('Old Data'!$F563,$AD$6:$AF$135,3,FALSE)+$E$2</f>
        <v>1.6560077784453655</v>
      </c>
      <c r="P567" s="73">
        <f>('Old Data'!$N563-$N567)^2+('Old Data'!$X563-$O567)^2</f>
        <v>0.50760721849393087</v>
      </c>
      <c r="Q567" s="62"/>
      <c r="R567" s="3"/>
      <c r="S567" s="3"/>
      <c r="T567" s="3"/>
      <c r="V567" s="3"/>
      <c r="W567" s="3"/>
      <c r="X567" s="3"/>
      <c r="Z567" s="3"/>
      <c r="AA567" s="3"/>
      <c r="AB567" s="3"/>
      <c r="AC567" s="3"/>
      <c r="AD567" s="3"/>
      <c r="AE567" s="3"/>
      <c r="AF567" s="3"/>
      <c r="AG567" s="3"/>
      <c r="AH567" s="37"/>
      <c r="AI567" s="1"/>
      <c r="AK567" s="10"/>
      <c r="AL567" s="10"/>
      <c r="AM567" s="10"/>
      <c r="AN567" s="11"/>
      <c r="AO567" s="11"/>
      <c r="AP567" s="11"/>
      <c r="AQ567" s="36"/>
      <c r="AR567" s="11"/>
      <c r="AS567" s="11"/>
      <c r="AT567" s="11"/>
      <c r="AU567" s="12"/>
      <c r="AV567" s="11"/>
      <c r="AW567" s="11"/>
      <c r="AX567" s="15"/>
      <c r="AY567" s="15"/>
      <c r="AZ567" s="15"/>
      <c r="BA567" s="15"/>
      <c r="BB567" s="15"/>
      <c r="BC567" s="15"/>
      <c r="BD567" s="15"/>
      <c r="BE567" s="12"/>
      <c r="BF567" s="11"/>
      <c r="BG567" s="11"/>
      <c r="BH567" s="10"/>
      <c r="BI567" s="10"/>
      <c r="BJ567" s="10"/>
      <c r="BK567" s="23"/>
      <c r="BL567" s="23"/>
      <c r="BM567" s="23"/>
      <c r="BN567" s="23"/>
      <c r="BO567" s="23"/>
      <c r="BP567" s="23"/>
      <c r="BQ567" s="23"/>
      <c r="BR567" s="10"/>
      <c r="BS567" s="16"/>
      <c r="BT567" s="16"/>
      <c r="BU567" s="16"/>
      <c r="BV567" s="16"/>
      <c r="BW567" s="11"/>
      <c r="BX567" s="16"/>
      <c r="BY567" s="16"/>
      <c r="BZ567" s="17"/>
      <c r="CA567" s="18"/>
      <c r="CB567" s="18"/>
      <c r="CC567" s="18"/>
      <c r="CD567" s="18"/>
      <c r="CE567" s="18"/>
      <c r="CF567" s="18"/>
      <c r="CG567" s="19"/>
      <c r="CH567" s="15"/>
      <c r="CI567" s="17"/>
      <c r="CJ567" s="10"/>
      <c r="CK567" s="10"/>
      <c r="CL567" s="10"/>
      <c r="CM567" s="17"/>
      <c r="CN567" s="17"/>
      <c r="CO567" s="10"/>
      <c r="CP567" s="10"/>
      <c r="CQ567" s="10"/>
      <c r="CR567" s="10"/>
      <c r="CS567" s="10"/>
      <c r="CT567" s="10"/>
      <c r="CU567" s="10"/>
      <c r="CV567" s="10"/>
      <c r="CW567" s="10"/>
      <c r="CX567" s="10"/>
      <c r="CY567" s="10"/>
      <c r="CZ567" s="10"/>
      <c r="DA567" s="34"/>
      <c r="DB567" s="34"/>
      <c r="DC567" s="34"/>
      <c r="DD567" s="34"/>
      <c r="DE567" s="34"/>
      <c r="DF567" s="34"/>
      <c r="DG567" s="34"/>
      <c r="DH567" s="34"/>
      <c r="DI567" s="34"/>
      <c r="DJ567" s="34"/>
      <c r="DK567" s="34"/>
      <c r="DL567" s="34"/>
      <c r="DM567" s="34"/>
      <c r="DN567" s="34"/>
      <c r="DO567" s="34"/>
      <c r="DP567" s="34"/>
      <c r="DQ567" s="34"/>
      <c r="DR567" s="34"/>
      <c r="DS567" s="34"/>
      <c r="DT567" s="34"/>
      <c r="DU567" s="34"/>
      <c r="DV567" s="34"/>
      <c r="DW567" s="34"/>
      <c r="DX567" s="34"/>
      <c r="DY567" s="34"/>
      <c r="DZ567" s="34"/>
      <c r="EA567" s="34"/>
      <c r="EB567" s="34"/>
      <c r="EC567" s="34"/>
      <c r="ED567" s="34"/>
      <c r="EE567" s="34"/>
    </row>
    <row r="568" spans="1:135" customFormat="1">
      <c r="A568" s="71">
        <f>'Old Data'!$I564-'Old Data'!$S564</f>
        <v>175</v>
      </c>
      <c r="B568" s="72">
        <f>VLOOKUP('Old Data'!$F564,$R$6:$T$135,2,FALSE)+VLOOKUP('Old Data'!$P564,$R$6:$T$135,3,FALSE)+$B$2</f>
        <v>189.5617425306672</v>
      </c>
      <c r="C568" s="72">
        <f>VLOOKUP('Old Data'!$P564,$R$6:$T$135,2,FALSE)+VLOOKUP('Old Data'!$F564,$R$6:$T$135,3,FALSE)+$B$2</f>
        <v>167.19677745487431</v>
      </c>
      <c r="D568" s="74">
        <f>('Old Data'!$I564-$B568)^2+('Old Data'!$S564-$C568)^2</f>
        <v>48706.438663388362</v>
      </c>
      <c r="E568" s="75">
        <f>'Old Data'!$K564-'Old Data'!$U564</f>
        <v>-277</v>
      </c>
      <c r="F568" s="72">
        <f>VLOOKUP('Old Data'!$F564,$V$6:$X$135,2,FALSE)+VLOOKUP('Old Data'!$P564,$V$6:$X$135,3,FALSE)+$C$2</f>
        <v>188.61387728863269</v>
      </c>
      <c r="G568" s="72">
        <f>VLOOKUP('Old Data'!$P564,$V$6:$X$135,2,FALSE)+VLOOKUP('Old Data'!$F564,$V$6:$X$135,3,FALSE)+$C$2</f>
        <v>444.10401803370007</v>
      </c>
      <c r="H568" s="74">
        <f>('Old Data'!$K564-$F568)^2+('Old Data'!$U564-$G568)^2</f>
        <v>2562.5599321894579</v>
      </c>
      <c r="I568" s="75">
        <f>('Old Data'!$L564+'Old Data'!$M564)-('Old Data'!$V564+'Old Data'!$W564)</f>
        <v>30</v>
      </c>
      <c r="J568" s="72">
        <f>VLOOKUP('Old Data'!$F564,$Z$6:$AB$135,2,FALSE)+VLOOKUP('Old Data'!$P564,$Z$6:$AB$135,3,FALSE)+$D$2</f>
        <v>15.994562850947602</v>
      </c>
      <c r="K568" s="72">
        <f>VLOOKUP('Old Data'!$P564,$Z$6:$AB$135,2,FALSE)+VLOOKUP('Old Data'!$F564,$Z$6:$AB$135,3,FALSE)+$D$2</f>
        <v>29.992803030637209</v>
      </c>
      <c r="L568" s="74">
        <f>('Old Data'!$L564+'Old Data'!$M564-$J568)^2+('Old Data'!$V564+'Old Data'!$W564-$K568)^2</f>
        <v>1095.7205033706575</v>
      </c>
      <c r="M568" s="75">
        <f>'Old Data'!$N564-'Old Data'!$X564</f>
        <v>1</v>
      </c>
      <c r="N568" s="72">
        <f>VLOOKUP('Old Data'!$F564,$AD$6:$AF$135,2,FALSE)+VLOOKUP('Old Data'!$P564,$AD$6:$AF$135,3,FALSE)+$E$2</f>
        <v>0.38181495776282404</v>
      </c>
      <c r="O568" s="72">
        <f>VLOOKUP('Old Data'!$P564,$AD$6:$AF$135,2,FALSE)+VLOOKUP('Old Data'!$F564,$AD$6:$AF$135,3,FALSE)+$E$2</f>
        <v>1.407453880483271</v>
      </c>
      <c r="P568" s="73">
        <f>('Old Data'!$N564-$N568)^2+('Old Data'!$X564-$O568)^2</f>
        <v>2.7845414956410068</v>
      </c>
      <c r="Q568" s="62"/>
      <c r="R568" s="3"/>
      <c r="S568" s="3"/>
      <c r="T568" s="3"/>
      <c r="V568" s="3"/>
      <c r="W568" s="3"/>
      <c r="X568" s="3"/>
      <c r="Z568" s="3"/>
      <c r="AA568" s="3"/>
      <c r="AB568" s="3"/>
      <c r="AC568" s="3"/>
      <c r="AD568" s="3"/>
      <c r="AE568" s="3"/>
      <c r="AF568" s="3"/>
      <c r="AG568" s="3"/>
      <c r="AH568" s="37"/>
      <c r="AI568" s="1"/>
      <c r="AK568" s="10"/>
      <c r="AL568" s="10"/>
      <c r="AM568" s="10"/>
      <c r="AN568" s="11"/>
      <c r="AO568" s="11"/>
      <c r="AP568" s="11"/>
      <c r="AQ568" s="36"/>
      <c r="AR568" s="11"/>
      <c r="AS568" s="11"/>
      <c r="AT568" s="11"/>
      <c r="AU568" s="12"/>
      <c r="AV568" s="11"/>
      <c r="AW568" s="11"/>
      <c r="AX568" s="15"/>
      <c r="AY568" s="15"/>
      <c r="AZ568" s="15"/>
      <c r="BA568" s="15"/>
      <c r="BB568" s="15"/>
      <c r="BC568" s="15"/>
      <c r="BD568" s="15"/>
      <c r="BE568" s="12"/>
      <c r="BF568" s="11"/>
      <c r="BG568" s="11"/>
      <c r="BH568" s="10"/>
      <c r="BI568" s="10"/>
      <c r="BJ568" s="10"/>
      <c r="BK568" s="23"/>
      <c r="BL568" s="23"/>
      <c r="BM568" s="23"/>
      <c r="BN568" s="23"/>
      <c r="BO568" s="23"/>
      <c r="BP568" s="23"/>
      <c r="BQ568" s="23"/>
      <c r="BR568" s="10"/>
      <c r="BS568" s="16"/>
      <c r="BT568" s="16"/>
      <c r="BU568" s="16"/>
      <c r="BV568" s="16"/>
      <c r="BW568" s="11"/>
      <c r="BX568" s="16"/>
      <c r="BY568" s="16"/>
      <c r="BZ568" s="17"/>
      <c r="CA568" s="18"/>
      <c r="CB568" s="18"/>
      <c r="CC568" s="18"/>
      <c r="CD568" s="18"/>
      <c r="CE568" s="18"/>
      <c r="CF568" s="18"/>
      <c r="CG568" s="19"/>
      <c r="CH568" s="15"/>
      <c r="CI568" s="17"/>
      <c r="CJ568" s="10"/>
      <c r="CK568" s="10"/>
      <c r="CL568" s="10"/>
      <c r="CM568" s="17"/>
      <c r="CN568" s="17"/>
      <c r="CO568" s="10"/>
      <c r="CP568" s="10"/>
      <c r="CQ568" s="10"/>
      <c r="CR568" s="10"/>
      <c r="CS568" s="10"/>
      <c r="CT568" s="10"/>
      <c r="CU568" s="10"/>
      <c r="CV568" s="10"/>
      <c r="CW568" s="10"/>
      <c r="CX568" s="10"/>
      <c r="CY568" s="10"/>
      <c r="CZ568" s="10"/>
      <c r="DA568" s="34"/>
      <c r="DB568" s="34"/>
      <c r="DC568" s="34"/>
      <c r="DD568" s="34"/>
      <c r="DE568" s="34"/>
      <c r="DF568" s="34"/>
      <c r="DG568" s="34"/>
      <c r="DH568" s="34"/>
      <c r="DI568" s="34"/>
      <c r="DJ568" s="34"/>
      <c r="DK568" s="34"/>
      <c r="DL568" s="34"/>
      <c r="DM568" s="34"/>
      <c r="DN568" s="34"/>
      <c r="DO568" s="34"/>
      <c r="DP568" s="34"/>
      <c r="DQ568" s="34"/>
      <c r="DR568" s="34"/>
      <c r="DS568" s="34"/>
      <c r="DT568" s="34"/>
      <c r="DU568" s="34"/>
      <c r="DV568" s="34"/>
      <c r="DW568" s="34"/>
      <c r="DX568" s="34"/>
      <c r="DY568" s="34"/>
      <c r="DZ568" s="34"/>
      <c r="EA568" s="34"/>
      <c r="EB568" s="34"/>
      <c r="EC568" s="34"/>
      <c r="ED568" s="34"/>
      <c r="EE568" s="34"/>
    </row>
    <row r="569" spans="1:135" customFormat="1">
      <c r="A569" s="71">
        <f>'Old Data'!$I565-'Old Data'!$S565</f>
        <v>-4</v>
      </c>
      <c r="B569" s="72">
        <f>VLOOKUP('Old Data'!$F565,$R$6:$T$135,2,FALSE)+VLOOKUP('Old Data'!$P565,$R$6:$T$135,3,FALSE)+$B$2</f>
        <v>122.83189982172365</v>
      </c>
      <c r="C569" s="72">
        <f>VLOOKUP('Old Data'!$P565,$R$6:$T$135,2,FALSE)+VLOOKUP('Old Data'!$F565,$R$6:$T$135,3,FALSE)+$B$2</f>
        <v>101.67178470591881</v>
      </c>
      <c r="D569" s="74">
        <f>('Old Data'!$I565-$B569)^2+('Old Data'!$S565-$C569)^2</f>
        <v>7103.0699505784942</v>
      </c>
      <c r="E569" s="75">
        <f>'Old Data'!$K565-'Old Data'!$U565</f>
        <v>-126</v>
      </c>
      <c r="F569" s="72">
        <f>VLOOKUP('Old Data'!$F565,$V$6:$X$135,2,FALSE)+VLOOKUP('Old Data'!$P565,$V$6:$X$135,3,FALSE)+$C$2</f>
        <v>186.52615784425507</v>
      </c>
      <c r="G569" s="72">
        <f>VLOOKUP('Old Data'!$P565,$V$6:$X$135,2,FALSE)+VLOOKUP('Old Data'!$F565,$V$6:$X$135,3,FALSE)+$C$2</f>
        <v>303.58658356463849</v>
      </c>
      <c r="H569" s="74">
        <f>('Old Data'!$K565-$F569)^2+('Old Data'!$U565-$G569)^2</f>
        <v>1003.0037274717143</v>
      </c>
      <c r="I569" s="75">
        <f>('Old Data'!$L565+'Old Data'!$M565)-('Old Data'!$V565+'Old Data'!$W565)</f>
        <v>38</v>
      </c>
      <c r="J569" s="72">
        <f>VLOOKUP('Old Data'!$F565,$Z$6:$AB$135,2,FALSE)+VLOOKUP('Old Data'!$P565,$Z$6:$AB$135,3,FALSE)+$D$2</f>
        <v>22.200278198614896</v>
      </c>
      <c r="K569" s="72">
        <f>VLOOKUP('Old Data'!$P565,$Z$6:$AB$135,2,FALSE)+VLOOKUP('Old Data'!$F565,$Z$6:$AB$135,3,FALSE)+$D$2</f>
        <v>9.5752921275562954</v>
      </c>
      <c r="L569" s="74">
        <f>('Old Data'!$L565+'Old Data'!$M565-$J569)^2+('Old Data'!$V565+'Old Data'!$W565-$K569)^2</f>
        <v>341.31742832920531</v>
      </c>
      <c r="M569" s="75">
        <f>'Old Data'!$N565-'Old Data'!$X565</f>
        <v>-1</v>
      </c>
      <c r="N569" s="72">
        <f>VLOOKUP('Old Data'!$F565,$AD$6:$AF$135,2,FALSE)+VLOOKUP('Old Data'!$P565,$AD$6:$AF$135,3,FALSE)+$E$2</f>
        <v>1.4374610968959058</v>
      </c>
      <c r="O569" s="72">
        <f>VLOOKUP('Old Data'!$P565,$AD$6:$AF$135,2,FALSE)+VLOOKUP('Old Data'!$F565,$AD$6:$AF$135,3,FALSE)+$E$2</f>
        <v>2.239294784548612</v>
      </c>
      <c r="P569" s="73">
        <f>('Old Data'!$N565-$N569)^2+('Old Data'!$X565-$O569)^2</f>
        <v>3.6021459680985712</v>
      </c>
      <c r="Q569" s="62"/>
      <c r="R569" s="3"/>
      <c r="S569" s="3"/>
      <c r="T569" s="3"/>
      <c r="V569" s="3"/>
      <c r="W569" s="3"/>
      <c r="X569" s="3"/>
      <c r="Z569" s="3"/>
      <c r="AA569" s="3"/>
      <c r="AB569" s="3"/>
      <c r="AC569" s="3"/>
      <c r="AD569" s="3"/>
      <c r="AE569" s="3"/>
      <c r="AF569" s="3"/>
      <c r="AG569" s="3"/>
      <c r="AH569" s="37"/>
      <c r="AI569" s="1"/>
      <c r="AK569" s="10"/>
      <c r="AL569" s="10"/>
      <c r="AM569" s="10"/>
      <c r="AN569" s="11"/>
      <c r="AO569" s="11"/>
      <c r="AP569" s="11"/>
      <c r="AQ569" s="36"/>
      <c r="AR569" s="11"/>
      <c r="AS569" s="11"/>
      <c r="AT569" s="11"/>
      <c r="AU569" s="12"/>
      <c r="AV569" s="11"/>
      <c r="AW569" s="11"/>
      <c r="AX569" s="15"/>
      <c r="AY569" s="15"/>
      <c r="AZ569" s="15"/>
      <c r="BA569" s="15"/>
      <c r="BB569" s="15"/>
      <c r="BC569" s="15"/>
      <c r="BD569" s="15"/>
      <c r="BE569" s="12"/>
      <c r="BF569" s="11"/>
      <c r="BG569" s="11"/>
      <c r="BH569" s="10"/>
      <c r="BI569" s="10"/>
      <c r="BJ569" s="10"/>
      <c r="BK569" s="23"/>
      <c r="BL569" s="23"/>
      <c r="BM569" s="23"/>
      <c r="BN569" s="23"/>
      <c r="BO569" s="23"/>
      <c r="BP569" s="23"/>
      <c r="BQ569" s="23"/>
      <c r="BR569" s="10"/>
      <c r="BS569" s="16"/>
      <c r="BT569" s="16"/>
      <c r="BU569" s="16"/>
      <c r="BV569" s="16"/>
      <c r="BW569" s="11"/>
      <c r="BX569" s="16"/>
      <c r="BY569" s="16"/>
      <c r="BZ569" s="17"/>
      <c r="CA569" s="18"/>
      <c r="CB569" s="18"/>
      <c r="CC569" s="18"/>
      <c r="CD569" s="18"/>
      <c r="CE569" s="18"/>
      <c r="CF569" s="18"/>
      <c r="CG569" s="19"/>
      <c r="CH569" s="15"/>
      <c r="CI569" s="17"/>
      <c r="CJ569" s="10"/>
      <c r="CK569" s="10"/>
      <c r="CL569" s="10"/>
      <c r="CM569" s="17"/>
      <c r="CN569" s="17"/>
      <c r="CO569" s="10"/>
      <c r="CP569" s="10"/>
      <c r="CQ569" s="10"/>
      <c r="CR569" s="10"/>
      <c r="CS569" s="10"/>
      <c r="CT569" s="10"/>
      <c r="CU569" s="10"/>
      <c r="CV569" s="10"/>
      <c r="CW569" s="10"/>
      <c r="CX569" s="10"/>
      <c r="CY569" s="10"/>
      <c r="CZ569" s="10"/>
      <c r="DA569" s="34"/>
      <c r="DB569" s="34"/>
      <c r="DC569" s="34"/>
      <c r="DD569" s="34"/>
      <c r="DE569" s="34"/>
      <c r="DF569" s="34"/>
      <c r="DG569" s="34"/>
      <c r="DH569" s="34"/>
      <c r="DI569" s="34"/>
      <c r="DJ569" s="34"/>
      <c r="DK569" s="34"/>
      <c r="DL569" s="34"/>
      <c r="DM569" s="34"/>
      <c r="DN569" s="34"/>
      <c r="DO569" s="34"/>
      <c r="DP569" s="34"/>
      <c r="DQ569" s="34"/>
      <c r="DR569" s="34"/>
      <c r="DS569" s="34"/>
      <c r="DT569" s="34"/>
      <c r="DU569" s="34"/>
      <c r="DV569" s="34"/>
      <c r="DW569" s="34"/>
      <c r="DX569" s="34"/>
      <c r="DY569" s="34"/>
      <c r="DZ569" s="34"/>
      <c r="EA569" s="34"/>
      <c r="EB569" s="34"/>
      <c r="EC569" s="34"/>
      <c r="ED569" s="34"/>
      <c r="EE569" s="34"/>
    </row>
    <row r="570" spans="1:135" customFormat="1">
      <c r="A570" s="71">
        <f>'Old Data'!$I566-'Old Data'!$S566</f>
        <v>28</v>
      </c>
      <c r="B570" s="72">
        <f>VLOOKUP('Old Data'!$F566,$R$6:$T$135,2,FALSE)+VLOOKUP('Old Data'!$P566,$R$6:$T$135,3,FALSE)+$B$2</f>
        <v>196.46012213536321</v>
      </c>
      <c r="C570" s="72">
        <f>VLOOKUP('Old Data'!$P566,$R$6:$T$135,2,FALSE)+VLOOKUP('Old Data'!$F566,$R$6:$T$135,3,FALSE)+$B$2</f>
        <v>141.62402761595732</v>
      </c>
      <c r="D570" s="74">
        <f>('Old Data'!$I566-$B570)^2+('Old Data'!$S566-$C570)^2</f>
        <v>409.25002760436189</v>
      </c>
      <c r="E570" s="75">
        <f>'Old Data'!$K566-'Old Data'!$U566</f>
        <v>-268</v>
      </c>
      <c r="F570" s="72">
        <f>VLOOKUP('Old Data'!$F566,$V$6:$X$135,2,FALSE)+VLOOKUP('Old Data'!$P566,$V$6:$X$135,3,FALSE)+$C$2</f>
        <v>170.5033320845545</v>
      </c>
      <c r="G570" s="72">
        <f>VLOOKUP('Old Data'!$P566,$V$6:$X$135,2,FALSE)+VLOOKUP('Old Data'!$F566,$V$6:$X$135,3,FALSE)+$C$2</f>
        <v>345.74156044825395</v>
      </c>
      <c r="H570" s="74">
        <f>('Old Data'!$K566-$F570)^2+('Old Data'!$U566-$G570)^2</f>
        <v>7850.9740974848091</v>
      </c>
      <c r="I570" s="75">
        <f>('Old Data'!$L566+'Old Data'!$M566)-('Old Data'!$V566+'Old Data'!$W566)</f>
        <v>-27</v>
      </c>
      <c r="J570" s="72">
        <f>VLOOKUP('Old Data'!$F566,$Z$6:$AB$135,2,FALSE)+VLOOKUP('Old Data'!$P566,$Z$6:$AB$135,3,FALSE)+$D$2</f>
        <v>30.843489936886698</v>
      </c>
      <c r="K570" s="72">
        <f>VLOOKUP('Old Data'!$P566,$Z$6:$AB$135,2,FALSE)+VLOOKUP('Old Data'!$F566,$Z$6:$AB$135,3,FALSE)+$D$2</f>
        <v>100.62854706631992</v>
      </c>
      <c r="L570" s="74">
        <f>('Old Data'!$L566+'Old Data'!$M566-$J570)^2+('Old Data'!$V566+'Old Data'!$W566-$K570)^2</f>
        <v>6165.5397405777057</v>
      </c>
      <c r="M570" s="75">
        <f>'Old Data'!$N566-'Old Data'!$X566</f>
        <v>-1</v>
      </c>
      <c r="N570" s="72">
        <f>VLOOKUP('Old Data'!$F566,$AD$6:$AF$135,2,FALSE)+VLOOKUP('Old Data'!$P566,$AD$6:$AF$135,3,FALSE)+$E$2</f>
        <v>1.4963716779296561</v>
      </c>
      <c r="O570" s="72">
        <f>VLOOKUP('Old Data'!$P566,$AD$6:$AF$135,2,FALSE)+VLOOKUP('Old Data'!$F566,$AD$6:$AF$135,3,FALSE)+$E$2</f>
        <v>2.1856660799791143</v>
      </c>
      <c r="P570" s="73">
        <f>('Old Data'!$N566-$N570)^2+('Old Data'!$X566-$O570)^2</f>
        <v>3.6449322517230538</v>
      </c>
      <c r="Q570" s="62"/>
      <c r="R570" s="3"/>
      <c r="S570" s="3"/>
      <c r="T570" s="3"/>
      <c r="V570" s="3"/>
      <c r="W570" s="3"/>
      <c r="X570" s="3"/>
      <c r="Z570" s="3"/>
      <c r="AA570" s="3"/>
      <c r="AB570" s="3"/>
      <c r="AC570" s="3"/>
      <c r="AD570" s="3"/>
      <c r="AE570" s="3"/>
      <c r="AF570" s="3"/>
      <c r="AG570" s="3"/>
      <c r="AH570" s="37"/>
      <c r="AI570" s="1"/>
      <c r="AK570" s="10"/>
      <c r="AL570" s="10"/>
      <c r="AM570" s="10"/>
      <c r="AN570" s="11"/>
      <c r="AO570" s="11"/>
      <c r="AP570" s="11"/>
      <c r="AQ570" s="36"/>
      <c r="AR570" s="11"/>
      <c r="AS570" s="11"/>
      <c r="AT570" s="11"/>
      <c r="AU570" s="12"/>
      <c r="AV570" s="11"/>
      <c r="AW570" s="11"/>
      <c r="AX570" s="15"/>
      <c r="AY570" s="15"/>
      <c r="AZ570" s="15"/>
      <c r="BA570" s="15"/>
      <c r="BB570" s="15"/>
      <c r="BC570" s="15"/>
      <c r="BD570" s="15"/>
      <c r="BE570" s="12"/>
      <c r="BF570" s="11"/>
      <c r="BG570" s="11"/>
      <c r="BH570" s="10"/>
      <c r="BI570" s="10"/>
      <c r="BJ570" s="10"/>
      <c r="BK570" s="23"/>
      <c r="BL570" s="23"/>
      <c r="BM570" s="23"/>
      <c r="BN570" s="23"/>
      <c r="BO570" s="23"/>
      <c r="BP570" s="23"/>
      <c r="BQ570" s="23"/>
      <c r="BR570" s="10"/>
      <c r="BS570" s="16"/>
      <c r="BT570" s="16"/>
      <c r="BU570" s="16"/>
      <c r="BV570" s="16"/>
      <c r="BW570" s="11"/>
      <c r="BX570" s="16"/>
      <c r="BY570" s="16"/>
      <c r="BZ570" s="17"/>
      <c r="CA570" s="18"/>
      <c r="CB570" s="18"/>
      <c r="CC570" s="18"/>
      <c r="CD570" s="18"/>
      <c r="CE570" s="18"/>
      <c r="CF570" s="18"/>
      <c r="CG570" s="19"/>
      <c r="CH570" s="15"/>
      <c r="CI570" s="17"/>
      <c r="CJ570" s="10"/>
      <c r="CK570" s="10"/>
      <c r="CL570" s="10"/>
      <c r="CM570" s="17"/>
      <c r="CN570" s="17"/>
      <c r="CO570" s="10"/>
      <c r="CP570" s="10"/>
      <c r="CQ570" s="10"/>
      <c r="CR570" s="10"/>
      <c r="CS570" s="10"/>
      <c r="CT570" s="10"/>
      <c r="CU570" s="10"/>
      <c r="CV570" s="10"/>
      <c r="CW570" s="10"/>
      <c r="CX570" s="10"/>
      <c r="CY570" s="10"/>
      <c r="CZ570" s="10"/>
      <c r="DA570" s="34"/>
      <c r="DB570" s="34"/>
      <c r="DC570" s="34"/>
      <c r="DD570" s="34"/>
      <c r="DE570" s="34"/>
      <c r="DF570" s="34"/>
      <c r="DG570" s="34"/>
      <c r="DH570" s="34"/>
      <c r="DI570" s="34"/>
      <c r="DJ570" s="34"/>
      <c r="DK570" s="34"/>
      <c r="DL570" s="34"/>
      <c r="DM570" s="34"/>
      <c r="DN570" s="34"/>
      <c r="DO570" s="34"/>
      <c r="DP570" s="34"/>
      <c r="DQ570" s="34"/>
      <c r="DR570" s="34"/>
      <c r="DS570" s="34"/>
      <c r="DT570" s="34"/>
      <c r="DU570" s="34"/>
      <c r="DV570" s="34"/>
      <c r="DW570" s="34"/>
      <c r="DX570" s="34"/>
      <c r="DY570" s="34"/>
      <c r="DZ570" s="34"/>
      <c r="EA570" s="34"/>
      <c r="EB570" s="34"/>
      <c r="EC570" s="34"/>
      <c r="ED570" s="34"/>
      <c r="EE570" s="34"/>
    </row>
    <row r="571" spans="1:135" customFormat="1">
      <c r="A571" s="71">
        <f>'Old Data'!$I567-'Old Data'!$S567</f>
        <v>-35</v>
      </c>
      <c r="B571" s="72">
        <f>VLOOKUP('Old Data'!$F567,$R$6:$T$135,2,FALSE)+VLOOKUP('Old Data'!$P567,$R$6:$T$135,3,FALSE)+$B$2</f>
        <v>149.79301476647382</v>
      </c>
      <c r="C571" s="72">
        <f>VLOOKUP('Old Data'!$P567,$R$6:$T$135,2,FALSE)+VLOOKUP('Old Data'!$F567,$R$6:$T$135,3,FALSE)+$B$2</f>
        <v>176.58315440055219</v>
      </c>
      <c r="D571" s="74">
        <f>('Old Data'!$I567-$B571)^2+('Old Data'!$S567-$C571)^2</f>
        <v>1353.4562827534023</v>
      </c>
      <c r="E571" s="75">
        <f>'Old Data'!$K567-'Old Data'!$U567</f>
        <v>116</v>
      </c>
      <c r="F571" s="72">
        <f>VLOOKUP('Old Data'!$F567,$V$6:$X$135,2,FALSE)+VLOOKUP('Old Data'!$P567,$V$6:$X$135,3,FALSE)+$C$2</f>
        <v>258.42597907657682</v>
      </c>
      <c r="G571" s="72">
        <f>VLOOKUP('Old Data'!$P567,$V$6:$X$135,2,FALSE)+VLOOKUP('Old Data'!$F567,$V$6:$X$135,3,FALSE)+$C$2</f>
        <v>205.980320887018</v>
      </c>
      <c r="H571" s="74">
        <f>('Old Data'!$K567-$F571)^2+('Old Data'!$U567-$G571)^2</f>
        <v>6588.654924804302</v>
      </c>
      <c r="I571" s="75">
        <f>('Old Data'!$L567+'Old Data'!$M567)-('Old Data'!$V567+'Old Data'!$W567)</f>
        <v>-98</v>
      </c>
      <c r="J571" s="72">
        <f>VLOOKUP('Old Data'!$F567,$Z$6:$AB$135,2,FALSE)+VLOOKUP('Old Data'!$P567,$Z$6:$AB$135,3,FALSE)+$D$2</f>
        <v>0.43307296049609789</v>
      </c>
      <c r="K571" s="72">
        <f>VLOOKUP('Old Data'!$P567,$Z$6:$AB$135,2,FALSE)+VLOOKUP('Old Data'!$F567,$Z$6:$AB$135,3,FALSE)+$D$2</f>
        <v>61.777854596347595</v>
      </c>
      <c r="L571" s="74">
        <f>('Old Data'!$L567+'Old Data'!$M567-$J571)^2+('Old Data'!$V567+'Old Data'!$W567-$K571)^2</f>
        <v>3394.2161226723892</v>
      </c>
      <c r="M571" s="75">
        <f>'Old Data'!$N567-'Old Data'!$X567</f>
        <v>-2</v>
      </c>
      <c r="N571" s="72">
        <f>VLOOKUP('Old Data'!$F567,$AD$6:$AF$135,2,FALSE)+VLOOKUP('Old Data'!$P567,$AD$6:$AF$135,3,FALSE)+$E$2</f>
        <v>1.6310392470515025</v>
      </c>
      <c r="O571" s="72">
        <f>VLOOKUP('Old Data'!$P567,$AD$6:$AF$135,2,FALSE)+VLOOKUP('Old Data'!$F567,$AD$6:$AF$135,3,FALSE)+$E$2</f>
        <v>0.33762698555082427</v>
      </c>
      <c r="P571" s="73">
        <f>('Old Data'!$N567-$N571)^2+('Old Data'!$X567-$O571)^2</f>
        <v>5.4237730645911721</v>
      </c>
      <c r="Q571" s="62"/>
      <c r="R571" s="3"/>
      <c r="S571" s="3"/>
      <c r="T571" s="3"/>
      <c r="V571" s="3"/>
      <c r="W571" s="3"/>
      <c r="X571" s="3"/>
      <c r="Z571" s="3"/>
      <c r="AA571" s="3"/>
      <c r="AB571" s="3"/>
      <c r="AC571" s="3"/>
      <c r="AD571" s="3"/>
      <c r="AE571" s="3"/>
      <c r="AF571" s="3"/>
      <c r="AG571" s="3"/>
      <c r="AH571" s="37"/>
      <c r="AI571" s="1"/>
      <c r="AK571" s="10"/>
      <c r="AL571" s="10"/>
      <c r="AM571" s="10"/>
      <c r="AN571" s="11"/>
      <c r="AO571" s="11"/>
      <c r="AP571" s="11"/>
      <c r="AQ571" s="36"/>
      <c r="AR571" s="11"/>
      <c r="AS571" s="11"/>
      <c r="AT571" s="11"/>
      <c r="AU571" s="12"/>
      <c r="AV571" s="11"/>
      <c r="AW571" s="11"/>
      <c r="AX571" s="15"/>
      <c r="AY571" s="15"/>
      <c r="AZ571" s="15"/>
      <c r="BA571" s="15"/>
      <c r="BB571" s="15"/>
      <c r="BC571" s="15"/>
      <c r="BD571" s="15"/>
      <c r="BE571" s="12"/>
      <c r="BF571" s="11"/>
      <c r="BG571" s="11"/>
      <c r="BH571" s="10"/>
      <c r="BI571" s="10"/>
      <c r="BJ571" s="10"/>
      <c r="BK571" s="23"/>
      <c r="BL571" s="23"/>
      <c r="BM571" s="23"/>
      <c r="BN571" s="23"/>
      <c r="BO571" s="23"/>
      <c r="BP571" s="23"/>
      <c r="BQ571" s="23"/>
      <c r="BR571" s="10"/>
      <c r="BS571" s="16"/>
      <c r="BT571" s="16"/>
      <c r="BU571" s="16"/>
      <c r="BV571" s="16"/>
      <c r="BW571" s="11"/>
      <c r="BX571" s="16"/>
      <c r="BY571" s="16"/>
      <c r="BZ571" s="17"/>
      <c r="CA571" s="18"/>
      <c r="CB571" s="18"/>
      <c r="CC571" s="18"/>
      <c r="CD571" s="18"/>
      <c r="CE571" s="18"/>
      <c r="CF571" s="18"/>
      <c r="CG571" s="19"/>
      <c r="CH571" s="15"/>
      <c r="CI571" s="17"/>
      <c r="CJ571" s="10"/>
      <c r="CK571" s="10"/>
      <c r="CL571" s="10"/>
      <c r="CM571" s="17"/>
      <c r="CN571" s="17"/>
      <c r="CO571" s="10"/>
      <c r="CP571" s="10"/>
      <c r="CQ571" s="10"/>
      <c r="CR571" s="10"/>
      <c r="CS571" s="10"/>
      <c r="CT571" s="10"/>
      <c r="CU571" s="10"/>
      <c r="CV571" s="10"/>
      <c r="CW571" s="10"/>
      <c r="CX571" s="10"/>
      <c r="CY571" s="10"/>
      <c r="CZ571" s="10"/>
      <c r="DA571" s="34"/>
      <c r="DB571" s="34"/>
      <c r="DC571" s="34"/>
      <c r="DD571" s="34"/>
      <c r="DE571" s="34"/>
      <c r="DF571" s="34"/>
      <c r="DG571" s="34"/>
      <c r="DH571" s="34"/>
      <c r="DI571" s="34"/>
      <c r="DJ571" s="34"/>
      <c r="DK571" s="34"/>
      <c r="DL571" s="34"/>
      <c r="DM571" s="34"/>
      <c r="DN571" s="34"/>
      <c r="DO571" s="34"/>
      <c r="DP571" s="34"/>
      <c r="DQ571" s="34"/>
      <c r="DR571" s="34"/>
      <c r="DS571" s="34"/>
      <c r="DT571" s="34"/>
      <c r="DU571" s="34"/>
      <c r="DV571" s="34"/>
      <c r="DW571" s="34"/>
      <c r="DX571" s="34"/>
      <c r="DY571" s="34"/>
      <c r="DZ571" s="34"/>
      <c r="EA571" s="34"/>
      <c r="EB571" s="34"/>
      <c r="EC571" s="34"/>
      <c r="ED571" s="34"/>
      <c r="EE571" s="34"/>
    </row>
    <row r="572" spans="1:135" customFormat="1">
      <c r="A572" s="71">
        <f>'Old Data'!$I568-'Old Data'!$S568</f>
        <v>57</v>
      </c>
      <c r="B572" s="72">
        <f>VLOOKUP('Old Data'!$F568,$R$6:$T$135,2,FALSE)+VLOOKUP('Old Data'!$P568,$R$6:$T$135,3,FALSE)+$B$2</f>
        <v>172.31965128662921</v>
      </c>
      <c r="C572" s="72">
        <f>VLOOKUP('Old Data'!$P568,$R$6:$T$135,2,FALSE)+VLOOKUP('Old Data'!$F568,$R$6:$T$135,3,FALSE)+$B$2</f>
        <v>186.5171190908444</v>
      </c>
      <c r="D572" s="74">
        <f>('Old Data'!$I568-$B572)^2+('Old Data'!$S568-$C572)^2</f>
        <v>13462.395048687058</v>
      </c>
      <c r="E572" s="75">
        <f>'Old Data'!$K568-'Old Data'!$U568</f>
        <v>-6</v>
      </c>
      <c r="F572" s="72">
        <f>VLOOKUP('Old Data'!$F568,$V$6:$X$135,2,FALSE)+VLOOKUP('Old Data'!$P568,$V$6:$X$135,3,FALSE)+$C$2</f>
        <v>236.01374213844369</v>
      </c>
      <c r="G572" s="72">
        <f>VLOOKUP('Old Data'!$P568,$V$6:$X$135,2,FALSE)+VLOOKUP('Old Data'!$F568,$V$6:$X$135,3,FALSE)+$C$2</f>
        <v>272.6850754189835</v>
      </c>
      <c r="H572" s="74">
        <f>('Old Data'!$K568-$F572)^2+('Old Data'!$U568-$G572)^2</f>
        <v>609.79059651109378</v>
      </c>
      <c r="I572" s="75">
        <f>('Old Data'!$L568+'Old Data'!$M568)-('Old Data'!$V568+'Old Data'!$W568)</f>
        <v>39</v>
      </c>
      <c r="J572" s="72">
        <f>VLOOKUP('Old Data'!$F568,$Z$6:$AB$135,2,FALSE)+VLOOKUP('Old Data'!$P568,$Z$6:$AB$135,3,FALSE)+$D$2</f>
        <v>89.451572138360078</v>
      </c>
      <c r="K572" s="72">
        <f>VLOOKUP('Old Data'!$P568,$Z$6:$AB$135,2,FALSE)+VLOOKUP('Old Data'!$F568,$Z$6:$AB$135,3,FALSE)+$D$2</f>
        <v>98.436848139249747</v>
      </c>
      <c r="L572" s="74">
        <f>('Old Data'!$L568+'Old Data'!$M568-$J572)^2+('Old Data'!$V568+'Old Data'!$W568-$K572)^2</f>
        <v>3128.7700589474221</v>
      </c>
      <c r="M572" s="75">
        <f>'Old Data'!$N568-'Old Data'!$X568</f>
        <v>-3</v>
      </c>
      <c r="N572" s="72">
        <f>VLOOKUP('Old Data'!$F568,$AD$6:$AF$135,2,FALSE)+VLOOKUP('Old Data'!$P568,$AD$6:$AF$135,3,FALSE)+$E$2</f>
        <v>0.53690449140006513</v>
      </c>
      <c r="O572" s="72">
        <f>VLOOKUP('Old Data'!$P568,$AD$6:$AF$135,2,FALSE)+VLOOKUP('Old Data'!$F568,$AD$6:$AF$135,3,FALSE)+$E$2</f>
        <v>2.0198796095023113</v>
      </c>
      <c r="P572" s="73">
        <f>('Old Data'!$N568-$N572)^2+('Old Data'!$X568-$O572)^2</f>
        <v>1.2489024127549044</v>
      </c>
      <c r="Q572" s="62"/>
      <c r="R572" s="3"/>
      <c r="S572" s="3"/>
      <c r="T572" s="3"/>
      <c r="V572" s="3"/>
      <c r="W572" s="3"/>
      <c r="X572" s="3"/>
      <c r="Z572" s="3"/>
      <c r="AA572" s="3"/>
      <c r="AB572" s="3"/>
      <c r="AC572" s="3"/>
      <c r="AD572" s="3"/>
      <c r="AE572" s="3"/>
      <c r="AF572" s="3"/>
      <c r="AG572" s="3"/>
      <c r="AH572" s="37"/>
      <c r="AI572" s="1"/>
      <c r="AK572" s="10"/>
      <c r="AL572" s="10"/>
      <c r="AM572" s="10"/>
      <c r="AN572" s="11"/>
      <c r="AO572" s="11"/>
      <c r="AP572" s="11"/>
      <c r="AQ572" s="36"/>
      <c r="AR572" s="11"/>
      <c r="AS572" s="11"/>
      <c r="AT572" s="11"/>
      <c r="AU572" s="12"/>
      <c r="AV572" s="11"/>
      <c r="AW572" s="11"/>
      <c r="AX572" s="15"/>
      <c r="AY572" s="15"/>
      <c r="AZ572" s="15"/>
      <c r="BA572" s="15"/>
      <c r="BB572" s="15"/>
      <c r="BC572" s="15"/>
      <c r="BD572" s="15"/>
      <c r="BE572" s="12"/>
      <c r="BF572" s="11"/>
      <c r="BG572" s="11"/>
      <c r="BH572" s="10"/>
      <c r="BI572" s="10"/>
      <c r="BJ572" s="10"/>
      <c r="BK572" s="23"/>
      <c r="BL572" s="23"/>
      <c r="BM572" s="23"/>
      <c r="BN572" s="23"/>
      <c r="BO572" s="23"/>
      <c r="BP572" s="23"/>
      <c r="BQ572" s="23"/>
      <c r="BR572" s="10"/>
      <c r="BS572" s="16"/>
      <c r="BT572" s="16"/>
      <c r="BU572" s="16"/>
      <c r="BV572" s="16"/>
      <c r="BW572" s="11"/>
      <c r="BX572" s="16"/>
      <c r="BY572" s="16"/>
      <c r="BZ572" s="17"/>
      <c r="CA572" s="18"/>
      <c r="CB572" s="18"/>
      <c r="CC572" s="18"/>
      <c r="CD572" s="18"/>
      <c r="CE572" s="18"/>
      <c r="CF572" s="18"/>
      <c r="CG572" s="19"/>
      <c r="CH572" s="15"/>
      <c r="CI572" s="17"/>
      <c r="CJ572" s="10"/>
      <c r="CK572" s="10"/>
      <c r="CL572" s="10"/>
      <c r="CM572" s="17"/>
      <c r="CN572" s="17"/>
      <c r="CO572" s="10"/>
      <c r="CP572" s="10"/>
      <c r="CQ572" s="10"/>
      <c r="CR572" s="10"/>
      <c r="CS572" s="10"/>
      <c r="CT572" s="10"/>
      <c r="CU572" s="10"/>
      <c r="CV572" s="10"/>
      <c r="CW572" s="10"/>
      <c r="CX572" s="10"/>
      <c r="CY572" s="10"/>
      <c r="CZ572" s="10"/>
      <c r="DA572" s="34"/>
      <c r="DB572" s="34"/>
      <c r="DC572" s="34"/>
      <c r="DD572" s="34"/>
      <c r="DE572" s="34"/>
      <c r="DF572" s="34"/>
      <c r="DG572" s="34"/>
      <c r="DH572" s="34"/>
      <c r="DI572" s="34"/>
      <c r="DJ572" s="34"/>
      <c r="DK572" s="34"/>
      <c r="DL572" s="34"/>
      <c r="DM572" s="34"/>
      <c r="DN572" s="34"/>
      <c r="DO572" s="34"/>
      <c r="DP572" s="34"/>
      <c r="DQ572" s="34"/>
      <c r="DR572" s="34"/>
      <c r="DS572" s="34"/>
      <c r="DT572" s="34"/>
      <c r="DU572" s="34"/>
      <c r="DV572" s="34"/>
      <c r="DW572" s="34"/>
      <c r="DX572" s="34"/>
      <c r="DY572" s="34"/>
      <c r="DZ572" s="34"/>
      <c r="EA572" s="34"/>
      <c r="EB572" s="34"/>
      <c r="EC572" s="34"/>
      <c r="ED572" s="34"/>
      <c r="EE572" s="34"/>
    </row>
    <row r="573" spans="1:135" customFormat="1">
      <c r="A573" s="71">
        <f>'Old Data'!$I569-'Old Data'!$S569</f>
        <v>-47</v>
      </c>
      <c r="B573" s="72">
        <f>VLOOKUP('Old Data'!$F569,$R$6:$T$135,2,FALSE)+VLOOKUP('Old Data'!$P569,$R$6:$T$135,3,FALSE)+$B$2</f>
        <v>139.00199157343312</v>
      </c>
      <c r="C573" s="72">
        <f>VLOOKUP('Old Data'!$P569,$R$6:$T$135,2,FALSE)+VLOOKUP('Old Data'!$F569,$R$6:$T$135,3,FALSE)+$B$2</f>
        <v>267.48132482490922</v>
      </c>
      <c r="D573" s="74">
        <f>('Old Data'!$I569-$B573)^2+('Old Data'!$S569-$C573)^2</f>
        <v>22237.810973246247</v>
      </c>
      <c r="E573" s="75">
        <f>'Old Data'!$K569-'Old Data'!$U569</f>
        <v>58</v>
      </c>
      <c r="F573" s="72">
        <f>VLOOKUP('Old Data'!$F569,$V$6:$X$135,2,FALSE)+VLOOKUP('Old Data'!$P569,$V$6:$X$135,3,FALSE)+$C$2</f>
        <v>166.40343687506879</v>
      </c>
      <c r="G573" s="72">
        <f>VLOOKUP('Old Data'!$P569,$V$6:$X$135,2,FALSE)+VLOOKUP('Old Data'!$F569,$V$6:$X$135,3,FALSE)+$C$2</f>
        <v>201.8007209700871</v>
      </c>
      <c r="H573" s="74">
        <f>('Old Data'!$K569-$F573)^2+('Old Data'!$U569-$G573)^2</f>
        <v>4456.6889685434671</v>
      </c>
      <c r="I573" s="75">
        <f>('Old Data'!$L569+'Old Data'!$M569)-('Old Data'!$V569+'Old Data'!$W569)</f>
        <v>-108</v>
      </c>
      <c r="J573" s="72">
        <f>VLOOKUP('Old Data'!$F569,$Z$6:$AB$135,2,FALSE)+VLOOKUP('Old Data'!$P569,$Z$6:$AB$135,3,FALSE)+$D$2</f>
        <v>19.195047222269231</v>
      </c>
      <c r="K573" s="72">
        <f>VLOOKUP('Old Data'!$P569,$Z$6:$AB$135,2,FALSE)+VLOOKUP('Old Data'!$F569,$Z$6:$AB$135,3,FALSE)+$D$2</f>
        <v>98.993377514210394</v>
      </c>
      <c r="L573" s="74">
        <f>('Old Data'!$L569+'Old Data'!$M569-$J573)^2+('Old Data'!$V569+'Old Data'!$W569-$K573)^2</f>
        <v>1271.771000169736</v>
      </c>
      <c r="M573" s="75">
        <f>'Old Data'!$N569-'Old Data'!$X569</f>
        <v>0</v>
      </c>
      <c r="N573" s="72">
        <f>VLOOKUP('Old Data'!$F569,$AD$6:$AF$135,2,FALSE)+VLOOKUP('Old Data'!$P569,$AD$6:$AF$135,3,FALSE)+$E$2</f>
        <v>1.8871268886661534</v>
      </c>
      <c r="O573" s="72">
        <f>VLOOKUP('Old Data'!$P569,$AD$6:$AF$135,2,FALSE)+VLOOKUP('Old Data'!$F569,$AD$6:$AF$135,3,FALSE)+$E$2</f>
        <v>1.8830634179561732</v>
      </c>
      <c r="P573" s="73">
        <f>('Old Data'!$N569-$N573)^2+('Old Data'!$X569-$O573)^2</f>
        <v>1.5667951167269285</v>
      </c>
      <c r="Q573" s="62"/>
      <c r="R573" s="3"/>
      <c r="S573" s="3"/>
      <c r="T573" s="3"/>
      <c r="V573" s="3"/>
      <c r="W573" s="3"/>
      <c r="X573" s="3"/>
      <c r="Z573" s="3"/>
      <c r="AA573" s="3"/>
      <c r="AB573" s="3"/>
      <c r="AC573" s="3"/>
      <c r="AD573" s="3"/>
      <c r="AE573" s="3"/>
      <c r="AF573" s="3"/>
      <c r="AG573" s="3"/>
      <c r="AH573" s="37"/>
      <c r="AI573" s="1"/>
      <c r="AK573" s="10"/>
      <c r="AL573" s="10"/>
      <c r="AM573" s="10"/>
      <c r="AN573" s="11"/>
      <c r="AO573" s="11"/>
      <c r="AP573" s="11"/>
      <c r="AQ573" s="36"/>
      <c r="AR573" s="11"/>
      <c r="AS573" s="11"/>
      <c r="AT573" s="11"/>
      <c r="AU573" s="12"/>
      <c r="AV573" s="11"/>
      <c r="AW573" s="11"/>
      <c r="AX573" s="15"/>
      <c r="AY573" s="15"/>
      <c r="AZ573" s="15"/>
      <c r="BA573" s="15"/>
      <c r="BB573" s="15"/>
      <c r="BC573" s="15"/>
      <c r="BD573" s="15"/>
      <c r="BE573" s="12"/>
      <c r="BF573" s="11"/>
      <c r="BG573" s="11"/>
      <c r="BH573" s="10"/>
      <c r="BI573" s="10"/>
      <c r="BJ573" s="10"/>
      <c r="BK573" s="23"/>
      <c r="BL573" s="23"/>
      <c r="BM573" s="23"/>
      <c r="BN573" s="23"/>
      <c r="BO573" s="23"/>
      <c r="BP573" s="23"/>
      <c r="BQ573" s="23"/>
      <c r="BR573" s="10"/>
      <c r="BS573" s="16"/>
      <c r="BT573" s="16"/>
      <c r="BU573" s="16"/>
      <c r="BV573" s="16"/>
      <c r="BW573" s="11"/>
      <c r="BX573" s="16"/>
      <c r="BY573" s="16"/>
      <c r="BZ573" s="17"/>
      <c r="CA573" s="18"/>
      <c r="CB573" s="18"/>
      <c r="CC573" s="18"/>
      <c r="CD573" s="18"/>
      <c r="CE573" s="18"/>
      <c r="CF573" s="18"/>
      <c r="CG573" s="19"/>
      <c r="CH573" s="15"/>
      <c r="CI573" s="17"/>
      <c r="CJ573" s="10"/>
      <c r="CK573" s="10"/>
      <c r="CL573" s="10"/>
      <c r="CM573" s="17"/>
      <c r="CN573" s="17"/>
      <c r="CO573" s="10"/>
      <c r="CP573" s="10"/>
      <c r="CQ573" s="10"/>
      <c r="CR573" s="10"/>
      <c r="CS573" s="10"/>
      <c r="CT573" s="10"/>
      <c r="CU573" s="10"/>
      <c r="CV573" s="10"/>
      <c r="CW573" s="10"/>
      <c r="CX573" s="10"/>
      <c r="CY573" s="10"/>
      <c r="CZ573" s="10"/>
      <c r="DA573" s="34"/>
      <c r="DB573" s="34"/>
      <c r="DC573" s="34"/>
      <c r="DD573" s="34"/>
      <c r="DE573" s="34"/>
      <c r="DF573" s="34"/>
      <c r="DG573" s="34"/>
      <c r="DH573" s="34"/>
      <c r="DI573" s="34"/>
      <c r="DJ573" s="34"/>
      <c r="DK573" s="34"/>
      <c r="DL573" s="34"/>
      <c r="DM573" s="34"/>
      <c r="DN573" s="34"/>
      <c r="DO573" s="34"/>
      <c r="DP573" s="34"/>
      <c r="DQ573" s="34"/>
      <c r="DR573" s="34"/>
      <c r="DS573" s="34"/>
      <c r="DT573" s="34"/>
      <c r="DU573" s="34"/>
      <c r="DV573" s="34"/>
      <c r="DW573" s="34"/>
      <c r="DX573" s="34"/>
      <c r="DY573" s="34"/>
      <c r="DZ573" s="34"/>
      <c r="EA573" s="34"/>
      <c r="EB573" s="34"/>
      <c r="EC573" s="34"/>
      <c r="ED573" s="34"/>
      <c r="EE573" s="34"/>
    </row>
    <row r="574" spans="1:135" customFormat="1">
      <c r="A574" s="71">
        <f>'Old Data'!$I570-'Old Data'!$S570</f>
        <v>-176</v>
      </c>
      <c r="B574" s="72">
        <f>VLOOKUP('Old Data'!$F570,$R$6:$T$135,2,FALSE)+VLOOKUP('Old Data'!$P570,$R$6:$T$135,3,FALSE)+$B$2</f>
        <v>125.60689469186991</v>
      </c>
      <c r="C574" s="72">
        <f>VLOOKUP('Old Data'!$P570,$R$6:$T$135,2,FALSE)+VLOOKUP('Old Data'!$F570,$R$6:$T$135,3,FALSE)+$B$2</f>
        <v>306.56872358891644</v>
      </c>
      <c r="D574" s="74">
        <f>('Old Data'!$I570-$B574)^2+('Old Data'!$S570-$C574)^2</f>
        <v>1078.4037348082284</v>
      </c>
      <c r="E574" s="75">
        <f>'Old Data'!$K570-'Old Data'!$U570</f>
        <v>226</v>
      </c>
      <c r="F574" s="72">
        <f>VLOOKUP('Old Data'!$F570,$V$6:$X$135,2,FALSE)+VLOOKUP('Old Data'!$P570,$V$6:$X$135,3,FALSE)+$C$2</f>
        <v>247.51122601068354</v>
      </c>
      <c r="G574" s="72">
        <f>VLOOKUP('Old Data'!$P570,$V$6:$X$135,2,FALSE)+VLOOKUP('Old Data'!$F570,$V$6:$X$135,3,FALSE)+$C$2</f>
        <v>44.97144446384479</v>
      </c>
      <c r="H574" s="74">
        <f>('Old Data'!$K570-$F574)^2+('Old Data'!$U570-$G574)^2</f>
        <v>4462.9017266719075</v>
      </c>
      <c r="I574" s="75">
        <f>('Old Data'!$L570+'Old Data'!$M570)-('Old Data'!$V570+'Old Data'!$W570)</f>
        <v>-21</v>
      </c>
      <c r="J574" s="72">
        <f>VLOOKUP('Old Data'!$F570,$Z$6:$AB$135,2,FALSE)+VLOOKUP('Old Data'!$P570,$Z$6:$AB$135,3,FALSE)+$D$2</f>
        <v>73.664183791255169</v>
      </c>
      <c r="K574" s="72">
        <f>VLOOKUP('Old Data'!$P570,$Z$6:$AB$135,2,FALSE)+VLOOKUP('Old Data'!$F570,$Z$6:$AB$135,3,FALSE)+$D$2</f>
        <v>7.3201685653853943</v>
      </c>
      <c r="L574" s="74">
        <f>('Old Data'!$L570+'Old Data'!$M570-$J574)^2+('Old Data'!$V570+'Old Data'!$W570-$K574)^2</f>
        <v>4695.8314192917605</v>
      </c>
      <c r="M574" s="75">
        <f>'Old Data'!$N570-'Old Data'!$X570</f>
        <v>4</v>
      </c>
      <c r="N574" s="72">
        <f>VLOOKUP('Old Data'!$F570,$AD$6:$AF$135,2,FALSE)+VLOOKUP('Old Data'!$P570,$AD$6:$AF$135,3,FALSE)+$E$2</f>
        <v>1.9116027546453556</v>
      </c>
      <c r="O574" s="72">
        <f>VLOOKUP('Old Data'!$P570,$AD$6:$AF$135,2,FALSE)+VLOOKUP('Old Data'!$F570,$AD$6:$AF$135,3,FALSE)+$E$2</f>
        <v>1.2710363019950921</v>
      </c>
      <c r="P574" s="73">
        <f>('Old Data'!$N570-$N574)^2+('Old Data'!$X570-$O574)^2</f>
        <v>5.9769363353942273</v>
      </c>
      <c r="Q574" s="62"/>
      <c r="R574" s="3"/>
      <c r="S574" s="3"/>
      <c r="T574" s="3"/>
      <c r="V574" s="3"/>
      <c r="W574" s="3"/>
      <c r="X574" s="3"/>
      <c r="Z574" s="3"/>
      <c r="AA574" s="3"/>
      <c r="AB574" s="3"/>
      <c r="AC574" s="3"/>
      <c r="AD574" s="3"/>
      <c r="AE574" s="3"/>
      <c r="AF574" s="3"/>
      <c r="AG574" s="3"/>
      <c r="AH574" s="37"/>
      <c r="AI574" s="1"/>
      <c r="AK574" s="10"/>
      <c r="AL574" s="10"/>
      <c r="AM574" s="10"/>
      <c r="AN574" s="11"/>
      <c r="AO574" s="11"/>
      <c r="AP574" s="11"/>
      <c r="AQ574" s="36"/>
      <c r="AR574" s="11"/>
      <c r="AS574" s="11"/>
      <c r="AT574" s="11"/>
      <c r="AU574" s="12"/>
      <c r="AV574" s="11"/>
      <c r="AW574" s="11"/>
      <c r="AX574" s="15"/>
      <c r="AY574" s="15"/>
      <c r="AZ574" s="15"/>
      <c r="BA574" s="15"/>
      <c r="BB574" s="15"/>
      <c r="BC574" s="15"/>
      <c r="BD574" s="15"/>
      <c r="BE574" s="12"/>
      <c r="BF574" s="11"/>
      <c r="BG574" s="11"/>
      <c r="BH574" s="10"/>
      <c r="BI574" s="10"/>
      <c r="BJ574" s="10"/>
      <c r="BK574" s="23"/>
      <c r="BL574" s="23"/>
      <c r="BM574" s="23"/>
      <c r="BN574" s="23"/>
      <c r="BO574" s="23"/>
      <c r="BP574" s="23"/>
      <c r="BQ574" s="23"/>
      <c r="BR574" s="10"/>
      <c r="BS574" s="16"/>
      <c r="BT574" s="16"/>
      <c r="BU574" s="16"/>
      <c r="BV574" s="16"/>
      <c r="BW574" s="11"/>
      <c r="BX574" s="16"/>
      <c r="BY574" s="16"/>
      <c r="BZ574" s="17"/>
      <c r="CA574" s="18"/>
      <c r="CB574" s="18"/>
      <c r="CC574" s="18"/>
      <c r="CD574" s="18"/>
      <c r="CE574" s="18"/>
      <c r="CF574" s="18"/>
      <c r="CG574" s="19"/>
      <c r="CH574" s="15"/>
      <c r="CI574" s="17"/>
      <c r="CJ574" s="10"/>
      <c r="CK574" s="10"/>
      <c r="CL574" s="10"/>
      <c r="CM574" s="17"/>
      <c r="CN574" s="17"/>
      <c r="CO574" s="10"/>
      <c r="CP574" s="10"/>
      <c r="CQ574" s="10"/>
      <c r="CR574" s="10"/>
      <c r="CS574" s="10"/>
      <c r="CT574" s="10"/>
      <c r="CU574" s="10"/>
      <c r="CV574" s="10"/>
      <c r="CW574" s="10"/>
      <c r="CX574" s="10"/>
      <c r="CY574" s="10"/>
      <c r="CZ574" s="10"/>
      <c r="DA574" s="34"/>
      <c r="DB574" s="34"/>
      <c r="DC574" s="34"/>
      <c r="DD574" s="34"/>
      <c r="DE574" s="34"/>
      <c r="DF574" s="34"/>
      <c r="DG574" s="34"/>
      <c r="DH574" s="34"/>
      <c r="DI574" s="34"/>
      <c r="DJ574" s="34"/>
      <c r="DK574" s="34"/>
      <c r="DL574" s="34"/>
      <c r="DM574" s="34"/>
      <c r="DN574" s="34"/>
      <c r="DO574" s="34"/>
      <c r="DP574" s="34"/>
      <c r="DQ574" s="34"/>
      <c r="DR574" s="34"/>
      <c r="DS574" s="34"/>
      <c r="DT574" s="34"/>
      <c r="DU574" s="34"/>
      <c r="DV574" s="34"/>
      <c r="DW574" s="34"/>
      <c r="DX574" s="34"/>
      <c r="DY574" s="34"/>
      <c r="DZ574" s="34"/>
      <c r="EA574" s="34"/>
      <c r="EB574" s="34"/>
      <c r="EC574" s="34"/>
      <c r="ED574" s="34"/>
      <c r="EE574" s="34"/>
    </row>
    <row r="575" spans="1:135" customFormat="1">
      <c r="A575" s="71">
        <f>'Old Data'!$I571-'Old Data'!$S571</f>
        <v>209</v>
      </c>
      <c r="B575" s="72">
        <f>VLOOKUP('Old Data'!$F571,$R$6:$T$135,2,FALSE)+VLOOKUP('Old Data'!$P571,$R$6:$T$135,3,FALSE)+$B$2</f>
        <v>308.30375800502122</v>
      </c>
      <c r="C575" s="72">
        <f>VLOOKUP('Old Data'!$P571,$R$6:$T$135,2,FALSE)+VLOOKUP('Old Data'!$F571,$R$6:$T$135,3,FALSE)+$B$2</f>
        <v>152.4045276424707</v>
      </c>
      <c r="D575" s="74">
        <f>('Old Data'!$I571-$B575)^2+('Old Data'!$S571-$C575)^2</f>
        <v>16497.130119340061</v>
      </c>
      <c r="E575" s="75">
        <f>'Old Data'!$K571-'Old Data'!$U571</f>
        <v>-13</v>
      </c>
      <c r="F575" s="72">
        <f>VLOOKUP('Old Data'!$F571,$V$6:$X$135,2,FALSE)+VLOOKUP('Old Data'!$P571,$V$6:$X$135,3,FALSE)+$C$2</f>
        <v>222.01721070002</v>
      </c>
      <c r="G575" s="72">
        <f>VLOOKUP('Old Data'!$P571,$V$6:$X$135,2,FALSE)+VLOOKUP('Old Data'!$F571,$V$6:$X$135,3,FALSE)+$C$2</f>
        <v>230.3874891383345</v>
      </c>
      <c r="H575" s="74">
        <f>('Old Data'!$K571-$F575)^2+('Old Data'!$U571-$G575)^2</f>
        <v>680.3251578298333</v>
      </c>
      <c r="I575" s="75">
        <f>('Old Data'!$L571+'Old Data'!$M571)-('Old Data'!$V571+'Old Data'!$W571)</f>
        <v>1</v>
      </c>
      <c r="J575" s="72">
        <f>VLOOKUP('Old Data'!$F571,$Z$6:$AB$135,2,FALSE)+VLOOKUP('Old Data'!$P571,$Z$6:$AB$135,3,FALSE)+$D$2</f>
        <v>58.067492604135381</v>
      </c>
      <c r="K575" s="72">
        <f>VLOOKUP('Old Data'!$P571,$Z$6:$AB$135,2,FALSE)+VLOOKUP('Old Data'!$F571,$Z$6:$AB$135,3,FALSE)+$D$2</f>
        <v>72.822971170150623</v>
      </c>
      <c r="L575" s="74">
        <f>('Old Data'!$L571+'Old Data'!$M571-$J575)^2+('Old Data'!$V571+'Old Data'!$W571-$K575)^2</f>
        <v>1177.0848851316109</v>
      </c>
      <c r="M575" s="75">
        <f>'Old Data'!$N571-'Old Data'!$X571</f>
        <v>3</v>
      </c>
      <c r="N575" s="72">
        <f>VLOOKUP('Old Data'!$F571,$AD$6:$AF$135,2,FALSE)+VLOOKUP('Old Data'!$P571,$AD$6:$AF$135,3,FALSE)+$E$2</f>
        <v>1.6751810462909418</v>
      </c>
      <c r="O575" s="72">
        <f>VLOOKUP('Old Data'!$P571,$AD$6:$AF$135,2,FALSE)+VLOOKUP('Old Data'!$F571,$AD$6:$AF$135,3,FALSE)+$E$2</f>
        <v>0.77161577890661914</v>
      </c>
      <c r="P575" s="73">
        <f>('Old Data'!$N571-$N575)^2+('Old Data'!$X571-$O575)^2</f>
        <v>2.3505361703644323</v>
      </c>
      <c r="Q575" s="62"/>
      <c r="R575" s="3"/>
      <c r="S575" s="3"/>
      <c r="T575" s="3"/>
      <c r="V575" s="3"/>
      <c r="W575" s="3"/>
      <c r="X575" s="3"/>
      <c r="Z575" s="3"/>
      <c r="AA575" s="3"/>
      <c r="AB575" s="3"/>
      <c r="AC575" s="3"/>
      <c r="AD575" s="3"/>
      <c r="AE575" s="3"/>
      <c r="AF575" s="3"/>
      <c r="AG575" s="3"/>
      <c r="AH575" s="37"/>
      <c r="AI575" s="1"/>
      <c r="AK575" s="10"/>
      <c r="AL575" s="10"/>
      <c r="AM575" s="10"/>
      <c r="AN575" s="11"/>
      <c r="AO575" s="11"/>
      <c r="AP575" s="11"/>
      <c r="AQ575" s="36"/>
      <c r="AR575" s="11"/>
      <c r="AS575" s="11"/>
      <c r="AT575" s="11"/>
      <c r="AU575" s="12"/>
      <c r="AV575" s="11"/>
      <c r="AW575" s="11"/>
      <c r="AX575" s="15"/>
      <c r="AY575" s="15"/>
      <c r="AZ575" s="15"/>
      <c r="BA575" s="15"/>
      <c r="BB575" s="15"/>
      <c r="BC575" s="15"/>
      <c r="BD575" s="15"/>
      <c r="BE575" s="12"/>
      <c r="BF575" s="11"/>
      <c r="BG575" s="11"/>
      <c r="BH575" s="10"/>
      <c r="BI575" s="10"/>
      <c r="BJ575" s="10"/>
      <c r="BK575" s="23"/>
      <c r="BL575" s="23"/>
      <c r="BM575" s="23"/>
      <c r="BN575" s="23"/>
      <c r="BO575" s="23"/>
      <c r="BP575" s="23"/>
      <c r="BQ575" s="23"/>
      <c r="BR575" s="10"/>
      <c r="BS575" s="16"/>
      <c r="BT575" s="16"/>
      <c r="BU575" s="16"/>
      <c r="BV575" s="16"/>
      <c r="BW575" s="11"/>
      <c r="BX575" s="16"/>
      <c r="BY575" s="16"/>
      <c r="BZ575" s="17"/>
      <c r="CA575" s="18"/>
      <c r="CB575" s="18"/>
      <c r="CC575" s="18"/>
      <c r="CD575" s="18"/>
      <c r="CE575" s="18"/>
      <c r="CF575" s="18"/>
      <c r="CG575" s="19"/>
      <c r="CH575" s="15"/>
      <c r="CI575" s="17"/>
      <c r="CJ575" s="10"/>
      <c r="CK575" s="10"/>
      <c r="CL575" s="10"/>
      <c r="CM575" s="17"/>
      <c r="CN575" s="17"/>
      <c r="CO575" s="10"/>
      <c r="CP575" s="10"/>
      <c r="CQ575" s="10"/>
      <c r="CR575" s="10"/>
      <c r="CS575" s="10"/>
      <c r="CT575" s="10"/>
      <c r="CU575" s="10"/>
      <c r="CV575" s="10"/>
      <c r="CW575" s="10"/>
      <c r="CX575" s="10"/>
      <c r="CY575" s="10"/>
      <c r="CZ575" s="10"/>
      <c r="DA575" s="34"/>
      <c r="DB575" s="34"/>
      <c r="DC575" s="34"/>
      <c r="DD575" s="34"/>
      <c r="DE575" s="34"/>
      <c r="DF575" s="34"/>
      <c r="DG575" s="34"/>
      <c r="DH575" s="34"/>
      <c r="DI575" s="34"/>
      <c r="DJ575" s="34"/>
      <c r="DK575" s="34"/>
      <c r="DL575" s="34"/>
      <c r="DM575" s="34"/>
      <c r="DN575" s="34"/>
      <c r="DO575" s="34"/>
      <c r="DP575" s="34"/>
      <c r="DQ575" s="34"/>
      <c r="DR575" s="34"/>
      <c r="DS575" s="34"/>
      <c r="DT575" s="34"/>
      <c r="DU575" s="34"/>
      <c r="DV575" s="34"/>
      <c r="DW575" s="34"/>
      <c r="DX575" s="34"/>
      <c r="DY575" s="34"/>
      <c r="DZ575" s="34"/>
      <c r="EA575" s="34"/>
      <c r="EB575" s="34"/>
      <c r="EC575" s="34"/>
      <c r="ED575" s="34"/>
      <c r="EE575" s="34"/>
    </row>
    <row r="576" spans="1:135" customFormat="1">
      <c r="A576" s="71">
        <f>'Old Data'!$I572-'Old Data'!$S572</f>
        <v>30</v>
      </c>
      <c r="B576" s="72">
        <f>VLOOKUP('Old Data'!$F572,$R$6:$T$135,2,FALSE)+VLOOKUP('Old Data'!$P572,$R$6:$T$135,3,FALSE)+$B$2</f>
        <v>234.94103374423401</v>
      </c>
      <c r="C576" s="72">
        <f>VLOOKUP('Old Data'!$P572,$R$6:$T$135,2,FALSE)+VLOOKUP('Old Data'!$F572,$R$6:$T$135,3,FALSE)+$B$2</f>
        <v>113.56117057638031</v>
      </c>
      <c r="D576" s="74">
        <f>('Old Data'!$I572-$B576)^2+('Old Data'!$S572-$C576)^2</f>
        <v>9428.4906415803143</v>
      </c>
      <c r="E576" s="75">
        <f>'Old Data'!$K572-'Old Data'!$U572</f>
        <v>201</v>
      </c>
      <c r="F576" s="72">
        <f>VLOOKUP('Old Data'!$F572,$V$6:$X$135,2,FALSE)+VLOOKUP('Old Data'!$P572,$V$6:$X$135,3,FALSE)+$C$2</f>
        <v>267.73673872552848</v>
      </c>
      <c r="G576" s="72">
        <f>VLOOKUP('Old Data'!$P572,$V$6:$X$135,2,FALSE)+VLOOKUP('Old Data'!$F572,$V$6:$X$135,3,FALSE)+$C$2</f>
        <v>238.0946502862013</v>
      </c>
      <c r="H576" s="74">
        <f>('Old Data'!$K572-$F576)^2+('Old Data'!$U572-$G576)^2</f>
        <v>15515.368091531287</v>
      </c>
      <c r="I576" s="75">
        <f>('Old Data'!$L572+'Old Data'!$M572)-('Old Data'!$V572+'Old Data'!$W572)</f>
        <v>-96</v>
      </c>
      <c r="J576" s="72">
        <f>VLOOKUP('Old Data'!$F572,$Z$6:$AB$135,2,FALSE)+VLOOKUP('Old Data'!$P572,$Z$6:$AB$135,3,FALSE)+$D$2</f>
        <v>49.949423746452297</v>
      </c>
      <c r="K576" s="72">
        <f>VLOOKUP('Old Data'!$P572,$Z$6:$AB$135,2,FALSE)+VLOOKUP('Old Data'!$F572,$Z$6:$AB$135,3,FALSE)+$D$2</f>
        <v>96.211724653173263</v>
      </c>
      <c r="L576" s="74">
        <f>('Old Data'!$L572+'Old Data'!$M572-$J576)^2+('Old Data'!$V572+'Old Data'!$W572-$K576)^2</f>
        <v>2302.345166332912</v>
      </c>
      <c r="M576" s="75">
        <f>'Old Data'!$N572-'Old Data'!$X572</f>
        <v>-1</v>
      </c>
      <c r="N576" s="72">
        <f>VLOOKUP('Old Data'!$F572,$AD$6:$AF$135,2,FALSE)+VLOOKUP('Old Data'!$P572,$AD$6:$AF$135,3,FALSE)+$E$2</f>
        <v>1.7834320667144072</v>
      </c>
      <c r="O576" s="72">
        <f>VLOOKUP('Old Data'!$P572,$AD$6:$AF$135,2,FALSE)+VLOOKUP('Old Data'!$F572,$AD$6:$AF$135,3,FALSE)+$E$2</f>
        <v>0.82316090900517214</v>
      </c>
      <c r="P576" s="73">
        <f>('Old Data'!$N572-$N576)^2+('Old Data'!$X572-$O576)^2</f>
        <v>3.2119020006890988</v>
      </c>
      <c r="Q576" s="62"/>
      <c r="R576" s="3"/>
      <c r="S576" s="3"/>
      <c r="T576" s="3"/>
      <c r="V576" s="3"/>
      <c r="W576" s="3"/>
      <c r="X576" s="3"/>
      <c r="Z576" s="3"/>
      <c r="AA576" s="3"/>
      <c r="AB576" s="3"/>
      <c r="AC576" s="3"/>
      <c r="AD576" s="3"/>
      <c r="AE576" s="3"/>
      <c r="AF576" s="3"/>
      <c r="AG576" s="3"/>
      <c r="AH576" s="37"/>
      <c r="AI576" s="1"/>
      <c r="AK576" s="10"/>
      <c r="AL576" s="10"/>
      <c r="AM576" s="10"/>
      <c r="AN576" s="11"/>
      <c r="AO576" s="11"/>
      <c r="AP576" s="11"/>
      <c r="AQ576" s="36"/>
      <c r="AR576" s="11"/>
      <c r="AS576" s="11"/>
      <c r="AT576" s="11"/>
      <c r="AU576" s="12"/>
      <c r="AV576" s="11"/>
      <c r="AW576" s="11"/>
      <c r="AX576" s="15"/>
      <c r="AY576" s="15"/>
      <c r="AZ576" s="15"/>
      <c r="BA576" s="15"/>
      <c r="BB576" s="15"/>
      <c r="BC576" s="15"/>
      <c r="BD576" s="15"/>
      <c r="BE576" s="12"/>
      <c r="BF576" s="11"/>
      <c r="BG576" s="11"/>
      <c r="BH576" s="10"/>
      <c r="BI576" s="10"/>
      <c r="BJ576" s="10"/>
      <c r="BK576" s="23"/>
      <c r="BL576" s="23"/>
      <c r="BM576" s="23"/>
      <c r="BN576" s="23"/>
      <c r="BO576" s="23"/>
      <c r="BP576" s="23"/>
      <c r="BQ576" s="23"/>
      <c r="BR576" s="10"/>
      <c r="BS576" s="16"/>
      <c r="BT576" s="16"/>
      <c r="BU576" s="16"/>
      <c r="BV576" s="16"/>
      <c r="BW576" s="11"/>
      <c r="BX576" s="16"/>
      <c r="BY576" s="16"/>
      <c r="BZ576" s="17"/>
      <c r="CA576" s="18"/>
      <c r="CB576" s="18"/>
      <c r="CC576" s="18"/>
      <c r="CD576" s="18"/>
      <c r="CE576" s="18"/>
      <c r="CF576" s="18"/>
      <c r="CG576" s="19"/>
      <c r="CH576" s="15"/>
      <c r="CI576" s="17"/>
      <c r="CJ576" s="10"/>
      <c r="CK576" s="10"/>
      <c r="CL576" s="10"/>
      <c r="CM576" s="17"/>
      <c r="CN576" s="17"/>
      <c r="CO576" s="10"/>
      <c r="CP576" s="10"/>
      <c r="CQ576" s="10"/>
      <c r="CR576" s="10"/>
      <c r="CS576" s="10"/>
      <c r="CT576" s="10"/>
      <c r="CU576" s="10"/>
      <c r="CV576" s="10"/>
      <c r="CW576" s="10"/>
      <c r="CX576" s="10"/>
      <c r="CY576" s="10"/>
      <c r="CZ576" s="10"/>
      <c r="DA576" s="34"/>
      <c r="DB576" s="34"/>
      <c r="DC576" s="34"/>
      <c r="DD576" s="34"/>
      <c r="DE576" s="34"/>
      <c r="DF576" s="34"/>
      <c r="DG576" s="34"/>
      <c r="DH576" s="34"/>
      <c r="DI576" s="34"/>
      <c r="DJ576" s="34"/>
      <c r="DK576" s="34"/>
      <c r="DL576" s="34"/>
      <c r="DM576" s="34"/>
      <c r="DN576" s="34"/>
      <c r="DO576" s="34"/>
      <c r="DP576" s="34"/>
      <c r="DQ576" s="34"/>
      <c r="DR576" s="34"/>
      <c r="DS576" s="34"/>
      <c r="DT576" s="34"/>
      <c r="DU576" s="34"/>
      <c r="DV576" s="34"/>
      <c r="DW576" s="34"/>
      <c r="DX576" s="34"/>
      <c r="DY576" s="34"/>
      <c r="DZ576" s="34"/>
      <c r="EA576" s="34"/>
      <c r="EB576" s="34"/>
      <c r="EC576" s="34"/>
      <c r="ED576" s="34"/>
      <c r="EE576" s="34"/>
    </row>
    <row r="577" spans="1:135" customFormat="1">
      <c r="A577" s="71">
        <f>'Old Data'!$I573-'Old Data'!$S573</f>
        <v>33</v>
      </c>
      <c r="B577" s="72">
        <f>VLOOKUP('Old Data'!$F573,$R$6:$T$135,2,FALSE)+VLOOKUP('Old Data'!$P573,$R$6:$T$135,3,FALSE)+$B$2</f>
        <v>126.79919365000396</v>
      </c>
      <c r="C577" s="72">
        <f>VLOOKUP('Old Data'!$P573,$R$6:$T$135,2,FALSE)+VLOOKUP('Old Data'!$F573,$R$6:$T$135,3,FALSE)+$B$2</f>
        <v>148.71269346005565</v>
      </c>
      <c r="D577" s="74">
        <f>('Old Data'!$I573-$B577)^2+('Old Data'!$S573-$C577)^2</f>
        <v>5973.9946332465988</v>
      </c>
      <c r="E577" s="75">
        <f>'Old Data'!$K573-'Old Data'!$U573</f>
        <v>-46</v>
      </c>
      <c r="F577" s="72">
        <f>VLOOKUP('Old Data'!$F573,$V$6:$X$135,2,FALSE)+VLOOKUP('Old Data'!$P573,$V$6:$X$135,3,FALSE)+$C$2</f>
        <v>246.83504430315071</v>
      </c>
      <c r="G577" s="72">
        <f>VLOOKUP('Old Data'!$P573,$V$6:$X$135,2,FALSE)+VLOOKUP('Old Data'!$F573,$V$6:$X$135,3,FALSE)+$C$2</f>
        <v>268.42173797491864</v>
      </c>
      <c r="H577" s="74">
        <f>('Old Data'!$K573-$F577)^2+('Old Data'!$U573-$G577)^2</f>
        <v>5995.0620277537928</v>
      </c>
      <c r="I577" s="75">
        <f>('Old Data'!$L573+'Old Data'!$M573)-('Old Data'!$V573+'Old Data'!$W573)</f>
        <v>-75</v>
      </c>
      <c r="J577" s="72">
        <f>VLOOKUP('Old Data'!$F573,$Z$6:$AB$135,2,FALSE)+VLOOKUP('Old Data'!$P573,$Z$6:$AB$135,3,FALSE)+$D$2</f>
        <v>75.99021772133969</v>
      </c>
      <c r="K577" s="72">
        <f>VLOOKUP('Old Data'!$P573,$Z$6:$AB$135,2,FALSE)+VLOOKUP('Old Data'!$F573,$Z$6:$AB$135,3,FALSE)+$D$2</f>
        <v>103.36732239181811</v>
      </c>
      <c r="L577" s="74">
        <f>('Old Data'!$L573+'Old Data'!$M573-$J577)^2+('Old Data'!$V573+'Old Data'!$W573-$K577)^2</f>
        <v>8777.699023217976</v>
      </c>
      <c r="M577" s="75">
        <f>'Old Data'!$N573-'Old Data'!$X573</f>
        <v>1</v>
      </c>
      <c r="N577" s="72">
        <f>VLOOKUP('Old Data'!$F573,$AD$6:$AF$135,2,FALSE)+VLOOKUP('Old Data'!$P573,$AD$6:$AF$135,3,FALSE)+$E$2</f>
        <v>1.2787609909076063</v>
      </c>
      <c r="O577" s="72">
        <f>VLOOKUP('Old Data'!$P573,$AD$6:$AF$135,2,FALSE)+VLOOKUP('Old Data'!$F573,$AD$6:$AF$135,3,FALSE)+$E$2</f>
        <v>1.0002815982303739</v>
      </c>
      <c r="P577" s="73">
        <f>('Old Data'!$N573-$N577)^2+('Old Data'!$X573-$O577)^2</f>
        <v>0.52018578753414135</v>
      </c>
      <c r="Q577" s="62"/>
      <c r="R577" s="3"/>
      <c r="S577" s="3"/>
      <c r="T577" s="3"/>
      <c r="V577" s="3"/>
      <c r="W577" s="3"/>
      <c r="X577" s="3"/>
      <c r="Z577" s="3"/>
      <c r="AA577" s="3"/>
      <c r="AB577" s="3"/>
      <c r="AC577" s="3"/>
      <c r="AD577" s="3"/>
      <c r="AE577" s="3"/>
      <c r="AF577" s="3"/>
      <c r="AG577" s="3"/>
      <c r="AH577" s="37"/>
      <c r="AI577" s="1"/>
      <c r="AK577" s="10"/>
      <c r="AL577" s="10"/>
      <c r="AM577" s="10"/>
      <c r="AN577" s="11"/>
      <c r="AO577" s="11"/>
      <c r="AP577" s="11"/>
      <c r="AQ577" s="36"/>
      <c r="AR577" s="11"/>
      <c r="AS577" s="11"/>
      <c r="AT577" s="11"/>
      <c r="AU577" s="12"/>
      <c r="AV577" s="11"/>
      <c r="AW577" s="11"/>
      <c r="AX577" s="15"/>
      <c r="AY577" s="15"/>
      <c r="AZ577" s="15"/>
      <c r="BA577" s="15"/>
      <c r="BB577" s="15"/>
      <c r="BC577" s="15"/>
      <c r="BD577" s="15"/>
      <c r="BE577" s="12"/>
      <c r="BF577" s="11"/>
      <c r="BG577" s="11"/>
      <c r="BH577" s="10"/>
      <c r="BI577" s="10"/>
      <c r="BJ577" s="10"/>
      <c r="BK577" s="23"/>
      <c r="BL577" s="23"/>
      <c r="BM577" s="23"/>
      <c r="BN577" s="23"/>
      <c r="BO577" s="23"/>
      <c r="BP577" s="23"/>
      <c r="BQ577" s="23"/>
      <c r="BR577" s="10"/>
      <c r="BS577" s="16"/>
      <c r="BT577" s="16"/>
      <c r="BU577" s="16"/>
      <c r="BV577" s="16"/>
      <c r="BW577" s="11"/>
      <c r="BX577" s="16"/>
      <c r="BY577" s="16"/>
      <c r="BZ577" s="17"/>
      <c r="CA577" s="18"/>
      <c r="CB577" s="18"/>
      <c r="CC577" s="18"/>
      <c r="CD577" s="18"/>
      <c r="CE577" s="18"/>
      <c r="CF577" s="18"/>
      <c r="CG577" s="19"/>
      <c r="CH577" s="15"/>
      <c r="CI577" s="17"/>
      <c r="CJ577" s="10"/>
      <c r="CK577" s="10"/>
      <c r="CL577" s="10"/>
      <c r="CM577" s="17"/>
      <c r="CN577" s="17"/>
      <c r="CO577" s="10"/>
      <c r="CP577" s="10"/>
      <c r="CQ577" s="10"/>
      <c r="CR577" s="10"/>
      <c r="CS577" s="10"/>
      <c r="CT577" s="10"/>
      <c r="CU577" s="10"/>
      <c r="CV577" s="10"/>
      <c r="CW577" s="10"/>
      <c r="CX577" s="10"/>
      <c r="CY577" s="10"/>
      <c r="CZ577" s="10"/>
      <c r="DA577" s="34"/>
      <c r="DB577" s="34"/>
      <c r="DC577" s="34"/>
      <c r="DD577" s="34"/>
      <c r="DE577" s="34"/>
      <c r="DF577" s="34"/>
      <c r="DG577" s="34"/>
      <c r="DH577" s="34"/>
      <c r="DI577" s="34"/>
      <c r="DJ577" s="34"/>
      <c r="DK577" s="34"/>
      <c r="DL577" s="34"/>
      <c r="DM577" s="34"/>
      <c r="DN577" s="34"/>
      <c r="DO577" s="34"/>
      <c r="DP577" s="34"/>
      <c r="DQ577" s="34"/>
      <c r="DR577" s="34"/>
      <c r="DS577" s="34"/>
      <c r="DT577" s="34"/>
      <c r="DU577" s="34"/>
      <c r="DV577" s="34"/>
      <c r="DW577" s="34"/>
      <c r="DX577" s="34"/>
      <c r="DY577" s="34"/>
      <c r="DZ577" s="34"/>
      <c r="EA577" s="34"/>
      <c r="EB577" s="34"/>
      <c r="EC577" s="34"/>
      <c r="ED577" s="34"/>
      <c r="EE577" s="34"/>
    </row>
    <row r="578" spans="1:135" customFormat="1">
      <c r="A578" s="71">
        <f>'Old Data'!$I574-'Old Data'!$S574</f>
        <v>101</v>
      </c>
      <c r="B578" s="72">
        <f>VLOOKUP('Old Data'!$F574,$R$6:$T$135,2,FALSE)+VLOOKUP('Old Data'!$P574,$R$6:$T$135,3,FALSE)+$B$2</f>
        <v>184.96620059985341</v>
      </c>
      <c r="C578" s="72">
        <f>VLOOKUP('Old Data'!$P574,$R$6:$T$135,2,FALSE)+VLOOKUP('Old Data'!$F574,$R$6:$T$135,3,FALSE)+$B$2</f>
        <v>81.784085327900613</v>
      </c>
      <c r="D578" s="74">
        <f>('Old Data'!$I574-$B578)^2+('Old Data'!$S574-$C578)^2</f>
        <v>134.40741724491932</v>
      </c>
      <c r="E578" s="75">
        <f>'Old Data'!$K574-'Old Data'!$U574</f>
        <v>-192</v>
      </c>
      <c r="F578" s="72">
        <f>VLOOKUP('Old Data'!$F574,$V$6:$X$135,2,FALSE)+VLOOKUP('Old Data'!$P574,$V$6:$X$135,3,FALSE)+$C$2</f>
        <v>226.83975290712294</v>
      </c>
      <c r="G578" s="72">
        <f>VLOOKUP('Old Data'!$P574,$V$6:$X$135,2,FALSE)+VLOOKUP('Old Data'!$F574,$V$6:$X$135,3,FALSE)+$C$2</f>
        <v>315.05203667960012</v>
      </c>
      <c r="H578" s="74">
        <f>('Old Data'!$K574-$F578)^2+('Old Data'!$U574-$G578)^2</f>
        <v>5418.8165579153883</v>
      </c>
      <c r="I578" s="75">
        <f>('Old Data'!$L574+'Old Data'!$M574)-('Old Data'!$V574+'Old Data'!$W574)</f>
        <v>29</v>
      </c>
      <c r="J578" s="72">
        <f>VLOOKUP('Old Data'!$F574,$Z$6:$AB$135,2,FALSE)+VLOOKUP('Old Data'!$P574,$Z$6:$AB$135,3,FALSE)+$D$2</f>
        <v>53.888062301557916</v>
      </c>
      <c r="K578" s="72">
        <f>VLOOKUP('Old Data'!$P574,$Z$6:$AB$135,2,FALSE)+VLOOKUP('Old Data'!$F574,$Z$6:$AB$135,3,FALSE)+$D$2</f>
        <v>25.797200404210066</v>
      </c>
      <c r="L578" s="74">
        <f>('Old Data'!$L574+'Old Data'!$M574-$J578)^2+('Old Data'!$V574+'Old Data'!$W574-$K578)^2</f>
        <v>64.424906063589418</v>
      </c>
      <c r="M578" s="75">
        <f>'Old Data'!$N574-'Old Data'!$X574</f>
        <v>1</v>
      </c>
      <c r="N578" s="72">
        <f>VLOOKUP('Old Data'!$F574,$AD$6:$AF$135,2,FALSE)+VLOOKUP('Old Data'!$P574,$AD$6:$AF$135,3,FALSE)+$E$2</f>
        <v>1.5142766406015411</v>
      </c>
      <c r="O578" s="72">
        <f>VLOOKUP('Old Data'!$P574,$AD$6:$AF$135,2,FALSE)+VLOOKUP('Old Data'!$F574,$AD$6:$AF$135,3,FALSE)+$E$2</f>
        <v>0.92248867322654304</v>
      </c>
      <c r="P578" s="73">
        <f>('Old Data'!$N574-$N578)^2+('Old Data'!$X574-$O578)^2</f>
        <v>0.24193518764350608</v>
      </c>
      <c r="Q578" s="62"/>
      <c r="R578" s="3"/>
      <c r="S578" s="3"/>
      <c r="T578" s="3"/>
      <c r="V578" s="3"/>
      <c r="W578" s="3"/>
      <c r="X578" s="3"/>
      <c r="Z578" s="3"/>
      <c r="AA578" s="3"/>
      <c r="AB578" s="3"/>
      <c r="AC578" s="3"/>
      <c r="AD578" s="3"/>
      <c r="AE578" s="3"/>
      <c r="AF578" s="3"/>
      <c r="AG578" s="3"/>
      <c r="AH578" s="37"/>
      <c r="AI578" s="1"/>
      <c r="AK578" s="10"/>
      <c r="AL578" s="10"/>
      <c r="AM578" s="10"/>
      <c r="AN578" s="11"/>
      <c r="AO578" s="11"/>
      <c r="AP578" s="11"/>
      <c r="AQ578" s="36"/>
      <c r="AR578" s="11"/>
      <c r="AS578" s="11"/>
      <c r="AT578" s="11"/>
      <c r="AU578" s="12"/>
      <c r="AV578" s="11"/>
      <c r="AW578" s="11"/>
      <c r="AX578" s="15"/>
      <c r="AY578" s="15"/>
      <c r="AZ578" s="15"/>
      <c r="BA578" s="15"/>
      <c r="BB578" s="15"/>
      <c r="BC578" s="15"/>
      <c r="BD578" s="15"/>
      <c r="BE578" s="12"/>
      <c r="BF578" s="11"/>
      <c r="BG578" s="11"/>
      <c r="BH578" s="10"/>
      <c r="BI578" s="10"/>
      <c r="BJ578" s="10"/>
      <c r="BK578" s="23"/>
      <c r="BL578" s="23"/>
      <c r="BM578" s="23"/>
      <c r="BN578" s="23"/>
      <c r="BO578" s="23"/>
      <c r="BP578" s="23"/>
      <c r="BQ578" s="23"/>
      <c r="BR578" s="10"/>
      <c r="BS578" s="16"/>
      <c r="BT578" s="16"/>
      <c r="BU578" s="16"/>
      <c r="BV578" s="16"/>
      <c r="BW578" s="11"/>
      <c r="BX578" s="16"/>
      <c r="BY578" s="16"/>
      <c r="BZ578" s="17"/>
      <c r="CA578" s="18"/>
      <c r="CB578" s="18"/>
      <c r="CC578" s="18"/>
      <c r="CD578" s="18"/>
      <c r="CE578" s="18"/>
      <c r="CF578" s="18"/>
      <c r="CG578" s="19"/>
      <c r="CH578" s="15"/>
      <c r="CI578" s="17"/>
      <c r="CJ578" s="10"/>
      <c r="CK578" s="10"/>
      <c r="CL578" s="10"/>
      <c r="CM578" s="17"/>
      <c r="CN578" s="17"/>
      <c r="CO578" s="10"/>
      <c r="CP578" s="10"/>
      <c r="CQ578" s="10"/>
      <c r="CR578" s="10"/>
      <c r="CS578" s="10"/>
      <c r="CT578" s="10"/>
      <c r="CU578" s="10"/>
      <c r="CV578" s="10"/>
      <c r="CW578" s="10"/>
      <c r="CX578" s="10"/>
      <c r="CY578" s="10"/>
      <c r="CZ578" s="10"/>
      <c r="DA578" s="34"/>
      <c r="DB578" s="34"/>
      <c r="DC578" s="34"/>
      <c r="DD578" s="34"/>
      <c r="DE578" s="34"/>
      <c r="DF578" s="34"/>
      <c r="DG578" s="34"/>
      <c r="DH578" s="34"/>
      <c r="DI578" s="34"/>
      <c r="DJ578" s="34"/>
      <c r="DK578" s="34"/>
      <c r="DL578" s="34"/>
      <c r="DM578" s="34"/>
      <c r="DN578" s="34"/>
      <c r="DO578" s="34"/>
      <c r="DP578" s="34"/>
      <c r="DQ578" s="34"/>
      <c r="DR578" s="34"/>
      <c r="DS578" s="34"/>
      <c r="DT578" s="34"/>
      <c r="DU578" s="34"/>
      <c r="DV578" s="34"/>
      <c r="DW578" s="34"/>
      <c r="DX578" s="34"/>
      <c r="DY578" s="34"/>
      <c r="DZ578" s="34"/>
      <c r="EA578" s="34"/>
      <c r="EB578" s="34"/>
      <c r="EC578" s="34"/>
      <c r="ED578" s="34"/>
      <c r="EE578" s="34"/>
    </row>
    <row r="579" spans="1:135" customFormat="1">
      <c r="A579" s="71">
        <f>'Old Data'!$I575-'Old Data'!$S575</f>
        <v>-107</v>
      </c>
      <c r="B579" s="72">
        <f>VLOOKUP('Old Data'!$F575,$R$6:$T$135,2,FALSE)+VLOOKUP('Old Data'!$P575,$R$6:$T$135,3,FALSE)+$B$2</f>
        <v>58.005528706210796</v>
      </c>
      <c r="C579" s="72">
        <f>VLOOKUP('Old Data'!$P575,$R$6:$T$135,2,FALSE)+VLOOKUP('Old Data'!$F575,$R$6:$T$135,3,FALSE)+$B$2</f>
        <v>327.73656144982647</v>
      </c>
      <c r="D579" s="74">
        <f>('Old Data'!$I575-$B579)^2+('Old Data'!$S575-$C579)^2</f>
        <v>14966.011086851864</v>
      </c>
      <c r="E579" s="75">
        <f>'Old Data'!$K575-'Old Data'!$U575</f>
        <v>-256</v>
      </c>
      <c r="F579" s="72">
        <f>VLOOKUP('Old Data'!$F575,$V$6:$X$135,2,FALSE)+VLOOKUP('Old Data'!$P575,$V$6:$X$135,3,FALSE)+$C$2</f>
        <v>80.8896395217742</v>
      </c>
      <c r="G579" s="72">
        <f>VLOOKUP('Old Data'!$P575,$V$6:$X$135,2,FALSE)+VLOOKUP('Old Data'!$F575,$V$6:$X$135,3,FALSE)+$C$2</f>
        <v>272.74569705962784</v>
      </c>
      <c r="H579" s="74">
        <f>('Old Data'!$K575-$F579)^2+('Old Data'!$U575-$G579)^2</f>
        <v>12477.800699276107</v>
      </c>
      <c r="I579" s="75">
        <f>('Old Data'!$L575+'Old Data'!$M575)-('Old Data'!$V575+'Old Data'!$W575)</f>
        <v>36</v>
      </c>
      <c r="J579" s="72">
        <f>VLOOKUP('Old Data'!$F575,$Z$6:$AB$135,2,FALSE)+VLOOKUP('Old Data'!$P575,$Z$6:$AB$135,3,FALSE)+$D$2</f>
        <v>60.979385990184227</v>
      </c>
      <c r="K579" s="72">
        <f>VLOOKUP('Old Data'!$P575,$Z$6:$AB$135,2,FALSE)+VLOOKUP('Old Data'!$F575,$Z$6:$AB$135,3,FALSE)+$D$2</f>
        <v>31.605045762362998</v>
      </c>
      <c r="L579" s="74">
        <f>('Old Data'!$L575+'Old Data'!$M575-$J579)^2+('Old Data'!$V575+'Old Data'!$W575-$K579)^2</f>
        <v>721.91205734823222</v>
      </c>
      <c r="M579" s="75">
        <f>'Old Data'!$N575-'Old Data'!$X575</f>
        <v>-1</v>
      </c>
      <c r="N579" s="72">
        <f>VLOOKUP('Old Data'!$F575,$AD$6:$AF$135,2,FALSE)+VLOOKUP('Old Data'!$P575,$AD$6:$AF$135,3,FALSE)+$E$2</f>
        <v>0.44957612859557017</v>
      </c>
      <c r="O579" s="72">
        <f>VLOOKUP('Old Data'!$P575,$AD$6:$AF$135,2,FALSE)+VLOOKUP('Old Data'!$F575,$AD$6:$AF$135,3,FALSE)+$E$2</f>
        <v>2.1894568246810051</v>
      </c>
      <c r="P579" s="73">
        <f>('Old Data'!$N575-$N579)^2+('Old Data'!$X575-$O579)^2</f>
        <v>3.0607944200768986</v>
      </c>
      <c r="Q579" s="62"/>
      <c r="R579" s="3"/>
      <c r="S579" s="3"/>
      <c r="T579" s="3"/>
      <c r="V579" s="3"/>
      <c r="W579" s="3"/>
      <c r="X579" s="3"/>
      <c r="Z579" s="3"/>
      <c r="AA579" s="3"/>
      <c r="AB579" s="3"/>
      <c r="AC579" s="3"/>
      <c r="AD579" s="3"/>
      <c r="AE579" s="3"/>
      <c r="AF579" s="3"/>
      <c r="AG579" s="3"/>
      <c r="AH579" s="37"/>
      <c r="AI579" s="1"/>
      <c r="AK579" s="10"/>
      <c r="AL579" s="10"/>
      <c r="AM579" s="10"/>
      <c r="AN579" s="11"/>
      <c r="AO579" s="11"/>
      <c r="AP579" s="11"/>
      <c r="AQ579" s="36"/>
      <c r="AR579" s="11"/>
      <c r="AS579" s="11"/>
      <c r="AT579" s="11"/>
      <c r="AU579" s="12"/>
      <c r="AV579" s="11"/>
      <c r="AW579" s="11"/>
      <c r="AX579" s="15"/>
      <c r="AY579" s="15"/>
      <c r="AZ579" s="15"/>
      <c r="BA579" s="15"/>
      <c r="BB579" s="15"/>
      <c r="BC579" s="15"/>
      <c r="BD579" s="15"/>
      <c r="BE579" s="12"/>
      <c r="BF579" s="11"/>
      <c r="BG579" s="11"/>
      <c r="BH579" s="10"/>
      <c r="BI579" s="10"/>
      <c r="BJ579" s="10"/>
      <c r="BK579" s="23"/>
      <c r="BL579" s="23"/>
      <c r="BM579" s="23"/>
      <c r="BN579" s="23"/>
      <c r="BO579" s="23"/>
      <c r="BP579" s="23"/>
      <c r="BQ579" s="23"/>
      <c r="BR579" s="10"/>
      <c r="BS579" s="16"/>
      <c r="BT579" s="16"/>
      <c r="BU579" s="16"/>
      <c r="BV579" s="16"/>
      <c r="BW579" s="11"/>
      <c r="BX579" s="16"/>
      <c r="BY579" s="16"/>
      <c r="BZ579" s="17"/>
      <c r="CA579" s="18"/>
      <c r="CB579" s="18"/>
      <c r="CC579" s="18"/>
      <c r="CD579" s="18"/>
      <c r="CE579" s="18"/>
      <c r="CF579" s="18"/>
      <c r="CG579" s="19"/>
      <c r="CH579" s="15"/>
      <c r="CI579" s="17"/>
      <c r="CJ579" s="10"/>
      <c r="CK579" s="10"/>
      <c r="CL579" s="10"/>
      <c r="CM579" s="17"/>
      <c r="CN579" s="17"/>
      <c r="CO579" s="10"/>
      <c r="CP579" s="10"/>
      <c r="CQ579" s="10"/>
      <c r="CR579" s="10"/>
      <c r="CS579" s="10"/>
      <c r="CT579" s="10"/>
      <c r="CU579" s="10"/>
      <c r="CV579" s="10"/>
      <c r="CW579" s="10"/>
      <c r="CX579" s="10"/>
      <c r="CY579" s="10"/>
      <c r="CZ579" s="10"/>
      <c r="DA579" s="34"/>
      <c r="DB579" s="34"/>
      <c r="DC579" s="34"/>
      <c r="DD579" s="34"/>
      <c r="DE579" s="34"/>
      <c r="DF579" s="34"/>
      <c r="DG579" s="34"/>
      <c r="DH579" s="34"/>
      <c r="DI579" s="34"/>
      <c r="DJ579" s="34"/>
      <c r="DK579" s="34"/>
      <c r="DL579" s="34"/>
      <c r="DM579" s="34"/>
      <c r="DN579" s="34"/>
      <c r="DO579" s="34"/>
      <c r="DP579" s="34"/>
      <c r="DQ579" s="34"/>
      <c r="DR579" s="34"/>
      <c r="DS579" s="34"/>
      <c r="DT579" s="34"/>
      <c r="DU579" s="34"/>
      <c r="DV579" s="34"/>
      <c r="DW579" s="34"/>
      <c r="DX579" s="34"/>
      <c r="DY579" s="34"/>
      <c r="DZ579" s="34"/>
      <c r="EA579" s="34"/>
      <c r="EB579" s="34"/>
      <c r="EC579" s="34"/>
      <c r="ED579" s="34"/>
      <c r="EE579" s="34"/>
    </row>
    <row r="580" spans="1:135" customFormat="1">
      <c r="A580" s="71">
        <f>'Old Data'!$I576-'Old Data'!$S576</f>
        <v>96</v>
      </c>
      <c r="B580" s="72">
        <f>VLOOKUP('Old Data'!$F576,$R$6:$T$135,2,FALSE)+VLOOKUP('Old Data'!$P576,$R$6:$T$135,3,FALSE)+$B$2</f>
        <v>157.3872775349665</v>
      </c>
      <c r="C580" s="72">
        <f>VLOOKUP('Old Data'!$P576,$R$6:$T$135,2,FALSE)+VLOOKUP('Old Data'!$F576,$R$6:$T$135,3,FALSE)+$B$2</f>
        <v>250.51538583348821</v>
      </c>
      <c r="D580" s="74">
        <f>('Old Data'!$I576-$B580)^2+('Old Data'!$S576-$C580)^2</f>
        <v>37505.998064544568</v>
      </c>
      <c r="E580" s="75">
        <f>'Old Data'!$K576-'Old Data'!$U576</f>
        <v>-20</v>
      </c>
      <c r="F580" s="72">
        <f>VLOOKUP('Old Data'!$F576,$V$6:$X$135,2,FALSE)+VLOOKUP('Old Data'!$P576,$V$6:$X$135,3,FALSE)+$C$2</f>
        <v>138.1243689320813</v>
      </c>
      <c r="G580" s="72">
        <f>VLOOKUP('Old Data'!$P576,$V$6:$X$135,2,FALSE)+VLOOKUP('Old Data'!$F576,$V$6:$X$135,3,FALSE)+$C$2</f>
        <v>220.54510214435507</v>
      </c>
      <c r="H580" s="74">
        <f>('Old Data'!$K576-$F580)^2+('Old Data'!$U576-$G580)^2</f>
        <v>7637.3619972422766</v>
      </c>
      <c r="I580" s="75">
        <f>('Old Data'!$L576+'Old Data'!$M576)-('Old Data'!$V576+'Old Data'!$W576)</f>
        <v>-62</v>
      </c>
      <c r="J580" s="72">
        <f>VLOOKUP('Old Data'!$F576,$Z$6:$AB$135,2,FALSE)+VLOOKUP('Old Data'!$P576,$Z$6:$AB$135,3,FALSE)+$D$2</f>
        <v>55.796850371252106</v>
      </c>
      <c r="K580" s="72">
        <f>VLOOKUP('Old Data'!$P576,$Z$6:$AB$135,2,FALSE)+VLOOKUP('Old Data'!$F576,$Z$6:$AB$135,3,FALSE)+$D$2</f>
        <v>90.8326314788373</v>
      </c>
      <c r="L580" s="74">
        <f>('Old Data'!$L576+'Old Data'!$M576-$J580)^2+('Old Data'!$V576+'Old Data'!$W576-$K580)^2</f>
        <v>10929.828323825772</v>
      </c>
      <c r="M580" s="75">
        <f>'Old Data'!$N576-'Old Data'!$X576</f>
        <v>-1</v>
      </c>
      <c r="N580" s="72">
        <f>VLOOKUP('Old Data'!$F576,$AD$6:$AF$135,2,FALSE)+VLOOKUP('Old Data'!$P576,$AD$6:$AF$135,3,FALSE)+$E$2</f>
        <v>0.92773524586034606</v>
      </c>
      <c r="O580" s="72">
        <f>VLOOKUP('Old Data'!$P576,$AD$6:$AF$135,2,FALSE)+VLOOKUP('Old Data'!$F576,$AD$6:$AF$135,3,FALSE)+$E$2</f>
        <v>1.6209050499219348</v>
      </c>
      <c r="P580" s="73">
        <f>('Old Data'!$N576-$N580)^2+('Old Data'!$X576-$O580)^2</f>
        <v>1.2462157674301171</v>
      </c>
      <c r="Q580" s="62"/>
      <c r="R580" s="3"/>
      <c r="S580" s="3"/>
      <c r="T580" s="3"/>
      <c r="V580" s="3"/>
      <c r="W580" s="3"/>
      <c r="X580" s="3"/>
      <c r="Z580" s="3"/>
      <c r="AA580" s="3"/>
      <c r="AB580" s="3"/>
      <c r="AC580" s="3"/>
      <c r="AD580" s="3"/>
      <c r="AE580" s="3"/>
      <c r="AF580" s="3"/>
      <c r="AG580" s="3"/>
      <c r="AH580" s="37"/>
      <c r="AI580" s="1"/>
      <c r="AK580" s="10"/>
      <c r="AL580" s="10"/>
      <c r="AM580" s="10"/>
      <c r="AN580" s="11"/>
      <c r="AO580" s="11"/>
      <c r="AP580" s="11"/>
      <c r="AQ580" s="36"/>
      <c r="AR580" s="11"/>
      <c r="AS580" s="11"/>
      <c r="AT580" s="11"/>
      <c r="AU580" s="12"/>
      <c r="AV580" s="11"/>
      <c r="AW580" s="11"/>
      <c r="AX580" s="15"/>
      <c r="AY580" s="15"/>
      <c r="AZ580" s="15"/>
      <c r="BA580" s="15"/>
      <c r="BB580" s="15"/>
      <c r="BC580" s="15"/>
      <c r="BD580" s="15"/>
      <c r="BE580" s="12"/>
      <c r="BF580" s="11"/>
      <c r="BG580" s="11"/>
      <c r="BH580" s="10"/>
      <c r="BI580" s="10"/>
      <c r="BJ580" s="10"/>
      <c r="BK580" s="23"/>
      <c r="BL580" s="23"/>
      <c r="BM580" s="23"/>
      <c r="BN580" s="23"/>
      <c r="BO580" s="23"/>
      <c r="BP580" s="23"/>
      <c r="BQ580" s="23"/>
      <c r="BR580" s="10"/>
      <c r="BS580" s="16"/>
      <c r="BT580" s="16"/>
      <c r="BU580" s="16"/>
      <c r="BV580" s="16"/>
      <c r="BW580" s="11"/>
      <c r="BX580" s="16"/>
      <c r="BY580" s="16"/>
      <c r="BZ580" s="17"/>
      <c r="CA580" s="18"/>
      <c r="CB580" s="18"/>
      <c r="CC580" s="18"/>
      <c r="CD580" s="18"/>
      <c r="CE580" s="18"/>
      <c r="CF580" s="18"/>
      <c r="CG580" s="19"/>
      <c r="CH580" s="15"/>
      <c r="CI580" s="17"/>
      <c r="CJ580" s="10"/>
      <c r="CK580" s="10"/>
      <c r="CL580" s="10"/>
      <c r="CM580" s="17"/>
      <c r="CN580" s="17"/>
      <c r="CO580" s="10"/>
      <c r="CP580" s="10"/>
      <c r="CQ580" s="10"/>
      <c r="CR580" s="10"/>
      <c r="CS580" s="10"/>
      <c r="CT580" s="10"/>
      <c r="CU580" s="10"/>
      <c r="CV580" s="10"/>
      <c r="CW580" s="10"/>
      <c r="CX580" s="10"/>
      <c r="CY580" s="10"/>
      <c r="CZ580" s="10"/>
      <c r="DA580" s="34"/>
      <c r="DB580" s="34"/>
      <c r="DC580" s="34"/>
      <c r="DD580" s="34"/>
      <c r="DE580" s="34"/>
      <c r="DF580" s="34"/>
      <c r="DG580" s="34"/>
      <c r="DH580" s="34"/>
      <c r="DI580" s="34"/>
      <c r="DJ580" s="34"/>
      <c r="DK580" s="34"/>
      <c r="DL580" s="34"/>
      <c r="DM580" s="34"/>
      <c r="DN580" s="34"/>
      <c r="DO580" s="34"/>
      <c r="DP580" s="34"/>
      <c r="DQ580" s="34"/>
      <c r="DR580" s="34"/>
      <c r="DS580" s="34"/>
      <c r="DT580" s="34"/>
      <c r="DU580" s="34"/>
      <c r="DV580" s="34"/>
      <c r="DW580" s="34"/>
      <c r="DX580" s="34"/>
      <c r="DY580" s="34"/>
      <c r="DZ580" s="34"/>
      <c r="EA580" s="34"/>
      <c r="EB580" s="34"/>
      <c r="EC580" s="34"/>
      <c r="ED580" s="34"/>
      <c r="EE580" s="34"/>
    </row>
    <row r="581" spans="1:135" customFormat="1">
      <c r="A581" s="71">
        <f>'Old Data'!$I577-'Old Data'!$S577</f>
        <v>-29</v>
      </c>
      <c r="B581" s="72">
        <f>VLOOKUP('Old Data'!$F577,$R$6:$T$135,2,FALSE)+VLOOKUP('Old Data'!$P577,$R$6:$T$135,3,FALSE)+$B$2</f>
        <v>117.00099267527071</v>
      </c>
      <c r="C581" s="72">
        <f>VLOOKUP('Old Data'!$P577,$R$6:$T$135,2,FALSE)+VLOOKUP('Old Data'!$F577,$R$6:$T$135,3,FALSE)+$B$2</f>
        <v>247.62473872403012</v>
      </c>
      <c r="D581" s="74">
        <f>('Old Data'!$I577-$B581)^2+('Old Data'!$S577-$C581)^2</f>
        <v>5184.0085305883022</v>
      </c>
      <c r="E581" s="75">
        <f>'Old Data'!$K577-'Old Data'!$U577</f>
        <v>189</v>
      </c>
      <c r="F581" s="72">
        <f>VLOOKUP('Old Data'!$F577,$V$6:$X$135,2,FALSE)+VLOOKUP('Old Data'!$P577,$V$6:$X$135,3,FALSE)+$C$2</f>
        <v>144.28133106516691</v>
      </c>
      <c r="G581" s="72">
        <f>VLOOKUP('Old Data'!$P577,$V$6:$X$135,2,FALSE)+VLOOKUP('Old Data'!$F577,$V$6:$X$135,3,FALSE)+$C$2</f>
        <v>115.8490845246474</v>
      </c>
      <c r="H581" s="74">
        <f>('Old Data'!$K577-$F581)^2+('Old Data'!$U577-$G581)^2</f>
        <v>16492.424904491072</v>
      </c>
      <c r="I581" s="75">
        <f>('Old Data'!$L577+'Old Data'!$M577)-('Old Data'!$V577+'Old Data'!$W577)</f>
        <v>-99</v>
      </c>
      <c r="J581" s="72">
        <f>VLOOKUP('Old Data'!$F577,$Z$6:$AB$135,2,FALSE)+VLOOKUP('Old Data'!$P577,$Z$6:$AB$135,3,FALSE)+$D$2</f>
        <v>73.076402954140235</v>
      </c>
      <c r="K581" s="72">
        <f>VLOOKUP('Old Data'!$P577,$Z$6:$AB$135,2,FALSE)+VLOOKUP('Old Data'!$F577,$Z$6:$AB$135,3,FALSE)+$D$2</f>
        <v>88.008109881537393</v>
      </c>
      <c r="L581" s="74">
        <f>('Old Data'!$L577+'Old Data'!$M577-$J581)^2+('Old Data'!$V577+'Old Data'!$W577-$K581)^2</f>
        <v>3663.0947266510607</v>
      </c>
      <c r="M581" s="75">
        <f>'Old Data'!$N577-'Old Data'!$X577</f>
        <v>0</v>
      </c>
      <c r="N581" s="72">
        <f>VLOOKUP('Old Data'!$F577,$AD$6:$AF$135,2,FALSE)+VLOOKUP('Old Data'!$P577,$AD$6:$AF$135,3,FALSE)+$E$2</f>
        <v>1.2811902924653036</v>
      </c>
      <c r="O581" s="72">
        <f>VLOOKUP('Old Data'!$P577,$AD$6:$AF$135,2,FALSE)+VLOOKUP('Old Data'!$F577,$AD$6:$AF$135,3,FALSE)+$E$2</f>
        <v>2.0264562059697013</v>
      </c>
      <c r="P581" s="73">
        <f>('Old Data'!$N577-$N581)^2+('Old Data'!$X577-$O581)^2</f>
        <v>1.1326803233504368</v>
      </c>
      <c r="Q581" s="62"/>
      <c r="R581" s="3"/>
      <c r="S581" s="3"/>
      <c r="T581" s="3"/>
      <c r="V581" s="3"/>
      <c r="W581" s="3"/>
      <c r="X581" s="3"/>
      <c r="Z581" s="3"/>
      <c r="AA581" s="3"/>
      <c r="AB581" s="3"/>
      <c r="AC581" s="3"/>
      <c r="AD581" s="3"/>
      <c r="AE581" s="3"/>
      <c r="AF581" s="3"/>
      <c r="AG581" s="3"/>
      <c r="AH581" s="37"/>
      <c r="AI581" s="1"/>
      <c r="AK581" s="10"/>
      <c r="AL581" s="10"/>
      <c r="AM581" s="10"/>
      <c r="AN581" s="11"/>
      <c r="AO581" s="11"/>
      <c r="AP581" s="11"/>
      <c r="AQ581" s="36"/>
      <c r="AR581" s="11"/>
      <c r="AS581" s="11"/>
      <c r="AT581" s="11"/>
      <c r="AU581" s="12"/>
      <c r="AV581" s="11"/>
      <c r="AW581" s="11"/>
      <c r="AX581" s="15"/>
      <c r="AY581" s="15"/>
      <c r="AZ581" s="15"/>
      <c r="BA581" s="15"/>
      <c r="BB581" s="15"/>
      <c r="BC581" s="15"/>
      <c r="BD581" s="15"/>
      <c r="BE581" s="12"/>
      <c r="BF581" s="11"/>
      <c r="BG581" s="11"/>
      <c r="BH581" s="10"/>
      <c r="BI581" s="10"/>
      <c r="BJ581" s="10"/>
      <c r="BK581" s="23"/>
      <c r="BL581" s="23"/>
      <c r="BM581" s="23"/>
      <c r="BN581" s="23"/>
      <c r="BO581" s="23"/>
      <c r="BP581" s="23"/>
      <c r="BQ581" s="23"/>
      <c r="BR581" s="10"/>
      <c r="BS581" s="16"/>
      <c r="BT581" s="16"/>
      <c r="BU581" s="16"/>
      <c r="BV581" s="16"/>
      <c r="BW581" s="11"/>
      <c r="BX581" s="16"/>
      <c r="BY581" s="16"/>
      <c r="BZ581" s="17"/>
      <c r="CA581" s="18"/>
      <c r="CB581" s="18"/>
      <c r="CC581" s="18"/>
      <c r="CD581" s="18"/>
      <c r="CE581" s="18"/>
      <c r="CF581" s="18"/>
      <c r="CG581" s="19"/>
      <c r="CH581" s="15"/>
      <c r="CI581" s="17"/>
      <c r="CJ581" s="10"/>
      <c r="CK581" s="10"/>
      <c r="CL581" s="10"/>
      <c r="CM581" s="17"/>
      <c r="CN581" s="17"/>
      <c r="CO581" s="10"/>
      <c r="CP581" s="10"/>
      <c r="CQ581" s="10"/>
      <c r="CR581" s="10"/>
      <c r="CS581" s="10"/>
      <c r="CT581" s="10"/>
      <c r="CU581" s="10"/>
      <c r="CV581" s="10"/>
      <c r="CW581" s="10"/>
      <c r="CX581" s="10"/>
      <c r="CY581" s="10"/>
      <c r="CZ581" s="10"/>
      <c r="DA581" s="34"/>
      <c r="DB581" s="34"/>
      <c r="DC581" s="34"/>
      <c r="DD581" s="34"/>
      <c r="DE581" s="34"/>
      <c r="DF581" s="34"/>
      <c r="DG581" s="34"/>
      <c r="DH581" s="34"/>
      <c r="DI581" s="34"/>
      <c r="DJ581" s="34"/>
      <c r="DK581" s="34"/>
      <c r="DL581" s="34"/>
      <c r="DM581" s="34"/>
      <c r="DN581" s="34"/>
      <c r="DO581" s="34"/>
      <c r="DP581" s="34"/>
      <c r="DQ581" s="34"/>
      <c r="DR581" s="34"/>
      <c r="DS581" s="34"/>
      <c r="DT581" s="34"/>
      <c r="DU581" s="34"/>
      <c r="DV581" s="34"/>
      <c r="DW581" s="34"/>
      <c r="DX581" s="34"/>
      <c r="DY581" s="34"/>
      <c r="DZ581" s="34"/>
      <c r="EA581" s="34"/>
      <c r="EB581" s="34"/>
      <c r="EC581" s="34"/>
      <c r="ED581" s="34"/>
      <c r="EE581" s="34"/>
    </row>
    <row r="582" spans="1:135" customFormat="1">
      <c r="A582" s="71">
        <f>'Old Data'!$I578-'Old Data'!$S578</f>
        <v>-94</v>
      </c>
      <c r="B582" s="72">
        <f>VLOOKUP('Old Data'!$F578,$R$6:$T$135,2,FALSE)+VLOOKUP('Old Data'!$P578,$R$6:$T$135,3,FALSE)+$B$2</f>
        <v>109.2605412826676</v>
      </c>
      <c r="C582" s="72">
        <f>VLOOKUP('Old Data'!$P578,$R$6:$T$135,2,FALSE)+VLOOKUP('Old Data'!$F578,$R$6:$T$135,3,FALSE)+$B$2</f>
        <v>232.98595687925621</v>
      </c>
      <c r="D582" s="74">
        <f>('Old Data'!$I578-$B582)^2+('Old Data'!$S578-$C582)^2</f>
        <v>899.22549172458673</v>
      </c>
      <c r="E582" s="75">
        <f>'Old Data'!$K578-'Old Data'!$U578</f>
        <v>167</v>
      </c>
      <c r="F582" s="72">
        <f>VLOOKUP('Old Data'!$F578,$V$6:$X$135,2,FALSE)+VLOOKUP('Old Data'!$P578,$V$6:$X$135,3,FALSE)+$C$2</f>
        <v>228.18396085345063</v>
      </c>
      <c r="G582" s="72">
        <f>VLOOKUP('Old Data'!$P578,$V$6:$X$135,2,FALSE)+VLOOKUP('Old Data'!$F578,$V$6:$X$135,3,FALSE)+$C$2</f>
        <v>199.95705881190989</v>
      </c>
      <c r="H582" s="74">
        <f>('Old Data'!$K578-$F582)^2+('Old Data'!$U578-$G582)^2</f>
        <v>9629.637321432434</v>
      </c>
      <c r="I582" s="75">
        <f>('Old Data'!$L578+'Old Data'!$M578)-('Old Data'!$V578+'Old Data'!$W578)</f>
        <v>-66</v>
      </c>
      <c r="J582" s="72">
        <f>VLOOKUP('Old Data'!$F578,$Z$6:$AB$135,2,FALSE)+VLOOKUP('Old Data'!$P578,$Z$6:$AB$135,3,FALSE)+$D$2</f>
        <v>51.325278635292349</v>
      </c>
      <c r="K582" s="72">
        <f>VLOOKUP('Old Data'!$P578,$Z$6:$AB$135,2,FALSE)+VLOOKUP('Old Data'!$F578,$Z$6:$AB$135,3,FALSE)+$D$2</f>
        <v>49.649467055653602</v>
      </c>
      <c r="L582" s="74">
        <f>('Old Data'!$L578+'Old Data'!$M578-$J582)^2+('Old Data'!$V578+'Old Data'!$W578-$K582)^2</f>
        <v>4956.3516199323922</v>
      </c>
      <c r="M582" s="75">
        <f>'Old Data'!$N578-'Old Data'!$X578</f>
        <v>2</v>
      </c>
      <c r="N582" s="72">
        <f>VLOOKUP('Old Data'!$F578,$AD$6:$AF$135,2,FALSE)+VLOOKUP('Old Data'!$P578,$AD$6:$AF$135,3,FALSE)+$E$2</f>
        <v>1.677229004504085</v>
      </c>
      <c r="O582" s="72">
        <f>VLOOKUP('Old Data'!$P578,$AD$6:$AF$135,2,FALSE)+VLOOKUP('Old Data'!$F578,$AD$6:$AF$135,3,FALSE)+$E$2</f>
        <v>1.1214166693694161</v>
      </c>
      <c r="P582" s="73">
        <f>('Old Data'!$N578-$N582)^2+('Old Data'!$X578-$O582)^2</f>
        <v>1.7644651141260161</v>
      </c>
      <c r="Q582" s="62"/>
      <c r="R582" s="3"/>
      <c r="S582" s="3"/>
      <c r="T582" s="3"/>
      <c r="V582" s="3"/>
      <c r="W582" s="3"/>
      <c r="X582" s="3"/>
      <c r="Z582" s="3"/>
      <c r="AA582" s="3"/>
      <c r="AB582" s="3"/>
      <c r="AC582" s="3"/>
      <c r="AD582" s="3"/>
      <c r="AE582" s="3"/>
      <c r="AF582" s="3"/>
      <c r="AG582" s="3"/>
      <c r="AH582" s="37"/>
      <c r="AI582" s="1"/>
      <c r="AK582" s="10"/>
      <c r="AL582" s="10"/>
      <c r="AM582" s="10"/>
      <c r="AN582" s="11"/>
      <c r="AO582" s="11"/>
      <c r="AP582" s="11"/>
      <c r="AQ582" s="36"/>
      <c r="AR582" s="11"/>
      <c r="AS582" s="11"/>
      <c r="AT582" s="11"/>
      <c r="AU582" s="12"/>
      <c r="AV582" s="11"/>
      <c r="AW582" s="11"/>
      <c r="AX582" s="15"/>
      <c r="AY582" s="15"/>
      <c r="AZ582" s="15"/>
      <c r="BA582" s="15"/>
      <c r="BB582" s="15"/>
      <c r="BC582" s="15"/>
      <c r="BD582" s="15"/>
      <c r="BE582" s="12"/>
      <c r="BF582" s="11"/>
      <c r="BG582" s="11"/>
      <c r="BH582" s="10"/>
      <c r="BI582" s="10"/>
      <c r="BJ582" s="10"/>
      <c r="BK582" s="23"/>
      <c r="BL582" s="23"/>
      <c r="BM582" s="23"/>
      <c r="BN582" s="23"/>
      <c r="BO582" s="23"/>
      <c r="BP582" s="23"/>
      <c r="BQ582" s="23"/>
      <c r="BR582" s="10"/>
      <c r="BS582" s="16"/>
      <c r="BT582" s="16"/>
      <c r="BU582" s="16"/>
      <c r="BV582" s="16"/>
      <c r="BW582" s="11"/>
      <c r="BX582" s="16"/>
      <c r="BY582" s="16"/>
      <c r="BZ582" s="17"/>
      <c r="CA582" s="18"/>
      <c r="CB582" s="18"/>
      <c r="CC582" s="18"/>
      <c r="CD582" s="18"/>
      <c r="CE582" s="18"/>
      <c r="CF582" s="18"/>
      <c r="CG582" s="19"/>
      <c r="CH582" s="15"/>
      <c r="CI582" s="17"/>
      <c r="CJ582" s="10"/>
      <c r="CK582" s="10"/>
      <c r="CL582" s="10"/>
      <c r="CM582" s="17"/>
      <c r="CN582" s="17"/>
      <c r="CO582" s="10"/>
      <c r="CP582" s="10"/>
      <c r="CQ582" s="10"/>
      <c r="CR582" s="10"/>
      <c r="CS582" s="10"/>
      <c r="CT582" s="10"/>
      <c r="CU582" s="10"/>
      <c r="CV582" s="10"/>
      <c r="CW582" s="10"/>
      <c r="CX582" s="10"/>
      <c r="CY582" s="10"/>
      <c r="CZ582" s="10"/>
      <c r="DA582" s="34"/>
      <c r="DB582" s="34"/>
      <c r="DC582" s="34"/>
      <c r="DD582" s="34"/>
      <c r="DE582" s="34"/>
      <c r="DF582" s="34"/>
      <c r="DG582" s="34"/>
      <c r="DH582" s="34"/>
      <c r="DI582" s="34"/>
      <c r="DJ582" s="34"/>
      <c r="DK582" s="34"/>
      <c r="DL582" s="34"/>
      <c r="DM582" s="34"/>
      <c r="DN582" s="34"/>
      <c r="DO582" s="34"/>
      <c r="DP582" s="34"/>
      <c r="DQ582" s="34"/>
      <c r="DR582" s="34"/>
      <c r="DS582" s="34"/>
      <c r="DT582" s="34"/>
      <c r="DU582" s="34"/>
      <c r="DV582" s="34"/>
      <c r="DW582" s="34"/>
      <c r="DX582" s="34"/>
      <c r="DY582" s="34"/>
      <c r="DZ582" s="34"/>
      <c r="EA582" s="34"/>
      <c r="EB582" s="34"/>
      <c r="EC582" s="34"/>
      <c r="ED582" s="34"/>
      <c r="EE582" s="34"/>
    </row>
    <row r="583" spans="1:135" customFormat="1">
      <c r="A583" s="71">
        <f>'Old Data'!$I579-'Old Data'!$S579</f>
        <v>274</v>
      </c>
      <c r="B583" s="72">
        <f>VLOOKUP('Old Data'!$F579,$R$6:$T$135,2,FALSE)+VLOOKUP('Old Data'!$P579,$R$6:$T$135,3,FALSE)+$B$2</f>
        <v>170.18693505504211</v>
      </c>
      <c r="C583" s="72">
        <f>VLOOKUP('Old Data'!$P579,$R$6:$T$135,2,FALSE)+VLOOKUP('Old Data'!$F579,$R$6:$T$135,3,FALSE)+$B$2</f>
        <v>90.106549584234898</v>
      </c>
      <c r="D583" s="74">
        <f>('Old Data'!$I579-$B583)^2+('Old Data'!$S579-$C583)^2</f>
        <v>24179.929113707298</v>
      </c>
      <c r="E583" s="75">
        <f>'Old Data'!$K579-'Old Data'!$U579</f>
        <v>6</v>
      </c>
      <c r="F583" s="72">
        <f>VLOOKUP('Old Data'!$F579,$V$6:$X$135,2,FALSE)+VLOOKUP('Old Data'!$P579,$V$6:$X$135,3,FALSE)+$C$2</f>
        <v>223.63494384808308</v>
      </c>
      <c r="G583" s="72">
        <f>VLOOKUP('Old Data'!$P579,$V$6:$X$135,2,FALSE)+VLOOKUP('Old Data'!$F579,$V$6:$X$135,3,FALSE)+$C$2</f>
        <v>214.58239334565769</v>
      </c>
      <c r="H583" s="74">
        <f>('Old Data'!$K579-$F583)^2+('Old Data'!$U579-$G583)^2</f>
        <v>7.1173244003018592</v>
      </c>
      <c r="I583" s="75">
        <f>('Old Data'!$L579+'Old Data'!$M579)-('Old Data'!$V579+'Old Data'!$W579)</f>
        <v>3</v>
      </c>
      <c r="J583" s="72">
        <f>VLOOKUP('Old Data'!$F579,$Z$6:$AB$135,2,FALSE)+VLOOKUP('Old Data'!$P579,$Z$6:$AB$135,3,FALSE)+$D$2</f>
        <v>60.106014029128353</v>
      </c>
      <c r="K583" s="72">
        <f>VLOOKUP('Old Data'!$P579,$Z$6:$AB$135,2,FALSE)+VLOOKUP('Old Data'!$F579,$Z$6:$AB$135,3,FALSE)+$D$2</f>
        <v>87.21631481119546</v>
      </c>
      <c r="L583" s="74">
        <f>('Old Data'!$L579+'Old Data'!$M579-$J583)^2+('Old Data'!$V579+'Old Data'!$W579-$K583)^2</f>
        <v>460.0777391726325</v>
      </c>
      <c r="M583" s="75">
        <f>'Old Data'!$N579-'Old Data'!$X579</f>
        <v>-1</v>
      </c>
      <c r="N583" s="72">
        <f>VLOOKUP('Old Data'!$F579,$AD$6:$AF$135,2,FALSE)+VLOOKUP('Old Data'!$P579,$AD$6:$AF$135,3,FALSE)+$E$2</f>
        <v>0.66105432185876811</v>
      </c>
      <c r="O583" s="72">
        <f>VLOOKUP('Old Data'!$P579,$AD$6:$AF$135,2,FALSE)+VLOOKUP('Old Data'!$F579,$AD$6:$AF$135,3,FALSE)+$E$2</f>
        <v>1.4581518044859361</v>
      </c>
      <c r="P583" s="73">
        <f>('Old Data'!$N579-$N583)^2+('Old Data'!$X579-$O583)^2</f>
        <v>0.64689589240187517</v>
      </c>
      <c r="Q583" s="62"/>
      <c r="R583" s="3"/>
      <c r="S583" s="3"/>
      <c r="T583" s="3"/>
      <c r="V583" s="3"/>
      <c r="W583" s="3"/>
      <c r="X583" s="3"/>
      <c r="Z583" s="3"/>
      <c r="AA583" s="3"/>
      <c r="AB583" s="3"/>
      <c r="AC583" s="3"/>
      <c r="AD583" s="3"/>
      <c r="AE583" s="3"/>
      <c r="AF583" s="3"/>
      <c r="AG583" s="3"/>
      <c r="AH583" s="37"/>
      <c r="AI583" s="1"/>
      <c r="AK583" s="10"/>
      <c r="AL583" s="10"/>
      <c r="AM583" s="10"/>
      <c r="AN583" s="11"/>
      <c r="AO583" s="11"/>
      <c r="AP583" s="11"/>
      <c r="AQ583" s="36"/>
      <c r="AR583" s="11"/>
      <c r="AS583" s="11"/>
      <c r="AT583" s="11"/>
      <c r="AU583" s="12"/>
      <c r="AV583" s="11"/>
      <c r="AW583" s="11"/>
      <c r="AX583" s="15"/>
      <c r="AY583" s="15"/>
      <c r="AZ583" s="15"/>
      <c r="BA583" s="15"/>
      <c r="BB583" s="15"/>
      <c r="BC583" s="15"/>
      <c r="BD583" s="15"/>
      <c r="BE583" s="12"/>
      <c r="BF583" s="11"/>
      <c r="BG583" s="11"/>
      <c r="BH583" s="10"/>
      <c r="BI583" s="10"/>
      <c r="BJ583" s="10"/>
      <c r="BK583" s="23"/>
      <c r="BL583" s="23"/>
      <c r="BM583" s="23"/>
      <c r="BN583" s="23"/>
      <c r="BO583" s="23"/>
      <c r="BP583" s="23"/>
      <c r="BQ583" s="23"/>
      <c r="BR583" s="10"/>
      <c r="BS583" s="16"/>
      <c r="BT583" s="16"/>
      <c r="BU583" s="16"/>
      <c r="BV583" s="16"/>
      <c r="BW583" s="11"/>
      <c r="BX583" s="16"/>
      <c r="BY583" s="16"/>
      <c r="BZ583" s="17"/>
      <c r="CA583" s="18"/>
      <c r="CB583" s="18"/>
      <c r="CC583" s="18"/>
      <c r="CD583" s="18"/>
      <c r="CE583" s="18"/>
      <c r="CF583" s="18"/>
      <c r="CG583" s="19"/>
      <c r="CH583" s="15"/>
      <c r="CI583" s="17"/>
      <c r="CJ583" s="10"/>
      <c r="CK583" s="10"/>
      <c r="CL583" s="10"/>
      <c r="CM583" s="17"/>
      <c r="CN583" s="17"/>
      <c r="CO583" s="10"/>
      <c r="CP583" s="10"/>
      <c r="CQ583" s="10"/>
      <c r="CR583" s="10"/>
      <c r="CS583" s="10"/>
      <c r="CT583" s="10"/>
      <c r="CU583" s="10"/>
      <c r="CV583" s="10"/>
      <c r="CW583" s="10"/>
      <c r="CX583" s="10"/>
      <c r="CY583" s="10"/>
      <c r="CZ583" s="10"/>
      <c r="DA583" s="34"/>
      <c r="DB583" s="34"/>
      <c r="DC583" s="34"/>
      <c r="DD583" s="34"/>
      <c r="DE583" s="34"/>
      <c r="DF583" s="34"/>
      <c r="DG583" s="34"/>
      <c r="DH583" s="34"/>
      <c r="DI583" s="34"/>
      <c r="DJ583" s="34"/>
      <c r="DK583" s="34"/>
      <c r="DL583" s="34"/>
      <c r="DM583" s="34"/>
      <c r="DN583" s="34"/>
      <c r="DO583" s="34"/>
      <c r="DP583" s="34"/>
      <c r="DQ583" s="34"/>
      <c r="DR583" s="34"/>
      <c r="DS583" s="34"/>
      <c r="DT583" s="34"/>
      <c r="DU583" s="34"/>
      <c r="DV583" s="34"/>
      <c r="DW583" s="34"/>
      <c r="DX583" s="34"/>
      <c r="DY583" s="34"/>
      <c r="DZ583" s="34"/>
      <c r="EA583" s="34"/>
      <c r="EB583" s="34"/>
      <c r="EC583" s="34"/>
      <c r="ED583" s="34"/>
      <c r="EE583" s="34"/>
    </row>
    <row r="584" spans="1:135" customFormat="1">
      <c r="A584" s="71">
        <f>'Old Data'!$I580-'Old Data'!$S580</f>
        <v>50</v>
      </c>
      <c r="B584" s="72">
        <f>VLOOKUP('Old Data'!$F580,$R$6:$T$135,2,FALSE)+VLOOKUP('Old Data'!$P580,$R$6:$T$135,3,FALSE)+$B$2</f>
        <v>74.291875084401596</v>
      </c>
      <c r="C584" s="72">
        <f>VLOOKUP('Old Data'!$P580,$R$6:$T$135,2,FALSE)+VLOOKUP('Old Data'!$F580,$R$6:$T$135,3,FALSE)+$B$2</f>
        <v>184.34286868790952</v>
      </c>
      <c r="D584" s="74">
        <f>('Old Data'!$I580-$B584)^2+('Old Data'!$S580-$C584)^2</f>
        <v>12811.631214107932</v>
      </c>
      <c r="E584" s="75">
        <f>'Old Data'!$K580-'Old Data'!$U580</f>
        <v>-105</v>
      </c>
      <c r="F584" s="72">
        <f>VLOOKUP('Old Data'!$F580,$V$6:$X$135,2,FALSE)+VLOOKUP('Old Data'!$P580,$V$6:$X$135,3,FALSE)+$C$2</f>
        <v>322.84640694357921</v>
      </c>
      <c r="G584" s="72">
        <f>VLOOKUP('Old Data'!$P580,$V$6:$X$135,2,FALSE)+VLOOKUP('Old Data'!$F580,$V$6:$X$135,3,FALSE)+$C$2</f>
        <v>283.09551209493611</v>
      </c>
      <c r="H584" s="74">
        <f>('Old Data'!$K580-$F584)^2+('Old Data'!$U580-$G584)^2</f>
        <v>10790.364490477627</v>
      </c>
      <c r="I584" s="75">
        <f>('Old Data'!$L580+'Old Data'!$M580)-('Old Data'!$V580+'Old Data'!$W580)</f>
        <v>26</v>
      </c>
      <c r="J584" s="72">
        <f>VLOOKUP('Old Data'!$F580,$Z$6:$AB$135,2,FALSE)+VLOOKUP('Old Data'!$P580,$Z$6:$AB$135,3,FALSE)+$D$2</f>
        <v>83.897704529376483</v>
      </c>
      <c r="K584" s="72">
        <f>VLOOKUP('Old Data'!$P580,$Z$6:$AB$135,2,FALSE)+VLOOKUP('Old Data'!$F580,$Z$6:$AB$135,3,FALSE)+$D$2</f>
        <v>88.002430066500196</v>
      </c>
      <c r="L584" s="74">
        <f>('Old Data'!$L580+'Old Data'!$M580-$J584)^2+('Old Data'!$V580+'Old Data'!$W580-$K584)^2</f>
        <v>1810.3452373966575</v>
      </c>
      <c r="M584" s="75">
        <f>'Old Data'!$N580-'Old Data'!$X580</f>
        <v>-4</v>
      </c>
      <c r="N584" s="72">
        <f>VLOOKUP('Old Data'!$F580,$AD$6:$AF$135,2,FALSE)+VLOOKUP('Old Data'!$P580,$AD$6:$AF$135,3,FALSE)+$E$2</f>
        <v>1.2142561749211822</v>
      </c>
      <c r="O584" s="72">
        <f>VLOOKUP('Old Data'!$P580,$AD$6:$AF$135,2,FALSE)+VLOOKUP('Old Data'!$F580,$AD$6:$AF$135,3,FALSE)+$E$2</f>
        <v>2.2305188492654082</v>
      </c>
      <c r="P584" s="73">
        <f>('Old Data'!$N580-$N584)^2+('Old Data'!$X580-$O584)^2</f>
        <v>4.6054816011392354</v>
      </c>
      <c r="Q584" s="62"/>
      <c r="R584" s="3"/>
      <c r="S584" s="3"/>
      <c r="T584" s="3"/>
      <c r="V584" s="3"/>
      <c r="W584" s="3"/>
      <c r="X584" s="3"/>
      <c r="Z584" s="3"/>
      <c r="AA584" s="3"/>
      <c r="AB584" s="3"/>
      <c r="AC584" s="3"/>
      <c r="AD584" s="3"/>
      <c r="AE584" s="3"/>
      <c r="AF584" s="3"/>
      <c r="AG584" s="3"/>
      <c r="AH584" s="37"/>
      <c r="AI584" s="1"/>
      <c r="AK584" s="10"/>
      <c r="AL584" s="10"/>
      <c r="AM584" s="10"/>
      <c r="AN584" s="11"/>
      <c r="AO584" s="11"/>
      <c r="AP584" s="11"/>
      <c r="AQ584" s="36"/>
      <c r="AR584" s="11"/>
      <c r="AS584" s="11"/>
      <c r="AT584" s="11"/>
      <c r="AU584" s="12"/>
      <c r="AV584" s="11"/>
      <c r="AW584" s="11"/>
      <c r="AX584" s="15"/>
      <c r="AY584" s="15"/>
      <c r="AZ584" s="15"/>
      <c r="BA584" s="15"/>
      <c r="BB584" s="15"/>
      <c r="BC584" s="15"/>
      <c r="BD584" s="15"/>
      <c r="BE584" s="12"/>
      <c r="BF584" s="11"/>
      <c r="BG584" s="11"/>
      <c r="BH584" s="10"/>
      <c r="BI584" s="10"/>
      <c r="BJ584" s="10"/>
      <c r="BK584" s="23"/>
      <c r="BL584" s="23"/>
      <c r="BM584" s="23"/>
      <c r="BN584" s="23"/>
      <c r="BO584" s="23"/>
      <c r="BP584" s="23"/>
      <c r="BQ584" s="23"/>
      <c r="BR584" s="10"/>
      <c r="BS584" s="16"/>
      <c r="BT584" s="16"/>
      <c r="BU584" s="16"/>
      <c r="BV584" s="16"/>
      <c r="BW584" s="11"/>
      <c r="BX584" s="16"/>
      <c r="BY584" s="16"/>
      <c r="BZ584" s="17"/>
      <c r="CA584" s="18"/>
      <c r="CB584" s="18"/>
      <c r="CC584" s="18"/>
      <c r="CD584" s="18"/>
      <c r="CE584" s="18"/>
      <c r="CF584" s="18"/>
      <c r="CG584" s="19"/>
      <c r="CH584" s="15"/>
      <c r="CI584" s="17"/>
      <c r="CJ584" s="10"/>
      <c r="CK584" s="10"/>
      <c r="CL584" s="10"/>
      <c r="CM584" s="17"/>
      <c r="CN584" s="17"/>
      <c r="CO584" s="10"/>
      <c r="CP584" s="10"/>
      <c r="CQ584" s="10"/>
      <c r="CR584" s="10"/>
      <c r="CS584" s="10"/>
      <c r="CT584" s="10"/>
      <c r="CU584" s="10"/>
      <c r="CV584" s="10"/>
      <c r="CW584" s="10"/>
      <c r="CX584" s="10"/>
      <c r="CY584" s="10"/>
      <c r="CZ584" s="10"/>
      <c r="DA584" s="34"/>
      <c r="DB584" s="34"/>
      <c r="DC584" s="34"/>
      <c r="DD584" s="34"/>
      <c r="DE584" s="34"/>
      <c r="DF584" s="34"/>
      <c r="DG584" s="34"/>
      <c r="DH584" s="34"/>
      <c r="DI584" s="34"/>
      <c r="DJ584" s="34"/>
      <c r="DK584" s="34"/>
      <c r="DL584" s="34"/>
      <c r="DM584" s="34"/>
      <c r="DN584" s="34"/>
      <c r="DO584" s="34"/>
      <c r="DP584" s="34"/>
      <c r="DQ584" s="34"/>
      <c r="DR584" s="34"/>
      <c r="DS584" s="34"/>
      <c r="DT584" s="34"/>
      <c r="DU584" s="34"/>
      <c r="DV584" s="34"/>
      <c r="DW584" s="34"/>
      <c r="DX584" s="34"/>
      <c r="DY584" s="34"/>
      <c r="DZ584" s="34"/>
      <c r="EA584" s="34"/>
      <c r="EB584" s="34"/>
      <c r="EC584" s="34"/>
      <c r="ED584" s="34"/>
      <c r="EE584" s="34"/>
    </row>
    <row r="585" spans="1:135" customFormat="1">
      <c r="A585" s="71">
        <f>'Old Data'!$I581-'Old Data'!$S581</f>
        <v>-157</v>
      </c>
      <c r="B585" s="72">
        <f>VLOOKUP('Old Data'!$F581,$R$6:$T$135,2,FALSE)+VLOOKUP('Old Data'!$P581,$R$6:$T$135,3,FALSE)+$B$2</f>
        <v>127.99900970134041</v>
      </c>
      <c r="C585" s="72">
        <f>VLOOKUP('Old Data'!$P581,$R$6:$T$135,2,FALSE)+VLOOKUP('Old Data'!$F581,$R$6:$T$135,3,FALSE)+$B$2</f>
        <v>201.22775265001201</v>
      </c>
      <c r="D585" s="74">
        <f>('Old Data'!$I581-$B585)^2+('Old Data'!$S581-$C585)^2</f>
        <v>4094.5473845078473</v>
      </c>
      <c r="E585" s="75">
        <f>'Old Data'!$K581-'Old Data'!$U581</f>
        <v>10</v>
      </c>
      <c r="F585" s="72">
        <f>VLOOKUP('Old Data'!$F581,$V$6:$X$135,2,FALSE)+VLOOKUP('Old Data'!$P581,$V$6:$X$135,3,FALSE)+$C$2</f>
        <v>259.74391482252599</v>
      </c>
      <c r="G585" s="72">
        <f>VLOOKUP('Old Data'!$P581,$V$6:$X$135,2,FALSE)+VLOOKUP('Old Data'!$F581,$V$6:$X$135,3,FALSE)+$C$2</f>
        <v>279.46354689812983</v>
      </c>
      <c r="H585" s="74">
        <f>('Old Data'!$K581-$F585)^2+('Old Data'!$U581-$G585)^2</f>
        <v>7261.8767642206676</v>
      </c>
      <c r="I585" s="75">
        <f>('Old Data'!$L581+'Old Data'!$M581)-('Old Data'!$V581+'Old Data'!$W581)</f>
        <v>37</v>
      </c>
      <c r="J585" s="72">
        <f>VLOOKUP('Old Data'!$F581,$Z$6:$AB$135,2,FALSE)+VLOOKUP('Old Data'!$P581,$Z$6:$AB$135,3,FALSE)+$D$2</f>
        <v>80.262078022942049</v>
      </c>
      <c r="K585" s="72">
        <f>VLOOKUP('Old Data'!$P581,$Z$6:$AB$135,2,FALSE)+VLOOKUP('Old Data'!$F581,$Z$6:$AB$135,3,FALSE)+$D$2</f>
        <v>75.102342250525467</v>
      </c>
      <c r="L585" s="74">
        <f>('Old Data'!$L581+'Old Data'!$M581-$J585)^2+('Old Data'!$V581+'Old Data'!$W581-$K585)^2</f>
        <v>2531.6447166071002</v>
      </c>
      <c r="M585" s="75">
        <f>'Old Data'!$N581-'Old Data'!$X581</f>
        <v>-2</v>
      </c>
      <c r="N585" s="72">
        <f>VLOOKUP('Old Data'!$F581,$AD$6:$AF$135,2,FALSE)+VLOOKUP('Old Data'!$P581,$AD$6:$AF$135,3,FALSE)+$E$2</f>
        <v>1.927067329558767</v>
      </c>
      <c r="O585" s="72">
        <f>VLOOKUP('Old Data'!$P581,$AD$6:$AF$135,2,FALSE)+VLOOKUP('Old Data'!$F581,$AD$6:$AF$135,3,FALSE)+$E$2</f>
        <v>1.6282235600394073</v>
      </c>
      <c r="P585" s="73">
        <f>('Old Data'!$N581-$N585)^2+('Old Data'!$X581-$O585)^2</f>
        <v>3.8518062139625302</v>
      </c>
      <c r="Q585" s="62"/>
      <c r="R585" s="3"/>
      <c r="S585" s="3"/>
      <c r="T585" s="3"/>
      <c r="V585" s="3"/>
      <c r="W585" s="3"/>
      <c r="X585" s="3"/>
      <c r="Z585" s="3"/>
      <c r="AA585" s="3"/>
      <c r="AB585" s="3"/>
      <c r="AC585" s="3"/>
      <c r="AD585" s="3"/>
      <c r="AE585" s="3"/>
      <c r="AF585" s="3"/>
      <c r="AG585" s="3"/>
      <c r="AH585" s="37"/>
      <c r="AI585" s="1"/>
      <c r="AK585" s="10"/>
      <c r="AL585" s="10"/>
      <c r="AM585" s="10"/>
      <c r="AN585" s="11"/>
      <c r="AO585" s="11"/>
      <c r="AP585" s="11"/>
      <c r="AQ585" s="36"/>
      <c r="AR585" s="11"/>
      <c r="AS585" s="11"/>
      <c r="AT585" s="11"/>
      <c r="AU585" s="12"/>
      <c r="AV585" s="11"/>
      <c r="AW585" s="11"/>
      <c r="AX585" s="15"/>
      <c r="AY585" s="15"/>
      <c r="AZ585" s="15"/>
      <c r="BA585" s="15"/>
      <c r="BB585" s="15"/>
      <c r="BC585" s="15"/>
      <c r="BD585" s="15"/>
      <c r="BE585" s="12"/>
      <c r="BF585" s="11"/>
      <c r="BG585" s="11"/>
      <c r="BH585" s="10"/>
      <c r="BI585" s="10"/>
      <c r="BJ585" s="10"/>
      <c r="BK585" s="23"/>
      <c r="BL585" s="23"/>
      <c r="BM585" s="23"/>
      <c r="BN585" s="23"/>
      <c r="BO585" s="23"/>
      <c r="BP585" s="23"/>
      <c r="BQ585" s="23"/>
      <c r="BR585" s="10"/>
      <c r="BS585" s="16"/>
      <c r="BT585" s="16"/>
      <c r="BU585" s="16"/>
      <c r="BV585" s="16"/>
      <c r="BW585" s="11"/>
      <c r="BX585" s="16"/>
      <c r="BY585" s="16"/>
      <c r="BZ585" s="17"/>
      <c r="CA585" s="18"/>
      <c r="CB585" s="18"/>
      <c r="CC585" s="18"/>
      <c r="CD585" s="18"/>
      <c r="CE585" s="18"/>
      <c r="CF585" s="18"/>
      <c r="CG585" s="19"/>
      <c r="CH585" s="15"/>
      <c r="CI585" s="17"/>
      <c r="CJ585" s="10"/>
      <c r="CK585" s="10"/>
      <c r="CL585" s="10"/>
      <c r="CM585" s="17"/>
      <c r="CN585" s="17"/>
      <c r="CO585" s="10"/>
      <c r="CP585" s="10"/>
      <c r="CQ585" s="10"/>
      <c r="CR585" s="10"/>
      <c r="CS585" s="10"/>
      <c r="CT585" s="10"/>
      <c r="CU585" s="10"/>
      <c r="CV585" s="10"/>
      <c r="CW585" s="10"/>
      <c r="CX585" s="10"/>
      <c r="CY585" s="10"/>
      <c r="CZ585" s="10"/>
      <c r="DA585" s="34"/>
      <c r="DB585" s="34"/>
      <c r="DC585" s="34"/>
      <c r="DD585" s="34"/>
      <c r="DE585" s="34"/>
      <c r="DF585" s="34"/>
      <c r="DG585" s="34"/>
      <c r="DH585" s="34"/>
      <c r="DI585" s="34"/>
      <c r="DJ585" s="34"/>
      <c r="DK585" s="34"/>
      <c r="DL585" s="34"/>
      <c r="DM585" s="34"/>
      <c r="DN585" s="34"/>
      <c r="DO585" s="34"/>
      <c r="DP585" s="34"/>
      <c r="DQ585" s="34"/>
      <c r="DR585" s="34"/>
      <c r="DS585" s="34"/>
      <c r="DT585" s="34"/>
      <c r="DU585" s="34"/>
      <c r="DV585" s="34"/>
      <c r="DW585" s="34"/>
      <c r="DX585" s="34"/>
      <c r="DY585" s="34"/>
      <c r="DZ585" s="34"/>
      <c r="EA585" s="34"/>
      <c r="EB585" s="34"/>
      <c r="EC585" s="34"/>
      <c r="ED585" s="34"/>
      <c r="EE585" s="34"/>
    </row>
    <row r="586" spans="1:135" customFormat="1">
      <c r="A586" s="71">
        <f>'Old Data'!$I582-'Old Data'!$S582</f>
        <v>263</v>
      </c>
      <c r="B586" s="72">
        <f>VLOOKUP('Old Data'!$F582,$R$6:$T$135,2,FALSE)+VLOOKUP('Old Data'!$P582,$R$6:$T$135,3,FALSE)+$B$2</f>
        <v>232.9603254290576</v>
      </c>
      <c r="C586" s="72">
        <f>VLOOKUP('Old Data'!$P582,$R$6:$T$135,2,FALSE)+VLOOKUP('Old Data'!$F582,$R$6:$T$135,3,FALSE)+$B$2</f>
        <v>94.128063793865209</v>
      </c>
      <c r="D586" s="74">
        <f>('Old Data'!$I582-$B586)^2+('Old Data'!$S582-$C586)^2</f>
        <v>14426.564381783975</v>
      </c>
      <c r="E586" s="75">
        <f>'Old Data'!$K582-'Old Data'!$U582</f>
        <v>-126</v>
      </c>
      <c r="F586" s="72">
        <f>VLOOKUP('Old Data'!$F582,$V$6:$X$135,2,FALSE)+VLOOKUP('Old Data'!$P582,$V$6:$X$135,3,FALSE)+$C$2</f>
        <v>190.47479134814077</v>
      </c>
      <c r="G586" s="72">
        <f>VLOOKUP('Old Data'!$P582,$V$6:$X$135,2,FALSE)+VLOOKUP('Old Data'!$F582,$V$6:$X$135,3,FALSE)+$C$2</f>
        <v>161.92771884268379</v>
      </c>
      <c r="H586" s="74">
        <f>('Old Data'!$K582-$F586)^2+('Old Data'!$U582-$G586)^2</f>
        <v>12534.165163718382</v>
      </c>
      <c r="I586" s="75">
        <f>('Old Data'!$L582+'Old Data'!$M582)-('Old Data'!$V582+'Old Data'!$W582)</f>
        <v>-29</v>
      </c>
      <c r="J586" s="72">
        <f>VLOOKUP('Old Data'!$F582,$Z$6:$AB$135,2,FALSE)+VLOOKUP('Old Data'!$P582,$Z$6:$AB$135,3,FALSE)+$D$2</f>
        <v>10.941536026650695</v>
      </c>
      <c r="K586" s="72">
        <f>VLOOKUP('Old Data'!$P582,$Z$6:$AB$135,2,FALSE)+VLOOKUP('Old Data'!$F582,$Z$6:$AB$135,3,FALSE)+$D$2</f>
        <v>40.224420889994263</v>
      </c>
      <c r="L586" s="74">
        <f>('Old Data'!$L582+'Old Data'!$M582-$J586)^2+('Old Data'!$V582+'Old Data'!$W582-$K586)^2</f>
        <v>245.70483493823468</v>
      </c>
      <c r="M586" s="75">
        <f>'Old Data'!$N582-'Old Data'!$X582</f>
        <v>1</v>
      </c>
      <c r="N586" s="72">
        <f>VLOOKUP('Old Data'!$F582,$AD$6:$AF$135,2,FALSE)+VLOOKUP('Old Data'!$P582,$AD$6:$AF$135,3,FALSE)+$E$2</f>
        <v>1.4247496962648112</v>
      </c>
      <c r="O586" s="72">
        <f>VLOOKUP('Old Data'!$P582,$AD$6:$AF$135,2,FALSE)+VLOOKUP('Old Data'!$F582,$AD$6:$AF$135,3,FALSE)+$E$2</f>
        <v>0.88089018300826605</v>
      </c>
      <c r="P586" s="73">
        <f>('Old Data'!$N582-$N586)^2+('Old Data'!$X582-$O586)^2</f>
        <v>0.95637981899738578</v>
      </c>
      <c r="Q586" s="62"/>
      <c r="R586" s="3"/>
      <c r="S586" s="3"/>
      <c r="T586" s="3"/>
      <c r="V586" s="3"/>
      <c r="W586" s="3"/>
      <c r="X586" s="3"/>
      <c r="Z586" s="3"/>
      <c r="AA586" s="3"/>
      <c r="AB586" s="3"/>
      <c r="AC586" s="3"/>
      <c r="AD586" s="3"/>
      <c r="AE586" s="3"/>
      <c r="AF586" s="3"/>
      <c r="AG586" s="3"/>
      <c r="AH586" s="37"/>
      <c r="AI586" s="1"/>
      <c r="AK586" s="10"/>
      <c r="AL586" s="10"/>
      <c r="AM586" s="10"/>
      <c r="AN586" s="11"/>
      <c r="AO586" s="11"/>
      <c r="AP586" s="11"/>
      <c r="AQ586" s="36"/>
      <c r="AR586" s="11"/>
      <c r="AS586" s="11"/>
      <c r="AT586" s="11"/>
      <c r="AU586" s="12"/>
      <c r="AV586" s="11"/>
      <c r="AW586" s="11"/>
      <c r="AX586" s="15"/>
      <c r="AY586" s="15"/>
      <c r="AZ586" s="15"/>
      <c r="BA586" s="15"/>
      <c r="BB586" s="15"/>
      <c r="BC586" s="15"/>
      <c r="BD586" s="15"/>
      <c r="BE586" s="12"/>
      <c r="BF586" s="11"/>
      <c r="BG586" s="11"/>
      <c r="BH586" s="10"/>
      <c r="BI586" s="10"/>
      <c r="BJ586" s="10"/>
      <c r="BK586" s="23"/>
      <c r="BL586" s="23"/>
      <c r="BM586" s="23"/>
      <c r="BN586" s="23"/>
      <c r="BO586" s="23"/>
      <c r="BP586" s="23"/>
      <c r="BQ586" s="23"/>
      <c r="BR586" s="10"/>
      <c r="BS586" s="16"/>
      <c r="BT586" s="16"/>
      <c r="BU586" s="16"/>
      <c r="BV586" s="16"/>
      <c r="BW586" s="11"/>
      <c r="BX586" s="16"/>
      <c r="BY586" s="16"/>
      <c r="BZ586" s="17"/>
      <c r="CA586" s="18"/>
      <c r="CB586" s="18"/>
      <c r="CC586" s="18"/>
      <c r="CD586" s="18"/>
      <c r="CE586" s="18"/>
      <c r="CF586" s="18"/>
      <c r="CG586" s="19"/>
      <c r="CH586" s="15"/>
      <c r="CI586" s="17"/>
      <c r="CJ586" s="10"/>
      <c r="CK586" s="10"/>
      <c r="CL586" s="10"/>
      <c r="CM586" s="17"/>
      <c r="CN586" s="17"/>
      <c r="CO586" s="10"/>
      <c r="CP586" s="10"/>
      <c r="CQ586" s="10"/>
      <c r="CR586" s="10"/>
      <c r="CS586" s="10"/>
      <c r="CT586" s="10"/>
      <c r="CU586" s="10"/>
      <c r="CV586" s="10"/>
      <c r="CW586" s="10"/>
      <c r="CX586" s="10"/>
      <c r="CY586" s="10"/>
      <c r="CZ586" s="10"/>
      <c r="DA586" s="34"/>
      <c r="DB586" s="34"/>
      <c r="DC586" s="34"/>
      <c r="DD586" s="34"/>
      <c r="DE586" s="34"/>
      <c r="DF586" s="34"/>
      <c r="DG586" s="34"/>
      <c r="DH586" s="34"/>
      <c r="DI586" s="34"/>
      <c r="DJ586" s="34"/>
      <c r="DK586" s="34"/>
      <c r="DL586" s="34"/>
      <c r="DM586" s="34"/>
      <c r="DN586" s="34"/>
      <c r="DO586" s="34"/>
      <c r="DP586" s="34"/>
      <c r="DQ586" s="34"/>
      <c r="DR586" s="34"/>
      <c r="DS586" s="34"/>
      <c r="DT586" s="34"/>
      <c r="DU586" s="34"/>
      <c r="DV586" s="34"/>
      <c r="DW586" s="34"/>
      <c r="DX586" s="34"/>
      <c r="DY586" s="34"/>
      <c r="DZ586" s="34"/>
      <c r="EA586" s="34"/>
      <c r="EB586" s="34"/>
      <c r="EC586" s="34"/>
      <c r="ED586" s="34"/>
      <c r="EE586" s="34"/>
    </row>
    <row r="587" spans="1:135" customFormat="1">
      <c r="A587" s="71">
        <f>'Old Data'!$I583-'Old Data'!$S583</f>
        <v>-66</v>
      </c>
      <c r="B587" s="72">
        <f>VLOOKUP('Old Data'!$F583,$R$6:$T$135,2,FALSE)+VLOOKUP('Old Data'!$P583,$R$6:$T$135,3,FALSE)+$B$2</f>
        <v>180.13649144944841</v>
      </c>
      <c r="C587" s="72">
        <f>VLOOKUP('Old Data'!$P583,$R$6:$T$135,2,FALSE)+VLOOKUP('Old Data'!$F583,$R$6:$T$135,3,FALSE)+$B$2</f>
        <v>211.72467247903592</v>
      </c>
      <c r="D587" s="74">
        <f>('Old Data'!$I583-$B587)^2+('Old Data'!$S583-$C587)^2</f>
        <v>4451.8787058602184</v>
      </c>
      <c r="E587" s="75">
        <f>'Old Data'!$K583-'Old Data'!$U583</f>
        <v>-139</v>
      </c>
      <c r="F587" s="72">
        <f>VLOOKUP('Old Data'!$F583,$V$6:$X$135,2,FALSE)+VLOOKUP('Old Data'!$P583,$V$6:$X$135,3,FALSE)+$C$2</f>
        <v>213.160271129828</v>
      </c>
      <c r="G587" s="72">
        <f>VLOOKUP('Old Data'!$P583,$V$6:$X$135,2,FALSE)+VLOOKUP('Old Data'!$F583,$V$6:$X$135,3,FALSE)+$C$2</f>
        <v>341.06667314592858</v>
      </c>
      <c r="H587" s="74">
        <f>('Old Data'!$K583-$F587)^2+('Old Data'!$U583-$G587)^2</f>
        <v>16122.682735326765</v>
      </c>
      <c r="I587" s="75">
        <f>('Old Data'!$L583+'Old Data'!$M583)-('Old Data'!$V583+'Old Data'!$W583)</f>
        <v>-12</v>
      </c>
      <c r="J587" s="72">
        <f>VLOOKUP('Old Data'!$F583,$Z$6:$AB$135,2,FALSE)+VLOOKUP('Old Data'!$P583,$Z$6:$AB$135,3,FALSE)+$D$2</f>
        <v>45.901166366718499</v>
      </c>
      <c r="K587" s="72">
        <f>VLOOKUP('Old Data'!$P583,$Z$6:$AB$135,2,FALSE)+VLOOKUP('Old Data'!$F583,$Z$6:$AB$135,3,FALSE)+$D$2</f>
        <v>107.78134394191039</v>
      </c>
      <c r="L587" s="74">
        <f>('Old Data'!$L583+'Old Data'!$M583-$J587)^2+('Old Data'!$V583+'Old Data'!$W583-$K587)^2</f>
        <v>6014.9524675640332</v>
      </c>
      <c r="M587" s="75">
        <f>'Old Data'!$N583-'Old Data'!$X583</f>
        <v>1</v>
      </c>
      <c r="N587" s="72">
        <f>VLOOKUP('Old Data'!$F583,$AD$6:$AF$135,2,FALSE)+VLOOKUP('Old Data'!$P583,$AD$6:$AF$135,3,FALSE)+$E$2</f>
        <v>1.700186053686161</v>
      </c>
      <c r="O587" s="72">
        <f>VLOOKUP('Old Data'!$P583,$AD$6:$AF$135,2,FALSE)+VLOOKUP('Old Data'!$F583,$AD$6:$AF$135,3,FALSE)+$E$2</f>
        <v>1.3468684311884398</v>
      </c>
      <c r="P587" s="73">
        <f>('Old Data'!$N583-$N587)^2+('Old Data'!$X583-$O587)^2</f>
        <v>2.1160971412102052</v>
      </c>
      <c r="Q587" s="62"/>
      <c r="R587" s="3"/>
      <c r="S587" s="3"/>
      <c r="T587" s="3"/>
      <c r="V587" s="3"/>
      <c r="W587" s="3"/>
      <c r="X587" s="3"/>
      <c r="Z587" s="3"/>
      <c r="AA587" s="3"/>
      <c r="AB587" s="3"/>
      <c r="AC587" s="3"/>
      <c r="AD587" s="3"/>
      <c r="AE587" s="3"/>
      <c r="AF587" s="3"/>
      <c r="AG587" s="3"/>
      <c r="AH587" s="37"/>
      <c r="AI587" s="1"/>
      <c r="AK587" s="10"/>
      <c r="AL587" s="10"/>
      <c r="AM587" s="10"/>
      <c r="AN587" s="11"/>
      <c r="AO587" s="11"/>
      <c r="AP587" s="11"/>
      <c r="AQ587" s="36"/>
      <c r="AR587" s="11"/>
      <c r="AS587" s="11"/>
      <c r="AT587" s="11"/>
      <c r="AU587" s="12"/>
      <c r="AV587" s="11"/>
      <c r="AW587" s="11"/>
      <c r="AX587" s="15"/>
      <c r="AY587" s="15"/>
      <c r="AZ587" s="15"/>
      <c r="BA587" s="15"/>
      <c r="BB587" s="15"/>
      <c r="BC587" s="15"/>
      <c r="BD587" s="15"/>
      <c r="BE587" s="12"/>
      <c r="BF587" s="11"/>
      <c r="BG587" s="11"/>
      <c r="BH587" s="10"/>
      <c r="BI587" s="10"/>
      <c r="BJ587" s="10"/>
      <c r="BK587" s="23"/>
      <c r="BL587" s="23"/>
      <c r="BM587" s="23"/>
      <c r="BN587" s="23"/>
      <c r="BO587" s="23"/>
      <c r="BP587" s="23"/>
      <c r="BQ587" s="23"/>
      <c r="BR587" s="10"/>
      <c r="BS587" s="16"/>
      <c r="BT587" s="16"/>
      <c r="BU587" s="16"/>
      <c r="BV587" s="16"/>
      <c r="BW587" s="11"/>
      <c r="BX587" s="16"/>
      <c r="BY587" s="16"/>
      <c r="BZ587" s="17"/>
      <c r="CA587" s="18"/>
      <c r="CB587" s="18"/>
      <c r="CC587" s="18"/>
      <c r="CD587" s="18"/>
      <c r="CE587" s="18"/>
      <c r="CF587" s="18"/>
      <c r="CG587" s="19"/>
      <c r="CH587" s="15"/>
      <c r="CI587" s="17"/>
      <c r="CJ587" s="10"/>
      <c r="CK587" s="10"/>
      <c r="CL587" s="10"/>
      <c r="CM587" s="17"/>
      <c r="CN587" s="17"/>
      <c r="CO587" s="10"/>
      <c r="CP587" s="10"/>
      <c r="CQ587" s="10"/>
      <c r="CR587" s="10"/>
      <c r="CS587" s="10"/>
      <c r="CT587" s="10"/>
      <c r="CU587" s="10"/>
      <c r="CV587" s="10"/>
      <c r="CW587" s="10"/>
      <c r="CX587" s="10"/>
      <c r="CY587" s="10"/>
      <c r="CZ587" s="10"/>
      <c r="DA587" s="34"/>
      <c r="DB587" s="34"/>
      <c r="DC587" s="34"/>
      <c r="DD587" s="34"/>
      <c r="DE587" s="34"/>
      <c r="DF587" s="34"/>
      <c r="DG587" s="34"/>
      <c r="DH587" s="34"/>
      <c r="DI587" s="34"/>
      <c r="DJ587" s="34"/>
      <c r="DK587" s="34"/>
      <c r="DL587" s="34"/>
      <c r="DM587" s="34"/>
      <c r="DN587" s="34"/>
      <c r="DO587" s="34"/>
      <c r="DP587" s="34"/>
      <c r="DQ587" s="34"/>
      <c r="DR587" s="34"/>
      <c r="DS587" s="34"/>
      <c r="DT587" s="34"/>
      <c r="DU587" s="34"/>
      <c r="DV587" s="34"/>
      <c r="DW587" s="34"/>
      <c r="DX587" s="34"/>
      <c r="DY587" s="34"/>
      <c r="DZ587" s="34"/>
      <c r="EA587" s="34"/>
      <c r="EB587" s="34"/>
      <c r="EC587" s="34"/>
      <c r="ED587" s="34"/>
      <c r="EE587" s="34"/>
    </row>
    <row r="588" spans="1:135" customFormat="1">
      <c r="A588" s="71">
        <f>'Old Data'!$I584-'Old Data'!$S584</f>
        <v>151</v>
      </c>
      <c r="B588" s="72">
        <f>VLOOKUP('Old Data'!$F584,$R$6:$T$135,2,FALSE)+VLOOKUP('Old Data'!$P584,$R$6:$T$135,3,FALSE)+$B$2</f>
        <v>212.60148641003511</v>
      </c>
      <c r="C588" s="72">
        <f>VLOOKUP('Old Data'!$P584,$R$6:$T$135,2,FALSE)+VLOOKUP('Old Data'!$F584,$R$6:$T$135,3,FALSE)+$B$2</f>
        <v>90.875146907002915</v>
      </c>
      <c r="D588" s="74">
        <f>('Old Data'!$I584-$B588)^2+('Old Data'!$S584-$C588)^2</f>
        <v>1805.3721215912992</v>
      </c>
      <c r="E588" s="75">
        <f>'Old Data'!$K584-'Old Data'!$U584</f>
        <v>116</v>
      </c>
      <c r="F588" s="72">
        <f>VLOOKUP('Old Data'!$F584,$V$6:$X$135,2,FALSE)+VLOOKUP('Old Data'!$P584,$V$6:$X$135,3,FALSE)+$C$2</f>
        <v>266.46601333288578</v>
      </c>
      <c r="G588" s="72">
        <f>VLOOKUP('Old Data'!$P584,$V$6:$X$135,2,FALSE)+VLOOKUP('Old Data'!$F584,$V$6:$X$135,3,FALSE)+$C$2</f>
        <v>173.02868717709612</v>
      </c>
      <c r="H588" s="74">
        <f>('Old Data'!$K584-$F588)^2+('Old Data'!$U584-$G588)^2</f>
        <v>6810.2689311494769</v>
      </c>
      <c r="I588" s="75">
        <f>('Old Data'!$L584+'Old Data'!$M584)-('Old Data'!$V584+'Old Data'!$W584)</f>
        <v>-15</v>
      </c>
      <c r="J588" s="72">
        <f>VLOOKUP('Old Data'!$F584,$Z$6:$AB$135,2,FALSE)+VLOOKUP('Old Data'!$P584,$Z$6:$AB$135,3,FALSE)+$D$2</f>
        <v>-3.8630021186393009</v>
      </c>
      <c r="K588" s="72">
        <f>VLOOKUP('Old Data'!$P584,$Z$6:$AB$135,2,FALSE)+VLOOKUP('Old Data'!$F584,$Z$6:$AB$135,3,FALSE)+$D$2</f>
        <v>51.095517860265744</v>
      </c>
      <c r="L588" s="74">
        <f>('Old Data'!$L584+'Old Data'!$M584-$J588)^2+('Old Data'!$V584+'Old Data'!$W584-$K588)^2</f>
        <v>1317.8091949693751</v>
      </c>
      <c r="M588" s="75">
        <f>'Old Data'!$N584-'Old Data'!$X584</f>
        <v>4</v>
      </c>
      <c r="N588" s="72">
        <f>VLOOKUP('Old Data'!$F584,$AD$6:$AF$135,2,FALSE)+VLOOKUP('Old Data'!$P584,$AD$6:$AF$135,3,FALSE)+$E$2</f>
        <v>2.14256552635926</v>
      </c>
      <c r="O588" s="72">
        <f>VLOOKUP('Old Data'!$P584,$AD$6:$AF$135,2,FALSE)+VLOOKUP('Old Data'!$F584,$AD$6:$AF$135,3,FALSE)+$E$2</f>
        <v>0.74441705913724698</v>
      </c>
      <c r="P588" s="73">
        <f>('Old Data'!$N584-$N588)^2+('Old Data'!$X584-$O588)^2</f>
        <v>8.230254410810586</v>
      </c>
      <c r="Q588" s="62"/>
      <c r="R588" s="3"/>
      <c r="S588" s="3"/>
      <c r="T588" s="3"/>
      <c r="V588" s="3"/>
      <c r="W588" s="3"/>
      <c r="X588" s="3"/>
      <c r="Z588" s="3"/>
      <c r="AA588" s="3"/>
      <c r="AB588" s="3"/>
      <c r="AC588" s="3"/>
      <c r="AD588" s="3"/>
      <c r="AE588" s="3"/>
      <c r="AF588" s="3"/>
      <c r="AG588" s="3"/>
      <c r="AH588" s="37"/>
      <c r="AI588" s="1"/>
      <c r="AK588" s="10"/>
      <c r="AL588" s="10"/>
      <c r="AM588" s="10"/>
      <c r="AN588" s="11"/>
      <c r="AO588" s="11"/>
      <c r="AP588" s="11"/>
      <c r="AQ588" s="36"/>
      <c r="AR588" s="11"/>
      <c r="AS588" s="11"/>
      <c r="AT588" s="11"/>
      <c r="AU588" s="12"/>
      <c r="AV588" s="11"/>
      <c r="AW588" s="11"/>
      <c r="AX588" s="15"/>
      <c r="AY588" s="15"/>
      <c r="AZ588" s="15"/>
      <c r="BA588" s="15"/>
      <c r="BB588" s="15"/>
      <c r="BC588" s="15"/>
      <c r="BD588" s="15"/>
      <c r="BE588" s="12"/>
      <c r="BF588" s="11"/>
      <c r="BG588" s="11"/>
      <c r="BH588" s="10"/>
      <c r="BI588" s="10"/>
      <c r="BJ588" s="10"/>
      <c r="BK588" s="23"/>
      <c r="BL588" s="23"/>
      <c r="BM588" s="23"/>
      <c r="BN588" s="23"/>
      <c r="BO588" s="23"/>
      <c r="BP588" s="23"/>
      <c r="BQ588" s="23"/>
      <c r="BR588" s="10"/>
      <c r="BS588" s="16"/>
      <c r="BT588" s="16"/>
      <c r="BU588" s="16"/>
      <c r="BV588" s="16"/>
      <c r="BW588" s="11"/>
      <c r="BX588" s="16"/>
      <c r="BY588" s="16"/>
      <c r="BZ588" s="17"/>
      <c r="CA588" s="18"/>
      <c r="CB588" s="18"/>
      <c r="CC588" s="18"/>
      <c r="CD588" s="18"/>
      <c r="CE588" s="18"/>
      <c r="CF588" s="18"/>
      <c r="CG588" s="19"/>
      <c r="CH588" s="15"/>
      <c r="CI588" s="17"/>
      <c r="CJ588" s="10"/>
      <c r="CK588" s="10"/>
      <c r="CL588" s="10"/>
      <c r="CM588" s="17"/>
      <c r="CN588" s="17"/>
      <c r="CO588" s="10"/>
      <c r="CP588" s="10"/>
      <c r="CQ588" s="10"/>
      <c r="CR588" s="10"/>
      <c r="CS588" s="10"/>
      <c r="CT588" s="10"/>
      <c r="CU588" s="10"/>
      <c r="CV588" s="10"/>
      <c r="CW588" s="10"/>
      <c r="CX588" s="10"/>
      <c r="CY588" s="10"/>
      <c r="CZ588" s="10"/>
      <c r="DA588" s="34"/>
      <c r="DB588" s="34"/>
      <c r="DC588" s="34"/>
      <c r="DD588" s="34"/>
      <c r="DE588" s="34"/>
      <c r="DF588" s="34"/>
      <c r="DG588" s="34"/>
      <c r="DH588" s="34"/>
      <c r="DI588" s="34"/>
      <c r="DJ588" s="34"/>
      <c r="DK588" s="34"/>
      <c r="DL588" s="34"/>
      <c r="DM588" s="34"/>
      <c r="DN588" s="34"/>
      <c r="DO588" s="34"/>
      <c r="DP588" s="34"/>
      <c r="DQ588" s="34"/>
      <c r="DR588" s="34"/>
      <c r="DS588" s="34"/>
      <c r="DT588" s="34"/>
      <c r="DU588" s="34"/>
      <c r="DV588" s="34"/>
      <c r="DW588" s="34"/>
      <c r="DX588" s="34"/>
      <c r="DY588" s="34"/>
      <c r="DZ588" s="34"/>
      <c r="EA588" s="34"/>
      <c r="EB588" s="34"/>
      <c r="EC588" s="34"/>
      <c r="ED588" s="34"/>
      <c r="EE588" s="34"/>
    </row>
    <row r="589" spans="1:135" customFormat="1">
      <c r="A589" s="71">
        <f>'Old Data'!$I585-'Old Data'!$S585</f>
        <v>-29</v>
      </c>
      <c r="B589" s="72">
        <f>VLOOKUP('Old Data'!$F585,$R$6:$T$135,2,FALSE)+VLOOKUP('Old Data'!$P585,$R$6:$T$135,3,FALSE)+$B$2</f>
        <v>110.5109532702629</v>
      </c>
      <c r="C589" s="72">
        <f>VLOOKUP('Old Data'!$P585,$R$6:$T$135,2,FALSE)+VLOOKUP('Old Data'!$F585,$R$6:$T$135,3,FALSE)+$B$2</f>
        <v>250.1693203928574</v>
      </c>
      <c r="D589" s="74">
        <f>('Old Data'!$I585-$B589)^2+('Old Data'!$S585-$C589)^2</f>
        <v>8550.3073760031202</v>
      </c>
      <c r="E589" s="75">
        <f>'Old Data'!$K585-'Old Data'!$U585</f>
        <v>132</v>
      </c>
      <c r="F589" s="72">
        <f>VLOOKUP('Old Data'!$F585,$V$6:$X$135,2,FALSE)+VLOOKUP('Old Data'!$P585,$V$6:$X$135,3,FALSE)+$C$2</f>
        <v>304.37337646056687</v>
      </c>
      <c r="G589" s="72">
        <f>VLOOKUP('Old Data'!$P585,$V$6:$X$135,2,FALSE)+VLOOKUP('Old Data'!$F585,$V$6:$X$135,3,FALSE)+$C$2</f>
        <v>153.87232020079674</v>
      </c>
      <c r="H589" s="74">
        <f>('Old Data'!$K585-$F589)^2+('Old Data'!$U585-$G589)^2</f>
        <v>1128.3640716882937</v>
      </c>
      <c r="I589" s="75">
        <f>('Old Data'!$L585+'Old Data'!$M585)-('Old Data'!$V585+'Old Data'!$W585)</f>
        <v>4</v>
      </c>
      <c r="J589" s="72">
        <f>VLOOKUP('Old Data'!$F585,$Z$6:$AB$135,2,FALSE)+VLOOKUP('Old Data'!$P585,$Z$6:$AB$135,3,FALSE)+$D$2</f>
        <v>53.748059405700879</v>
      </c>
      <c r="K589" s="72">
        <f>VLOOKUP('Old Data'!$P585,$Z$6:$AB$135,2,FALSE)+VLOOKUP('Old Data'!$F585,$Z$6:$AB$135,3,FALSE)+$D$2</f>
        <v>66.496955243187202</v>
      </c>
      <c r="L589" s="74">
        <f>('Old Data'!$L585+'Old Data'!$M585-$J589)^2+('Old Data'!$V585+'Old Data'!$W585-$K589)^2</f>
        <v>1808.0819223410595</v>
      </c>
      <c r="M589" s="75">
        <f>'Old Data'!$N585-'Old Data'!$X585</f>
        <v>2</v>
      </c>
      <c r="N589" s="72">
        <f>VLOOKUP('Old Data'!$F585,$AD$6:$AF$135,2,FALSE)+VLOOKUP('Old Data'!$P585,$AD$6:$AF$135,3,FALSE)+$E$2</f>
        <v>1.9110578781787522</v>
      </c>
      <c r="O589" s="72">
        <f>VLOOKUP('Old Data'!$P585,$AD$6:$AF$135,2,FALSE)+VLOOKUP('Old Data'!$F585,$AD$6:$AF$135,3,FALSE)+$E$2</f>
        <v>2.036250838386831</v>
      </c>
      <c r="P589" s="73">
        <f>('Old Data'!$N585-$N589)^2+('Old Data'!$X585-$O589)^2</f>
        <v>4.3649933116028041</v>
      </c>
      <c r="Q589" s="62"/>
      <c r="R589" s="3"/>
      <c r="S589" s="3"/>
      <c r="T589" s="3"/>
      <c r="V589" s="3"/>
      <c r="W589" s="3"/>
      <c r="X589" s="3"/>
      <c r="Z589" s="3"/>
      <c r="AA589" s="3"/>
      <c r="AB589" s="3"/>
      <c r="AC589" s="3"/>
      <c r="AD589" s="3"/>
      <c r="AE589" s="3"/>
      <c r="AF589" s="3"/>
      <c r="AG589" s="3"/>
      <c r="AH589" s="37"/>
      <c r="AI589" s="1"/>
      <c r="AK589" s="10"/>
      <c r="AL589" s="10"/>
      <c r="AM589" s="10"/>
      <c r="AN589" s="11"/>
      <c r="AO589" s="11"/>
      <c r="AP589" s="11"/>
      <c r="AQ589" s="36"/>
      <c r="AR589" s="11"/>
      <c r="AS589" s="11"/>
      <c r="AT589" s="11"/>
      <c r="AU589" s="12"/>
      <c r="AV589" s="11"/>
      <c r="AW589" s="11"/>
      <c r="AX589" s="15"/>
      <c r="AY589" s="15"/>
      <c r="AZ589" s="15"/>
      <c r="BA589" s="15"/>
      <c r="BB589" s="15"/>
      <c r="BC589" s="15"/>
      <c r="BD589" s="15"/>
      <c r="BE589" s="12"/>
      <c r="BF589" s="11"/>
      <c r="BG589" s="11"/>
      <c r="BH589" s="10"/>
      <c r="BI589" s="10"/>
      <c r="BJ589" s="10"/>
      <c r="BK589" s="23"/>
      <c r="BL589" s="23"/>
      <c r="BM589" s="23"/>
      <c r="BN589" s="23"/>
      <c r="BO589" s="23"/>
      <c r="BP589" s="23"/>
      <c r="BQ589" s="23"/>
      <c r="BR589" s="10"/>
      <c r="BS589" s="16"/>
      <c r="BT589" s="16"/>
      <c r="BU589" s="16"/>
      <c r="BV589" s="16"/>
      <c r="BW589" s="11"/>
      <c r="BX589" s="16"/>
      <c r="BY589" s="16"/>
      <c r="BZ589" s="17"/>
      <c r="CA589" s="18"/>
      <c r="CB589" s="18"/>
      <c r="CC589" s="18"/>
      <c r="CD589" s="18"/>
      <c r="CE589" s="18"/>
      <c r="CF589" s="18"/>
      <c r="CG589" s="19"/>
      <c r="CH589" s="15"/>
      <c r="CI589" s="17"/>
      <c r="CJ589" s="10"/>
      <c r="CK589" s="10"/>
      <c r="CL589" s="10"/>
      <c r="CM589" s="17"/>
      <c r="CN589" s="17"/>
      <c r="CO589" s="10"/>
      <c r="CP589" s="10"/>
      <c r="CQ589" s="10"/>
      <c r="CR589" s="10"/>
      <c r="CS589" s="10"/>
      <c r="CT589" s="10"/>
      <c r="CU589" s="10"/>
      <c r="CV589" s="10"/>
      <c r="CW589" s="10"/>
      <c r="CX589" s="10"/>
      <c r="CY589" s="10"/>
      <c r="CZ589" s="10"/>
      <c r="DA589" s="34"/>
      <c r="DB589" s="34"/>
      <c r="DC589" s="34"/>
      <c r="DD589" s="34"/>
      <c r="DE589" s="34"/>
      <c r="DF589" s="34"/>
      <c r="DG589" s="34"/>
      <c r="DH589" s="34"/>
      <c r="DI589" s="34"/>
      <c r="DJ589" s="34"/>
      <c r="DK589" s="34"/>
      <c r="DL589" s="34"/>
      <c r="DM589" s="34"/>
      <c r="DN589" s="34"/>
      <c r="DO589" s="34"/>
      <c r="DP589" s="34"/>
      <c r="DQ589" s="34"/>
      <c r="DR589" s="34"/>
      <c r="DS589" s="34"/>
      <c r="DT589" s="34"/>
      <c r="DU589" s="34"/>
      <c r="DV589" s="34"/>
      <c r="DW589" s="34"/>
      <c r="DX589" s="34"/>
      <c r="DY589" s="34"/>
      <c r="DZ589" s="34"/>
      <c r="EA589" s="34"/>
      <c r="EB589" s="34"/>
      <c r="EC589" s="34"/>
      <c r="ED589" s="34"/>
      <c r="EE589" s="34"/>
    </row>
    <row r="590" spans="1:135" customFormat="1">
      <c r="A590" s="71">
        <f>'Old Data'!$I586-'Old Data'!$S586</f>
        <v>-274</v>
      </c>
      <c r="B590" s="72">
        <f>VLOOKUP('Old Data'!$F586,$R$6:$T$135,2,FALSE)+VLOOKUP('Old Data'!$P586,$R$6:$T$135,3,FALSE)+$B$2</f>
        <v>149.3689529273754</v>
      </c>
      <c r="C590" s="72">
        <f>VLOOKUP('Old Data'!$P586,$R$6:$T$135,2,FALSE)+VLOOKUP('Old Data'!$F586,$R$6:$T$135,3,FALSE)+$B$2</f>
        <v>307.83055567851272</v>
      </c>
      <c r="D590" s="74">
        <f>('Old Data'!$I586-$B590)^2+('Old Data'!$S586-$C590)^2</f>
        <v>9324.5163930300787</v>
      </c>
      <c r="E590" s="75">
        <f>'Old Data'!$K586-'Old Data'!$U586</f>
        <v>-37</v>
      </c>
      <c r="F590" s="72">
        <f>VLOOKUP('Old Data'!$F586,$V$6:$X$135,2,FALSE)+VLOOKUP('Old Data'!$P586,$V$6:$X$135,3,FALSE)+$C$2</f>
        <v>109.9736614380807</v>
      </c>
      <c r="G590" s="72">
        <f>VLOOKUP('Old Data'!$P586,$V$6:$X$135,2,FALSE)+VLOOKUP('Old Data'!$F586,$V$6:$X$135,3,FALSE)+$C$2</f>
        <v>123.20159435844121</v>
      </c>
      <c r="H590" s="74">
        <f>('Old Data'!$K586-$F590)^2+('Old Data'!$U586-$G590)^2</f>
        <v>413.37503666089748</v>
      </c>
      <c r="I590" s="75">
        <f>('Old Data'!$L586+'Old Data'!$M586)-('Old Data'!$V586+'Old Data'!$W586)</f>
        <v>0</v>
      </c>
      <c r="J590" s="72">
        <f>VLOOKUP('Old Data'!$F586,$Z$6:$AB$135,2,FALSE)+VLOOKUP('Old Data'!$P586,$Z$6:$AB$135,3,FALSE)+$D$2</f>
        <v>25.055810095882208</v>
      </c>
      <c r="K590" s="72">
        <f>VLOOKUP('Old Data'!$P586,$Z$6:$AB$135,2,FALSE)+VLOOKUP('Old Data'!$F586,$Z$6:$AB$135,3,FALSE)+$D$2</f>
        <v>51.83820067680189</v>
      </c>
      <c r="L590" s="74">
        <f>('Old Data'!$L586+'Old Data'!$M586-$J590)^2+('Old Data'!$V586+'Old Data'!$W586-$K590)^2</f>
        <v>3314.9926689692966</v>
      </c>
      <c r="M590" s="75">
        <f>'Old Data'!$N586-'Old Data'!$X586</f>
        <v>0</v>
      </c>
      <c r="N590" s="72">
        <f>VLOOKUP('Old Data'!$F586,$AD$6:$AF$135,2,FALSE)+VLOOKUP('Old Data'!$P586,$AD$6:$AF$135,3,FALSE)+$E$2</f>
        <v>1.0837691792626605</v>
      </c>
      <c r="O590" s="72">
        <f>VLOOKUP('Old Data'!$P586,$AD$6:$AF$135,2,FALSE)+VLOOKUP('Old Data'!$F586,$AD$6:$AF$135,3,FALSE)+$E$2</f>
        <v>1.174423951726745</v>
      </c>
      <c r="P590" s="73">
        <f>('Old Data'!$N586-$N590)^2+('Old Data'!$X586-$O590)^2</f>
        <v>3.7440990330313603E-2</v>
      </c>
      <c r="Q590" s="62"/>
      <c r="R590" s="3"/>
      <c r="S590" s="3"/>
      <c r="T590" s="3"/>
      <c r="V590" s="3"/>
      <c r="W590" s="3"/>
      <c r="X590" s="3"/>
      <c r="Z590" s="3"/>
      <c r="AA590" s="3"/>
      <c r="AB590" s="3"/>
      <c r="AC590" s="3"/>
      <c r="AD590" s="3"/>
      <c r="AE590" s="3"/>
      <c r="AF590" s="3"/>
      <c r="AG590" s="3"/>
      <c r="AH590" s="37"/>
      <c r="AI590" s="1"/>
      <c r="AK590" s="10"/>
      <c r="AL590" s="10"/>
      <c r="AM590" s="10"/>
      <c r="AN590" s="11"/>
      <c r="AO590" s="11"/>
      <c r="AP590" s="11"/>
      <c r="AQ590" s="36"/>
      <c r="AR590" s="11"/>
      <c r="AS590" s="11"/>
      <c r="AT590" s="11"/>
      <c r="AU590" s="12"/>
      <c r="AV590" s="11"/>
      <c r="AW590" s="11"/>
      <c r="AX590" s="15"/>
      <c r="AY590" s="15"/>
      <c r="AZ590" s="15"/>
      <c r="BA590" s="15"/>
      <c r="BB590" s="15"/>
      <c r="BC590" s="15"/>
      <c r="BD590" s="15"/>
      <c r="BE590" s="12"/>
      <c r="BF590" s="11"/>
      <c r="BG590" s="11"/>
      <c r="BH590" s="10"/>
      <c r="BI590" s="10"/>
      <c r="BJ590" s="10"/>
      <c r="BK590" s="23"/>
      <c r="BL590" s="23"/>
      <c r="BM590" s="23"/>
      <c r="BN590" s="23"/>
      <c r="BO590" s="23"/>
      <c r="BP590" s="23"/>
      <c r="BQ590" s="23"/>
      <c r="BR590" s="10"/>
      <c r="BS590" s="16"/>
      <c r="BT590" s="16"/>
      <c r="BU590" s="16"/>
      <c r="BV590" s="16"/>
      <c r="BW590" s="11"/>
      <c r="BX590" s="16"/>
      <c r="BY590" s="16"/>
      <c r="BZ590" s="17"/>
      <c r="CA590" s="18"/>
      <c r="CB590" s="18"/>
      <c r="CC590" s="18"/>
      <c r="CD590" s="18"/>
      <c r="CE590" s="18"/>
      <c r="CF590" s="18"/>
      <c r="CG590" s="19"/>
      <c r="CH590" s="15"/>
      <c r="CI590" s="17"/>
      <c r="CJ590" s="10"/>
      <c r="CK590" s="10"/>
      <c r="CL590" s="10"/>
      <c r="CM590" s="17"/>
      <c r="CN590" s="17"/>
      <c r="CO590" s="10"/>
      <c r="CP590" s="10"/>
      <c r="CQ590" s="10"/>
      <c r="CR590" s="10"/>
      <c r="CS590" s="10"/>
      <c r="CT590" s="10"/>
      <c r="CU590" s="10"/>
      <c r="CV590" s="10"/>
      <c r="CW590" s="10"/>
      <c r="CX590" s="10"/>
      <c r="CY590" s="10"/>
      <c r="CZ590" s="10"/>
      <c r="DA590" s="34"/>
      <c r="DB590" s="34"/>
      <c r="DC590" s="34"/>
      <c r="DD590" s="34"/>
      <c r="DE590" s="34"/>
      <c r="DF590" s="34"/>
      <c r="DG590" s="34"/>
      <c r="DH590" s="34"/>
      <c r="DI590" s="34"/>
      <c r="DJ590" s="34"/>
      <c r="DK590" s="34"/>
      <c r="DL590" s="34"/>
      <c r="DM590" s="34"/>
      <c r="DN590" s="34"/>
      <c r="DO590" s="34"/>
      <c r="DP590" s="34"/>
      <c r="DQ590" s="34"/>
      <c r="DR590" s="34"/>
      <c r="DS590" s="34"/>
      <c r="DT590" s="34"/>
      <c r="DU590" s="34"/>
      <c r="DV590" s="34"/>
      <c r="DW590" s="34"/>
      <c r="DX590" s="34"/>
      <c r="DY590" s="34"/>
      <c r="DZ590" s="34"/>
      <c r="EA590" s="34"/>
      <c r="EB590" s="34"/>
      <c r="EC590" s="34"/>
      <c r="ED590" s="34"/>
      <c r="EE590" s="34"/>
    </row>
    <row r="591" spans="1:135" customFormat="1">
      <c r="A591" s="71">
        <f>'Old Data'!$I587-'Old Data'!$S587</f>
        <v>94</v>
      </c>
      <c r="B591" s="72">
        <f>VLOOKUP('Old Data'!$F587,$R$6:$T$135,2,FALSE)+VLOOKUP('Old Data'!$P587,$R$6:$T$135,3,FALSE)+$B$2</f>
        <v>102.9079178793917</v>
      </c>
      <c r="C591" s="72">
        <f>VLOOKUP('Old Data'!$P587,$R$6:$T$135,2,FALSE)+VLOOKUP('Old Data'!$F587,$R$6:$T$135,3,FALSE)+$B$2</f>
        <v>94.227445525453803</v>
      </c>
      <c r="D591" s="74">
        <f>('Old Data'!$I587-$B591)^2+('Old Data'!$S587-$C591)^2</f>
        <v>6169.8308622432933</v>
      </c>
      <c r="E591" s="75">
        <f>'Old Data'!$K587-'Old Data'!$U587</f>
        <v>26</v>
      </c>
      <c r="F591" s="72">
        <f>VLOOKUP('Old Data'!$F587,$V$6:$X$135,2,FALSE)+VLOOKUP('Old Data'!$P587,$V$6:$X$135,3,FALSE)+$C$2</f>
        <v>425.53070702861237</v>
      </c>
      <c r="G591" s="72">
        <f>VLOOKUP('Old Data'!$P587,$V$6:$X$135,2,FALSE)+VLOOKUP('Old Data'!$F587,$V$6:$X$135,3,FALSE)+$C$2</f>
        <v>355.05076676375</v>
      </c>
      <c r="H591" s="74">
        <f>('Old Data'!$K587-$F591)^2+('Old Data'!$U587-$G591)^2</f>
        <v>28231.336731455671</v>
      </c>
      <c r="I591" s="75">
        <f>('Old Data'!$L587+'Old Data'!$M587)-('Old Data'!$V587+'Old Data'!$W587)</f>
        <v>111</v>
      </c>
      <c r="J591" s="72">
        <f>VLOOKUP('Old Data'!$F587,$Z$6:$AB$135,2,FALSE)+VLOOKUP('Old Data'!$P587,$Z$6:$AB$135,3,FALSE)+$D$2</f>
        <v>70.401252140512867</v>
      </c>
      <c r="K591" s="72">
        <f>VLOOKUP('Old Data'!$P587,$Z$6:$AB$135,2,FALSE)+VLOOKUP('Old Data'!$F587,$Z$6:$AB$135,3,FALSE)+$D$2</f>
        <v>76.040731243820048</v>
      </c>
      <c r="L591" s="74">
        <f>('Old Data'!$L587+'Old Data'!$M587-$J591)^2+('Old Data'!$V587+'Old Data'!$W587-$K591)^2</f>
        <v>7886.2084983377827</v>
      </c>
      <c r="M591" s="75">
        <f>'Old Data'!$N587-'Old Data'!$X587</f>
        <v>1</v>
      </c>
      <c r="N591" s="72">
        <f>VLOOKUP('Old Data'!$F587,$AD$6:$AF$135,2,FALSE)+VLOOKUP('Old Data'!$P587,$AD$6:$AF$135,3,FALSE)+$E$2</f>
        <v>1.1838317687281901</v>
      </c>
      <c r="O591" s="72">
        <f>VLOOKUP('Old Data'!$P587,$AD$6:$AF$135,2,FALSE)+VLOOKUP('Old Data'!$F587,$AD$6:$AF$135,3,FALSE)+$E$2</f>
        <v>1.5838930767422039</v>
      </c>
      <c r="P591" s="73">
        <f>('Old Data'!$N587-$N591)^2+('Old Data'!$X587-$O591)^2</f>
        <v>1.0070617068048318</v>
      </c>
      <c r="Q591" s="62"/>
      <c r="R591" s="3"/>
      <c r="S591" s="3"/>
      <c r="T591" s="3"/>
      <c r="V591" s="3"/>
      <c r="W591" s="3"/>
      <c r="X591" s="3"/>
      <c r="Z591" s="3"/>
      <c r="AA591" s="3"/>
      <c r="AB591" s="3"/>
      <c r="AC591" s="3"/>
      <c r="AD591" s="3"/>
      <c r="AE591" s="3"/>
      <c r="AF591" s="3"/>
      <c r="AG591" s="3"/>
      <c r="AH591" s="37"/>
      <c r="AI591" s="1"/>
      <c r="AK591" s="10"/>
      <c r="AL591" s="10"/>
      <c r="AM591" s="10"/>
      <c r="AN591" s="11"/>
      <c r="AO591" s="11"/>
      <c r="AP591" s="11"/>
      <c r="AQ591" s="36"/>
      <c r="AR591" s="11"/>
      <c r="AS591" s="11"/>
      <c r="AT591" s="11"/>
      <c r="AU591" s="12"/>
      <c r="AV591" s="11"/>
      <c r="AW591" s="11"/>
      <c r="AX591" s="15"/>
      <c r="AY591" s="15"/>
      <c r="AZ591" s="15"/>
      <c r="BA591" s="15"/>
      <c r="BB591" s="15"/>
      <c r="BC591" s="15"/>
      <c r="BD591" s="15"/>
      <c r="BE591" s="12"/>
      <c r="BF591" s="11"/>
      <c r="BG591" s="11"/>
      <c r="BH591" s="10"/>
      <c r="BI591" s="10"/>
      <c r="BJ591" s="10"/>
      <c r="BK591" s="23"/>
      <c r="BL591" s="23"/>
      <c r="BM591" s="23"/>
      <c r="BN591" s="23"/>
      <c r="BO591" s="23"/>
      <c r="BP591" s="23"/>
      <c r="BQ591" s="23"/>
      <c r="BR591" s="10"/>
      <c r="BS591" s="16"/>
      <c r="BT591" s="16"/>
      <c r="BU591" s="16"/>
      <c r="BV591" s="16"/>
      <c r="BW591" s="11"/>
      <c r="BX591" s="16"/>
      <c r="BY591" s="16"/>
      <c r="BZ591" s="17"/>
      <c r="CA591" s="18"/>
      <c r="CB591" s="18"/>
      <c r="CC591" s="18"/>
      <c r="CD591" s="18"/>
      <c r="CE591" s="18"/>
      <c r="CF591" s="18"/>
      <c r="CG591" s="19"/>
      <c r="CH591" s="15"/>
      <c r="CI591" s="17"/>
      <c r="CJ591" s="10"/>
      <c r="CK591" s="10"/>
      <c r="CL591" s="10"/>
      <c r="CM591" s="17"/>
      <c r="CN591" s="17"/>
      <c r="CO591" s="10"/>
      <c r="CP591" s="10"/>
      <c r="CQ591" s="10"/>
      <c r="CR591" s="10"/>
      <c r="CS591" s="10"/>
      <c r="CT591" s="10"/>
      <c r="CU591" s="10"/>
      <c r="CV591" s="10"/>
      <c r="CW591" s="10"/>
      <c r="CX591" s="10"/>
      <c r="CY591" s="10"/>
      <c r="CZ591" s="10"/>
      <c r="DA591" s="34"/>
      <c r="DB591" s="34"/>
      <c r="DC591" s="34"/>
      <c r="DD591" s="34"/>
      <c r="DE591" s="34"/>
      <c r="DF591" s="34"/>
      <c r="DG591" s="34"/>
      <c r="DH591" s="34"/>
      <c r="DI591" s="34"/>
      <c r="DJ591" s="34"/>
      <c r="DK591" s="34"/>
      <c r="DL591" s="34"/>
      <c r="DM591" s="34"/>
      <c r="DN591" s="34"/>
      <c r="DO591" s="34"/>
      <c r="DP591" s="34"/>
      <c r="DQ591" s="34"/>
      <c r="DR591" s="34"/>
      <c r="DS591" s="34"/>
      <c r="DT591" s="34"/>
      <c r="DU591" s="34"/>
      <c r="DV591" s="34"/>
      <c r="DW591" s="34"/>
      <c r="DX591" s="34"/>
      <c r="DY591" s="34"/>
      <c r="DZ591" s="34"/>
      <c r="EA591" s="34"/>
      <c r="EB591" s="34"/>
      <c r="EC591" s="34"/>
      <c r="ED591" s="34"/>
      <c r="EE591" s="34"/>
    </row>
    <row r="592" spans="1:135" customFormat="1">
      <c r="A592" s="71">
        <f>'Old Data'!$I588-'Old Data'!$S588</f>
        <v>-109</v>
      </c>
      <c r="B592" s="72">
        <f>VLOOKUP('Old Data'!$F588,$R$6:$T$135,2,FALSE)+VLOOKUP('Old Data'!$P588,$R$6:$T$135,3,FALSE)+$B$2</f>
        <v>125.37444554488393</v>
      </c>
      <c r="C592" s="72">
        <f>VLOOKUP('Old Data'!$P588,$R$6:$T$135,2,FALSE)+VLOOKUP('Old Data'!$F588,$R$6:$T$135,3,FALSE)+$B$2</f>
        <v>181.88353386827299</v>
      </c>
      <c r="D592" s="74">
        <f>('Old Data'!$I588-$B592)^2+('Old Data'!$S588-$C592)^2</f>
        <v>1386.7130986623192</v>
      </c>
      <c r="E592" s="75">
        <f>'Old Data'!$K588-'Old Data'!$U588</f>
        <v>35</v>
      </c>
      <c r="F592" s="72">
        <f>VLOOKUP('Old Data'!$F588,$V$6:$X$135,2,FALSE)+VLOOKUP('Old Data'!$P588,$V$6:$X$135,3,FALSE)+$C$2</f>
        <v>196.50558747079918</v>
      </c>
      <c r="G592" s="72">
        <f>VLOOKUP('Old Data'!$P588,$V$6:$X$135,2,FALSE)+VLOOKUP('Old Data'!$F588,$V$6:$X$135,3,FALSE)+$C$2</f>
        <v>302.62260398941442</v>
      </c>
      <c r="H592" s="74">
        <f>('Old Data'!$K588-$F592)^2+('Old Data'!$U588-$G592)^2</f>
        <v>16670.144182698019</v>
      </c>
      <c r="I592" s="75">
        <f>('Old Data'!$L588+'Old Data'!$M588)-('Old Data'!$V588+'Old Data'!$W588)</f>
        <v>53</v>
      </c>
      <c r="J592" s="72">
        <f>VLOOKUP('Old Data'!$F588,$Z$6:$AB$135,2,FALSE)+VLOOKUP('Old Data'!$P588,$Z$6:$AB$135,3,FALSE)+$D$2</f>
        <v>67.559499182003663</v>
      </c>
      <c r="K592" s="72">
        <f>VLOOKUP('Old Data'!$P588,$Z$6:$AB$135,2,FALSE)+VLOOKUP('Old Data'!$F588,$Z$6:$AB$135,3,FALSE)+$D$2</f>
        <v>55.350186028944876</v>
      </c>
      <c r="L592" s="74">
        <f>('Old Data'!$L588+'Old Data'!$M588-$J592)^2+('Old Data'!$V588+'Old Data'!$W588-$K592)^2</f>
        <v>1550.5121831192166</v>
      </c>
      <c r="M592" s="75">
        <f>'Old Data'!$N588-'Old Data'!$X588</f>
        <v>-1</v>
      </c>
      <c r="N592" s="72">
        <f>VLOOKUP('Old Data'!$F588,$AD$6:$AF$135,2,FALSE)+VLOOKUP('Old Data'!$P588,$AD$6:$AF$135,3,FALSE)+$E$2</f>
        <v>1.798626444410321</v>
      </c>
      <c r="O592" s="72">
        <f>VLOOKUP('Old Data'!$P588,$AD$6:$AF$135,2,FALSE)+VLOOKUP('Old Data'!$F588,$AD$6:$AF$135,3,FALSE)+$E$2</f>
        <v>1.5649809868250451</v>
      </c>
      <c r="P592" s="73">
        <f>('Old Data'!$N588-$N592)^2+('Old Data'!$X588-$O592)^2</f>
        <v>2.0998308770644512</v>
      </c>
      <c r="Q592" s="62"/>
      <c r="R592" s="3"/>
      <c r="S592" s="3"/>
      <c r="T592" s="3"/>
      <c r="V592" s="3"/>
      <c r="W592" s="3"/>
      <c r="X592" s="3"/>
      <c r="Z592" s="3"/>
      <c r="AA592" s="3"/>
      <c r="AB592" s="3"/>
      <c r="AC592" s="3"/>
      <c r="AD592" s="3"/>
      <c r="AE592" s="3"/>
      <c r="AF592" s="3"/>
      <c r="AG592" s="3"/>
      <c r="AH592" s="37"/>
      <c r="AI592" s="1"/>
      <c r="AK592" s="10"/>
      <c r="AL592" s="10"/>
      <c r="AM592" s="10"/>
      <c r="AN592" s="11"/>
      <c r="AO592" s="11"/>
      <c r="AP592" s="11"/>
      <c r="AQ592" s="36"/>
      <c r="AR592" s="11"/>
      <c r="AS592" s="11"/>
      <c r="AT592" s="11"/>
      <c r="AU592" s="12"/>
      <c r="AV592" s="11"/>
      <c r="AW592" s="11"/>
      <c r="AX592" s="15"/>
      <c r="AY592" s="15"/>
      <c r="AZ592" s="15"/>
      <c r="BA592" s="15"/>
      <c r="BB592" s="15"/>
      <c r="BC592" s="15"/>
      <c r="BD592" s="15"/>
      <c r="BE592" s="12"/>
      <c r="BF592" s="11"/>
      <c r="BG592" s="11"/>
      <c r="BH592" s="10"/>
      <c r="BI592" s="10"/>
      <c r="BJ592" s="10"/>
      <c r="BK592" s="23"/>
      <c r="BL592" s="23"/>
      <c r="BM592" s="23"/>
      <c r="BN592" s="23"/>
      <c r="BO592" s="23"/>
      <c r="BP592" s="23"/>
      <c r="BQ592" s="23"/>
      <c r="BR592" s="10"/>
      <c r="BS592" s="16"/>
      <c r="BT592" s="16"/>
      <c r="BU592" s="16"/>
      <c r="BV592" s="16"/>
      <c r="BW592" s="11"/>
      <c r="BX592" s="16"/>
      <c r="BY592" s="16"/>
      <c r="BZ592" s="17"/>
      <c r="CA592" s="18"/>
      <c r="CB592" s="18"/>
      <c r="CC592" s="18"/>
      <c r="CD592" s="18"/>
      <c r="CE592" s="18"/>
      <c r="CF592" s="18"/>
      <c r="CG592" s="19"/>
      <c r="CH592" s="15"/>
      <c r="CI592" s="17"/>
      <c r="CJ592" s="10"/>
      <c r="CK592" s="10"/>
      <c r="CL592" s="10"/>
      <c r="CM592" s="17"/>
      <c r="CN592" s="17"/>
      <c r="CO592" s="10"/>
      <c r="CP592" s="10"/>
      <c r="CQ592" s="10"/>
      <c r="CR592" s="10"/>
      <c r="CS592" s="10"/>
      <c r="CT592" s="10"/>
      <c r="CU592" s="10"/>
      <c r="CV592" s="10"/>
      <c r="CW592" s="10"/>
      <c r="CX592" s="10"/>
      <c r="CY592" s="10"/>
      <c r="CZ592" s="10"/>
      <c r="DA592" s="34"/>
      <c r="DB592" s="34"/>
      <c r="DC592" s="34"/>
      <c r="DD592" s="34"/>
      <c r="DE592" s="34"/>
      <c r="DF592" s="34"/>
      <c r="DG592" s="34"/>
      <c r="DH592" s="34"/>
      <c r="DI592" s="34"/>
      <c r="DJ592" s="34"/>
      <c r="DK592" s="34"/>
      <c r="DL592" s="34"/>
      <c r="DM592" s="34"/>
      <c r="DN592" s="34"/>
      <c r="DO592" s="34"/>
      <c r="DP592" s="34"/>
      <c r="DQ592" s="34"/>
      <c r="DR592" s="34"/>
      <c r="DS592" s="34"/>
      <c r="DT592" s="34"/>
      <c r="DU592" s="34"/>
      <c r="DV592" s="34"/>
      <c r="DW592" s="34"/>
      <c r="DX592" s="34"/>
      <c r="DY592" s="34"/>
      <c r="DZ592" s="34"/>
      <c r="EA592" s="34"/>
      <c r="EB592" s="34"/>
      <c r="EC592" s="34"/>
      <c r="ED592" s="34"/>
      <c r="EE592" s="34"/>
    </row>
    <row r="593" spans="1:135" customFormat="1">
      <c r="A593" s="71">
        <f>'Old Data'!$I589-'Old Data'!$S589</f>
        <v>-251</v>
      </c>
      <c r="B593" s="72">
        <f>VLOOKUP('Old Data'!$F589,$R$6:$T$135,2,FALSE)+VLOOKUP('Old Data'!$P589,$R$6:$T$135,3,FALSE)+$B$2</f>
        <v>57.473181145005512</v>
      </c>
      <c r="C593" s="72">
        <f>VLOOKUP('Old Data'!$P589,$R$6:$T$135,2,FALSE)+VLOOKUP('Old Data'!$F589,$R$6:$T$135,3,FALSE)+$B$2</f>
        <v>354.60438660289469</v>
      </c>
      <c r="D593" s="74">
        <f>('Old Data'!$I589-$B593)^2+('Old Data'!$S589-$C593)^2</f>
        <v>1076.1592281372484</v>
      </c>
      <c r="E593" s="75">
        <f>'Old Data'!$K589-'Old Data'!$U589</f>
        <v>151</v>
      </c>
      <c r="F593" s="72">
        <f>VLOOKUP('Old Data'!$F589,$V$6:$X$135,2,FALSE)+VLOOKUP('Old Data'!$P589,$V$6:$X$135,3,FALSE)+$C$2</f>
        <v>126.79858123372048</v>
      </c>
      <c r="G593" s="72">
        <f>VLOOKUP('Old Data'!$P589,$V$6:$X$135,2,FALSE)+VLOOKUP('Old Data'!$F589,$V$6:$X$135,3,FALSE)+$C$2</f>
        <v>195.52124632023572</v>
      </c>
      <c r="H593" s="74">
        <f>('Old Data'!$K589-$F593)^2+('Old Data'!$U589-$G593)^2</f>
        <v>24325.652644717775</v>
      </c>
      <c r="I593" s="75">
        <f>('Old Data'!$L589+'Old Data'!$M589)-('Old Data'!$V589+'Old Data'!$W589)</f>
        <v>81</v>
      </c>
      <c r="J593" s="72">
        <f>VLOOKUP('Old Data'!$F589,$Z$6:$AB$135,2,FALSE)+VLOOKUP('Old Data'!$P589,$Z$6:$AB$135,3,FALSE)+$D$2</f>
        <v>125.50893378698139</v>
      </c>
      <c r="K593" s="72">
        <f>VLOOKUP('Old Data'!$P589,$Z$6:$AB$135,2,FALSE)+VLOOKUP('Old Data'!$F589,$Z$6:$AB$135,3,FALSE)+$D$2</f>
        <v>64.222818801241203</v>
      </c>
      <c r="L593" s="74">
        <f>('Old Data'!$L589+'Old Data'!$M589-$J593)^2+('Old Data'!$V589+'Old Data'!$W589-$K593)^2</f>
        <v>4310.4440950429471</v>
      </c>
      <c r="M593" s="75">
        <f>'Old Data'!$N589-'Old Data'!$X589</f>
        <v>2</v>
      </c>
      <c r="N593" s="72">
        <f>VLOOKUP('Old Data'!$F589,$AD$6:$AF$135,2,FALSE)+VLOOKUP('Old Data'!$P589,$AD$6:$AF$135,3,FALSE)+$E$2</f>
        <v>2.1933545812878932</v>
      </c>
      <c r="O593" s="72">
        <f>VLOOKUP('Old Data'!$P589,$AD$6:$AF$135,2,FALSE)+VLOOKUP('Old Data'!$F589,$AD$6:$AF$135,3,FALSE)+$E$2</f>
        <v>1.5767856422897681</v>
      </c>
      <c r="P593" s="73">
        <f>('Old Data'!$N589-$N593)^2+('Old Data'!$X589-$O593)^2</f>
        <v>0.98335850868085051</v>
      </c>
      <c r="Q593" s="62"/>
      <c r="R593" s="3"/>
      <c r="S593" s="3"/>
      <c r="T593" s="3"/>
      <c r="V593" s="3"/>
      <c r="W593" s="3"/>
      <c r="X593" s="3"/>
      <c r="Z593" s="3"/>
      <c r="AA593" s="3"/>
      <c r="AB593" s="3"/>
      <c r="AC593" s="3"/>
      <c r="AD593" s="3"/>
      <c r="AE593" s="3"/>
      <c r="AF593" s="3"/>
      <c r="AG593" s="3"/>
      <c r="AH593" s="37"/>
      <c r="AI593" s="1"/>
      <c r="AK593" s="10"/>
      <c r="AL593" s="10"/>
      <c r="AM593" s="10"/>
      <c r="AN593" s="11"/>
      <c r="AO593" s="11"/>
      <c r="AP593" s="11"/>
      <c r="AQ593" s="36"/>
      <c r="AR593" s="11"/>
      <c r="AS593" s="11"/>
      <c r="AT593" s="11"/>
      <c r="AU593" s="12"/>
      <c r="AV593" s="11"/>
      <c r="AW593" s="11"/>
      <c r="AX593" s="15"/>
      <c r="AY593" s="15"/>
      <c r="AZ593" s="15"/>
      <c r="BA593" s="15"/>
      <c r="BB593" s="15"/>
      <c r="BC593" s="15"/>
      <c r="BD593" s="15"/>
      <c r="BE593" s="12"/>
      <c r="BF593" s="11"/>
      <c r="BG593" s="11"/>
      <c r="BH593" s="10"/>
      <c r="BI593" s="10"/>
      <c r="BJ593" s="10"/>
      <c r="BK593" s="23"/>
      <c r="BL593" s="23"/>
      <c r="BM593" s="23"/>
      <c r="BN593" s="23"/>
      <c r="BO593" s="23"/>
      <c r="BP593" s="23"/>
      <c r="BQ593" s="23"/>
      <c r="BR593" s="10"/>
      <c r="BS593" s="16"/>
      <c r="BT593" s="16"/>
      <c r="BU593" s="16"/>
      <c r="BV593" s="16"/>
      <c r="BW593" s="11"/>
      <c r="BX593" s="16"/>
      <c r="BY593" s="16"/>
      <c r="BZ593" s="17"/>
      <c r="CA593" s="18"/>
      <c r="CB593" s="18"/>
      <c r="CC593" s="18"/>
      <c r="CD593" s="18"/>
      <c r="CE593" s="18"/>
      <c r="CF593" s="18"/>
      <c r="CG593" s="19"/>
      <c r="CH593" s="15"/>
      <c r="CI593" s="17"/>
      <c r="CJ593" s="10"/>
      <c r="CK593" s="10"/>
      <c r="CL593" s="10"/>
      <c r="CM593" s="17"/>
      <c r="CN593" s="17"/>
      <c r="CO593" s="10"/>
      <c r="CP593" s="10"/>
      <c r="CQ593" s="10"/>
      <c r="CR593" s="10"/>
      <c r="CS593" s="10"/>
      <c r="CT593" s="10"/>
      <c r="CU593" s="10"/>
      <c r="CV593" s="10"/>
      <c r="CW593" s="10"/>
      <c r="CX593" s="10"/>
      <c r="CY593" s="10"/>
      <c r="CZ593" s="10"/>
      <c r="DA593" s="34"/>
      <c r="DB593" s="34"/>
      <c r="DC593" s="34"/>
      <c r="DD593" s="34"/>
      <c r="DE593" s="34"/>
      <c r="DF593" s="34"/>
      <c r="DG593" s="34"/>
      <c r="DH593" s="34"/>
      <c r="DI593" s="34"/>
      <c r="DJ593" s="34"/>
      <c r="DK593" s="34"/>
      <c r="DL593" s="34"/>
      <c r="DM593" s="34"/>
      <c r="DN593" s="34"/>
      <c r="DO593" s="34"/>
      <c r="DP593" s="34"/>
      <c r="DQ593" s="34"/>
      <c r="DR593" s="34"/>
      <c r="DS593" s="34"/>
      <c r="DT593" s="34"/>
      <c r="DU593" s="34"/>
      <c r="DV593" s="34"/>
      <c r="DW593" s="34"/>
      <c r="DX593" s="34"/>
      <c r="DY593" s="34"/>
      <c r="DZ593" s="34"/>
      <c r="EA593" s="34"/>
      <c r="EB593" s="34"/>
      <c r="EC593" s="34"/>
      <c r="ED593" s="34"/>
      <c r="EE593" s="34"/>
    </row>
    <row r="594" spans="1:135" customFormat="1">
      <c r="A594" s="71">
        <f>'Old Data'!$I590-'Old Data'!$S590</f>
        <v>-174</v>
      </c>
      <c r="B594" s="72">
        <f>VLOOKUP('Old Data'!$F590,$R$6:$T$135,2,FALSE)+VLOOKUP('Old Data'!$P590,$R$6:$T$135,3,FALSE)+$B$2</f>
        <v>162.17566038097561</v>
      </c>
      <c r="C594" s="72">
        <f>VLOOKUP('Old Data'!$P590,$R$6:$T$135,2,FALSE)+VLOOKUP('Old Data'!$F590,$R$6:$T$135,3,FALSE)+$B$2</f>
        <v>297.686547312816</v>
      </c>
      <c r="D594" s="74">
        <f>('Old Data'!$I590-$B594)^2+('Old Data'!$S590-$C594)^2</f>
        <v>1997.6050210570318</v>
      </c>
      <c r="E594" s="75">
        <f>'Old Data'!$K590-'Old Data'!$U590</f>
        <v>-17</v>
      </c>
      <c r="F594" s="72">
        <f>VLOOKUP('Old Data'!$F590,$V$6:$X$135,2,FALSE)+VLOOKUP('Old Data'!$P590,$V$6:$X$135,3,FALSE)+$C$2</f>
        <v>169.31672881653441</v>
      </c>
      <c r="G594" s="72">
        <f>VLOOKUP('Old Data'!$P590,$V$6:$X$135,2,FALSE)+VLOOKUP('Old Data'!$F590,$V$6:$X$135,3,FALSE)+$C$2</f>
        <v>251.66568472468549</v>
      </c>
      <c r="H594" s="74">
        <f>('Old Data'!$K590-$F594)^2+('Old Data'!$U590-$G594)^2</f>
        <v>6744.9314738273933</v>
      </c>
      <c r="I594" s="75">
        <f>('Old Data'!$L590+'Old Data'!$M590)-('Old Data'!$V590+'Old Data'!$W590)</f>
        <v>-74</v>
      </c>
      <c r="J594" s="72">
        <f>VLOOKUP('Old Data'!$F590,$Z$6:$AB$135,2,FALSE)+VLOOKUP('Old Data'!$P590,$Z$6:$AB$135,3,FALSE)+$D$2</f>
        <v>63.453023095292195</v>
      </c>
      <c r="K594" s="72">
        <f>VLOOKUP('Old Data'!$P590,$Z$6:$AB$135,2,FALSE)+VLOOKUP('Old Data'!$F590,$Z$6:$AB$135,3,FALSE)+$D$2</f>
        <v>62.465627303439796</v>
      </c>
      <c r="L594" s="74">
        <f>('Old Data'!$L590+'Old Data'!$M590-$J594)^2+('Old Data'!$V590+'Old Data'!$W590-$K594)^2</f>
        <v>6180.2287400047526</v>
      </c>
      <c r="M594" s="75">
        <f>'Old Data'!$N590-'Old Data'!$X590</f>
        <v>-4</v>
      </c>
      <c r="N594" s="72">
        <f>VLOOKUP('Old Data'!$F590,$AD$6:$AF$135,2,FALSE)+VLOOKUP('Old Data'!$P590,$AD$6:$AF$135,3,FALSE)+$E$2</f>
        <v>1.2429544971891957</v>
      </c>
      <c r="O594" s="72">
        <f>VLOOKUP('Old Data'!$P590,$AD$6:$AF$135,2,FALSE)+VLOOKUP('Old Data'!$F590,$AD$6:$AF$135,3,FALSE)+$E$2</f>
        <v>1.6600916952607701</v>
      </c>
      <c r="P594" s="73">
        <f>('Old Data'!$N590-$N594)^2+('Old Data'!$X590-$O594)^2</f>
        <v>11.21401437177053</v>
      </c>
      <c r="Q594" s="62"/>
      <c r="R594" s="3"/>
      <c r="S594" s="3"/>
      <c r="T594" s="3"/>
      <c r="V594" s="3"/>
      <c r="W594" s="3"/>
      <c r="X594" s="3"/>
      <c r="Z594" s="3"/>
      <c r="AA594" s="3"/>
      <c r="AB594" s="3"/>
      <c r="AC594" s="3"/>
      <c r="AD594" s="3"/>
      <c r="AE594" s="3"/>
      <c r="AF594" s="3"/>
      <c r="AG594" s="3"/>
      <c r="AH594" s="37"/>
      <c r="AI594" s="1"/>
      <c r="AK594" s="10"/>
      <c r="AL594" s="10"/>
      <c r="AM594" s="10"/>
      <c r="AN594" s="11"/>
      <c r="AO594" s="11"/>
      <c r="AP594" s="11"/>
      <c r="AQ594" s="36"/>
      <c r="AR594" s="11"/>
      <c r="AS594" s="11"/>
      <c r="AT594" s="11"/>
      <c r="AU594" s="12"/>
      <c r="AV594" s="11"/>
      <c r="AW594" s="11"/>
      <c r="AX594" s="15"/>
      <c r="AY594" s="15"/>
      <c r="AZ594" s="15"/>
      <c r="BA594" s="15"/>
      <c r="BB594" s="15"/>
      <c r="BC594" s="15"/>
      <c r="BD594" s="15"/>
      <c r="BE594" s="12"/>
      <c r="BF594" s="11"/>
      <c r="BG594" s="11"/>
      <c r="BH594" s="10"/>
      <c r="BI594" s="10"/>
      <c r="BJ594" s="10"/>
      <c r="BK594" s="23"/>
      <c r="BL594" s="23"/>
      <c r="BM594" s="23"/>
      <c r="BN594" s="23"/>
      <c r="BO594" s="23"/>
      <c r="BP594" s="23"/>
      <c r="BQ594" s="23"/>
      <c r="BR594" s="10"/>
      <c r="BS594" s="16"/>
      <c r="BT594" s="16"/>
      <c r="BU594" s="16"/>
      <c r="BV594" s="16"/>
      <c r="BW594" s="11"/>
      <c r="BX594" s="16"/>
      <c r="BY594" s="16"/>
      <c r="BZ594" s="17"/>
      <c r="CA594" s="18"/>
      <c r="CB594" s="18"/>
      <c r="CC594" s="18"/>
      <c r="CD594" s="18"/>
      <c r="CE594" s="18"/>
      <c r="CF594" s="18"/>
      <c r="CG594" s="19"/>
      <c r="CH594" s="15"/>
      <c r="CI594" s="17"/>
      <c r="CJ594" s="10"/>
      <c r="CK594" s="10"/>
      <c r="CL594" s="10"/>
      <c r="CM594" s="17"/>
      <c r="CN594" s="17"/>
      <c r="CO594" s="10"/>
      <c r="CP594" s="10"/>
      <c r="CQ594" s="10"/>
      <c r="CR594" s="10"/>
      <c r="CS594" s="10"/>
      <c r="CT594" s="10"/>
      <c r="CU594" s="10"/>
      <c r="CV594" s="10"/>
      <c r="CW594" s="10"/>
      <c r="CX594" s="10"/>
      <c r="CY594" s="10"/>
      <c r="CZ594" s="10"/>
      <c r="DA594" s="34"/>
      <c r="DB594" s="34"/>
      <c r="DC594" s="34"/>
      <c r="DD594" s="34"/>
      <c r="DE594" s="34"/>
      <c r="DF594" s="34"/>
      <c r="DG594" s="34"/>
      <c r="DH594" s="34"/>
      <c r="DI594" s="34"/>
      <c r="DJ594" s="34"/>
      <c r="DK594" s="34"/>
      <c r="DL594" s="34"/>
      <c r="DM594" s="34"/>
      <c r="DN594" s="34"/>
      <c r="DO594" s="34"/>
      <c r="DP594" s="34"/>
      <c r="DQ594" s="34"/>
      <c r="DR594" s="34"/>
      <c r="DS594" s="34"/>
      <c r="DT594" s="34"/>
      <c r="DU594" s="34"/>
      <c r="DV594" s="34"/>
      <c r="DW594" s="34"/>
      <c r="DX594" s="34"/>
      <c r="DY594" s="34"/>
      <c r="DZ594" s="34"/>
      <c r="EA594" s="34"/>
      <c r="EB594" s="34"/>
      <c r="EC594" s="34"/>
      <c r="ED594" s="34"/>
      <c r="EE594" s="34"/>
    </row>
    <row r="595" spans="1:135" customFormat="1">
      <c r="A595" s="71">
        <f>'Old Data'!$I591-'Old Data'!$S591</f>
        <v>45</v>
      </c>
      <c r="B595" s="72">
        <f>VLOOKUP('Old Data'!$F591,$R$6:$T$135,2,FALSE)+VLOOKUP('Old Data'!$P591,$R$6:$T$135,3,FALSE)+$B$2</f>
        <v>168.91364209373512</v>
      </c>
      <c r="C595" s="72">
        <f>VLOOKUP('Old Data'!$P591,$R$6:$T$135,2,FALSE)+VLOOKUP('Old Data'!$F591,$R$6:$T$135,3,FALSE)+$B$2</f>
        <v>140.97276174000962</v>
      </c>
      <c r="D595" s="74">
        <f>('Old Data'!$I591-$B595)^2+('Old Data'!$S591-$C595)^2</f>
        <v>7479.7583697143345</v>
      </c>
      <c r="E595" s="75">
        <f>'Old Data'!$K591-'Old Data'!$U591</f>
        <v>-136</v>
      </c>
      <c r="F595" s="72">
        <f>VLOOKUP('Old Data'!$F591,$V$6:$X$135,2,FALSE)+VLOOKUP('Old Data'!$P591,$V$6:$X$135,3,FALSE)+$C$2</f>
        <v>241.5338503695838</v>
      </c>
      <c r="G595" s="72">
        <f>VLOOKUP('Old Data'!$P591,$V$6:$X$135,2,FALSE)+VLOOKUP('Old Data'!$F591,$V$6:$X$135,3,FALSE)+$C$2</f>
        <v>275.56670607155843</v>
      </c>
      <c r="H595" s="74">
        <f>('Old Data'!$K591-$F595)^2+('Old Data'!$U591-$G595)^2</f>
        <v>21961.556142675119</v>
      </c>
      <c r="I595" s="75">
        <f>('Old Data'!$L591+'Old Data'!$M591)-('Old Data'!$V591+'Old Data'!$W591)</f>
        <v>-18</v>
      </c>
      <c r="J595" s="72">
        <f>VLOOKUP('Old Data'!$F591,$Z$6:$AB$135,2,FALSE)+VLOOKUP('Old Data'!$P591,$Z$6:$AB$135,3,FALSE)+$D$2</f>
        <v>5.6755825919352247</v>
      </c>
      <c r="K595" s="72">
        <f>VLOOKUP('Old Data'!$P591,$Z$6:$AB$135,2,FALSE)+VLOOKUP('Old Data'!$F591,$Z$6:$AB$135,3,FALSE)+$D$2</f>
        <v>29.761785680273118</v>
      </c>
      <c r="L595" s="74">
        <f>('Old Data'!$L591+'Old Data'!$M591-$J595)^2+('Old Data'!$V591+'Old Data'!$W591-$K595)^2</f>
        <v>170.55184014655595</v>
      </c>
      <c r="M595" s="75">
        <f>'Old Data'!$N591-'Old Data'!$X591</f>
        <v>-3</v>
      </c>
      <c r="N595" s="72">
        <f>VLOOKUP('Old Data'!$F591,$AD$6:$AF$135,2,FALSE)+VLOOKUP('Old Data'!$P591,$AD$6:$AF$135,3,FALSE)+$E$2</f>
        <v>0.77397789274693207</v>
      </c>
      <c r="O595" s="72">
        <f>VLOOKUP('Old Data'!$P591,$AD$6:$AF$135,2,FALSE)+VLOOKUP('Old Data'!$F591,$AD$6:$AF$135,3,FALSE)+$E$2</f>
        <v>1.771638070359655</v>
      </c>
      <c r="P595" s="73">
        <f>('Old Data'!$N591-$N595)^2+('Old Data'!$X591-$O595)^2</f>
        <v>5.016682882437558</v>
      </c>
      <c r="Q595" s="62"/>
      <c r="R595" s="3"/>
      <c r="S595" s="3"/>
      <c r="T595" s="3"/>
      <c r="V595" s="3"/>
      <c r="W595" s="3"/>
      <c r="X595" s="3"/>
      <c r="Z595" s="3"/>
      <c r="AA595" s="3"/>
      <c r="AB595" s="3"/>
      <c r="AC595" s="3"/>
      <c r="AD595" s="3"/>
      <c r="AE595" s="3"/>
      <c r="AF595" s="3"/>
      <c r="AG595" s="3"/>
      <c r="AH595" s="37"/>
      <c r="AI595" s="1"/>
      <c r="AK595" s="10"/>
      <c r="AL595" s="10"/>
      <c r="AM595" s="10"/>
      <c r="AN595" s="11"/>
      <c r="AO595" s="11"/>
      <c r="AP595" s="11"/>
      <c r="AQ595" s="36"/>
      <c r="AR595" s="11"/>
      <c r="AS595" s="11"/>
      <c r="AT595" s="11"/>
      <c r="AU595" s="12"/>
      <c r="AV595" s="11"/>
      <c r="AW595" s="11"/>
      <c r="AX595" s="15"/>
      <c r="AY595" s="15"/>
      <c r="AZ595" s="15"/>
      <c r="BA595" s="15"/>
      <c r="BB595" s="15"/>
      <c r="BC595" s="15"/>
      <c r="BD595" s="15"/>
      <c r="BE595" s="12"/>
      <c r="BF595" s="11"/>
      <c r="BG595" s="11"/>
      <c r="BH595" s="10"/>
      <c r="BI595" s="10"/>
      <c r="BJ595" s="10"/>
      <c r="BK595" s="23"/>
      <c r="BL595" s="23"/>
      <c r="BM595" s="23"/>
      <c r="BN595" s="23"/>
      <c r="BO595" s="23"/>
      <c r="BP595" s="23"/>
      <c r="BQ595" s="23"/>
      <c r="BR595" s="10"/>
      <c r="BS595" s="16"/>
      <c r="BT595" s="16"/>
      <c r="BU595" s="16"/>
      <c r="BV595" s="16"/>
      <c r="BW595" s="11"/>
      <c r="BX595" s="16"/>
      <c r="BY595" s="16"/>
      <c r="BZ595" s="17"/>
      <c r="CA595" s="18"/>
      <c r="CB595" s="18"/>
      <c r="CC595" s="18"/>
      <c r="CD595" s="18"/>
      <c r="CE595" s="18"/>
      <c r="CF595" s="18"/>
      <c r="CG595" s="19"/>
      <c r="CH595" s="15"/>
      <c r="CI595" s="17"/>
      <c r="CJ595" s="10"/>
      <c r="CK595" s="10"/>
      <c r="CL595" s="10"/>
      <c r="CM595" s="17"/>
      <c r="CN595" s="17"/>
      <c r="CO595" s="10"/>
      <c r="CP595" s="10"/>
      <c r="CQ595" s="10"/>
      <c r="CR595" s="10"/>
      <c r="CS595" s="10"/>
      <c r="CT595" s="10"/>
      <c r="CU595" s="10"/>
      <c r="CV595" s="10"/>
      <c r="CW595" s="10"/>
      <c r="CX595" s="10"/>
      <c r="CY595" s="10"/>
      <c r="CZ595" s="10"/>
      <c r="DA595" s="34"/>
      <c r="DB595" s="34"/>
      <c r="DC595" s="34"/>
      <c r="DD595" s="34"/>
      <c r="DE595" s="34"/>
      <c r="DF595" s="34"/>
      <c r="DG595" s="34"/>
      <c r="DH595" s="34"/>
      <c r="DI595" s="34"/>
      <c r="DJ595" s="34"/>
      <c r="DK595" s="34"/>
      <c r="DL595" s="34"/>
      <c r="DM595" s="34"/>
      <c r="DN595" s="34"/>
      <c r="DO595" s="34"/>
      <c r="DP595" s="34"/>
      <c r="DQ595" s="34"/>
      <c r="DR595" s="34"/>
      <c r="DS595" s="34"/>
      <c r="DT595" s="34"/>
      <c r="DU595" s="34"/>
      <c r="DV595" s="34"/>
      <c r="DW595" s="34"/>
      <c r="DX595" s="34"/>
      <c r="DY595" s="34"/>
      <c r="DZ595" s="34"/>
      <c r="EA595" s="34"/>
      <c r="EB595" s="34"/>
      <c r="EC595" s="34"/>
      <c r="ED595" s="34"/>
      <c r="EE595" s="34"/>
    </row>
    <row r="596" spans="1:135" customFormat="1">
      <c r="A596" s="71">
        <f>'Old Data'!$I592-'Old Data'!$S592</f>
        <v>178</v>
      </c>
      <c r="B596" s="72">
        <f>VLOOKUP('Old Data'!$F592,$R$6:$T$135,2,FALSE)+VLOOKUP('Old Data'!$P592,$R$6:$T$135,3,FALSE)+$B$2</f>
        <v>272.83561321900692</v>
      </c>
      <c r="C596" s="72">
        <f>VLOOKUP('Old Data'!$P592,$R$6:$T$135,2,FALSE)+VLOOKUP('Old Data'!$F592,$R$6:$T$135,3,FALSE)+$B$2</f>
        <v>120.76936022954135</v>
      </c>
      <c r="D596" s="74">
        <f>('Old Data'!$I592-$B596)^2+('Old Data'!$S592-$C596)^2</f>
        <v>4604.7000827249376</v>
      </c>
      <c r="E596" s="75">
        <f>'Old Data'!$K592-'Old Data'!$U592</f>
        <v>-76</v>
      </c>
      <c r="F596" s="72">
        <f>VLOOKUP('Old Data'!$F592,$V$6:$X$135,2,FALSE)+VLOOKUP('Old Data'!$P592,$V$6:$X$135,3,FALSE)+$C$2</f>
        <v>164.4985136433356</v>
      </c>
      <c r="G596" s="72">
        <f>VLOOKUP('Old Data'!$P592,$V$6:$X$135,2,FALSE)+VLOOKUP('Old Data'!$F592,$V$6:$X$135,3,FALSE)+$C$2</f>
        <v>190.74806917356389</v>
      </c>
      <c r="H596" s="74">
        <f>('Old Data'!$K592-$F596)^2+('Old Data'!$U592-$G596)^2</f>
        <v>3334.0558809142476</v>
      </c>
      <c r="I596" s="75">
        <f>('Old Data'!$L592+'Old Data'!$M592)-('Old Data'!$V592+'Old Data'!$W592)</f>
        <v>-176</v>
      </c>
      <c r="J596" s="72">
        <f>VLOOKUP('Old Data'!$F592,$Z$6:$AB$135,2,FALSE)+VLOOKUP('Old Data'!$P592,$Z$6:$AB$135,3,FALSE)+$D$2</f>
        <v>36.009376536560652</v>
      </c>
      <c r="K596" s="72">
        <f>VLOOKUP('Old Data'!$P592,$Z$6:$AB$135,2,FALSE)+VLOOKUP('Old Data'!$F592,$Z$6:$AB$135,3,FALSE)+$D$2</f>
        <v>108.41750077258388</v>
      </c>
      <c r="L596" s="74">
        <f>('Old Data'!$L592+'Old Data'!$M592-$J596)^2+('Old Data'!$V592+'Old Data'!$W592-$K596)^2</f>
        <v>8692.7255349182797</v>
      </c>
      <c r="M596" s="75">
        <f>'Old Data'!$N592-'Old Data'!$X592</f>
        <v>1</v>
      </c>
      <c r="N596" s="72">
        <f>VLOOKUP('Old Data'!$F592,$AD$6:$AF$135,2,FALSE)+VLOOKUP('Old Data'!$P592,$AD$6:$AF$135,3,FALSE)+$E$2</f>
        <v>1.9230146833537771</v>
      </c>
      <c r="O596" s="72">
        <f>VLOOKUP('Old Data'!$P592,$AD$6:$AF$135,2,FALSE)+VLOOKUP('Old Data'!$F592,$AD$6:$AF$135,3,FALSE)+$E$2</f>
        <v>0.49751045053937815</v>
      </c>
      <c r="P596" s="73">
        <f>('Old Data'!$N592-$N596)^2+('Old Data'!$X592-$O596)^2</f>
        <v>1.0994727540825684</v>
      </c>
      <c r="Q596" s="62"/>
      <c r="R596" s="3"/>
      <c r="S596" s="3"/>
      <c r="T596" s="3"/>
      <c r="V596" s="3"/>
      <c r="W596" s="3"/>
      <c r="X596" s="3"/>
      <c r="Z596" s="3"/>
      <c r="AA596" s="3"/>
      <c r="AB596" s="3"/>
      <c r="AC596" s="3"/>
      <c r="AD596" s="3"/>
      <c r="AE596" s="3"/>
      <c r="AF596" s="3"/>
      <c r="AG596" s="3"/>
      <c r="AH596" s="37"/>
      <c r="AI596" s="1"/>
      <c r="AK596" s="10"/>
      <c r="AL596" s="10"/>
      <c r="AM596" s="10"/>
      <c r="AN596" s="11"/>
      <c r="AO596" s="11"/>
      <c r="AP596" s="11"/>
      <c r="AQ596" s="36"/>
      <c r="AR596" s="11"/>
      <c r="AS596" s="11"/>
      <c r="AT596" s="11"/>
      <c r="AU596" s="12"/>
      <c r="AV596" s="11"/>
      <c r="AW596" s="11"/>
      <c r="AX596" s="15"/>
      <c r="AY596" s="15"/>
      <c r="AZ596" s="15"/>
      <c r="BA596" s="15"/>
      <c r="BB596" s="15"/>
      <c r="BC596" s="15"/>
      <c r="BD596" s="15"/>
      <c r="BE596" s="12"/>
      <c r="BF596" s="11"/>
      <c r="BG596" s="11"/>
      <c r="BH596" s="10"/>
      <c r="BI596" s="10"/>
      <c r="BJ596" s="10"/>
      <c r="BK596" s="23"/>
      <c r="BL596" s="23"/>
      <c r="BM596" s="23"/>
      <c r="BN596" s="23"/>
      <c r="BO596" s="23"/>
      <c r="BP596" s="23"/>
      <c r="BQ596" s="23"/>
      <c r="BR596" s="10"/>
      <c r="BS596" s="16"/>
      <c r="BT596" s="16"/>
      <c r="BU596" s="16"/>
      <c r="BV596" s="16"/>
      <c r="BW596" s="11"/>
      <c r="BX596" s="16"/>
      <c r="BY596" s="16"/>
      <c r="BZ596" s="17"/>
      <c r="CA596" s="18"/>
      <c r="CB596" s="18"/>
      <c r="CC596" s="18"/>
      <c r="CD596" s="18"/>
      <c r="CE596" s="18"/>
      <c r="CF596" s="18"/>
      <c r="CG596" s="19"/>
      <c r="CH596" s="15"/>
      <c r="CI596" s="17"/>
      <c r="CJ596" s="10"/>
      <c r="CK596" s="10"/>
      <c r="CL596" s="10"/>
      <c r="CM596" s="17"/>
      <c r="CN596" s="17"/>
      <c r="CO596" s="10"/>
      <c r="CP596" s="10"/>
      <c r="CQ596" s="10"/>
      <c r="CR596" s="10"/>
      <c r="CS596" s="10"/>
      <c r="CT596" s="10"/>
      <c r="CU596" s="10"/>
      <c r="CV596" s="10"/>
      <c r="CW596" s="10"/>
      <c r="CX596" s="10"/>
      <c r="CY596" s="10"/>
      <c r="CZ596" s="10"/>
      <c r="DA596" s="34"/>
      <c r="DB596" s="34"/>
      <c r="DC596" s="34"/>
      <c r="DD596" s="34"/>
      <c r="DE596" s="34"/>
      <c r="DF596" s="34"/>
      <c r="DG596" s="34"/>
      <c r="DH596" s="34"/>
      <c r="DI596" s="34"/>
      <c r="DJ596" s="34"/>
      <c r="DK596" s="34"/>
      <c r="DL596" s="34"/>
      <c r="DM596" s="34"/>
      <c r="DN596" s="34"/>
      <c r="DO596" s="34"/>
      <c r="DP596" s="34"/>
      <c r="DQ596" s="34"/>
      <c r="DR596" s="34"/>
      <c r="DS596" s="34"/>
      <c r="DT596" s="34"/>
      <c r="DU596" s="34"/>
      <c r="DV596" s="34"/>
      <c r="DW596" s="34"/>
      <c r="DX596" s="34"/>
      <c r="DY596" s="34"/>
      <c r="DZ596" s="34"/>
      <c r="EA596" s="34"/>
      <c r="EB596" s="34"/>
      <c r="EC596" s="34"/>
      <c r="ED596" s="34"/>
      <c r="EE596" s="34"/>
    </row>
    <row r="597" spans="1:135" customFormat="1">
      <c r="A597" s="71">
        <f>'Old Data'!$I593-'Old Data'!$S593</f>
        <v>236</v>
      </c>
      <c r="B597" s="72">
        <f>VLOOKUP('Old Data'!$F593,$R$6:$T$135,2,FALSE)+VLOOKUP('Old Data'!$P593,$R$6:$T$135,3,FALSE)+$B$2</f>
        <v>184.95172086211451</v>
      </c>
      <c r="C597" s="72">
        <f>VLOOKUP('Old Data'!$P593,$R$6:$T$135,2,FALSE)+VLOOKUP('Old Data'!$F593,$R$6:$T$135,3,FALSE)+$B$2</f>
        <v>15.561134885114882</v>
      </c>
      <c r="D597" s="74">
        <f>('Old Data'!$I593-$B597)^2+('Old Data'!$S593-$C597)^2</f>
        <v>3252.9471643799202</v>
      </c>
      <c r="E597" s="75">
        <f>'Old Data'!$K593-'Old Data'!$U593</f>
        <v>-80</v>
      </c>
      <c r="F597" s="72">
        <f>VLOOKUP('Old Data'!$F593,$V$6:$X$135,2,FALSE)+VLOOKUP('Old Data'!$P593,$V$6:$X$135,3,FALSE)+$C$2</f>
        <v>170.63464076686535</v>
      </c>
      <c r="G597" s="72">
        <f>VLOOKUP('Old Data'!$P593,$V$6:$X$135,2,FALSE)+VLOOKUP('Old Data'!$F593,$V$6:$X$135,3,FALSE)+$C$2</f>
        <v>173.37408058804783</v>
      </c>
      <c r="H597" s="74">
        <f>('Old Data'!$K593-$F597)^2+('Old Data'!$U593-$G597)^2</f>
        <v>3434.8587582507525</v>
      </c>
      <c r="I597" s="75">
        <f>('Old Data'!$L593+'Old Data'!$M593)-('Old Data'!$V593+'Old Data'!$W593)</f>
        <v>52</v>
      </c>
      <c r="J597" s="72">
        <f>VLOOKUP('Old Data'!$F593,$Z$6:$AB$135,2,FALSE)+VLOOKUP('Old Data'!$P593,$Z$6:$AB$135,3,FALSE)+$D$2</f>
        <v>46.682757389930998</v>
      </c>
      <c r="K597" s="72">
        <f>VLOOKUP('Old Data'!$P593,$Z$6:$AB$135,2,FALSE)+VLOOKUP('Old Data'!$F593,$Z$6:$AB$135,3,FALSE)+$D$2</f>
        <v>64.4338454516421</v>
      </c>
      <c r="L597" s="74">
        <f>('Old Data'!$L593+'Old Data'!$M593-$J597)^2+('Old Data'!$V593+'Old Data'!$W593-$K597)^2</f>
        <v>2456.297721116608</v>
      </c>
      <c r="M597" s="75">
        <f>'Old Data'!$N593-'Old Data'!$X593</f>
        <v>-2</v>
      </c>
      <c r="N597" s="72">
        <f>VLOOKUP('Old Data'!$F593,$AD$6:$AF$135,2,FALSE)+VLOOKUP('Old Data'!$P593,$AD$6:$AF$135,3,FALSE)+$E$2</f>
        <v>2.0430831627139119</v>
      </c>
      <c r="O597" s="72">
        <f>VLOOKUP('Old Data'!$P593,$AD$6:$AF$135,2,FALSE)+VLOOKUP('Old Data'!$F593,$AD$6:$AF$135,3,FALSE)+$E$2</f>
        <v>0.69291798557180206</v>
      </c>
      <c r="P597" s="73">
        <f>('Old Data'!$N593-$N597)^2+('Old Data'!$X593-$O597)^2</f>
        <v>5.8826522022067564</v>
      </c>
      <c r="Q597" s="62"/>
      <c r="R597" s="3"/>
      <c r="S597" s="3"/>
      <c r="T597" s="3"/>
      <c r="V597" s="3"/>
      <c r="W597" s="3"/>
      <c r="X597" s="3"/>
      <c r="Z597" s="3"/>
      <c r="AA597" s="3"/>
      <c r="AB597" s="3"/>
      <c r="AC597" s="3"/>
      <c r="AD597" s="3"/>
      <c r="AE597" s="3"/>
      <c r="AF597" s="3"/>
      <c r="AG597" s="3"/>
      <c r="AH597" s="37"/>
      <c r="AI597" s="1"/>
      <c r="AK597" s="10"/>
      <c r="AL597" s="10"/>
      <c r="AM597" s="10"/>
      <c r="AN597" s="11"/>
      <c r="AO597" s="11"/>
      <c r="AP597" s="11"/>
      <c r="AQ597" s="36"/>
      <c r="AR597" s="11"/>
      <c r="AS597" s="11"/>
      <c r="AT597" s="11"/>
      <c r="AU597" s="12"/>
      <c r="AV597" s="11"/>
      <c r="AW597" s="11"/>
      <c r="AX597" s="15"/>
      <c r="AY597" s="15"/>
      <c r="AZ597" s="15"/>
      <c r="BA597" s="15"/>
      <c r="BB597" s="15"/>
      <c r="BC597" s="15"/>
      <c r="BD597" s="15"/>
      <c r="BE597" s="12"/>
      <c r="BF597" s="11"/>
      <c r="BG597" s="11"/>
      <c r="BH597" s="10"/>
      <c r="BI597" s="10"/>
      <c r="BJ597" s="10"/>
      <c r="BK597" s="23"/>
      <c r="BL597" s="23"/>
      <c r="BM597" s="23"/>
      <c r="BN597" s="23"/>
      <c r="BO597" s="23"/>
      <c r="BP597" s="23"/>
      <c r="BQ597" s="23"/>
      <c r="BR597" s="10"/>
      <c r="BS597" s="16"/>
      <c r="BT597" s="16"/>
      <c r="BU597" s="16"/>
      <c r="BV597" s="16"/>
      <c r="BW597" s="11"/>
      <c r="BX597" s="16"/>
      <c r="BY597" s="16"/>
      <c r="BZ597" s="17"/>
      <c r="CA597" s="18"/>
      <c r="CB597" s="18"/>
      <c r="CC597" s="18"/>
      <c r="CD597" s="18"/>
      <c r="CE597" s="18"/>
      <c r="CF597" s="18"/>
      <c r="CG597" s="19"/>
      <c r="CH597" s="15"/>
      <c r="CI597" s="17"/>
      <c r="CJ597" s="10"/>
      <c r="CK597" s="10"/>
      <c r="CL597" s="10"/>
      <c r="CM597" s="17"/>
      <c r="CN597" s="17"/>
      <c r="CO597" s="10"/>
      <c r="CP597" s="10"/>
      <c r="CQ597" s="10"/>
      <c r="CR597" s="10"/>
      <c r="CS597" s="10"/>
      <c r="CT597" s="10"/>
      <c r="CU597" s="10"/>
      <c r="CV597" s="10"/>
      <c r="CW597" s="10"/>
      <c r="CX597" s="10"/>
      <c r="CY597" s="10"/>
      <c r="CZ597" s="10"/>
      <c r="DA597" s="34"/>
      <c r="DB597" s="34"/>
      <c r="DC597" s="34"/>
      <c r="DD597" s="34"/>
      <c r="DE597" s="34"/>
      <c r="DF597" s="34"/>
      <c r="DG597" s="34"/>
      <c r="DH597" s="34"/>
      <c r="DI597" s="34"/>
      <c r="DJ597" s="34"/>
      <c r="DK597" s="34"/>
      <c r="DL597" s="34"/>
      <c r="DM597" s="34"/>
      <c r="DN597" s="34"/>
      <c r="DO597" s="34"/>
      <c r="DP597" s="34"/>
      <c r="DQ597" s="34"/>
      <c r="DR597" s="34"/>
      <c r="DS597" s="34"/>
      <c r="DT597" s="34"/>
      <c r="DU597" s="34"/>
      <c r="DV597" s="34"/>
      <c r="DW597" s="34"/>
      <c r="DX597" s="34"/>
      <c r="DY597" s="34"/>
      <c r="DZ597" s="34"/>
      <c r="EA597" s="34"/>
      <c r="EB597" s="34"/>
      <c r="EC597" s="34"/>
      <c r="ED597" s="34"/>
      <c r="EE597" s="34"/>
    </row>
    <row r="598" spans="1:135" customFormat="1">
      <c r="A598" s="71">
        <f>'Old Data'!$I594-'Old Data'!$S594</f>
        <v>36</v>
      </c>
      <c r="B598" s="72">
        <f>VLOOKUP('Old Data'!$F594,$R$6:$T$135,2,FALSE)+VLOOKUP('Old Data'!$P594,$R$6:$T$135,3,FALSE)+$B$2</f>
        <v>153.34470979690559</v>
      </c>
      <c r="C598" s="72">
        <f>VLOOKUP('Old Data'!$P594,$R$6:$T$135,2,FALSE)+VLOOKUP('Old Data'!$F594,$R$6:$T$135,3,FALSE)+$B$2</f>
        <v>175.8139454926507</v>
      </c>
      <c r="D598" s="74">
        <f>('Old Data'!$I594-$B598)^2+('Old Data'!$S594-$C598)^2</f>
        <v>15627.342913816849</v>
      </c>
      <c r="E598" s="75">
        <f>'Old Data'!$K594-'Old Data'!$U594</f>
        <v>-98</v>
      </c>
      <c r="F598" s="72">
        <f>VLOOKUP('Old Data'!$F594,$V$6:$X$135,2,FALSE)+VLOOKUP('Old Data'!$P594,$V$6:$X$135,3,FALSE)+$C$2</f>
        <v>186.45482978635857</v>
      </c>
      <c r="G598" s="72">
        <f>VLOOKUP('Old Data'!$P594,$V$6:$X$135,2,FALSE)+VLOOKUP('Old Data'!$F594,$V$6:$X$135,3,FALSE)+$C$2</f>
        <v>194.3066126018671</v>
      </c>
      <c r="H598" s="74">
        <f>('Old Data'!$K594-$F598)^2+('Old Data'!$U594-$G598)^2</f>
        <v>4369.9150453438315</v>
      </c>
      <c r="I598" s="75">
        <f>('Old Data'!$L594+'Old Data'!$M594)-('Old Data'!$V594+'Old Data'!$W594)</f>
        <v>26</v>
      </c>
      <c r="J598" s="72">
        <f>VLOOKUP('Old Data'!$F594,$Z$6:$AB$135,2,FALSE)+VLOOKUP('Old Data'!$P594,$Z$6:$AB$135,3,FALSE)+$D$2</f>
        <v>65.634134499964944</v>
      </c>
      <c r="K598" s="72">
        <f>VLOOKUP('Old Data'!$P594,$Z$6:$AB$135,2,FALSE)+VLOOKUP('Old Data'!$F594,$Z$6:$AB$135,3,FALSE)+$D$2</f>
        <v>66.183531460074278</v>
      </c>
      <c r="L598" s="74">
        <f>('Old Data'!$L594+'Old Data'!$M594-$J598)^2+('Old Data'!$V594+'Old Data'!$W594-$K598)^2</f>
        <v>371.54586656356025</v>
      </c>
      <c r="M598" s="75">
        <f>'Old Data'!$N594-'Old Data'!$X594</f>
        <v>-1</v>
      </c>
      <c r="N598" s="72">
        <f>VLOOKUP('Old Data'!$F594,$AD$6:$AF$135,2,FALSE)+VLOOKUP('Old Data'!$P594,$AD$6:$AF$135,3,FALSE)+$E$2</f>
        <v>1.692697965980662</v>
      </c>
      <c r="O598" s="72">
        <f>VLOOKUP('Old Data'!$P594,$AD$6:$AF$135,2,FALSE)+VLOOKUP('Old Data'!$F594,$AD$6:$AF$135,3,FALSE)+$E$2</f>
        <v>1.1329128406770952</v>
      </c>
      <c r="P598" s="73">
        <f>('Old Data'!$N594-$N598)^2+('Old Data'!$X594-$O598)^2</f>
        <v>1.2316706139364109</v>
      </c>
      <c r="Q598" s="62"/>
      <c r="R598" s="3"/>
      <c r="S598" s="3"/>
      <c r="T598" s="3"/>
      <c r="V598" s="3"/>
      <c r="W598" s="3"/>
      <c r="X598" s="3"/>
      <c r="Z598" s="3"/>
      <c r="AA598" s="3"/>
      <c r="AB598" s="3"/>
      <c r="AC598" s="3"/>
      <c r="AD598" s="3"/>
      <c r="AE598" s="3"/>
      <c r="AF598" s="3"/>
      <c r="AG598" s="3"/>
      <c r="AH598" s="37"/>
      <c r="AI598" s="1"/>
      <c r="AK598" s="10"/>
      <c r="AL598" s="10"/>
      <c r="AM598" s="10"/>
      <c r="AN598" s="11"/>
      <c r="AO598" s="11"/>
      <c r="AP598" s="11"/>
      <c r="AQ598" s="36"/>
      <c r="AR598" s="11"/>
      <c r="AS598" s="11"/>
      <c r="AT598" s="11"/>
      <c r="AU598" s="12"/>
      <c r="AV598" s="11"/>
      <c r="AW598" s="11"/>
      <c r="AX598" s="15"/>
      <c r="AY598" s="15"/>
      <c r="AZ598" s="15"/>
      <c r="BA598" s="15"/>
      <c r="BB598" s="15"/>
      <c r="BC598" s="15"/>
      <c r="BD598" s="15"/>
      <c r="BE598" s="12"/>
      <c r="BF598" s="11"/>
      <c r="BG598" s="11"/>
      <c r="BH598" s="10"/>
      <c r="BI598" s="10"/>
      <c r="BJ598" s="10"/>
      <c r="BK598" s="23"/>
      <c r="BL598" s="23"/>
      <c r="BM598" s="23"/>
      <c r="BN598" s="23"/>
      <c r="BO598" s="23"/>
      <c r="BP598" s="23"/>
      <c r="BQ598" s="23"/>
      <c r="BR598" s="10"/>
      <c r="BS598" s="16"/>
      <c r="BT598" s="16"/>
      <c r="BU598" s="16"/>
      <c r="BV598" s="16"/>
      <c r="BW598" s="11"/>
      <c r="BX598" s="16"/>
      <c r="BY598" s="16"/>
      <c r="BZ598" s="17"/>
      <c r="CA598" s="18"/>
      <c r="CB598" s="18"/>
      <c r="CC598" s="18"/>
      <c r="CD598" s="18"/>
      <c r="CE598" s="18"/>
      <c r="CF598" s="18"/>
      <c r="CG598" s="19"/>
      <c r="CH598" s="15"/>
      <c r="CI598" s="17"/>
      <c r="CJ598" s="10"/>
      <c r="CK598" s="10"/>
      <c r="CL598" s="10"/>
      <c r="CM598" s="17"/>
      <c r="CN598" s="17"/>
      <c r="CO598" s="10"/>
      <c r="CP598" s="10"/>
      <c r="CQ598" s="10"/>
      <c r="CR598" s="10"/>
      <c r="CS598" s="10"/>
      <c r="CT598" s="10"/>
      <c r="CU598" s="10"/>
      <c r="CV598" s="10"/>
      <c r="CW598" s="10"/>
      <c r="CX598" s="10"/>
      <c r="CY598" s="10"/>
      <c r="CZ598" s="10"/>
      <c r="DA598" s="34"/>
      <c r="DB598" s="34"/>
      <c r="DC598" s="34"/>
      <c r="DD598" s="34"/>
      <c r="DE598" s="34"/>
      <c r="DF598" s="34"/>
      <c r="DG598" s="34"/>
      <c r="DH598" s="34"/>
      <c r="DI598" s="34"/>
      <c r="DJ598" s="34"/>
      <c r="DK598" s="34"/>
      <c r="DL598" s="34"/>
      <c r="DM598" s="34"/>
      <c r="DN598" s="34"/>
      <c r="DO598" s="34"/>
      <c r="DP598" s="34"/>
      <c r="DQ598" s="34"/>
      <c r="DR598" s="34"/>
      <c r="DS598" s="34"/>
      <c r="DT598" s="34"/>
      <c r="DU598" s="34"/>
      <c r="DV598" s="34"/>
      <c r="DW598" s="34"/>
      <c r="DX598" s="34"/>
      <c r="DY598" s="34"/>
      <c r="DZ598" s="34"/>
      <c r="EA598" s="34"/>
      <c r="EB598" s="34"/>
      <c r="EC598" s="34"/>
      <c r="ED598" s="34"/>
      <c r="EE598" s="34"/>
    </row>
    <row r="599" spans="1:135" customFormat="1">
      <c r="A599" s="71">
        <f>'Old Data'!$I595-'Old Data'!$S595</f>
        <v>144</v>
      </c>
      <c r="B599" s="72">
        <f>VLOOKUP('Old Data'!$F595,$R$6:$T$135,2,FALSE)+VLOOKUP('Old Data'!$P595,$R$6:$T$135,3,FALSE)+$B$2</f>
        <v>222.8418716162746</v>
      </c>
      <c r="C599" s="72">
        <f>VLOOKUP('Old Data'!$P595,$R$6:$T$135,2,FALSE)+VLOOKUP('Old Data'!$F595,$R$6:$T$135,3,FALSE)+$B$2</f>
        <v>64.308862060858502</v>
      </c>
      <c r="D599" s="74">
        <f>('Old Data'!$I595-$B599)^2+('Old Data'!$S595-$C599)^2</f>
        <v>1217.2000265148747</v>
      </c>
      <c r="E599" s="75">
        <f>'Old Data'!$K595-'Old Data'!$U595</f>
        <v>-136</v>
      </c>
      <c r="F599" s="72">
        <f>VLOOKUP('Old Data'!$F595,$V$6:$X$135,2,FALSE)+VLOOKUP('Old Data'!$P595,$V$6:$X$135,3,FALSE)+$C$2</f>
        <v>133.70228254365821</v>
      </c>
      <c r="G599" s="72">
        <f>VLOOKUP('Old Data'!$P595,$V$6:$X$135,2,FALSE)+VLOOKUP('Old Data'!$F595,$V$6:$X$135,3,FALSE)+$C$2</f>
        <v>321.91397912065247</v>
      </c>
      <c r="H599" s="74">
        <f>('Old Data'!$K595-$F599)^2+('Old Data'!$U595-$G599)^2</f>
        <v>13784.473600240282</v>
      </c>
      <c r="I599" s="75">
        <f>('Old Data'!$L595+'Old Data'!$M595)-('Old Data'!$V595+'Old Data'!$W595)</f>
        <v>-29</v>
      </c>
      <c r="J599" s="72">
        <f>VLOOKUP('Old Data'!$F595,$Z$6:$AB$135,2,FALSE)+VLOOKUP('Old Data'!$P595,$Z$6:$AB$135,3,FALSE)+$D$2</f>
        <v>48.455449858243639</v>
      </c>
      <c r="K599" s="72">
        <f>VLOOKUP('Old Data'!$P595,$Z$6:$AB$135,2,FALSE)+VLOOKUP('Old Data'!$F595,$Z$6:$AB$135,3,FALSE)+$D$2</f>
        <v>55.202924577972425</v>
      </c>
      <c r="L599" s="74">
        <f>('Old Data'!$L595+'Old Data'!$M595-$J599)^2+('Old Data'!$V595+'Old Data'!$W595-$K599)^2</f>
        <v>2469.2568819139465</v>
      </c>
      <c r="M599" s="75">
        <f>'Old Data'!$N595-'Old Data'!$X595</f>
        <v>1</v>
      </c>
      <c r="N599" s="72">
        <f>VLOOKUP('Old Data'!$F595,$AD$6:$AF$135,2,FALSE)+VLOOKUP('Old Data'!$P595,$AD$6:$AF$135,3,FALSE)+$E$2</f>
        <v>2.310116190271287</v>
      </c>
      <c r="O599" s="72">
        <f>VLOOKUP('Old Data'!$P595,$AD$6:$AF$135,2,FALSE)+VLOOKUP('Old Data'!$F595,$AD$6:$AF$135,3,FALSE)+$E$2</f>
        <v>1.3100107400008973</v>
      </c>
      <c r="P599" s="73">
        <f>('Old Data'!$N595-$N599)^2+('Old Data'!$X595-$O599)^2</f>
        <v>3.4325325709286494</v>
      </c>
      <c r="Q599" s="62"/>
      <c r="R599" s="3"/>
      <c r="S599" s="3"/>
      <c r="T599" s="3"/>
      <c r="V599" s="3"/>
      <c r="W599" s="3"/>
      <c r="X599" s="3"/>
      <c r="Z599" s="3"/>
      <c r="AA599" s="3"/>
      <c r="AB599" s="3"/>
      <c r="AC599" s="3"/>
      <c r="AD599" s="3"/>
      <c r="AE599" s="3"/>
      <c r="AF599" s="3"/>
      <c r="AG599" s="3"/>
      <c r="AH599" s="37"/>
      <c r="AI599" s="1"/>
      <c r="AK599" s="10"/>
      <c r="AL599" s="10"/>
      <c r="AM599" s="10"/>
      <c r="AN599" s="11"/>
      <c r="AO599" s="11"/>
      <c r="AP599" s="11"/>
      <c r="AQ599" s="36"/>
      <c r="AR599" s="11"/>
      <c r="AS599" s="11"/>
      <c r="AT599" s="11"/>
      <c r="AU599" s="12"/>
      <c r="AV599" s="11"/>
      <c r="AW599" s="11"/>
      <c r="AX599" s="15"/>
      <c r="AY599" s="15"/>
      <c r="AZ599" s="15"/>
      <c r="BA599" s="15"/>
      <c r="BB599" s="15"/>
      <c r="BC599" s="15"/>
      <c r="BD599" s="15"/>
      <c r="BE599" s="12"/>
      <c r="BF599" s="11"/>
      <c r="BG599" s="11"/>
      <c r="BH599" s="10"/>
      <c r="BI599" s="10"/>
      <c r="BJ599" s="10"/>
      <c r="BK599" s="23"/>
      <c r="BL599" s="23"/>
      <c r="BM599" s="23"/>
      <c r="BN599" s="23"/>
      <c r="BO599" s="23"/>
      <c r="BP599" s="23"/>
      <c r="BQ599" s="23"/>
      <c r="BR599" s="10"/>
      <c r="BS599" s="16"/>
      <c r="BT599" s="16"/>
      <c r="BU599" s="16"/>
      <c r="BV599" s="16"/>
      <c r="BW599" s="11"/>
      <c r="BX599" s="16"/>
      <c r="BY599" s="16"/>
      <c r="BZ599" s="17"/>
      <c r="CA599" s="18"/>
      <c r="CB599" s="18"/>
      <c r="CC599" s="18"/>
      <c r="CD599" s="18"/>
      <c r="CE599" s="18"/>
      <c r="CF599" s="18"/>
      <c r="CG599" s="19"/>
      <c r="CH599" s="15"/>
      <c r="CI599" s="17"/>
      <c r="CJ599" s="10"/>
      <c r="CK599" s="10"/>
      <c r="CL599" s="10"/>
      <c r="CM599" s="17"/>
      <c r="CN599" s="17"/>
      <c r="CO599" s="10"/>
      <c r="CP599" s="10"/>
      <c r="CQ599" s="10"/>
      <c r="CR599" s="10"/>
      <c r="CS599" s="10"/>
      <c r="CT599" s="10"/>
      <c r="CU599" s="10"/>
      <c r="CV599" s="10"/>
      <c r="CW599" s="10"/>
      <c r="CX599" s="10"/>
      <c r="CY599" s="10"/>
      <c r="CZ599" s="10"/>
      <c r="DA599" s="34"/>
      <c r="DB599" s="34"/>
      <c r="DC599" s="34"/>
      <c r="DD599" s="34"/>
      <c r="DE599" s="34"/>
      <c r="DF599" s="34"/>
      <c r="DG599" s="34"/>
      <c r="DH599" s="34"/>
      <c r="DI599" s="34"/>
      <c r="DJ599" s="34"/>
      <c r="DK599" s="34"/>
      <c r="DL599" s="34"/>
      <c r="DM599" s="34"/>
      <c r="DN599" s="34"/>
      <c r="DO599" s="34"/>
      <c r="DP599" s="34"/>
      <c r="DQ599" s="34"/>
      <c r="DR599" s="34"/>
      <c r="DS599" s="34"/>
      <c r="DT599" s="34"/>
      <c r="DU599" s="34"/>
      <c r="DV599" s="34"/>
      <c r="DW599" s="34"/>
      <c r="DX599" s="34"/>
      <c r="DY599" s="34"/>
      <c r="DZ599" s="34"/>
      <c r="EA599" s="34"/>
      <c r="EB599" s="34"/>
      <c r="EC599" s="34"/>
      <c r="ED599" s="34"/>
      <c r="EE599" s="34"/>
    </row>
    <row r="600" spans="1:135" customFormat="1">
      <c r="A600" s="71">
        <f>'Old Data'!$I596-'Old Data'!$S596</f>
        <v>-201</v>
      </c>
      <c r="B600" s="72">
        <f>VLOOKUP('Old Data'!$F596,$R$6:$T$135,2,FALSE)+VLOOKUP('Old Data'!$P596,$R$6:$T$135,3,FALSE)+$B$2</f>
        <v>85.649969033911105</v>
      </c>
      <c r="C600" s="72">
        <f>VLOOKUP('Old Data'!$P596,$R$6:$T$135,2,FALSE)+VLOOKUP('Old Data'!$F596,$R$6:$T$135,3,FALSE)+$B$2</f>
        <v>271.40664805753283</v>
      </c>
      <c r="D600" s="74">
        <f>('Old Data'!$I596-$B600)^2+('Old Data'!$S596-$C600)^2</f>
        <v>452.70897556442628</v>
      </c>
      <c r="E600" s="75">
        <f>'Old Data'!$K596-'Old Data'!$U596</f>
        <v>172</v>
      </c>
      <c r="F600" s="72">
        <f>VLOOKUP('Old Data'!$F596,$V$6:$X$135,2,FALSE)+VLOOKUP('Old Data'!$P596,$V$6:$X$135,3,FALSE)+$C$2</f>
        <v>292.22103425187248</v>
      </c>
      <c r="G600" s="72">
        <f>VLOOKUP('Old Data'!$P596,$V$6:$X$135,2,FALSE)+VLOOKUP('Old Data'!$F596,$V$6:$X$135,3,FALSE)+$C$2</f>
        <v>111.62312617132338</v>
      </c>
      <c r="H600" s="74">
        <f>('Old Data'!$K596-$F600)^2+('Old Data'!$U596-$G600)^2</f>
        <v>8769.5449788057813</v>
      </c>
      <c r="I600" s="75">
        <f>('Old Data'!$L596+'Old Data'!$M596)-('Old Data'!$V596+'Old Data'!$W596)</f>
        <v>72</v>
      </c>
      <c r="J600" s="72">
        <f>VLOOKUP('Old Data'!$F596,$Z$6:$AB$135,2,FALSE)+VLOOKUP('Old Data'!$P596,$Z$6:$AB$135,3,FALSE)+$D$2</f>
        <v>60.020359852182594</v>
      </c>
      <c r="K600" s="72">
        <f>VLOOKUP('Old Data'!$P596,$Z$6:$AB$135,2,FALSE)+VLOOKUP('Old Data'!$F596,$Z$6:$AB$135,3,FALSE)+$D$2</f>
        <v>44.980424560007691</v>
      </c>
      <c r="L600" s="74">
        <f>('Old Data'!$L596+'Old Data'!$M596-$J600)^2+('Old Data'!$V596+'Old Data'!$W596-$K600)^2</f>
        <v>8702.6311410168182</v>
      </c>
      <c r="M600" s="75">
        <f>'Old Data'!$N596-'Old Data'!$X596</f>
        <v>0</v>
      </c>
      <c r="N600" s="72">
        <f>VLOOKUP('Old Data'!$F596,$AD$6:$AF$135,2,FALSE)+VLOOKUP('Old Data'!$P596,$AD$6:$AF$135,3,FALSE)+$E$2</f>
        <v>0.89997226853953449</v>
      </c>
      <c r="O600" s="72">
        <f>VLOOKUP('Old Data'!$P596,$AD$6:$AF$135,2,FALSE)+VLOOKUP('Old Data'!$F596,$AD$6:$AF$135,3,FALSE)+$E$2</f>
        <v>1.9807676752736461</v>
      </c>
      <c r="P600" s="73">
        <f>('Old Data'!$N596-$N600)^2+('Old Data'!$X596-$O600)^2</f>
        <v>0.97191077992279906</v>
      </c>
      <c r="Q600" s="62"/>
      <c r="R600" s="3"/>
      <c r="S600" s="3"/>
      <c r="T600" s="3"/>
      <c r="V600" s="3"/>
      <c r="W600" s="3"/>
      <c r="X600" s="3"/>
      <c r="Z600" s="3"/>
      <c r="AA600" s="3"/>
      <c r="AB600" s="3"/>
      <c r="AC600" s="3"/>
      <c r="AD600" s="3"/>
      <c r="AE600" s="3"/>
      <c r="AF600" s="3"/>
      <c r="AG600" s="3"/>
      <c r="AH600" s="37"/>
      <c r="AI600" s="1"/>
      <c r="AK600" s="10"/>
      <c r="AL600" s="10"/>
      <c r="AM600" s="10"/>
      <c r="AN600" s="11"/>
      <c r="AO600" s="11"/>
      <c r="AP600" s="11"/>
      <c r="AQ600" s="36"/>
      <c r="AR600" s="11"/>
      <c r="AS600" s="11"/>
      <c r="AT600" s="11"/>
      <c r="AU600" s="12"/>
      <c r="AV600" s="11"/>
      <c r="AW600" s="11"/>
      <c r="AX600" s="15"/>
      <c r="AY600" s="15"/>
      <c r="AZ600" s="15"/>
      <c r="BA600" s="15"/>
      <c r="BB600" s="15"/>
      <c r="BC600" s="15"/>
      <c r="BD600" s="15"/>
      <c r="BE600" s="12"/>
      <c r="BF600" s="11"/>
      <c r="BG600" s="11"/>
      <c r="BH600" s="10"/>
      <c r="BI600" s="10"/>
      <c r="BJ600" s="10"/>
      <c r="BK600" s="23"/>
      <c r="BL600" s="23"/>
      <c r="BM600" s="23"/>
      <c r="BN600" s="23"/>
      <c r="BO600" s="23"/>
      <c r="BP600" s="23"/>
      <c r="BQ600" s="23"/>
      <c r="BR600" s="10"/>
      <c r="BS600" s="16"/>
      <c r="BT600" s="16"/>
      <c r="BU600" s="16"/>
      <c r="BV600" s="16"/>
      <c r="BW600" s="11"/>
      <c r="BX600" s="16"/>
      <c r="BY600" s="16"/>
      <c r="BZ600" s="17"/>
      <c r="CA600" s="18"/>
      <c r="CB600" s="18"/>
      <c r="CC600" s="18"/>
      <c r="CD600" s="18"/>
      <c r="CE600" s="18"/>
      <c r="CF600" s="18"/>
      <c r="CG600" s="19"/>
      <c r="CH600" s="15"/>
      <c r="CI600" s="17"/>
      <c r="CJ600" s="10"/>
      <c r="CK600" s="10"/>
      <c r="CL600" s="10"/>
      <c r="CM600" s="17"/>
      <c r="CN600" s="17"/>
      <c r="CO600" s="10"/>
      <c r="CP600" s="10"/>
      <c r="CQ600" s="10"/>
      <c r="CR600" s="10"/>
      <c r="CS600" s="10"/>
      <c r="CT600" s="10"/>
      <c r="CU600" s="10"/>
      <c r="CV600" s="10"/>
      <c r="CW600" s="10"/>
      <c r="CX600" s="10"/>
      <c r="CY600" s="10"/>
      <c r="CZ600" s="10"/>
      <c r="DA600" s="34"/>
      <c r="DB600" s="34"/>
      <c r="DC600" s="34"/>
      <c r="DD600" s="34"/>
      <c r="DE600" s="34"/>
      <c r="DF600" s="34"/>
      <c r="DG600" s="34"/>
      <c r="DH600" s="34"/>
      <c r="DI600" s="34"/>
      <c r="DJ600" s="34"/>
      <c r="DK600" s="34"/>
      <c r="DL600" s="34"/>
      <c r="DM600" s="34"/>
      <c r="DN600" s="34"/>
      <c r="DO600" s="34"/>
      <c r="DP600" s="34"/>
      <c r="DQ600" s="34"/>
      <c r="DR600" s="34"/>
      <c r="DS600" s="34"/>
      <c r="DT600" s="34"/>
      <c r="DU600" s="34"/>
      <c r="DV600" s="34"/>
      <c r="DW600" s="34"/>
      <c r="DX600" s="34"/>
      <c r="DY600" s="34"/>
      <c r="DZ600" s="34"/>
      <c r="EA600" s="34"/>
      <c r="EB600" s="34"/>
      <c r="EC600" s="34"/>
      <c r="ED600" s="34"/>
      <c r="EE600" s="34"/>
    </row>
    <row r="601" spans="1:135" customFormat="1">
      <c r="A601" s="71">
        <f>'Old Data'!$I597-'Old Data'!$S597</f>
        <v>214</v>
      </c>
      <c r="B601" s="72">
        <f>VLOOKUP('Old Data'!$F597,$R$6:$T$135,2,FALSE)+VLOOKUP('Old Data'!$P597,$R$6:$T$135,3,FALSE)+$B$2</f>
        <v>252.78695998058981</v>
      </c>
      <c r="C601" s="72">
        <f>VLOOKUP('Old Data'!$P597,$R$6:$T$135,2,FALSE)+VLOOKUP('Old Data'!$F597,$R$6:$T$135,3,FALSE)+$B$2</f>
        <v>28.448539365409914</v>
      </c>
      <c r="D601" s="74">
        <f>('Old Data'!$I597-$B601)^2+('Old Data'!$S597-$C601)^2</f>
        <v>2150.6617428891896</v>
      </c>
      <c r="E601" s="75">
        <f>'Old Data'!$K597-'Old Data'!$U597</f>
        <v>34</v>
      </c>
      <c r="F601" s="72">
        <f>VLOOKUP('Old Data'!$F597,$V$6:$X$135,2,FALSE)+VLOOKUP('Old Data'!$P597,$V$6:$X$135,3,FALSE)+$C$2</f>
        <v>181.72379518966028</v>
      </c>
      <c r="G601" s="72">
        <f>VLOOKUP('Old Data'!$P597,$V$6:$X$135,2,FALSE)+VLOOKUP('Old Data'!$F597,$V$6:$X$135,3,FALSE)+$C$2</f>
        <v>214.4596942399566</v>
      </c>
      <c r="H601" s="74">
        <f>('Old Data'!$K597-$F601)^2+('Old Data'!$U597-$G601)^2</f>
        <v>3694.7653744103732</v>
      </c>
      <c r="I601" s="75">
        <f>('Old Data'!$L597+'Old Data'!$M597)-('Old Data'!$V597+'Old Data'!$W597)</f>
        <v>-62</v>
      </c>
      <c r="J601" s="72">
        <f>VLOOKUP('Old Data'!$F597,$Z$6:$AB$135,2,FALSE)+VLOOKUP('Old Data'!$P597,$Z$6:$AB$135,3,FALSE)+$D$2</f>
        <v>66.512139748042657</v>
      </c>
      <c r="K601" s="72">
        <f>VLOOKUP('Old Data'!$P597,$Z$6:$AB$135,2,FALSE)+VLOOKUP('Old Data'!$F597,$Z$6:$AB$135,3,FALSE)+$D$2</f>
        <v>101.2107016834853</v>
      </c>
      <c r="L601" s="74">
        <f>('Old Data'!$L597+'Old Data'!$M597-$J601)^2+('Old Data'!$V597+'Old Data'!$W597-$K601)^2</f>
        <v>831.03742568663085</v>
      </c>
      <c r="M601" s="75">
        <f>'Old Data'!$N597-'Old Data'!$X597</f>
        <v>0</v>
      </c>
      <c r="N601" s="72">
        <f>VLOOKUP('Old Data'!$F597,$AD$6:$AF$135,2,FALSE)+VLOOKUP('Old Data'!$P597,$AD$6:$AF$135,3,FALSE)+$E$2</f>
        <v>2.4780171211043442</v>
      </c>
      <c r="O601" s="72">
        <f>VLOOKUP('Old Data'!$P597,$AD$6:$AF$135,2,FALSE)+VLOOKUP('Old Data'!$F597,$AD$6:$AF$135,3,FALSE)+$E$2</f>
        <v>0.47639757364950608</v>
      </c>
      <c r="P601" s="73">
        <f>('Old Data'!$N597-$N601)^2+('Old Data'!$X597-$O601)^2</f>
        <v>2.4586941111576985</v>
      </c>
      <c r="Q601" s="62"/>
      <c r="R601" s="3"/>
      <c r="S601" s="3"/>
      <c r="T601" s="3"/>
      <c r="V601" s="3"/>
      <c r="W601" s="3"/>
      <c r="X601" s="3"/>
      <c r="Z601" s="3"/>
      <c r="AA601" s="3"/>
      <c r="AB601" s="3"/>
      <c r="AC601" s="3"/>
      <c r="AD601" s="3"/>
      <c r="AE601" s="3"/>
      <c r="AF601" s="3"/>
      <c r="AG601" s="3"/>
      <c r="AH601" s="37"/>
      <c r="AI601" s="1"/>
      <c r="AK601" s="10"/>
      <c r="AL601" s="10"/>
      <c r="AM601" s="10"/>
      <c r="AN601" s="11"/>
      <c r="AO601" s="11"/>
      <c r="AP601" s="11"/>
      <c r="AQ601" s="36"/>
      <c r="AR601" s="11"/>
      <c r="AS601" s="11"/>
      <c r="AT601" s="11"/>
      <c r="AU601" s="12"/>
      <c r="AV601" s="11"/>
      <c r="AW601" s="11"/>
      <c r="AX601" s="15"/>
      <c r="AY601" s="15"/>
      <c r="AZ601" s="15"/>
      <c r="BA601" s="15"/>
      <c r="BB601" s="15"/>
      <c r="BC601" s="15"/>
      <c r="BD601" s="15"/>
      <c r="BE601" s="12"/>
      <c r="BF601" s="11"/>
      <c r="BG601" s="11"/>
      <c r="BH601" s="10"/>
      <c r="BI601" s="10"/>
      <c r="BJ601" s="10"/>
      <c r="BK601" s="23"/>
      <c r="BL601" s="23"/>
      <c r="BM601" s="23"/>
      <c r="BN601" s="23"/>
      <c r="BO601" s="23"/>
      <c r="BP601" s="23"/>
      <c r="BQ601" s="23"/>
      <c r="BR601" s="10"/>
      <c r="BS601" s="16"/>
      <c r="BT601" s="16"/>
      <c r="BU601" s="16"/>
      <c r="BV601" s="16"/>
      <c r="BW601" s="11"/>
      <c r="BX601" s="16"/>
      <c r="BY601" s="16"/>
      <c r="BZ601" s="17"/>
      <c r="CA601" s="18"/>
      <c r="CB601" s="18"/>
      <c r="CC601" s="18"/>
      <c r="CD601" s="18"/>
      <c r="CE601" s="18"/>
      <c r="CF601" s="18"/>
      <c r="CG601" s="19"/>
      <c r="CH601" s="15"/>
      <c r="CI601" s="17"/>
      <c r="CJ601" s="10"/>
      <c r="CK601" s="10"/>
      <c r="CL601" s="10"/>
      <c r="CM601" s="17"/>
      <c r="CN601" s="17"/>
      <c r="CO601" s="10"/>
      <c r="CP601" s="10"/>
      <c r="CQ601" s="10"/>
      <c r="CR601" s="10"/>
      <c r="CS601" s="10"/>
      <c r="CT601" s="10"/>
      <c r="CU601" s="10"/>
      <c r="CV601" s="10"/>
      <c r="CW601" s="10"/>
      <c r="CX601" s="10"/>
      <c r="CY601" s="10"/>
      <c r="CZ601" s="10"/>
      <c r="DA601" s="34"/>
      <c r="DB601" s="34"/>
      <c r="DC601" s="34"/>
      <c r="DD601" s="34"/>
      <c r="DE601" s="34"/>
      <c r="DF601" s="34"/>
      <c r="DG601" s="34"/>
      <c r="DH601" s="34"/>
      <c r="DI601" s="34"/>
      <c r="DJ601" s="34"/>
      <c r="DK601" s="34"/>
      <c r="DL601" s="34"/>
      <c r="DM601" s="34"/>
      <c r="DN601" s="34"/>
      <c r="DO601" s="34"/>
      <c r="DP601" s="34"/>
      <c r="DQ601" s="34"/>
      <c r="DR601" s="34"/>
      <c r="DS601" s="34"/>
      <c r="DT601" s="34"/>
      <c r="DU601" s="34"/>
      <c r="DV601" s="34"/>
      <c r="DW601" s="34"/>
      <c r="DX601" s="34"/>
      <c r="DY601" s="34"/>
      <c r="DZ601" s="34"/>
      <c r="EA601" s="34"/>
      <c r="EB601" s="34"/>
      <c r="EC601" s="34"/>
      <c r="ED601" s="34"/>
      <c r="EE601" s="34"/>
    </row>
    <row r="602" spans="1:135" customFormat="1">
      <c r="A602" s="71">
        <f>'Old Data'!$I598-'Old Data'!$S598</f>
        <v>-236</v>
      </c>
      <c r="B602" s="72">
        <f>VLOOKUP('Old Data'!$F598,$R$6:$T$135,2,FALSE)+VLOOKUP('Old Data'!$P598,$R$6:$T$135,3,FALSE)+$B$2</f>
        <v>67.516235869785419</v>
      </c>
      <c r="C602" s="72">
        <f>VLOOKUP('Old Data'!$P598,$R$6:$T$135,2,FALSE)+VLOOKUP('Old Data'!$F598,$R$6:$T$135,3,FALSE)+$B$2</f>
        <v>264.93808818541822</v>
      </c>
      <c r="D602" s="74">
        <f>('Old Data'!$I598-$B602)^2+('Old Data'!$S598-$C602)^2</f>
        <v>1070.4275191166967</v>
      </c>
      <c r="E602" s="75">
        <f>'Old Data'!$K598-'Old Data'!$U598</f>
        <v>-85</v>
      </c>
      <c r="F602" s="72">
        <f>VLOOKUP('Old Data'!$F598,$V$6:$X$135,2,FALSE)+VLOOKUP('Old Data'!$P598,$V$6:$X$135,3,FALSE)+$C$2</f>
        <v>189.51132974872189</v>
      </c>
      <c r="G602" s="72">
        <f>VLOOKUP('Old Data'!$P598,$V$6:$X$135,2,FALSE)+VLOOKUP('Old Data'!$F598,$V$6:$X$135,3,FALSE)+$C$2</f>
        <v>231.5389455240086</v>
      </c>
      <c r="H602" s="74">
        <f>('Old Data'!$K598-$F602)^2+('Old Data'!$U598-$G602)^2</f>
        <v>3104.6323347799303</v>
      </c>
      <c r="I602" s="75">
        <f>('Old Data'!$L598+'Old Data'!$M598)-('Old Data'!$V598+'Old Data'!$W598)</f>
        <v>14</v>
      </c>
      <c r="J602" s="72">
        <f>VLOOKUP('Old Data'!$F598,$Z$6:$AB$135,2,FALSE)+VLOOKUP('Old Data'!$P598,$Z$6:$AB$135,3,FALSE)+$D$2</f>
        <v>69.127850144147715</v>
      </c>
      <c r="K602" s="72">
        <f>VLOOKUP('Old Data'!$P598,$Z$6:$AB$135,2,FALSE)+VLOOKUP('Old Data'!$F598,$Z$6:$AB$135,3,FALSE)+$D$2</f>
        <v>1.9999090103988948</v>
      </c>
      <c r="L602" s="74">
        <f>('Old Data'!$L598+'Old Data'!$M598-$J602)^2+('Old Data'!$V598+'Old Data'!$W598-$K602)^2</f>
        <v>2916.7704722562617</v>
      </c>
      <c r="M602" s="75">
        <f>'Old Data'!$N598-'Old Data'!$X598</f>
        <v>1</v>
      </c>
      <c r="N602" s="72">
        <f>VLOOKUP('Old Data'!$F598,$AD$6:$AF$135,2,FALSE)+VLOOKUP('Old Data'!$P598,$AD$6:$AF$135,3,FALSE)+$E$2</f>
        <v>0.57637283130256012</v>
      </c>
      <c r="O602" s="72">
        <f>VLOOKUP('Old Data'!$P598,$AD$6:$AF$135,2,FALSE)+VLOOKUP('Old Data'!$F598,$AD$6:$AF$135,3,FALSE)+$E$2</f>
        <v>1.5876887583018802</v>
      </c>
      <c r="P602" s="73">
        <f>('Old Data'!$N598-$N602)^2+('Old Data'!$X598-$O602)^2</f>
        <v>2.7002155712967753</v>
      </c>
      <c r="Q602" s="62"/>
      <c r="R602" s="3"/>
      <c r="S602" s="3"/>
      <c r="T602" s="3"/>
      <c r="V602" s="3"/>
      <c r="W602" s="3"/>
      <c r="X602" s="3"/>
      <c r="Z602" s="3"/>
      <c r="AA602" s="3"/>
      <c r="AB602" s="3"/>
      <c r="AC602" s="3"/>
      <c r="AD602" s="3"/>
      <c r="AE602" s="3"/>
      <c r="AF602" s="3"/>
      <c r="AG602" s="3"/>
      <c r="AH602" s="37"/>
      <c r="AI602" s="1"/>
      <c r="AK602" s="10"/>
      <c r="AL602" s="10"/>
      <c r="AM602" s="10"/>
      <c r="AN602" s="11"/>
      <c r="AO602" s="11"/>
      <c r="AP602" s="11"/>
      <c r="AQ602" s="36"/>
      <c r="AR602" s="11"/>
      <c r="AS602" s="11"/>
      <c r="AT602" s="11"/>
      <c r="AU602" s="12"/>
      <c r="AV602" s="11"/>
      <c r="AW602" s="11"/>
      <c r="AX602" s="15"/>
      <c r="AY602" s="15"/>
      <c r="AZ602" s="15"/>
      <c r="BA602" s="15"/>
      <c r="BB602" s="15"/>
      <c r="BC602" s="15"/>
      <c r="BD602" s="15"/>
      <c r="BE602" s="12"/>
      <c r="BF602" s="11"/>
      <c r="BG602" s="11"/>
      <c r="BH602" s="10"/>
      <c r="BI602" s="10"/>
      <c r="BJ602" s="10"/>
      <c r="BK602" s="23"/>
      <c r="BL602" s="23"/>
      <c r="BM602" s="23"/>
      <c r="BN602" s="23"/>
      <c r="BO602" s="23"/>
      <c r="BP602" s="23"/>
      <c r="BQ602" s="23"/>
      <c r="BR602" s="10"/>
      <c r="BS602" s="16"/>
      <c r="BT602" s="16"/>
      <c r="BU602" s="16"/>
      <c r="BV602" s="16"/>
      <c r="BW602" s="11"/>
      <c r="BX602" s="16"/>
      <c r="BY602" s="16"/>
      <c r="BZ602" s="17"/>
      <c r="CA602" s="18"/>
      <c r="CB602" s="18"/>
      <c r="CC602" s="18"/>
      <c r="CD602" s="18"/>
      <c r="CE602" s="18"/>
      <c r="CF602" s="18"/>
      <c r="CG602" s="19"/>
      <c r="CH602" s="15"/>
      <c r="CI602" s="17"/>
      <c r="CJ602" s="10"/>
      <c r="CK602" s="10"/>
      <c r="CL602" s="10"/>
      <c r="CM602" s="17"/>
      <c r="CN602" s="17"/>
      <c r="CO602" s="10"/>
      <c r="CP602" s="10"/>
      <c r="CQ602" s="10"/>
      <c r="CR602" s="10"/>
      <c r="CS602" s="10"/>
      <c r="CT602" s="10"/>
      <c r="CU602" s="10"/>
      <c r="CV602" s="10"/>
      <c r="CW602" s="10"/>
      <c r="CX602" s="10"/>
      <c r="CY602" s="10"/>
      <c r="CZ602" s="10"/>
      <c r="DA602" s="34"/>
      <c r="DB602" s="34"/>
      <c r="DC602" s="34"/>
      <c r="DD602" s="34"/>
      <c r="DE602" s="34"/>
      <c r="DF602" s="34"/>
      <c r="DG602" s="34"/>
      <c r="DH602" s="34"/>
      <c r="DI602" s="34"/>
      <c r="DJ602" s="34"/>
      <c r="DK602" s="34"/>
      <c r="DL602" s="34"/>
      <c r="DM602" s="34"/>
      <c r="DN602" s="34"/>
      <c r="DO602" s="34"/>
      <c r="DP602" s="34"/>
      <c r="DQ602" s="34"/>
      <c r="DR602" s="34"/>
      <c r="DS602" s="34"/>
      <c r="DT602" s="34"/>
      <c r="DU602" s="34"/>
      <c r="DV602" s="34"/>
      <c r="DW602" s="34"/>
      <c r="DX602" s="34"/>
      <c r="DY602" s="34"/>
      <c r="DZ602" s="34"/>
      <c r="EA602" s="34"/>
      <c r="EB602" s="34"/>
      <c r="EC602" s="34"/>
      <c r="ED602" s="34"/>
      <c r="EE602" s="34"/>
    </row>
    <row r="603" spans="1:135" customFormat="1">
      <c r="A603" s="71">
        <f>'Old Data'!$I599-'Old Data'!$S599</f>
        <v>-27</v>
      </c>
      <c r="B603" s="72">
        <f>VLOOKUP('Old Data'!$F599,$R$6:$T$135,2,FALSE)+VLOOKUP('Old Data'!$P599,$R$6:$T$135,3,FALSE)+$B$2</f>
        <v>109.5078058726569</v>
      </c>
      <c r="C603" s="72">
        <f>VLOOKUP('Old Data'!$P599,$R$6:$T$135,2,FALSE)+VLOOKUP('Old Data'!$F599,$R$6:$T$135,3,FALSE)+$B$2</f>
        <v>154.5390592533561</v>
      </c>
      <c r="D603" s="74">
        <f>('Old Data'!$I599-$B603)^2+('Old Data'!$S599-$C603)^2</f>
        <v>306.26744026728522</v>
      </c>
      <c r="E603" s="75">
        <f>'Old Data'!$K599-'Old Data'!$U599</f>
        <v>104</v>
      </c>
      <c r="F603" s="72">
        <f>VLOOKUP('Old Data'!$F599,$V$6:$X$135,2,FALSE)+VLOOKUP('Old Data'!$P599,$V$6:$X$135,3,FALSE)+$C$2</f>
        <v>203.74997702635241</v>
      </c>
      <c r="G603" s="72">
        <f>VLOOKUP('Old Data'!$P599,$V$6:$X$135,2,FALSE)+VLOOKUP('Old Data'!$F599,$V$6:$X$135,3,FALSE)+$C$2</f>
        <v>249.47004358204461</v>
      </c>
      <c r="H603" s="74">
        <f>('Old Data'!$K599-$F603)^2+('Old Data'!$U599-$G603)^2</f>
        <v>44691.588031679683</v>
      </c>
      <c r="I603" s="75">
        <f>('Old Data'!$L599+'Old Data'!$M599)-('Old Data'!$V599+'Old Data'!$W599)</f>
        <v>-11</v>
      </c>
      <c r="J603" s="72">
        <f>VLOOKUP('Old Data'!$F599,$Z$6:$AB$135,2,FALSE)+VLOOKUP('Old Data'!$P599,$Z$6:$AB$135,3,FALSE)+$D$2</f>
        <v>100.0613839956784</v>
      </c>
      <c r="K603" s="72">
        <f>VLOOKUP('Old Data'!$P599,$Z$6:$AB$135,2,FALSE)+VLOOKUP('Old Data'!$F599,$Z$6:$AB$135,3,FALSE)+$D$2</f>
        <v>89.989652790256599</v>
      </c>
      <c r="L603" s="74">
        <f>('Old Data'!$L599+'Old Data'!$M599-$J603)^2+('Old Data'!$V599+'Old Data'!$W599-$K603)^2</f>
        <v>2890.2359157467877</v>
      </c>
      <c r="M603" s="75">
        <f>'Old Data'!$N599-'Old Data'!$X599</f>
        <v>2</v>
      </c>
      <c r="N603" s="72">
        <f>VLOOKUP('Old Data'!$F599,$AD$6:$AF$135,2,FALSE)+VLOOKUP('Old Data'!$P599,$AD$6:$AF$135,3,FALSE)+$E$2</f>
        <v>1.647520642438568</v>
      </c>
      <c r="O603" s="72">
        <f>VLOOKUP('Old Data'!$P599,$AD$6:$AF$135,2,FALSE)+VLOOKUP('Old Data'!$F599,$AD$6:$AF$135,3,FALSE)+$E$2</f>
        <v>1.8723362411137501</v>
      </c>
      <c r="P603" s="73">
        <f>('Old Data'!$N599-$N603)^2+('Old Data'!$X599-$O603)^2</f>
        <v>3.6298846972948868</v>
      </c>
      <c r="Q603" s="62"/>
      <c r="R603" s="3"/>
      <c r="S603" s="3"/>
      <c r="T603" s="3"/>
      <c r="V603" s="3"/>
      <c r="W603" s="3"/>
      <c r="X603" s="3"/>
      <c r="Z603" s="3"/>
      <c r="AA603" s="3"/>
      <c r="AB603" s="3"/>
      <c r="AC603" s="3"/>
      <c r="AD603" s="3"/>
      <c r="AE603" s="3"/>
      <c r="AF603" s="3"/>
      <c r="AG603" s="3"/>
      <c r="AH603" s="37"/>
      <c r="AI603" s="1"/>
      <c r="AK603" s="10"/>
      <c r="AL603" s="10"/>
      <c r="AM603" s="10"/>
      <c r="AN603" s="11"/>
      <c r="AO603" s="11"/>
      <c r="AP603" s="11"/>
      <c r="AQ603" s="36"/>
      <c r="AR603" s="11"/>
      <c r="AS603" s="11"/>
      <c r="AT603" s="11"/>
      <c r="AU603" s="12"/>
      <c r="AV603" s="11"/>
      <c r="AW603" s="11"/>
      <c r="AX603" s="15"/>
      <c r="AY603" s="15"/>
      <c r="AZ603" s="15"/>
      <c r="BA603" s="15"/>
      <c r="BB603" s="15"/>
      <c r="BC603" s="15"/>
      <c r="BD603" s="15"/>
      <c r="BE603" s="12"/>
      <c r="BF603" s="11"/>
      <c r="BG603" s="11"/>
      <c r="BH603" s="10"/>
      <c r="BI603" s="10"/>
      <c r="BJ603" s="10"/>
      <c r="BK603" s="23"/>
      <c r="BL603" s="23"/>
      <c r="BM603" s="23"/>
      <c r="BN603" s="23"/>
      <c r="BO603" s="23"/>
      <c r="BP603" s="23"/>
      <c r="BQ603" s="23"/>
      <c r="BR603" s="10"/>
      <c r="BS603" s="16"/>
      <c r="BT603" s="16"/>
      <c r="BU603" s="16"/>
      <c r="BV603" s="16"/>
      <c r="BW603" s="11"/>
      <c r="BX603" s="16"/>
      <c r="BY603" s="16"/>
      <c r="BZ603" s="17"/>
      <c r="CA603" s="18"/>
      <c r="CB603" s="18"/>
      <c r="CC603" s="18"/>
      <c r="CD603" s="18"/>
      <c r="CE603" s="18"/>
      <c r="CF603" s="18"/>
      <c r="CG603" s="19"/>
      <c r="CH603" s="15"/>
      <c r="CI603" s="17"/>
      <c r="CJ603" s="10"/>
      <c r="CK603" s="10"/>
      <c r="CL603" s="10"/>
      <c r="CM603" s="17"/>
      <c r="CN603" s="17"/>
      <c r="CO603" s="10"/>
      <c r="CP603" s="10"/>
      <c r="CQ603" s="10"/>
      <c r="CR603" s="10"/>
      <c r="CS603" s="10"/>
      <c r="CT603" s="10"/>
      <c r="CU603" s="10"/>
      <c r="CV603" s="10"/>
      <c r="CW603" s="10"/>
      <c r="CX603" s="10"/>
      <c r="CY603" s="10"/>
      <c r="CZ603" s="10"/>
      <c r="DA603" s="34"/>
      <c r="DB603" s="34"/>
      <c r="DC603" s="34"/>
      <c r="DD603" s="34"/>
      <c r="DE603" s="34"/>
      <c r="DF603" s="34"/>
      <c r="DG603" s="34"/>
      <c r="DH603" s="34"/>
      <c r="DI603" s="34"/>
      <c r="DJ603" s="34"/>
      <c r="DK603" s="34"/>
      <c r="DL603" s="34"/>
      <c r="DM603" s="34"/>
      <c r="DN603" s="34"/>
      <c r="DO603" s="34"/>
      <c r="DP603" s="34"/>
      <c r="DQ603" s="34"/>
      <c r="DR603" s="34"/>
      <c r="DS603" s="34"/>
      <c r="DT603" s="34"/>
      <c r="DU603" s="34"/>
      <c r="DV603" s="34"/>
      <c r="DW603" s="34"/>
      <c r="DX603" s="34"/>
      <c r="DY603" s="34"/>
      <c r="DZ603" s="34"/>
      <c r="EA603" s="34"/>
      <c r="EB603" s="34"/>
      <c r="EC603" s="34"/>
      <c r="ED603" s="34"/>
      <c r="EE603" s="34"/>
    </row>
    <row r="604" spans="1:135" customFormat="1">
      <c r="A604" s="71">
        <f>'Old Data'!$I600-'Old Data'!$S600</f>
        <v>-28</v>
      </c>
      <c r="B604" s="72">
        <f>VLOOKUP('Old Data'!$F600,$R$6:$T$135,2,FALSE)+VLOOKUP('Old Data'!$P600,$R$6:$T$135,3,FALSE)+$B$2</f>
        <v>140.62330156292509</v>
      </c>
      <c r="C604" s="72">
        <f>VLOOKUP('Old Data'!$P600,$R$6:$T$135,2,FALSE)+VLOOKUP('Old Data'!$F600,$R$6:$T$135,3,FALSE)+$B$2</f>
        <v>163.31423611976862</v>
      </c>
      <c r="D604" s="74">
        <f>('Old Data'!$I600-$B604)^2+('Old Data'!$S600-$C604)^2</f>
        <v>1267.2181545757148</v>
      </c>
      <c r="E604" s="75">
        <f>'Old Data'!$K600-'Old Data'!$U600</f>
        <v>28</v>
      </c>
      <c r="F604" s="72">
        <f>VLOOKUP('Old Data'!$F600,$V$6:$X$135,2,FALSE)+VLOOKUP('Old Data'!$P600,$V$6:$X$135,3,FALSE)+$C$2</f>
        <v>315.5777856955707</v>
      </c>
      <c r="G604" s="72">
        <f>VLOOKUP('Old Data'!$P600,$V$6:$X$135,2,FALSE)+VLOOKUP('Old Data'!$F600,$V$6:$X$135,3,FALSE)+$C$2</f>
        <v>272.13986821012668</v>
      </c>
      <c r="H604" s="74">
        <f>('Old Data'!$K600-$F604)^2+('Old Data'!$U600-$G604)^2</f>
        <v>12874.029132713753</v>
      </c>
      <c r="I604" s="75">
        <f>('Old Data'!$L600+'Old Data'!$M600)-('Old Data'!$V600+'Old Data'!$W600)</f>
        <v>0</v>
      </c>
      <c r="J604" s="72">
        <f>VLOOKUP('Old Data'!$F600,$Z$6:$AB$135,2,FALSE)+VLOOKUP('Old Data'!$P600,$Z$6:$AB$135,3,FALSE)+$D$2</f>
        <v>31.834899932106971</v>
      </c>
      <c r="K604" s="72">
        <f>VLOOKUP('Old Data'!$P600,$Z$6:$AB$135,2,FALSE)+VLOOKUP('Old Data'!$F600,$Z$6:$AB$135,3,FALSE)+$D$2</f>
        <v>30.653398922636367</v>
      </c>
      <c r="L604" s="74">
        <f>('Old Data'!$L600+'Old Data'!$M600-$J604)^2+('Old Data'!$V600+'Old Data'!$W600-$K604)^2</f>
        <v>1953.0917191975489</v>
      </c>
      <c r="M604" s="75">
        <f>'Old Data'!$N600-'Old Data'!$X600</f>
        <v>0</v>
      </c>
      <c r="N604" s="72">
        <f>VLOOKUP('Old Data'!$F600,$AD$6:$AF$135,2,FALSE)+VLOOKUP('Old Data'!$P600,$AD$6:$AF$135,3,FALSE)+$E$2</f>
        <v>1.9541076219296631</v>
      </c>
      <c r="O604" s="72">
        <f>VLOOKUP('Old Data'!$P600,$AD$6:$AF$135,2,FALSE)+VLOOKUP('Old Data'!$F600,$AD$6:$AF$135,3,FALSE)+$E$2</f>
        <v>1.920044430128345</v>
      </c>
      <c r="P604" s="73">
        <f>('Old Data'!$N600-$N604)^2+('Old Data'!$X600-$O604)^2</f>
        <v>1.7568031076344681</v>
      </c>
      <c r="Q604" s="62"/>
      <c r="R604" s="3"/>
      <c r="S604" s="3"/>
      <c r="T604" s="3"/>
      <c r="V604" s="3"/>
      <c r="W604" s="3"/>
      <c r="X604" s="3"/>
      <c r="Z604" s="3"/>
      <c r="AA604" s="3"/>
      <c r="AB604" s="3"/>
      <c r="AC604" s="3"/>
      <c r="AD604" s="3"/>
      <c r="AE604" s="3"/>
      <c r="AF604" s="3"/>
      <c r="AG604" s="3"/>
      <c r="AH604" s="37"/>
      <c r="AI604" s="1"/>
      <c r="AK604" s="10"/>
      <c r="AL604" s="10"/>
      <c r="AM604" s="10"/>
      <c r="AN604" s="11"/>
      <c r="AO604" s="11"/>
      <c r="AP604" s="11"/>
      <c r="AQ604" s="36"/>
      <c r="AR604" s="11"/>
      <c r="AS604" s="11"/>
      <c r="AT604" s="11"/>
      <c r="AU604" s="12"/>
      <c r="AV604" s="11"/>
      <c r="AW604" s="11"/>
      <c r="AX604" s="15"/>
      <c r="AY604" s="15"/>
      <c r="AZ604" s="15"/>
      <c r="BA604" s="15"/>
      <c r="BB604" s="15"/>
      <c r="BC604" s="15"/>
      <c r="BD604" s="15"/>
      <c r="BE604" s="12"/>
      <c r="BF604" s="11"/>
      <c r="BG604" s="11"/>
      <c r="BH604" s="10"/>
      <c r="BI604" s="10"/>
      <c r="BJ604" s="10"/>
      <c r="BK604" s="23"/>
      <c r="BL604" s="23"/>
      <c r="BM604" s="23"/>
      <c r="BN604" s="23"/>
      <c r="BO604" s="23"/>
      <c r="BP604" s="23"/>
      <c r="BQ604" s="23"/>
      <c r="BR604" s="10"/>
      <c r="BS604" s="16"/>
      <c r="BT604" s="16"/>
      <c r="BU604" s="16"/>
      <c r="BV604" s="16"/>
      <c r="BW604" s="11"/>
      <c r="BX604" s="16"/>
      <c r="BY604" s="16"/>
      <c r="BZ604" s="17"/>
      <c r="CA604" s="18"/>
      <c r="CB604" s="18"/>
      <c r="CC604" s="18"/>
      <c r="CD604" s="18"/>
      <c r="CE604" s="18"/>
      <c r="CF604" s="18"/>
      <c r="CG604" s="19"/>
      <c r="CH604" s="15"/>
      <c r="CI604" s="17"/>
      <c r="CJ604" s="10"/>
      <c r="CK604" s="10"/>
      <c r="CL604" s="10"/>
      <c r="CM604" s="17"/>
      <c r="CN604" s="17"/>
      <c r="CO604" s="10"/>
      <c r="CP604" s="10"/>
      <c r="CQ604" s="10"/>
      <c r="CR604" s="10"/>
      <c r="CS604" s="10"/>
      <c r="CT604" s="10"/>
      <c r="CU604" s="10"/>
      <c r="CV604" s="10"/>
      <c r="CW604" s="10"/>
      <c r="CX604" s="10"/>
      <c r="CY604" s="10"/>
      <c r="CZ604" s="10"/>
      <c r="DA604" s="34"/>
      <c r="DB604" s="34"/>
      <c r="DC604" s="34"/>
      <c r="DD604" s="34"/>
      <c r="DE604" s="34"/>
      <c r="DF604" s="34"/>
      <c r="DG604" s="34"/>
      <c r="DH604" s="34"/>
      <c r="DI604" s="34"/>
      <c r="DJ604" s="34"/>
      <c r="DK604" s="34"/>
      <c r="DL604" s="34"/>
      <c r="DM604" s="34"/>
      <c r="DN604" s="34"/>
      <c r="DO604" s="34"/>
      <c r="DP604" s="34"/>
      <c r="DQ604" s="34"/>
      <c r="DR604" s="34"/>
      <c r="DS604" s="34"/>
      <c r="DT604" s="34"/>
      <c r="DU604" s="34"/>
      <c r="DV604" s="34"/>
      <c r="DW604" s="34"/>
      <c r="DX604" s="34"/>
      <c r="DY604" s="34"/>
      <c r="DZ604" s="34"/>
      <c r="EA604" s="34"/>
      <c r="EB604" s="34"/>
      <c r="EC604" s="34"/>
      <c r="ED604" s="34"/>
      <c r="EE604" s="34"/>
    </row>
    <row r="605" spans="1:135" customFormat="1">
      <c r="A605" s="71">
        <f>'Old Data'!$I601-'Old Data'!$S601</f>
        <v>114</v>
      </c>
      <c r="B605" s="72">
        <f>VLOOKUP('Old Data'!$F601,$R$6:$T$135,2,FALSE)+VLOOKUP('Old Data'!$P601,$R$6:$T$135,3,FALSE)+$B$2</f>
        <v>167.80496012655743</v>
      </c>
      <c r="C605" s="72">
        <f>VLOOKUP('Old Data'!$P601,$R$6:$T$135,2,FALSE)+VLOOKUP('Old Data'!$F601,$R$6:$T$135,3,FALSE)+$B$2</f>
        <v>242.6516297390699</v>
      </c>
      <c r="D605" s="74">
        <f>('Old Data'!$I601-$B605)^2+('Old Data'!$S601-$C605)^2</f>
        <v>17867.289267946435</v>
      </c>
      <c r="E605" s="75">
        <f>'Old Data'!$K601-'Old Data'!$U601</f>
        <v>80</v>
      </c>
      <c r="F605" s="72">
        <f>VLOOKUP('Old Data'!$F601,$V$6:$X$135,2,FALSE)+VLOOKUP('Old Data'!$P601,$V$6:$X$135,3,FALSE)+$C$2</f>
        <v>221.69863552821045</v>
      </c>
      <c r="G605" s="72">
        <f>VLOOKUP('Old Data'!$P601,$V$6:$X$135,2,FALSE)+VLOOKUP('Old Data'!$F601,$V$6:$X$135,3,FALSE)+$C$2</f>
        <v>182.23656540100311</v>
      </c>
      <c r="H605" s="74">
        <f>('Old Data'!$K601-$F605)^2+('Old Data'!$U601-$G605)^2</f>
        <v>12363.814519885975</v>
      </c>
      <c r="I605" s="75">
        <f>('Old Data'!$L601+'Old Data'!$M601)-('Old Data'!$V601+'Old Data'!$W601)</f>
        <v>-46</v>
      </c>
      <c r="J605" s="72">
        <f>VLOOKUP('Old Data'!$F601,$Z$6:$AB$135,2,FALSE)+VLOOKUP('Old Data'!$P601,$Z$6:$AB$135,3,FALSE)+$D$2</f>
        <v>50.163456434807799</v>
      </c>
      <c r="K605" s="72">
        <f>VLOOKUP('Old Data'!$P601,$Z$6:$AB$135,2,FALSE)+VLOOKUP('Old Data'!$F601,$Z$6:$AB$135,3,FALSE)+$D$2</f>
        <v>43.501301742325978</v>
      </c>
      <c r="L605" s="74">
        <f>('Old Data'!$L601+'Old Data'!$M601-$J605)^2+('Old Data'!$V601+'Old Data'!$W601-$K605)^2</f>
        <v>2254.6273054069602</v>
      </c>
      <c r="M605" s="75">
        <f>'Old Data'!$N601-'Old Data'!$X601</f>
        <v>-1</v>
      </c>
      <c r="N605" s="72">
        <f>VLOOKUP('Old Data'!$F601,$AD$6:$AF$135,2,FALSE)+VLOOKUP('Old Data'!$P601,$AD$6:$AF$135,3,FALSE)+$E$2</f>
        <v>0.92003932219420648</v>
      </c>
      <c r="O605" s="72">
        <f>VLOOKUP('Old Data'!$P601,$AD$6:$AF$135,2,FALSE)+VLOOKUP('Old Data'!$F601,$AD$6:$AF$135,3,FALSE)+$E$2</f>
        <v>1.393644447597651</v>
      </c>
      <c r="P605" s="73">
        <f>('Old Data'!$N601-$N605)^2+('Old Data'!$X601-$O605)^2</f>
        <v>3.7466932263406045</v>
      </c>
      <c r="Q605" s="62"/>
      <c r="R605" s="3"/>
      <c r="S605" s="3"/>
      <c r="T605" s="3"/>
      <c r="V605" s="3"/>
      <c r="W605" s="3"/>
      <c r="X605" s="3"/>
      <c r="Z605" s="3"/>
      <c r="AA605" s="3"/>
      <c r="AB605" s="3"/>
      <c r="AC605" s="3"/>
      <c r="AD605" s="3"/>
      <c r="AE605" s="3"/>
      <c r="AF605" s="3"/>
      <c r="AG605" s="3"/>
      <c r="AH605" s="37"/>
      <c r="AI605" s="1"/>
      <c r="AK605" s="10"/>
      <c r="AL605" s="10"/>
      <c r="AM605" s="10"/>
      <c r="AN605" s="11"/>
      <c r="AO605" s="11"/>
      <c r="AP605" s="11"/>
      <c r="AQ605" s="36"/>
      <c r="AR605" s="11"/>
      <c r="AS605" s="11"/>
      <c r="AT605" s="11"/>
      <c r="AU605" s="12"/>
      <c r="AV605" s="11"/>
      <c r="AW605" s="11"/>
      <c r="AX605" s="15"/>
      <c r="AY605" s="15"/>
      <c r="AZ605" s="15"/>
      <c r="BA605" s="15"/>
      <c r="BB605" s="15"/>
      <c r="BC605" s="15"/>
      <c r="BD605" s="15"/>
      <c r="BE605" s="12"/>
      <c r="BF605" s="11"/>
      <c r="BG605" s="11"/>
      <c r="BH605" s="10"/>
      <c r="BI605" s="10"/>
      <c r="BJ605" s="10"/>
      <c r="BK605" s="23"/>
      <c r="BL605" s="23"/>
      <c r="BM605" s="23"/>
      <c r="BN605" s="23"/>
      <c r="BO605" s="23"/>
      <c r="BP605" s="23"/>
      <c r="BQ605" s="23"/>
      <c r="BR605" s="10"/>
      <c r="BS605" s="16"/>
      <c r="BT605" s="16"/>
      <c r="BU605" s="16"/>
      <c r="BV605" s="16"/>
      <c r="BW605" s="11"/>
      <c r="BX605" s="16"/>
      <c r="BY605" s="16"/>
      <c r="BZ605" s="17"/>
      <c r="CA605" s="18"/>
      <c r="CB605" s="18"/>
      <c r="CC605" s="18"/>
      <c r="CD605" s="18"/>
      <c r="CE605" s="18"/>
      <c r="CF605" s="18"/>
      <c r="CG605" s="19"/>
      <c r="CH605" s="15"/>
      <c r="CI605" s="17"/>
      <c r="CJ605" s="10"/>
      <c r="CK605" s="10"/>
      <c r="CL605" s="10"/>
      <c r="CM605" s="17"/>
      <c r="CN605" s="17"/>
      <c r="CO605" s="10"/>
      <c r="CP605" s="10"/>
      <c r="CQ605" s="10"/>
      <c r="CR605" s="10"/>
      <c r="CS605" s="10"/>
      <c r="CT605" s="10"/>
      <c r="CU605" s="10"/>
      <c r="CV605" s="10"/>
      <c r="CW605" s="10"/>
      <c r="CX605" s="10"/>
      <c r="CY605" s="10"/>
      <c r="CZ605" s="10"/>
      <c r="DA605" s="34"/>
      <c r="DB605" s="34"/>
      <c r="DC605" s="34"/>
      <c r="DD605" s="34"/>
      <c r="DE605" s="34"/>
      <c r="DF605" s="34"/>
      <c r="DG605" s="34"/>
      <c r="DH605" s="34"/>
      <c r="DI605" s="34"/>
      <c r="DJ605" s="34"/>
      <c r="DK605" s="34"/>
      <c r="DL605" s="34"/>
      <c r="DM605" s="34"/>
      <c r="DN605" s="34"/>
      <c r="DO605" s="34"/>
      <c r="DP605" s="34"/>
      <c r="DQ605" s="34"/>
      <c r="DR605" s="34"/>
      <c r="DS605" s="34"/>
      <c r="DT605" s="34"/>
      <c r="DU605" s="34"/>
      <c r="DV605" s="34"/>
      <c r="DW605" s="34"/>
      <c r="DX605" s="34"/>
      <c r="DY605" s="34"/>
      <c r="DZ605" s="34"/>
      <c r="EA605" s="34"/>
      <c r="EB605" s="34"/>
      <c r="EC605" s="34"/>
      <c r="ED605" s="34"/>
      <c r="EE605" s="34"/>
    </row>
    <row r="606" spans="1:135" customFormat="1">
      <c r="A606" s="71">
        <f>'Old Data'!$I602-'Old Data'!$S602</f>
        <v>70</v>
      </c>
      <c r="B606" s="72">
        <f>VLOOKUP('Old Data'!$F602,$R$6:$T$135,2,FALSE)+VLOOKUP('Old Data'!$P602,$R$6:$T$135,3,FALSE)+$B$2</f>
        <v>197.00975462982422</v>
      </c>
      <c r="C606" s="72">
        <f>VLOOKUP('Old Data'!$P602,$R$6:$T$135,2,FALSE)+VLOOKUP('Old Data'!$F602,$R$6:$T$135,3,FALSE)+$B$2</f>
        <v>84.760848844082204</v>
      </c>
      <c r="D606" s="74">
        <f>('Old Data'!$I602-$B606)^2+('Old Data'!$S602-$C606)^2</f>
        <v>2447.6651259681039</v>
      </c>
      <c r="E606" s="75">
        <f>'Old Data'!$K602-'Old Data'!$U602</f>
        <v>-170</v>
      </c>
      <c r="F606" s="72">
        <f>VLOOKUP('Old Data'!$F602,$V$6:$X$135,2,FALSE)+VLOOKUP('Old Data'!$P602,$V$6:$X$135,3,FALSE)+$C$2</f>
        <v>167.26865667436289</v>
      </c>
      <c r="G606" s="72">
        <f>VLOOKUP('Old Data'!$P602,$V$6:$X$135,2,FALSE)+VLOOKUP('Old Data'!$F602,$V$6:$X$135,3,FALSE)+$C$2</f>
        <v>209.5064912761365</v>
      </c>
      <c r="H606" s="74">
        <f>('Old Data'!$K602-$F606)^2+('Old Data'!$U602-$G606)^2</f>
        <v>11587.448012735409</v>
      </c>
      <c r="I606" s="75">
        <f>('Old Data'!$L602+'Old Data'!$M602)-('Old Data'!$V602+'Old Data'!$W602)</f>
        <v>-72</v>
      </c>
      <c r="J606" s="72">
        <f>VLOOKUP('Old Data'!$F602,$Z$6:$AB$135,2,FALSE)+VLOOKUP('Old Data'!$P602,$Z$6:$AB$135,3,FALSE)+$D$2</f>
        <v>29.734119390001489</v>
      </c>
      <c r="K606" s="72">
        <f>VLOOKUP('Old Data'!$P602,$Z$6:$AB$135,2,FALSE)+VLOOKUP('Old Data'!$F602,$Z$6:$AB$135,3,FALSE)+$D$2</f>
        <v>68.605678410487059</v>
      </c>
      <c r="L606" s="74">
        <f>('Old Data'!$L602+'Old Data'!$M602-$J606)^2+('Old Data'!$V602+'Old Data'!$W602-$K606)^2</f>
        <v>895.63927495189614</v>
      </c>
      <c r="M606" s="75">
        <f>'Old Data'!$N602-'Old Data'!$X602</f>
        <v>0</v>
      </c>
      <c r="N606" s="72">
        <f>VLOOKUP('Old Data'!$F602,$AD$6:$AF$135,2,FALSE)+VLOOKUP('Old Data'!$P602,$AD$6:$AF$135,3,FALSE)+$E$2</f>
        <v>2.0103493742053531</v>
      </c>
      <c r="O606" s="72">
        <f>VLOOKUP('Old Data'!$P602,$AD$6:$AF$135,2,FALSE)+VLOOKUP('Old Data'!$F602,$AD$6:$AF$135,3,FALSE)+$E$2</f>
        <v>1.6197381169467095</v>
      </c>
      <c r="P606" s="73">
        <f>('Old Data'!$N602-$N606)^2+('Old Data'!$X602-$O606)^2</f>
        <v>1.4048811915538022</v>
      </c>
      <c r="Q606" s="62"/>
      <c r="R606" s="3"/>
      <c r="S606" s="3"/>
      <c r="T606" s="3"/>
      <c r="V606" s="3"/>
      <c r="W606" s="3"/>
      <c r="X606" s="3"/>
      <c r="Z606" s="3"/>
      <c r="AA606" s="3"/>
      <c r="AB606" s="3"/>
      <c r="AC606" s="3"/>
      <c r="AD606" s="3"/>
      <c r="AE606" s="3"/>
      <c r="AF606" s="3"/>
      <c r="AG606" s="3"/>
      <c r="AH606" s="37"/>
      <c r="AI606" s="1"/>
      <c r="AK606" s="10"/>
      <c r="AL606" s="10"/>
      <c r="AM606" s="10"/>
      <c r="AN606" s="11"/>
      <c r="AO606" s="11"/>
      <c r="AP606" s="11"/>
      <c r="AQ606" s="36"/>
      <c r="AR606" s="11"/>
      <c r="AS606" s="11"/>
      <c r="AT606" s="11"/>
      <c r="AU606" s="12"/>
      <c r="AV606" s="11"/>
      <c r="AW606" s="11"/>
      <c r="AX606" s="15"/>
      <c r="AY606" s="15"/>
      <c r="AZ606" s="15"/>
      <c r="BA606" s="15"/>
      <c r="BB606" s="15"/>
      <c r="BC606" s="15"/>
      <c r="BD606" s="15"/>
      <c r="BE606" s="12"/>
      <c r="BF606" s="11"/>
      <c r="BG606" s="11"/>
      <c r="BH606" s="10"/>
      <c r="BI606" s="10"/>
      <c r="BJ606" s="10"/>
      <c r="BK606" s="23"/>
      <c r="BL606" s="23"/>
      <c r="BM606" s="23"/>
      <c r="BN606" s="23"/>
      <c r="BO606" s="23"/>
      <c r="BP606" s="23"/>
      <c r="BQ606" s="23"/>
      <c r="BR606" s="10"/>
      <c r="BS606" s="16"/>
      <c r="BT606" s="16"/>
      <c r="BU606" s="16"/>
      <c r="BV606" s="16"/>
      <c r="BW606" s="11"/>
      <c r="BX606" s="16"/>
      <c r="BY606" s="16"/>
      <c r="BZ606" s="17"/>
      <c r="CA606" s="18"/>
      <c r="CB606" s="18"/>
      <c r="CC606" s="18"/>
      <c r="CD606" s="18"/>
      <c r="CE606" s="18"/>
      <c r="CF606" s="18"/>
      <c r="CG606" s="19"/>
      <c r="CH606" s="15"/>
      <c r="CI606" s="17"/>
      <c r="CJ606" s="10"/>
      <c r="CK606" s="10"/>
      <c r="CL606" s="10"/>
      <c r="CM606" s="17"/>
      <c r="CN606" s="17"/>
      <c r="CO606" s="10"/>
      <c r="CP606" s="10"/>
      <c r="CQ606" s="10"/>
      <c r="CR606" s="10"/>
      <c r="CS606" s="10"/>
      <c r="CT606" s="10"/>
      <c r="CU606" s="10"/>
      <c r="CV606" s="10"/>
      <c r="CW606" s="10"/>
      <c r="CX606" s="10"/>
      <c r="CY606" s="10"/>
      <c r="CZ606" s="10"/>
      <c r="DA606" s="34"/>
      <c r="DB606" s="34"/>
      <c r="DC606" s="34"/>
      <c r="DD606" s="34"/>
      <c r="DE606" s="34"/>
      <c r="DF606" s="34"/>
      <c r="DG606" s="34"/>
      <c r="DH606" s="34"/>
      <c r="DI606" s="34"/>
      <c r="DJ606" s="34"/>
      <c r="DK606" s="34"/>
      <c r="DL606" s="34"/>
      <c r="DM606" s="34"/>
      <c r="DN606" s="34"/>
      <c r="DO606" s="34"/>
      <c r="DP606" s="34"/>
      <c r="DQ606" s="34"/>
      <c r="DR606" s="34"/>
      <c r="DS606" s="34"/>
      <c r="DT606" s="34"/>
      <c r="DU606" s="34"/>
      <c r="DV606" s="34"/>
      <c r="DW606" s="34"/>
      <c r="DX606" s="34"/>
      <c r="DY606" s="34"/>
      <c r="DZ606" s="34"/>
      <c r="EA606" s="34"/>
      <c r="EB606" s="34"/>
      <c r="EC606" s="34"/>
      <c r="ED606" s="34"/>
      <c r="EE606" s="34"/>
    </row>
    <row r="607" spans="1:135" customFormat="1">
      <c r="A607" s="71">
        <f>'Old Data'!$I603-'Old Data'!$S603</f>
        <v>175</v>
      </c>
      <c r="B607" s="72">
        <f>VLOOKUP('Old Data'!$F603,$R$6:$T$135,2,FALSE)+VLOOKUP('Old Data'!$P603,$R$6:$T$135,3,FALSE)+$B$2</f>
        <v>149.17621008785278</v>
      </c>
      <c r="C607" s="72">
        <f>VLOOKUP('Old Data'!$P603,$R$6:$T$135,2,FALSE)+VLOOKUP('Old Data'!$F603,$R$6:$T$135,3,FALSE)+$B$2</f>
        <v>140.8235280545502</v>
      </c>
      <c r="D607" s="74">
        <f>('Old Data'!$I603-$B607)^2+('Old Data'!$S603-$C607)^2</f>
        <v>15186.150938043611</v>
      </c>
      <c r="E607" s="75">
        <f>'Old Data'!$K603-'Old Data'!$U603</f>
        <v>17</v>
      </c>
      <c r="F607" s="72">
        <f>VLOOKUP('Old Data'!$F603,$V$6:$X$135,2,FALSE)+VLOOKUP('Old Data'!$P603,$V$6:$X$135,3,FALSE)+$C$2</f>
        <v>189.84331540478161</v>
      </c>
      <c r="G607" s="72">
        <f>VLOOKUP('Old Data'!$P603,$V$6:$X$135,2,FALSE)+VLOOKUP('Old Data'!$F603,$V$6:$X$135,3,FALSE)+$C$2</f>
        <v>252.97967699520541</v>
      </c>
      <c r="H607" s="74">
        <f>('Old Data'!$K603-$F607)^2+('Old Data'!$U603-$G607)^2</f>
        <v>3306.455783920625</v>
      </c>
      <c r="I607" s="75">
        <f>('Old Data'!$L603+'Old Data'!$M603)-('Old Data'!$V603+'Old Data'!$W603)</f>
        <v>-26</v>
      </c>
      <c r="J607" s="72">
        <f>VLOOKUP('Old Data'!$F603,$Z$6:$AB$135,2,FALSE)+VLOOKUP('Old Data'!$P603,$Z$6:$AB$135,3,FALSE)+$D$2</f>
        <v>31.115767547742578</v>
      </c>
      <c r="K607" s="72">
        <f>VLOOKUP('Old Data'!$P603,$Z$6:$AB$135,2,FALSE)+VLOOKUP('Old Data'!$F603,$Z$6:$AB$135,3,FALSE)+$D$2</f>
        <v>30.885922400337396</v>
      </c>
      <c r="L607" s="74">
        <f>('Old Data'!$L603+'Old Data'!$M603-$J607)^2+('Old Data'!$V603+'Old Data'!$W603-$K607)^2</f>
        <v>471.97535048711029</v>
      </c>
      <c r="M607" s="75">
        <f>'Old Data'!$N603-'Old Data'!$X603</f>
        <v>1</v>
      </c>
      <c r="N607" s="72">
        <f>VLOOKUP('Old Data'!$F603,$AD$6:$AF$135,2,FALSE)+VLOOKUP('Old Data'!$P603,$AD$6:$AF$135,3,FALSE)+$E$2</f>
        <v>1.2279832841817786</v>
      </c>
      <c r="O607" s="72">
        <f>VLOOKUP('Old Data'!$P603,$AD$6:$AF$135,2,FALSE)+VLOOKUP('Old Data'!$F603,$AD$6:$AF$135,3,FALSE)+$E$2</f>
        <v>1.3622753536134211</v>
      </c>
      <c r="P607" s="73">
        <f>('Old Data'!$N603-$N607)^2+('Old Data'!$X603-$O607)^2</f>
        <v>1.9077705169288812</v>
      </c>
      <c r="Q607" s="62"/>
      <c r="R607" s="3"/>
      <c r="S607" s="3"/>
      <c r="T607" s="3"/>
      <c r="V607" s="3"/>
      <c r="W607" s="3"/>
      <c r="X607" s="3"/>
      <c r="Z607" s="3"/>
      <c r="AA607" s="3"/>
      <c r="AB607" s="3"/>
      <c r="AC607" s="3"/>
      <c r="AD607" s="3"/>
      <c r="AE607" s="3"/>
      <c r="AF607" s="3"/>
      <c r="AG607" s="3"/>
      <c r="AH607" s="37"/>
      <c r="AI607" s="1"/>
      <c r="AK607" s="10"/>
      <c r="AL607" s="10"/>
      <c r="AM607" s="10"/>
      <c r="AN607" s="11"/>
      <c r="AO607" s="11"/>
      <c r="AP607" s="11"/>
      <c r="AQ607" s="36"/>
      <c r="AR607" s="11"/>
      <c r="AS607" s="11"/>
      <c r="AT607" s="11"/>
      <c r="AU607" s="12"/>
      <c r="AV607" s="11"/>
      <c r="AW607" s="11"/>
      <c r="AX607" s="15"/>
      <c r="AY607" s="15"/>
      <c r="AZ607" s="15"/>
      <c r="BA607" s="15"/>
      <c r="BB607" s="15"/>
      <c r="BC607" s="15"/>
      <c r="BD607" s="15"/>
      <c r="BE607" s="12"/>
      <c r="BF607" s="11"/>
      <c r="BG607" s="11"/>
      <c r="BH607" s="10"/>
      <c r="BI607" s="10"/>
      <c r="BJ607" s="10"/>
      <c r="BK607" s="23"/>
      <c r="BL607" s="23"/>
      <c r="BM607" s="23"/>
      <c r="BN607" s="23"/>
      <c r="BO607" s="23"/>
      <c r="BP607" s="23"/>
      <c r="BQ607" s="23"/>
      <c r="BR607" s="10"/>
      <c r="BS607" s="16"/>
      <c r="BT607" s="16"/>
      <c r="BU607" s="16"/>
      <c r="BV607" s="16"/>
      <c r="BW607" s="11"/>
      <c r="BX607" s="16"/>
      <c r="BY607" s="16"/>
      <c r="BZ607" s="17"/>
      <c r="CA607" s="18"/>
      <c r="CB607" s="18"/>
      <c r="CC607" s="18"/>
      <c r="CD607" s="18"/>
      <c r="CE607" s="18"/>
      <c r="CF607" s="18"/>
      <c r="CG607" s="19"/>
      <c r="CH607" s="15"/>
      <c r="CI607" s="17"/>
      <c r="CJ607" s="10"/>
      <c r="CK607" s="10"/>
      <c r="CL607" s="10"/>
      <c r="CM607" s="17"/>
      <c r="CN607" s="17"/>
      <c r="CO607" s="10"/>
      <c r="CP607" s="10"/>
      <c r="CQ607" s="10"/>
      <c r="CR607" s="10"/>
      <c r="CS607" s="10"/>
      <c r="CT607" s="10"/>
      <c r="CU607" s="10"/>
      <c r="CV607" s="10"/>
      <c r="CW607" s="10"/>
      <c r="CX607" s="10"/>
      <c r="CY607" s="10"/>
      <c r="CZ607" s="10"/>
      <c r="DA607" s="34"/>
      <c r="DB607" s="34"/>
      <c r="DC607" s="34"/>
      <c r="DD607" s="34"/>
      <c r="DE607" s="34"/>
      <c r="DF607" s="34"/>
      <c r="DG607" s="34"/>
      <c r="DH607" s="34"/>
      <c r="DI607" s="34"/>
      <c r="DJ607" s="34"/>
      <c r="DK607" s="34"/>
      <c r="DL607" s="34"/>
      <c r="DM607" s="34"/>
      <c r="DN607" s="34"/>
      <c r="DO607" s="34"/>
      <c r="DP607" s="34"/>
      <c r="DQ607" s="34"/>
      <c r="DR607" s="34"/>
      <c r="DS607" s="34"/>
      <c r="DT607" s="34"/>
      <c r="DU607" s="34"/>
      <c r="DV607" s="34"/>
      <c r="DW607" s="34"/>
      <c r="DX607" s="34"/>
      <c r="DY607" s="34"/>
      <c r="DZ607" s="34"/>
      <c r="EA607" s="34"/>
      <c r="EB607" s="34"/>
      <c r="EC607" s="34"/>
      <c r="ED607" s="34"/>
      <c r="EE607" s="34"/>
    </row>
    <row r="608" spans="1:135" customFormat="1">
      <c r="A608" s="71">
        <f>'Old Data'!$I604-'Old Data'!$S604</f>
        <v>-41</v>
      </c>
      <c r="B608" s="72">
        <f>VLOOKUP('Old Data'!$F604,$R$6:$T$135,2,FALSE)+VLOOKUP('Old Data'!$P604,$R$6:$T$135,3,FALSE)+$B$2</f>
        <v>171.44588818517161</v>
      </c>
      <c r="C608" s="72">
        <f>VLOOKUP('Old Data'!$P604,$R$6:$T$135,2,FALSE)+VLOOKUP('Old Data'!$F604,$R$6:$T$135,3,FALSE)+$B$2</f>
        <v>165.5090017252256</v>
      </c>
      <c r="D608" s="74">
        <f>('Old Data'!$I604-$B608)^2+('Old Data'!$S604-$C608)^2</f>
        <v>6928.6647830599231</v>
      </c>
      <c r="E608" s="75">
        <f>'Old Data'!$K604-'Old Data'!$U604</f>
        <v>59</v>
      </c>
      <c r="F608" s="72">
        <f>VLOOKUP('Old Data'!$F604,$V$6:$X$135,2,FALSE)+VLOOKUP('Old Data'!$P604,$V$6:$X$135,3,FALSE)+$C$2</f>
        <v>285.93325678646727</v>
      </c>
      <c r="G608" s="72">
        <f>VLOOKUP('Old Data'!$P604,$V$6:$X$135,2,FALSE)+VLOOKUP('Old Data'!$F604,$V$6:$X$135,3,FALSE)+$C$2</f>
        <v>350.89909025844298</v>
      </c>
      <c r="H608" s="74">
        <f>('Old Data'!$K604-$F608)^2+('Old Data'!$U604-$G608)^2</f>
        <v>22162.278990322739</v>
      </c>
      <c r="I608" s="75">
        <f>('Old Data'!$L604+'Old Data'!$M604)-('Old Data'!$V604+'Old Data'!$W604)</f>
        <v>23</v>
      </c>
      <c r="J608" s="72">
        <f>VLOOKUP('Old Data'!$F604,$Z$6:$AB$135,2,FALSE)+VLOOKUP('Old Data'!$P604,$Z$6:$AB$135,3,FALSE)+$D$2</f>
        <v>65.047005112222891</v>
      </c>
      <c r="K608" s="72">
        <f>VLOOKUP('Old Data'!$P604,$Z$6:$AB$135,2,FALSE)+VLOOKUP('Old Data'!$F604,$Z$6:$AB$135,3,FALSE)+$D$2</f>
        <v>62.937528034063568</v>
      </c>
      <c r="L608" s="74">
        <f>('Old Data'!$L604+'Old Data'!$M604-$J608)^2+('Old Data'!$V604+'Old Data'!$W604-$K608)^2</f>
        <v>218.69162673204374</v>
      </c>
      <c r="M608" s="75">
        <f>'Old Data'!$N604-'Old Data'!$X604</f>
        <v>-1</v>
      </c>
      <c r="N608" s="72">
        <f>VLOOKUP('Old Data'!$F604,$AD$6:$AF$135,2,FALSE)+VLOOKUP('Old Data'!$P604,$AD$6:$AF$135,3,FALSE)+$E$2</f>
        <v>1.3632285609583501</v>
      </c>
      <c r="O608" s="72">
        <f>VLOOKUP('Old Data'!$P604,$AD$6:$AF$135,2,FALSE)+VLOOKUP('Old Data'!$F604,$AD$6:$AF$135,3,FALSE)+$E$2</f>
        <v>1.6991023216426955</v>
      </c>
      <c r="P608" s="73">
        <f>('Old Data'!$N604-$N608)^2+('Old Data'!$X604-$O608)^2</f>
        <v>2.0978126351345985</v>
      </c>
      <c r="Q608" s="62"/>
      <c r="R608" s="3"/>
      <c r="S608" s="3"/>
      <c r="T608" s="3"/>
      <c r="V608" s="3"/>
      <c r="W608" s="3"/>
      <c r="X608" s="3"/>
      <c r="Z608" s="3"/>
      <c r="AA608" s="3"/>
      <c r="AB608" s="3"/>
      <c r="AC608" s="3"/>
      <c r="AD608" s="3"/>
      <c r="AE608" s="3"/>
      <c r="AF608" s="3"/>
      <c r="AG608" s="3"/>
      <c r="AH608" s="37"/>
      <c r="AI608" s="1"/>
      <c r="AK608" s="10"/>
      <c r="AL608" s="10"/>
      <c r="AM608" s="10"/>
      <c r="AN608" s="11"/>
      <c r="AO608" s="11"/>
      <c r="AP608" s="11"/>
      <c r="AQ608" s="36"/>
      <c r="AR608" s="11"/>
      <c r="AS608" s="11"/>
      <c r="AT608" s="11"/>
      <c r="AU608" s="12"/>
      <c r="AV608" s="11"/>
      <c r="AW608" s="11"/>
      <c r="AX608" s="15"/>
      <c r="AY608" s="15"/>
      <c r="AZ608" s="15"/>
      <c r="BA608" s="15"/>
      <c r="BB608" s="15"/>
      <c r="BC608" s="15"/>
      <c r="BD608" s="15"/>
      <c r="BE608" s="12"/>
      <c r="BF608" s="11"/>
      <c r="BG608" s="11"/>
      <c r="BH608" s="10"/>
      <c r="BI608" s="10"/>
      <c r="BJ608" s="10"/>
      <c r="BK608" s="23"/>
      <c r="BL608" s="23"/>
      <c r="BM608" s="23"/>
      <c r="BN608" s="23"/>
      <c r="BO608" s="23"/>
      <c r="BP608" s="23"/>
      <c r="BQ608" s="23"/>
      <c r="BR608" s="10"/>
      <c r="BS608" s="16"/>
      <c r="BT608" s="16"/>
      <c r="BU608" s="16"/>
      <c r="BV608" s="16"/>
      <c r="BW608" s="11"/>
      <c r="BX608" s="16"/>
      <c r="BY608" s="16"/>
      <c r="BZ608" s="17"/>
      <c r="CA608" s="18"/>
      <c r="CB608" s="18"/>
      <c r="CC608" s="18"/>
      <c r="CD608" s="18"/>
      <c r="CE608" s="18"/>
      <c r="CF608" s="18"/>
      <c r="CG608" s="19"/>
      <c r="CH608" s="15"/>
      <c r="CI608" s="17"/>
      <c r="CJ608" s="10"/>
      <c r="CK608" s="10"/>
      <c r="CL608" s="10"/>
      <c r="CM608" s="17"/>
      <c r="CN608" s="17"/>
      <c r="CO608" s="10"/>
      <c r="CP608" s="10"/>
      <c r="CQ608" s="10"/>
      <c r="CR608" s="10"/>
      <c r="CS608" s="10"/>
      <c r="CT608" s="10"/>
      <c r="CU608" s="10"/>
      <c r="CV608" s="10"/>
      <c r="CW608" s="10"/>
      <c r="CX608" s="10"/>
      <c r="CY608" s="10"/>
      <c r="CZ608" s="10"/>
      <c r="DA608" s="34"/>
      <c r="DB608" s="34"/>
      <c r="DC608" s="34"/>
      <c r="DD608" s="34"/>
      <c r="DE608" s="34"/>
      <c r="DF608" s="34"/>
      <c r="DG608" s="34"/>
      <c r="DH608" s="34"/>
      <c r="DI608" s="34"/>
      <c r="DJ608" s="34"/>
      <c r="DK608" s="34"/>
      <c r="DL608" s="34"/>
      <c r="DM608" s="34"/>
      <c r="DN608" s="34"/>
      <c r="DO608" s="34"/>
      <c r="DP608" s="34"/>
      <c r="DQ608" s="34"/>
      <c r="DR608" s="34"/>
      <c r="DS608" s="34"/>
      <c r="DT608" s="34"/>
      <c r="DU608" s="34"/>
      <c r="DV608" s="34"/>
      <c r="DW608" s="34"/>
      <c r="DX608" s="34"/>
      <c r="DY608" s="34"/>
      <c r="DZ608" s="34"/>
      <c r="EA608" s="34"/>
      <c r="EB608" s="34"/>
      <c r="EC608" s="34"/>
      <c r="ED608" s="34"/>
      <c r="EE608" s="34"/>
    </row>
    <row r="609" spans="1:135" customFormat="1">
      <c r="A609" s="71">
        <f>'Old Data'!$I605-'Old Data'!$S605</f>
        <v>-201</v>
      </c>
      <c r="B609" s="72">
        <f>VLOOKUP('Old Data'!$F605,$R$6:$T$135,2,FALSE)+VLOOKUP('Old Data'!$P605,$R$6:$T$135,3,FALSE)+$B$2</f>
        <v>150.55868978185842</v>
      </c>
      <c r="C609" s="72">
        <f>VLOOKUP('Old Data'!$P605,$R$6:$T$135,2,FALSE)+VLOOKUP('Old Data'!$F605,$R$6:$T$135,3,FALSE)+$B$2</f>
        <v>127.1172970160039</v>
      </c>
      <c r="D609" s="74">
        <f>('Old Data'!$I605-$B609)^2+('Old Data'!$S605-$C609)^2</f>
        <v>25616.918268477857</v>
      </c>
      <c r="E609" s="75">
        <f>'Old Data'!$K605-'Old Data'!$U605</f>
        <v>124</v>
      </c>
      <c r="F609" s="72">
        <f>VLOOKUP('Old Data'!$F605,$V$6:$X$135,2,FALSE)+VLOOKUP('Old Data'!$P605,$V$6:$X$135,3,FALSE)+$C$2</f>
        <v>250.3171539980892</v>
      </c>
      <c r="G609" s="72">
        <f>VLOOKUP('Old Data'!$P605,$V$6:$X$135,2,FALSE)+VLOOKUP('Old Data'!$F605,$V$6:$X$135,3,FALSE)+$C$2</f>
        <v>241.22666197570987</v>
      </c>
      <c r="H609" s="74">
        <f>('Old Data'!$K605-$F609)^2+('Old Data'!$U605-$G609)^2</f>
        <v>8374.8305221902592</v>
      </c>
      <c r="I609" s="75">
        <f>('Old Data'!$L605+'Old Data'!$M605)-('Old Data'!$V605+'Old Data'!$W605)</f>
        <v>-77</v>
      </c>
      <c r="J609" s="72">
        <f>VLOOKUP('Old Data'!$F605,$Z$6:$AB$135,2,FALSE)+VLOOKUP('Old Data'!$P605,$Z$6:$AB$135,3,FALSE)+$D$2</f>
        <v>49.253543780697441</v>
      </c>
      <c r="K609" s="72">
        <f>VLOOKUP('Old Data'!$P605,$Z$6:$AB$135,2,FALSE)+VLOOKUP('Old Data'!$F605,$Z$6:$AB$135,3,FALSE)+$D$2</f>
        <v>91.33953048279011</v>
      </c>
      <c r="L609" s="74">
        <f>('Old Data'!$L605+'Old Data'!$M605-$J609)^2+('Old Data'!$V605+'Old Data'!$W605-$K609)^2</f>
        <v>713.27391687191744</v>
      </c>
      <c r="M609" s="75">
        <f>'Old Data'!$N605-'Old Data'!$X605</f>
        <v>1</v>
      </c>
      <c r="N609" s="72">
        <f>VLOOKUP('Old Data'!$F605,$AD$6:$AF$135,2,FALSE)+VLOOKUP('Old Data'!$P605,$AD$6:$AF$135,3,FALSE)+$E$2</f>
        <v>1.7054876937876811</v>
      </c>
      <c r="O609" s="72">
        <f>VLOOKUP('Old Data'!$P605,$AD$6:$AF$135,2,FALSE)+VLOOKUP('Old Data'!$F605,$AD$6:$AF$135,3,FALSE)+$E$2</f>
        <v>1.1378210912633611</v>
      </c>
      <c r="P609" s="73">
        <f>('Old Data'!$N605-$N609)^2+('Old Data'!$X605-$O609)^2</f>
        <v>0.10573215170752243</v>
      </c>
      <c r="Q609" s="62"/>
      <c r="R609" s="3"/>
      <c r="S609" s="3"/>
      <c r="T609" s="3"/>
      <c r="V609" s="3"/>
      <c r="W609" s="3"/>
      <c r="X609" s="3"/>
      <c r="Z609" s="3"/>
      <c r="AA609" s="3"/>
      <c r="AB609" s="3"/>
      <c r="AC609" s="3"/>
      <c r="AD609" s="3"/>
      <c r="AE609" s="3"/>
      <c r="AF609" s="3"/>
      <c r="AG609" s="3"/>
      <c r="AH609" s="37"/>
      <c r="AI609" s="1"/>
      <c r="AK609" s="10"/>
      <c r="AL609" s="10"/>
      <c r="AM609" s="10"/>
      <c r="AN609" s="11"/>
      <c r="AO609" s="11"/>
      <c r="AP609" s="11"/>
      <c r="AQ609" s="36"/>
      <c r="AR609" s="11"/>
      <c r="AS609" s="11"/>
      <c r="AT609" s="11"/>
      <c r="AU609" s="12"/>
      <c r="AV609" s="11"/>
      <c r="AW609" s="11"/>
      <c r="AX609" s="15"/>
      <c r="AY609" s="15"/>
      <c r="AZ609" s="15"/>
      <c r="BA609" s="15"/>
      <c r="BB609" s="15"/>
      <c r="BC609" s="15"/>
      <c r="BD609" s="15"/>
      <c r="BE609" s="12"/>
      <c r="BF609" s="11"/>
      <c r="BG609" s="11"/>
      <c r="BH609" s="10"/>
      <c r="BI609" s="10"/>
      <c r="BJ609" s="10"/>
      <c r="BK609" s="23"/>
      <c r="BL609" s="23"/>
      <c r="BM609" s="23"/>
      <c r="BN609" s="23"/>
      <c r="BO609" s="23"/>
      <c r="BP609" s="23"/>
      <c r="BQ609" s="23"/>
      <c r="BR609" s="10"/>
      <c r="BS609" s="16"/>
      <c r="BT609" s="16"/>
      <c r="BU609" s="16"/>
      <c r="BV609" s="16"/>
      <c r="BW609" s="11"/>
      <c r="BX609" s="16"/>
      <c r="BY609" s="16"/>
      <c r="BZ609" s="17"/>
      <c r="CA609" s="18"/>
      <c r="CB609" s="18"/>
      <c r="CC609" s="18"/>
      <c r="CD609" s="18"/>
      <c r="CE609" s="18"/>
      <c r="CF609" s="18"/>
      <c r="CG609" s="19"/>
      <c r="CH609" s="15"/>
      <c r="CI609" s="17"/>
      <c r="CJ609" s="10"/>
      <c r="CK609" s="10"/>
      <c r="CL609" s="10"/>
      <c r="CM609" s="17"/>
      <c r="CN609" s="17"/>
      <c r="CO609" s="10"/>
      <c r="CP609" s="10"/>
      <c r="CQ609" s="10"/>
      <c r="CR609" s="10"/>
      <c r="CS609" s="10"/>
      <c r="CT609" s="10"/>
      <c r="CU609" s="10"/>
      <c r="CV609" s="10"/>
      <c r="CW609" s="10"/>
      <c r="CX609" s="10"/>
      <c r="CY609" s="10"/>
      <c r="CZ609" s="10"/>
      <c r="DA609" s="34"/>
      <c r="DB609" s="34"/>
      <c r="DC609" s="34"/>
      <c r="DD609" s="34"/>
      <c r="DE609" s="34"/>
      <c r="DF609" s="34"/>
      <c r="DG609" s="34"/>
      <c r="DH609" s="34"/>
      <c r="DI609" s="34"/>
      <c r="DJ609" s="34"/>
      <c r="DK609" s="34"/>
      <c r="DL609" s="34"/>
      <c r="DM609" s="34"/>
      <c r="DN609" s="34"/>
      <c r="DO609" s="34"/>
      <c r="DP609" s="34"/>
      <c r="DQ609" s="34"/>
      <c r="DR609" s="34"/>
      <c r="DS609" s="34"/>
      <c r="DT609" s="34"/>
      <c r="DU609" s="34"/>
      <c r="DV609" s="34"/>
      <c r="DW609" s="34"/>
      <c r="DX609" s="34"/>
      <c r="DY609" s="34"/>
      <c r="DZ609" s="34"/>
      <c r="EA609" s="34"/>
      <c r="EB609" s="34"/>
      <c r="EC609" s="34"/>
      <c r="ED609" s="34"/>
      <c r="EE609" s="34"/>
    </row>
    <row r="610" spans="1:135" customFormat="1">
      <c r="A610" s="71">
        <f>'Old Data'!$I606-'Old Data'!$S606</f>
        <v>68</v>
      </c>
      <c r="B610" s="72">
        <f>VLOOKUP('Old Data'!$F606,$R$6:$T$135,2,FALSE)+VLOOKUP('Old Data'!$P606,$R$6:$T$135,3,FALSE)+$B$2</f>
        <v>263.03478277551073</v>
      </c>
      <c r="C610" s="72">
        <f>VLOOKUP('Old Data'!$P606,$R$6:$T$135,2,FALSE)+VLOOKUP('Old Data'!$F606,$R$6:$T$135,3,FALSE)+$B$2</f>
        <v>175.4330123362069</v>
      </c>
      <c r="D610" s="74">
        <f>('Old Data'!$I606-$B610)^2+('Old Data'!$S606-$C610)^2</f>
        <v>12122.264565515372</v>
      </c>
      <c r="E610" s="75">
        <f>'Old Data'!$K606-'Old Data'!$U606</f>
        <v>-10</v>
      </c>
      <c r="F610" s="72">
        <f>VLOOKUP('Old Data'!$F606,$V$6:$X$135,2,FALSE)+VLOOKUP('Old Data'!$P606,$V$6:$X$135,3,FALSE)+$C$2</f>
        <v>169.60742866848398</v>
      </c>
      <c r="G610" s="72">
        <f>VLOOKUP('Old Data'!$P606,$V$6:$X$135,2,FALSE)+VLOOKUP('Old Data'!$F606,$V$6:$X$135,3,FALSE)+$C$2</f>
        <v>196.464566628169</v>
      </c>
      <c r="H610" s="74">
        <f>('Old Data'!$K606-$F610)^2+('Old Data'!$U606-$G610)^2</f>
        <v>1937.7644239581186</v>
      </c>
      <c r="I610" s="75">
        <f>('Old Data'!$L606+'Old Data'!$M606)-('Old Data'!$V606+'Old Data'!$W606)</f>
        <v>-45</v>
      </c>
      <c r="J610" s="72">
        <f>VLOOKUP('Old Data'!$F606,$Z$6:$AB$135,2,FALSE)+VLOOKUP('Old Data'!$P606,$Z$6:$AB$135,3,FALSE)+$D$2</f>
        <v>23.716347025199696</v>
      </c>
      <c r="K610" s="72">
        <f>VLOOKUP('Old Data'!$P606,$Z$6:$AB$135,2,FALSE)+VLOOKUP('Old Data'!$F606,$Z$6:$AB$135,3,FALSE)+$D$2</f>
        <v>75.121333850962586</v>
      </c>
      <c r="L610" s="74">
        <f>('Old Data'!$L606+'Old Data'!$M606-$J610)^2+('Old Data'!$V606+'Old Data'!$W606-$K610)^2</f>
        <v>593.00625165759732</v>
      </c>
      <c r="M610" s="75">
        <f>'Old Data'!$N606-'Old Data'!$X606</f>
        <v>1</v>
      </c>
      <c r="N610" s="72">
        <f>VLOOKUP('Old Data'!$F606,$AD$6:$AF$135,2,FALSE)+VLOOKUP('Old Data'!$P606,$AD$6:$AF$135,3,FALSE)+$E$2</f>
        <v>1.6688910553376308</v>
      </c>
      <c r="O610" s="72">
        <f>VLOOKUP('Old Data'!$P606,$AD$6:$AF$135,2,FALSE)+VLOOKUP('Old Data'!$F606,$AD$6:$AF$135,3,FALSE)+$E$2</f>
        <v>0.91227575674489214</v>
      </c>
      <c r="P610" s="73">
        <f>('Old Data'!$N606-$N610)^2+('Old Data'!$X606-$O610)^2</f>
        <v>0.11732867609010919</v>
      </c>
      <c r="Q610" s="62"/>
      <c r="R610" s="3"/>
      <c r="S610" s="3"/>
      <c r="T610" s="3"/>
      <c r="V610" s="3"/>
      <c r="W610" s="3"/>
      <c r="X610" s="3"/>
      <c r="Z610" s="3"/>
      <c r="AA610" s="3"/>
      <c r="AB610" s="3"/>
      <c r="AC610" s="3"/>
      <c r="AD610" s="3"/>
      <c r="AE610" s="3"/>
      <c r="AF610" s="3"/>
      <c r="AG610" s="3"/>
      <c r="AH610" s="37"/>
      <c r="AI610" s="1"/>
      <c r="AK610" s="10"/>
      <c r="AL610" s="10"/>
      <c r="AM610" s="10"/>
      <c r="AN610" s="11"/>
      <c r="AO610" s="11"/>
      <c r="AP610" s="11"/>
      <c r="AQ610" s="36"/>
      <c r="AR610" s="11"/>
      <c r="AS610" s="11"/>
      <c r="AT610" s="11"/>
      <c r="AU610" s="12"/>
      <c r="AV610" s="11"/>
      <c r="AW610" s="11"/>
      <c r="AX610" s="15"/>
      <c r="AY610" s="15"/>
      <c r="AZ610" s="15"/>
      <c r="BA610" s="15"/>
      <c r="BB610" s="15"/>
      <c r="BC610" s="15"/>
      <c r="BD610" s="15"/>
      <c r="BE610" s="12"/>
      <c r="BF610" s="11"/>
      <c r="BG610" s="11"/>
      <c r="BH610" s="10"/>
      <c r="BI610" s="10"/>
      <c r="BJ610" s="10"/>
      <c r="BK610" s="23"/>
      <c r="BL610" s="23"/>
      <c r="BM610" s="23"/>
      <c r="BN610" s="23"/>
      <c r="BO610" s="23"/>
      <c r="BP610" s="23"/>
      <c r="BQ610" s="23"/>
      <c r="BR610" s="10"/>
      <c r="BS610" s="16"/>
      <c r="BT610" s="16"/>
      <c r="BU610" s="16"/>
      <c r="BV610" s="16"/>
      <c r="BW610" s="11"/>
      <c r="BX610" s="16"/>
      <c r="BY610" s="16"/>
      <c r="BZ610" s="17"/>
      <c r="CA610" s="18"/>
      <c r="CB610" s="18"/>
      <c r="CC610" s="18"/>
      <c r="CD610" s="18"/>
      <c r="CE610" s="18"/>
      <c r="CF610" s="18"/>
      <c r="CG610" s="19"/>
      <c r="CH610" s="15"/>
      <c r="CI610" s="17"/>
      <c r="CJ610" s="10"/>
      <c r="CK610" s="10"/>
      <c r="CL610" s="10"/>
      <c r="CM610" s="17"/>
      <c r="CN610" s="17"/>
      <c r="CO610" s="10"/>
      <c r="CP610" s="10"/>
      <c r="CQ610" s="10"/>
      <c r="CR610" s="10"/>
      <c r="CS610" s="10"/>
      <c r="CT610" s="10"/>
      <c r="CU610" s="10"/>
      <c r="CV610" s="10"/>
      <c r="CW610" s="10"/>
      <c r="CX610" s="10"/>
      <c r="CY610" s="10"/>
      <c r="CZ610" s="10"/>
      <c r="DA610" s="34"/>
      <c r="DB610" s="34"/>
      <c r="DC610" s="34"/>
      <c r="DD610" s="34"/>
      <c r="DE610" s="34"/>
      <c r="DF610" s="34"/>
      <c r="DG610" s="34"/>
      <c r="DH610" s="34"/>
      <c r="DI610" s="34"/>
      <c r="DJ610" s="34"/>
      <c r="DK610" s="34"/>
      <c r="DL610" s="34"/>
      <c r="DM610" s="34"/>
      <c r="DN610" s="34"/>
      <c r="DO610" s="34"/>
      <c r="DP610" s="34"/>
      <c r="DQ610" s="34"/>
      <c r="DR610" s="34"/>
      <c r="DS610" s="34"/>
      <c r="DT610" s="34"/>
      <c r="DU610" s="34"/>
      <c r="DV610" s="34"/>
      <c r="DW610" s="34"/>
      <c r="DX610" s="34"/>
      <c r="DY610" s="34"/>
      <c r="DZ610" s="34"/>
      <c r="EA610" s="34"/>
      <c r="EB610" s="34"/>
      <c r="EC610" s="34"/>
      <c r="ED610" s="34"/>
      <c r="EE610" s="34"/>
    </row>
    <row r="611" spans="1:135" customFormat="1">
      <c r="A611" s="71">
        <f>'Old Data'!$I607-'Old Data'!$S607</f>
        <v>113</v>
      </c>
      <c r="B611" s="72">
        <f>VLOOKUP('Old Data'!$F607,$R$6:$T$135,2,FALSE)+VLOOKUP('Old Data'!$P607,$R$6:$T$135,3,FALSE)+$B$2</f>
        <v>144.72286391650221</v>
      </c>
      <c r="C611" s="72">
        <f>VLOOKUP('Old Data'!$P607,$R$6:$T$135,2,FALSE)+VLOOKUP('Old Data'!$F607,$R$6:$T$135,3,FALSE)+$B$2</f>
        <v>96.106747645581692</v>
      </c>
      <c r="D611" s="74">
        <f>('Old Data'!$I607-$B611)^2+('Old Data'!$S607-$C611)^2</f>
        <v>9989.1878149522709</v>
      </c>
      <c r="E611" s="75">
        <f>'Old Data'!$K607-'Old Data'!$U607</f>
        <v>-112</v>
      </c>
      <c r="F611" s="72">
        <f>VLOOKUP('Old Data'!$F607,$V$6:$X$135,2,FALSE)+VLOOKUP('Old Data'!$P607,$V$6:$X$135,3,FALSE)+$C$2</f>
        <v>197.84775748834707</v>
      </c>
      <c r="G611" s="72">
        <f>VLOOKUP('Old Data'!$P607,$V$6:$X$135,2,FALSE)+VLOOKUP('Old Data'!$F607,$V$6:$X$135,3,FALSE)+$C$2</f>
        <v>184.9616912639097</v>
      </c>
      <c r="H611" s="74">
        <f>('Old Data'!$K607-$F611)^2+('Old Data'!$U607-$G611)^2</f>
        <v>9321.2632420221635</v>
      </c>
      <c r="I611" s="75">
        <f>('Old Data'!$L607+'Old Data'!$M607)-('Old Data'!$V607+'Old Data'!$W607)</f>
        <v>31</v>
      </c>
      <c r="J611" s="72">
        <f>VLOOKUP('Old Data'!$F607,$Z$6:$AB$135,2,FALSE)+VLOOKUP('Old Data'!$P607,$Z$6:$AB$135,3,FALSE)+$D$2</f>
        <v>63.452290462575299</v>
      </c>
      <c r="K611" s="72">
        <f>VLOOKUP('Old Data'!$P607,$Z$6:$AB$135,2,FALSE)+VLOOKUP('Old Data'!$F607,$Z$6:$AB$135,3,FALSE)+$D$2</f>
        <v>28.727464537096562</v>
      </c>
      <c r="L611" s="74">
        <f>('Old Data'!$L607+'Old Data'!$M607-$J611)^2+('Old Data'!$V607+'Old Data'!$W607-$K611)^2</f>
        <v>20.352095015872081</v>
      </c>
      <c r="M611" s="75">
        <f>'Old Data'!$N607-'Old Data'!$X607</f>
        <v>1</v>
      </c>
      <c r="N611" s="72">
        <f>VLOOKUP('Old Data'!$F607,$AD$6:$AF$135,2,FALSE)+VLOOKUP('Old Data'!$P607,$AD$6:$AF$135,3,FALSE)+$E$2</f>
        <v>1.1456269160834511</v>
      </c>
      <c r="O611" s="72">
        <f>VLOOKUP('Old Data'!$P607,$AD$6:$AF$135,2,FALSE)+VLOOKUP('Old Data'!$F607,$AD$6:$AF$135,3,FALSE)+$E$2</f>
        <v>0.52579717162151607</v>
      </c>
      <c r="P611" s="73">
        <f>('Old Data'!$N607-$N611)^2+('Old Data'!$X607-$O611)^2</f>
        <v>0.29766986437316251</v>
      </c>
      <c r="Q611" s="62"/>
      <c r="R611" s="3"/>
      <c r="S611" s="3"/>
      <c r="T611" s="3"/>
      <c r="V611" s="3"/>
      <c r="W611" s="3"/>
      <c r="X611" s="3"/>
      <c r="Z611" s="3"/>
      <c r="AA611" s="3"/>
      <c r="AB611" s="3"/>
      <c r="AC611" s="3"/>
      <c r="AD611" s="3"/>
      <c r="AE611" s="3"/>
      <c r="AF611" s="3"/>
      <c r="AG611" s="3"/>
      <c r="AH611" s="37"/>
      <c r="AI611" s="1"/>
      <c r="AK611" s="10"/>
      <c r="AL611" s="10"/>
      <c r="AM611" s="10"/>
      <c r="AN611" s="11"/>
      <c r="AO611" s="11"/>
      <c r="AP611" s="11"/>
      <c r="AQ611" s="36"/>
      <c r="AR611" s="11"/>
      <c r="AS611" s="11"/>
      <c r="AT611" s="11"/>
      <c r="AU611" s="12"/>
      <c r="AV611" s="11"/>
      <c r="AW611" s="11"/>
      <c r="AX611" s="15"/>
      <c r="AY611" s="15"/>
      <c r="AZ611" s="15"/>
      <c r="BA611" s="15"/>
      <c r="BB611" s="15"/>
      <c r="BC611" s="15"/>
      <c r="BD611" s="15"/>
      <c r="BE611" s="12"/>
      <c r="BF611" s="11"/>
      <c r="BG611" s="11"/>
      <c r="BH611" s="10"/>
      <c r="BI611" s="10"/>
      <c r="BJ611" s="10"/>
      <c r="BK611" s="23"/>
      <c r="BL611" s="23"/>
      <c r="BM611" s="23"/>
      <c r="BN611" s="23"/>
      <c r="BO611" s="23"/>
      <c r="BP611" s="23"/>
      <c r="BQ611" s="23"/>
      <c r="BR611" s="10"/>
      <c r="BS611" s="16"/>
      <c r="BT611" s="16"/>
      <c r="BU611" s="16"/>
      <c r="BV611" s="16"/>
      <c r="BW611" s="11"/>
      <c r="BX611" s="16"/>
      <c r="BY611" s="16"/>
      <c r="BZ611" s="17"/>
      <c r="CA611" s="18"/>
      <c r="CB611" s="18"/>
      <c r="CC611" s="18"/>
      <c r="CD611" s="18"/>
      <c r="CE611" s="18"/>
      <c r="CF611" s="18"/>
      <c r="CG611" s="19"/>
      <c r="CH611" s="15"/>
      <c r="CI611" s="17"/>
      <c r="CJ611" s="10"/>
      <c r="CK611" s="10"/>
      <c r="CL611" s="10"/>
      <c r="CM611" s="17"/>
      <c r="CN611" s="17"/>
      <c r="CO611" s="10"/>
      <c r="CP611" s="10"/>
      <c r="CQ611" s="10"/>
      <c r="CR611" s="10"/>
      <c r="CS611" s="10"/>
      <c r="CT611" s="10"/>
      <c r="CU611" s="10"/>
      <c r="CV611" s="10"/>
      <c r="CW611" s="10"/>
      <c r="CX611" s="10"/>
      <c r="CY611" s="10"/>
      <c r="CZ611" s="10"/>
      <c r="DA611" s="34"/>
      <c r="DB611" s="34"/>
      <c r="DC611" s="34"/>
      <c r="DD611" s="34"/>
      <c r="DE611" s="34"/>
      <c r="DF611" s="34"/>
      <c r="DG611" s="34"/>
      <c r="DH611" s="34"/>
      <c r="DI611" s="34"/>
      <c r="DJ611" s="34"/>
      <c r="DK611" s="34"/>
      <c r="DL611" s="34"/>
      <c r="DM611" s="34"/>
      <c r="DN611" s="34"/>
      <c r="DO611" s="34"/>
      <c r="DP611" s="34"/>
      <c r="DQ611" s="34"/>
      <c r="DR611" s="34"/>
      <c r="DS611" s="34"/>
      <c r="DT611" s="34"/>
      <c r="DU611" s="34"/>
      <c r="DV611" s="34"/>
      <c r="DW611" s="34"/>
      <c r="DX611" s="34"/>
      <c r="DY611" s="34"/>
      <c r="DZ611" s="34"/>
      <c r="EA611" s="34"/>
      <c r="EB611" s="34"/>
      <c r="EC611" s="34"/>
      <c r="ED611" s="34"/>
      <c r="EE611" s="34"/>
    </row>
    <row r="612" spans="1:135" customFormat="1">
      <c r="A612" s="71">
        <f>'Old Data'!$I608-'Old Data'!$S608</f>
        <v>43</v>
      </c>
      <c r="B612" s="72">
        <f>VLOOKUP('Old Data'!$F608,$R$6:$T$135,2,FALSE)+VLOOKUP('Old Data'!$P608,$R$6:$T$135,3,FALSE)+$B$2</f>
        <v>89.010834656058805</v>
      </c>
      <c r="C612" s="72">
        <f>VLOOKUP('Old Data'!$P608,$R$6:$T$135,2,FALSE)+VLOOKUP('Old Data'!$F608,$R$6:$T$135,3,FALSE)+$B$2</f>
        <v>142.61694505097961</v>
      </c>
      <c r="D612" s="74">
        <f>('Old Data'!$I608-$B612)^2+('Old Data'!$S608-$C612)^2</f>
        <v>4722.8451335684813</v>
      </c>
      <c r="E612" s="75">
        <f>'Old Data'!$K608-'Old Data'!$U608</f>
        <v>-14</v>
      </c>
      <c r="F612" s="72">
        <f>VLOOKUP('Old Data'!$F608,$V$6:$X$135,2,FALSE)+VLOOKUP('Old Data'!$P608,$V$6:$X$135,3,FALSE)+$C$2</f>
        <v>282.02767474540769</v>
      </c>
      <c r="G612" s="72">
        <f>VLOOKUP('Old Data'!$P608,$V$6:$X$135,2,FALSE)+VLOOKUP('Old Data'!$F608,$V$6:$X$135,3,FALSE)+$C$2</f>
        <v>224.55615902348089</v>
      </c>
      <c r="H612" s="74">
        <f>('Old Data'!$K608-$F612)^2+('Old Data'!$U608-$G612)^2</f>
        <v>4512.4569044007549</v>
      </c>
      <c r="I612" s="75">
        <f>('Old Data'!$L608+'Old Data'!$M608)-('Old Data'!$V608+'Old Data'!$W608)</f>
        <v>6</v>
      </c>
      <c r="J612" s="72">
        <f>VLOOKUP('Old Data'!$F608,$Z$6:$AB$135,2,FALSE)+VLOOKUP('Old Data'!$P608,$Z$6:$AB$135,3,FALSE)+$D$2</f>
        <v>48.896369052353393</v>
      </c>
      <c r="K612" s="72">
        <f>VLOOKUP('Old Data'!$P608,$Z$6:$AB$135,2,FALSE)+VLOOKUP('Old Data'!$F608,$Z$6:$AB$135,3,FALSE)+$D$2</f>
        <v>54.987724069020899</v>
      </c>
      <c r="L612" s="74">
        <f>('Old Data'!$L608+'Old Data'!$M608-$J612)^2+('Old Data'!$V608+'Old Data'!$W608-$K612)^2</f>
        <v>4863.7482761664824</v>
      </c>
      <c r="M612" s="75">
        <f>'Old Data'!$N608-'Old Data'!$X608</f>
        <v>-1</v>
      </c>
      <c r="N612" s="72">
        <f>VLOOKUP('Old Data'!$F608,$AD$6:$AF$135,2,FALSE)+VLOOKUP('Old Data'!$P608,$AD$6:$AF$135,3,FALSE)+$E$2</f>
        <v>0.74321594413879022</v>
      </c>
      <c r="O612" s="72">
        <f>VLOOKUP('Old Data'!$P608,$AD$6:$AF$135,2,FALSE)+VLOOKUP('Old Data'!$F608,$AD$6:$AF$135,3,FALSE)+$E$2</f>
        <v>2.2686825246077551</v>
      </c>
      <c r="P612" s="73">
        <f>('Old Data'!$N608-$N612)^2+('Old Data'!$X608-$O612)^2</f>
        <v>2.1619252878672204</v>
      </c>
      <c r="Q612" s="62"/>
      <c r="R612" s="3"/>
      <c r="S612" s="3"/>
      <c r="T612" s="3"/>
      <c r="V612" s="3"/>
      <c r="W612" s="3"/>
      <c r="X612" s="3"/>
      <c r="Z612" s="3"/>
      <c r="AA612" s="3"/>
      <c r="AB612" s="3"/>
      <c r="AC612" s="3"/>
      <c r="AD612" s="3"/>
      <c r="AE612" s="3"/>
      <c r="AF612" s="3"/>
      <c r="AG612" s="3"/>
      <c r="AH612" s="37"/>
      <c r="AI612" s="1"/>
      <c r="AK612" s="10"/>
      <c r="AL612" s="10"/>
      <c r="AM612" s="10"/>
      <c r="AN612" s="11"/>
      <c r="AO612" s="11"/>
      <c r="AP612" s="11"/>
      <c r="AQ612" s="36"/>
      <c r="AR612" s="11"/>
      <c r="AS612" s="11"/>
      <c r="AT612" s="11"/>
      <c r="AU612" s="12"/>
      <c r="AV612" s="11"/>
      <c r="AW612" s="11"/>
      <c r="AX612" s="15"/>
      <c r="AY612" s="15"/>
      <c r="AZ612" s="15"/>
      <c r="BA612" s="15"/>
      <c r="BB612" s="15"/>
      <c r="BC612" s="15"/>
      <c r="BD612" s="15"/>
      <c r="BE612" s="12"/>
      <c r="BF612" s="11"/>
      <c r="BG612" s="11"/>
      <c r="BH612" s="10"/>
      <c r="BI612" s="10"/>
      <c r="BJ612" s="10"/>
      <c r="BK612" s="23"/>
      <c r="BL612" s="23"/>
      <c r="BM612" s="23"/>
      <c r="BN612" s="23"/>
      <c r="BO612" s="23"/>
      <c r="BP612" s="23"/>
      <c r="BQ612" s="23"/>
      <c r="BR612" s="10"/>
      <c r="BS612" s="16"/>
      <c r="BT612" s="16"/>
      <c r="BU612" s="16"/>
      <c r="BV612" s="16"/>
      <c r="BW612" s="11"/>
      <c r="BX612" s="16"/>
      <c r="BY612" s="16"/>
      <c r="BZ612" s="17"/>
      <c r="CA612" s="18"/>
      <c r="CB612" s="18"/>
      <c r="CC612" s="18"/>
      <c r="CD612" s="18"/>
      <c r="CE612" s="18"/>
      <c r="CF612" s="18"/>
      <c r="CG612" s="19"/>
      <c r="CH612" s="15"/>
      <c r="CI612" s="17"/>
      <c r="CJ612" s="10"/>
      <c r="CK612" s="10"/>
      <c r="CL612" s="10"/>
      <c r="CM612" s="17"/>
      <c r="CN612" s="17"/>
      <c r="CO612" s="10"/>
      <c r="CP612" s="10"/>
      <c r="CQ612" s="10"/>
      <c r="CR612" s="10"/>
      <c r="CS612" s="10"/>
      <c r="CT612" s="10"/>
      <c r="CU612" s="10"/>
      <c r="CV612" s="10"/>
      <c r="CW612" s="10"/>
      <c r="CX612" s="10"/>
      <c r="CY612" s="10"/>
      <c r="CZ612" s="10"/>
      <c r="DA612" s="34"/>
      <c r="DB612" s="34"/>
      <c r="DC612" s="34"/>
      <c r="DD612" s="34"/>
      <c r="DE612" s="34"/>
      <c r="DF612" s="34"/>
      <c r="DG612" s="34"/>
      <c r="DH612" s="34"/>
      <c r="DI612" s="34"/>
      <c r="DJ612" s="34"/>
      <c r="DK612" s="34"/>
      <c r="DL612" s="34"/>
      <c r="DM612" s="34"/>
      <c r="DN612" s="34"/>
      <c r="DO612" s="34"/>
      <c r="DP612" s="34"/>
      <c r="DQ612" s="34"/>
      <c r="DR612" s="34"/>
      <c r="DS612" s="34"/>
      <c r="DT612" s="34"/>
      <c r="DU612" s="34"/>
      <c r="DV612" s="34"/>
      <c r="DW612" s="34"/>
      <c r="DX612" s="34"/>
      <c r="DY612" s="34"/>
      <c r="DZ612" s="34"/>
      <c r="EA612" s="34"/>
      <c r="EB612" s="34"/>
      <c r="EC612" s="34"/>
      <c r="ED612" s="34"/>
      <c r="EE612" s="34"/>
    </row>
    <row r="613" spans="1:135" customFormat="1">
      <c r="A613" s="71">
        <f>'Old Data'!$I609-'Old Data'!$S609</f>
        <v>10</v>
      </c>
      <c r="B613" s="72">
        <f>VLOOKUP('Old Data'!$F609,$R$6:$T$135,2,FALSE)+VLOOKUP('Old Data'!$P609,$R$6:$T$135,3,FALSE)+$B$2</f>
        <v>81.320167064890214</v>
      </c>
      <c r="C613" s="72">
        <f>VLOOKUP('Old Data'!$P609,$R$6:$T$135,2,FALSE)+VLOOKUP('Old Data'!$F609,$R$6:$T$135,3,FALSE)+$B$2</f>
        <v>141.11163116255688</v>
      </c>
      <c r="D613" s="74">
        <f>('Old Data'!$I609-$B613)^2+('Old Data'!$S609-$C613)^2</f>
        <v>3173.9257879455499</v>
      </c>
      <c r="E613" s="75">
        <f>'Old Data'!$K609-'Old Data'!$U609</f>
        <v>-142</v>
      </c>
      <c r="F613" s="72">
        <f>VLOOKUP('Old Data'!$F609,$V$6:$X$135,2,FALSE)+VLOOKUP('Old Data'!$P609,$V$6:$X$135,3,FALSE)+$C$2</f>
        <v>255.7906429958565</v>
      </c>
      <c r="G613" s="72">
        <f>VLOOKUP('Old Data'!$P609,$V$6:$X$135,2,FALSE)+VLOOKUP('Old Data'!$F609,$V$6:$X$135,3,FALSE)+$C$2</f>
        <v>269.71397421405834</v>
      </c>
      <c r="H613" s="74">
        <f>('Old Data'!$K609-$F613)^2+('Old Data'!$U609-$G613)^2</f>
        <v>10281.643743741022</v>
      </c>
      <c r="I613" s="75">
        <f>('Old Data'!$L609+'Old Data'!$M609)-('Old Data'!$V609+'Old Data'!$W609)</f>
        <v>-88</v>
      </c>
      <c r="J613" s="72">
        <f>VLOOKUP('Old Data'!$F609,$Z$6:$AB$135,2,FALSE)+VLOOKUP('Old Data'!$P609,$Z$6:$AB$135,3,FALSE)+$D$2</f>
        <v>47.120538062038165</v>
      </c>
      <c r="K613" s="72">
        <f>VLOOKUP('Old Data'!$P609,$Z$6:$AB$135,2,FALSE)+VLOOKUP('Old Data'!$F609,$Z$6:$AB$135,3,FALSE)+$D$2</f>
        <v>64.301008993587402</v>
      </c>
      <c r="L613" s="74">
        <f>('Old Data'!$L609+'Old Data'!$M609-$J613)^2+('Old Data'!$V609+'Old Data'!$W609-$K613)^2</f>
        <v>2781.9872819780126</v>
      </c>
      <c r="M613" s="75">
        <f>'Old Data'!$N609-'Old Data'!$X609</f>
        <v>-1</v>
      </c>
      <c r="N613" s="72">
        <f>VLOOKUP('Old Data'!$F609,$AD$6:$AF$135,2,FALSE)+VLOOKUP('Old Data'!$P609,$AD$6:$AF$135,3,FALSE)+$E$2</f>
        <v>1.2412544936012155</v>
      </c>
      <c r="O613" s="72">
        <f>VLOOKUP('Old Data'!$P609,$AD$6:$AF$135,2,FALSE)+VLOOKUP('Old Data'!$F609,$AD$6:$AF$135,3,FALSE)+$E$2</f>
        <v>1.2360942990674442</v>
      </c>
      <c r="P613" s="73">
        <f>('Old Data'!$N609-$N613)^2+('Old Data'!$X609-$O613)^2</f>
        <v>0.64175565060003836</v>
      </c>
      <c r="Q613" s="62"/>
      <c r="R613" s="3"/>
      <c r="S613" s="3"/>
      <c r="T613" s="3"/>
      <c r="V613" s="3"/>
      <c r="W613" s="3"/>
      <c r="X613" s="3"/>
      <c r="Z613" s="3"/>
      <c r="AA613" s="3"/>
      <c r="AB613" s="3"/>
      <c r="AC613" s="3"/>
      <c r="AD613" s="3"/>
      <c r="AE613" s="3"/>
      <c r="AF613" s="3"/>
      <c r="AG613" s="3"/>
      <c r="AH613" s="37"/>
      <c r="AI613" s="1"/>
      <c r="AK613" s="10"/>
      <c r="AL613" s="10"/>
      <c r="AM613" s="10"/>
      <c r="AN613" s="11"/>
      <c r="AO613" s="11"/>
      <c r="AP613" s="11"/>
      <c r="AQ613" s="36"/>
      <c r="AR613" s="11"/>
      <c r="AS613" s="11"/>
      <c r="AT613" s="11"/>
      <c r="AU613" s="12"/>
      <c r="AV613" s="11"/>
      <c r="AW613" s="11"/>
      <c r="AX613" s="15"/>
      <c r="AY613" s="15"/>
      <c r="AZ613" s="15"/>
      <c r="BA613" s="15"/>
      <c r="BB613" s="15"/>
      <c r="BC613" s="15"/>
      <c r="BD613" s="15"/>
      <c r="BE613" s="12"/>
      <c r="BF613" s="11"/>
      <c r="BG613" s="11"/>
      <c r="BH613" s="10"/>
      <c r="BI613" s="10"/>
      <c r="BJ613" s="10"/>
      <c r="BK613" s="23"/>
      <c r="BL613" s="23"/>
      <c r="BM613" s="23"/>
      <c r="BN613" s="23"/>
      <c r="BO613" s="23"/>
      <c r="BP613" s="23"/>
      <c r="BQ613" s="23"/>
      <c r="BR613" s="10"/>
      <c r="BS613" s="16"/>
      <c r="BT613" s="16"/>
      <c r="BU613" s="16"/>
      <c r="BV613" s="16"/>
      <c r="BW613" s="11"/>
      <c r="BX613" s="16"/>
      <c r="BY613" s="16"/>
      <c r="BZ613" s="17"/>
      <c r="CA613" s="18"/>
      <c r="CB613" s="18"/>
      <c r="CC613" s="18"/>
      <c r="CD613" s="18"/>
      <c r="CE613" s="18"/>
      <c r="CF613" s="18"/>
      <c r="CG613" s="19"/>
      <c r="CH613" s="15"/>
      <c r="CI613" s="17"/>
      <c r="CJ613" s="10"/>
      <c r="CK613" s="10"/>
      <c r="CL613" s="10"/>
      <c r="CM613" s="17"/>
      <c r="CN613" s="17"/>
      <c r="CO613" s="10"/>
      <c r="CP613" s="10"/>
      <c r="CQ613" s="10"/>
      <c r="CR613" s="10"/>
      <c r="CS613" s="10"/>
      <c r="CT613" s="10"/>
      <c r="CU613" s="10"/>
      <c r="CV613" s="10"/>
      <c r="CW613" s="10"/>
      <c r="CX613" s="10"/>
      <c r="CY613" s="10"/>
      <c r="CZ613" s="10"/>
      <c r="DA613" s="34"/>
      <c r="DB613" s="34"/>
      <c r="DC613" s="34"/>
      <c r="DD613" s="34"/>
      <c r="DE613" s="34"/>
      <c r="DF613" s="34"/>
      <c r="DG613" s="34"/>
      <c r="DH613" s="34"/>
      <c r="DI613" s="34"/>
      <c r="DJ613" s="34"/>
      <c r="DK613" s="34"/>
      <c r="DL613" s="34"/>
      <c r="DM613" s="34"/>
      <c r="DN613" s="34"/>
      <c r="DO613" s="34"/>
      <c r="DP613" s="34"/>
      <c r="DQ613" s="34"/>
      <c r="DR613" s="34"/>
      <c r="DS613" s="34"/>
      <c r="DT613" s="34"/>
      <c r="DU613" s="34"/>
      <c r="DV613" s="34"/>
      <c r="DW613" s="34"/>
      <c r="DX613" s="34"/>
      <c r="DY613" s="34"/>
      <c r="DZ613" s="34"/>
      <c r="EA613" s="34"/>
      <c r="EB613" s="34"/>
      <c r="EC613" s="34"/>
      <c r="ED613" s="34"/>
      <c r="EE613" s="34"/>
    </row>
    <row r="614" spans="1:135" customFormat="1">
      <c r="A614" s="71">
        <f>'Old Data'!$I610-'Old Data'!$S610</f>
        <v>-113</v>
      </c>
      <c r="B614" s="72">
        <f>VLOOKUP('Old Data'!$F610,$R$6:$T$135,2,FALSE)+VLOOKUP('Old Data'!$P610,$R$6:$T$135,3,FALSE)+$B$2</f>
        <v>204.42189078790125</v>
      </c>
      <c r="C614" s="72">
        <f>VLOOKUP('Old Data'!$P610,$R$6:$T$135,2,FALSE)+VLOOKUP('Old Data'!$F610,$R$6:$T$135,3,FALSE)+$B$2</f>
        <v>96.202210845257383</v>
      </c>
      <c r="D614" s="74">
        <f>('Old Data'!$I610-$B614)^2+('Old Data'!$S610-$C614)^2</f>
        <v>24907.867095748748</v>
      </c>
      <c r="E614" s="75">
        <f>'Old Data'!$K610-'Old Data'!$U610</f>
        <v>164</v>
      </c>
      <c r="F614" s="72">
        <f>VLOOKUP('Old Data'!$F610,$V$6:$X$135,2,FALSE)+VLOOKUP('Old Data'!$P610,$V$6:$X$135,3,FALSE)+$C$2</f>
        <v>226.80363771558171</v>
      </c>
      <c r="G614" s="72">
        <f>VLOOKUP('Old Data'!$P610,$V$6:$X$135,2,FALSE)+VLOOKUP('Old Data'!$F610,$V$6:$X$135,3,FALSE)+$C$2</f>
        <v>152.60740940754809</v>
      </c>
      <c r="H614" s="74">
        <f>('Old Data'!$K610-$F614)^2+('Old Data'!$U610-$G614)^2</f>
        <v>6666.9367449316514</v>
      </c>
      <c r="I614" s="75">
        <f>('Old Data'!$L610+'Old Data'!$M610)-('Old Data'!$V610+'Old Data'!$W610)</f>
        <v>6</v>
      </c>
      <c r="J614" s="72">
        <f>VLOOKUP('Old Data'!$F610,$Z$6:$AB$135,2,FALSE)+VLOOKUP('Old Data'!$P610,$Z$6:$AB$135,3,FALSE)+$D$2</f>
        <v>36.11937021393463</v>
      </c>
      <c r="K614" s="72">
        <f>VLOOKUP('Old Data'!$P610,$Z$6:$AB$135,2,FALSE)+VLOOKUP('Old Data'!$F610,$Z$6:$AB$135,3,FALSE)+$D$2</f>
        <v>57.396322915053396</v>
      </c>
      <c r="L614" s="74">
        <f>('Old Data'!$L610+'Old Data'!$M610-$J614)^2+('Old Data'!$V610+'Old Data'!$W610-$K614)^2</f>
        <v>1002.6983035457588</v>
      </c>
      <c r="M614" s="75">
        <f>'Old Data'!$N610-'Old Data'!$X610</f>
        <v>2</v>
      </c>
      <c r="N614" s="72">
        <f>VLOOKUP('Old Data'!$F610,$AD$6:$AF$135,2,FALSE)+VLOOKUP('Old Data'!$P610,$AD$6:$AF$135,3,FALSE)+$E$2</f>
        <v>1.308266317280355</v>
      </c>
      <c r="O614" s="72">
        <f>VLOOKUP('Old Data'!$P610,$AD$6:$AF$135,2,FALSE)+VLOOKUP('Old Data'!$F610,$AD$6:$AF$135,3,FALSE)+$E$2</f>
        <v>1.610364283778567</v>
      </c>
      <c r="P614" s="73">
        <f>('Old Data'!$N610-$N614)^2+('Old Data'!$X610-$O614)^2</f>
        <v>3.2345074121606952</v>
      </c>
      <c r="Q614" s="62"/>
      <c r="R614" s="3"/>
      <c r="S614" s="3"/>
      <c r="T614" s="3"/>
      <c r="V614" s="3"/>
      <c r="W614" s="3"/>
      <c r="X614" s="3"/>
      <c r="Z614" s="3"/>
      <c r="AA614" s="3"/>
      <c r="AB614" s="3"/>
      <c r="AC614" s="3"/>
      <c r="AD614" s="3"/>
      <c r="AE614" s="3"/>
      <c r="AF614" s="3"/>
      <c r="AG614" s="3"/>
      <c r="AH614" s="37"/>
      <c r="AI614" s="1"/>
      <c r="AK614" s="10"/>
      <c r="AL614" s="10"/>
      <c r="AM614" s="10"/>
      <c r="AN614" s="11"/>
      <c r="AO614" s="11"/>
      <c r="AP614" s="11"/>
      <c r="AQ614" s="36"/>
      <c r="AR614" s="11"/>
      <c r="AS614" s="11"/>
      <c r="AT614" s="11"/>
      <c r="AU614" s="12"/>
      <c r="AV614" s="11"/>
      <c r="AW614" s="11"/>
      <c r="AX614" s="15"/>
      <c r="AY614" s="15"/>
      <c r="AZ614" s="15"/>
      <c r="BA614" s="15"/>
      <c r="BB614" s="15"/>
      <c r="BC614" s="15"/>
      <c r="BD614" s="15"/>
      <c r="BE614" s="12"/>
      <c r="BF614" s="11"/>
      <c r="BG614" s="11"/>
      <c r="BH614" s="10"/>
      <c r="BI614" s="10"/>
      <c r="BJ614" s="10"/>
      <c r="BK614" s="23"/>
      <c r="BL614" s="23"/>
      <c r="BM614" s="23"/>
      <c r="BN614" s="23"/>
      <c r="BO614" s="23"/>
      <c r="BP614" s="23"/>
      <c r="BQ614" s="23"/>
      <c r="BR614" s="10"/>
      <c r="BS614" s="16"/>
      <c r="BT614" s="16"/>
      <c r="BU614" s="16"/>
      <c r="BV614" s="16"/>
      <c r="BW614" s="11"/>
      <c r="BX614" s="16"/>
      <c r="BY614" s="16"/>
      <c r="BZ614" s="17"/>
      <c r="CA614" s="18"/>
      <c r="CB614" s="18"/>
      <c r="CC614" s="18"/>
      <c r="CD614" s="18"/>
      <c r="CE614" s="18"/>
      <c r="CF614" s="18"/>
      <c r="CG614" s="19"/>
      <c r="CH614" s="15"/>
      <c r="CI614" s="17"/>
      <c r="CJ614" s="10"/>
      <c r="CK614" s="10"/>
      <c r="CL614" s="10"/>
      <c r="CM614" s="17"/>
      <c r="CN614" s="17"/>
      <c r="CO614" s="10"/>
      <c r="CP614" s="10"/>
      <c r="CQ614" s="10"/>
      <c r="CR614" s="10"/>
      <c r="CS614" s="10"/>
      <c r="CT614" s="10"/>
      <c r="CU614" s="10"/>
      <c r="CV614" s="10"/>
      <c r="CW614" s="10"/>
      <c r="CX614" s="10"/>
      <c r="CY614" s="10"/>
      <c r="CZ614" s="10"/>
      <c r="DA614" s="34"/>
      <c r="DB614" s="34"/>
      <c r="DC614" s="34"/>
      <c r="DD614" s="34"/>
      <c r="DE614" s="34"/>
      <c r="DF614" s="34"/>
      <c r="DG614" s="34"/>
      <c r="DH614" s="34"/>
      <c r="DI614" s="34"/>
      <c r="DJ614" s="34"/>
      <c r="DK614" s="34"/>
      <c r="DL614" s="34"/>
      <c r="DM614" s="34"/>
      <c r="DN614" s="34"/>
      <c r="DO614" s="34"/>
      <c r="DP614" s="34"/>
      <c r="DQ614" s="34"/>
      <c r="DR614" s="34"/>
      <c r="DS614" s="34"/>
      <c r="DT614" s="34"/>
      <c r="DU614" s="34"/>
      <c r="DV614" s="34"/>
      <c r="DW614" s="34"/>
      <c r="DX614" s="34"/>
      <c r="DY614" s="34"/>
      <c r="DZ614" s="34"/>
      <c r="EA614" s="34"/>
      <c r="EB614" s="34"/>
      <c r="EC614" s="34"/>
      <c r="ED614" s="34"/>
      <c r="EE614" s="34"/>
    </row>
    <row r="615" spans="1:135" customFormat="1">
      <c r="A615" s="71">
        <f>'Old Data'!$I611-'Old Data'!$S611</f>
        <v>-48</v>
      </c>
      <c r="B615" s="72">
        <f>VLOOKUP('Old Data'!$F611,$R$6:$T$135,2,FALSE)+VLOOKUP('Old Data'!$P611,$R$6:$T$135,3,FALSE)+$B$2</f>
        <v>203.27695913305172</v>
      </c>
      <c r="C615" s="72">
        <f>VLOOKUP('Old Data'!$P611,$R$6:$T$135,2,FALSE)+VLOOKUP('Old Data'!$F611,$R$6:$T$135,3,FALSE)+$B$2</f>
        <v>121.2003649307121</v>
      </c>
      <c r="D615" s="74">
        <f>('Old Data'!$I611-$B615)^2+('Old Data'!$S611-$C615)^2</f>
        <v>9362.1217094490712</v>
      </c>
      <c r="E615" s="75">
        <f>'Old Data'!$K611-'Old Data'!$U611</f>
        <v>44</v>
      </c>
      <c r="F615" s="72">
        <f>VLOOKUP('Old Data'!$F611,$V$6:$X$135,2,FALSE)+VLOOKUP('Old Data'!$P611,$V$6:$X$135,3,FALSE)+$C$2</f>
        <v>330.56415447756808</v>
      </c>
      <c r="G615" s="72">
        <f>VLOOKUP('Old Data'!$P611,$V$6:$X$135,2,FALSE)+VLOOKUP('Old Data'!$F611,$V$6:$X$135,3,FALSE)+$C$2</f>
        <v>204.17193112448351</v>
      </c>
      <c r="H615" s="74">
        <f>('Old Data'!$K611-$F615)^2+('Old Data'!$U611-$G615)^2</f>
        <v>17050.319935598498</v>
      </c>
      <c r="I615" s="75">
        <f>('Old Data'!$L611+'Old Data'!$M611)-('Old Data'!$V611+'Old Data'!$W611)</f>
        <v>-51</v>
      </c>
      <c r="J615" s="72">
        <f>VLOOKUP('Old Data'!$F611,$Z$6:$AB$135,2,FALSE)+VLOOKUP('Old Data'!$P611,$Z$6:$AB$135,3,FALSE)+$D$2</f>
        <v>60.46844614039744</v>
      </c>
      <c r="K615" s="72">
        <f>VLOOKUP('Old Data'!$P611,$Z$6:$AB$135,2,FALSE)+VLOOKUP('Old Data'!$F611,$Z$6:$AB$135,3,FALSE)+$D$2</f>
        <v>117.28547620866949</v>
      </c>
      <c r="L615" s="74">
        <f>('Old Data'!$L611+'Old Data'!$M611-$J615)^2+('Old Data'!$V611+'Old Data'!$W611-$K615)^2</f>
        <v>3650.3657968420457</v>
      </c>
      <c r="M615" s="75">
        <f>'Old Data'!$N611-'Old Data'!$X611</f>
        <v>-1</v>
      </c>
      <c r="N615" s="72">
        <f>VLOOKUP('Old Data'!$F611,$AD$6:$AF$135,2,FALSE)+VLOOKUP('Old Data'!$P611,$AD$6:$AF$135,3,FALSE)+$E$2</f>
        <v>1.4284309832563251</v>
      </c>
      <c r="O615" s="72">
        <f>VLOOKUP('Old Data'!$P611,$AD$6:$AF$135,2,FALSE)+VLOOKUP('Old Data'!$F611,$AD$6:$AF$135,3,FALSE)+$E$2</f>
        <v>0.24194326596586802</v>
      </c>
      <c r="P615" s="73">
        <f>('Old Data'!$N611-$N615)^2+('Old Data'!$X611-$O615)^2</f>
        <v>2.6150650859411266</v>
      </c>
      <c r="Q615" s="62"/>
      <c r="R615" s="3"/>
      <c r="S615" s="3"/>
      <c r="T615" s="3"/>
      <c r="V615" s="3"/>
      <c r="W615" s="3"/>
      <c r="X615" s="3"/>
      <c r="Z615" s="3"/>
      <c r="AA615" s="3"/>
      <c r="AB615" s="3"/>
      <c r="AC615" s="3"/>
      <c r="AD615" s="3"/>
      <c r="AE615" s="3"/>
      <c r="AF615" s="3"/>
      <c r="AG615" s="3"/>
      <c r="AH615" s="37"/>
      <c r="AI615" s="1"/>
      <c r="AK615" s="10"/>
      <c r="AL615" s="10"/>
      <c r="AM615" s="10"/>
      <c r="AN615" s="11"/>
      <c r="AO615" s="11"/>
      <c r="AP615" s="11"/>
      <c r="AQ615" s="36"/>
      <c r="AR615" s="11"/>
      <c r="AS615" s="11"/>
      <c r="AT615" s="11"/>
      <c r="AU615" s="12"/>
      <c r="AV615" s="11"/>
      <c r="AW615" s="11"/>
      <c r="AX615" s="15"/>
      <c r="AY615" s="15"/>
      <c r="AZ615" s="15"/>
      <c r="BA615" s="15"/>
      <c r="BB615" s="15"/>
      <c r="BC615" s="15"/>
      <c r="BD615" s="15"/>
      <c r="BE615" s="12"/>
      <c r="BF615" s="11"/>
      <c r="BG615" s="11"/>
      <c r="BH615" s="10"/>
      <c r="BI615" s="10"/>
      <c r="BJ615" s="10"/>
      <c r="BK615" s="23"/>
      <c r="BL615" s="23"/>
      <c r="BM615" s="23"/>
      <c r="BN615" s="23"/>
      <c r="BO615" s="23"/>
      <c r="BP615" s="23"/>
      <c r="BQ615" s="23"/>
      <c r="BR615" s="10"/>
      <c r="BS615" s="16"/>
      <c r="BT615" s="16"/>
      <c r="BU615" s="16"/>
      <c r="BV615" s="16"/>
      <c r="BW615" s="11"/>
      <c r="BX615" s="16"/>
      <c r="BY615" s="16"/>
      <c r="BZ615" s="17"/>
      <c r="CA615" s="18"/>
      <c r="CB615" s="18"/>
      <c r="CC615" s="18"/>
      <c r="CD615" s="18"/>
      <c r="CE615" s="18"/>
      <c r="CF615" s="18"/>
      <c r="CG615" s="19"/>
      <c r="CH615" s="15"/>
      <c r="CI615" s="17"/>
      <c r="CJ615" s="10"/>
      <c r="CK615" s="10"/>
      <c r="CL615" s="10"/>
      <c r="CM615" s="17"/>
      <c r="CN615" s="17"/>
      <c r="CO615" s="10"/>
      <c r="CP615" s="10"/>
      <c r="CQ615" s="10"/>
      <c r="CR615" s="10"/>
      <c r="CS615" s="10"/>
      <c r="CT615" s="10"/>
      <c r="CU615" s="10"/>
      <c r="CV615" s="10"/>
      <c r="CW615" s="10"/>
      <c r="CX615" s="10"/>
      <c r="CY615" s="10"/>
      <c r="CZ615" s="10"/>
      <c r="DA615" s="34"/>
      <c r="DB615" s="34"/>
      <c r="DC615" s="34"/>
      <c r="DD615" s="34"/>
      <c r="DE615" s="34"/>
      <c r="DF615" s="34"/>
      <c r="DG615" s="34"/>
      <c r="DH615" s="34"/>
      <c r="DI615" s="34"/>
      <c r="DJ615" s="34"/>
      <c r="DK615" s="34"/>
      <c r="DL615" s="34"/>
      <c r="DM615" s="34"/>
      <c r="DN615" s="34"/>
      <c r="DO615" s="34"/>
      <c r="DP615" s="34"/>
      <c r="DQ615" s="34"/>
      <c r="DR615" s="34"/>
      <c r="DS615" s="34"/>
      <c r="DT615" s="34"/>
      <c r="DU615" s="34"/>
      <c r="DV615" s="34"/>
      <c r="DW615" s="34"/>
      <c r="DX615" s="34"/>
      <c r="DY615" s="34"/>
      <c r="DZ615" s="34"/>
      <c r="EA615" s="34"/>
      <c r="EB615" s="34"/>
      <c r="EC615" s="34"/>
      <c r="ED615" s="34"/>
      <c r="EE615" s="34"/>
    </row>
    <row r="616" spans="1:135" customFormat="1">
      <c r="A616" s="71">
        <f>'Old Data'!$I612-'Old Data'!$S612</f>
        <v>-64</v>
      </c>
      <c r="B616" s="72">
        <f>VLOOKUP('Old Data'!$F612,$R$6:$T$135,2,FALSE)+VLOOKUP('Old Data'!$P612,$R$6:$T$135,3,FALSE)+$B$2</f>
        <v>199.98414289742902</v>
      </c>
      <c r="C616" s="72">
        <f>VLOOKUP('Old Data'!$P612,$R$6:$T$135,2,FALSE)+VLOOKUP('Old Data'!$F612,$R$6:$T$135,3,FALSE)+$B$2</f>
        <v>293.26098812657688</v>
      </c>
      <c r="D616" s="74">
        <f>('Old Data'!$I612-$B616)^2+('Old Data'!$S612-$C616)^2</f>
        <v>5707.8483824225968</v>
      </c>
      <c r="E616" s="75">
        <f>'Old Data'!$K612-'Old Data'!$U612</f>
        <v>161</v>
      </c>
      <c r="F616" s="72">
        <f>VLOOKUP('Old Data'!$F612,$V$6:$X$135,2,FALSE)+VLOOKUP('Old Data'!$P612,$V$6:$X$135,3,FALSE)+$C$2</f>
        <v>242.82185424883929</v>
      </c>
      <c r="G616" s="72">
        <f>VLOOKUP('Old Data'!$P612,$V$6:$X$135,2,FALSE)+VLOOKUP('Old Data'!$F612,$V$6:$X$135,3,FALSE)+$C$2</f>
        <v>240.2433938810014</v>
      </c>
      <c r="H616" s="74">
        <f>('Old Data'!$K612-$F616)^2+('Old Data'!$U612-$G616)^2</f>
        <v>16960.560914166555</v>
      </c>
      <c r="I616" s="75">
        <f>('Old Data'!$L612+'Old Data'!$M612)-('Old Data'!$V612+'Old Data'!$W612)</f>
        <v>35</v>
      </c>
      <c r="J616" s="72">
        <f>VLOOKUP('Old Data'!$F612,$Z$6:$AB$135,2,FALSE)+VLOOKUP('Old Data'!$P612,$Z$6:$AB$135,3,FALSE)+$D$2</f>
        <v>153.91410199656508</v>
      </c>
      <c r="K616" s="72">
        <f>VLOOKUP('Old Data'!$P612,$Z$6:$AB$135,2,FALSE)+VLOOKUP('Old Data'!$F612,$Z$6:$AB$135,3,FALSE)+$D$2</f>
        <v>71.403058358840397</v>
      </c>
      <c r="L616" s="74">
        <f>('Old Data'!$L612+'Old Data'!$M612-$J616)^2+('Old Data'!$V612+'Old Data'!$W612-$K616)^2</f>
        <v>1158.1626462751663</v>
      </c>
      <c r="M616" s="75">
        <f>'Old Data'!$N612-'Old Data'!$X612</f>
        <v>1</v>
      </c>
      <c r="N616" s="72">
        <f>VLOOKUP('Old Data'!$F612,$AD$6:$AF$135,2,FALSE)+VLOOKUP('Old Data'!$P612,$AD$6:$AF$135,3,FALSE)+$E$2</f>
        <v>1.1157039073698161</v>
      </c>
      <c r="O616" s="72">
        <f>VLOOKUP('Old Data'!$P612,$AD$6:$AF$135,2,FALSE)+VLOOKUP('Old Data'!$F612,$AD$6:$AF$135,3,FALSE)+$E$2</f>
        <v>1.7116971792890261</v>
      </c>
      <c r="P616" s="73">
        <f>('Old Data'!$N612-$N616)^2+('Old Data'!$X612-$O616)^2</f>
        <v>2.9432946277666514</v>
      </c>
      <c r="Q616" s="62"/>
      <c r="R616" s="3"/>
      <c r="S616" s="3"/>
      <c r="T616" s="3"/>
      <c r="V616" s="3"/>
      <c r="W616" s="3"/>
      <c r="X616" s="3"/>
      <c r="Z616" s="3"/>
      <c r="AA616" s="3"/>
      <c r="AB616" s="3"/>
      <c r="AC616" s="3"/>
      <c r="AD616" s="3"/>
      <c r="AE616" s="3"/>
      <c r="AF616" s="3"/>
      <c r="AG616" s="3"/>
      <c r="AH616" s="37"/>
      <c r="AI616" s="1"/>
      <c r="AK616" s="10"/>
      <c r="AL616" s="10"/>
      <c r="AM616" s="10"/>
      <c r="AN616" s="11"/>
      <c r="AO616" s="11"/>
      <c r="AP616" s="11"/>
      <c r="AQ616" s="36"/>
      <c r="AR616" s="11"/>
      <c r="AS616" s="11"/>
      <c r="AT616" s="11"/>
      <c r="AU616" s="12"/>
      <c r="AV616" s="11"/>
      <c r="AW616" s="11"/>
      <c r="AX616" s="15"/>
      <c r="AY616" s="15"/>
      <c r="AZ616" s="15"/>
      <c r="BA616" s="15"/>
      <c r="BB616" s="15"/>
      <c r="BC616" s="15"/>
      <c r="BD616" s="15"/>
      <c r="BE616" s="12"/>
      <c r="BF616" s="11"/>
      <c r="BG616" s="11"/>
      <c r="BH616" s="10"/>
      <c r="BI616" s="10"/>
      <c r="BJ616" s="10"/>
      <c r="BK616" s="23"/>
      <c r="BL616" s="23"/>
      <c r="BM616" s="23"/>
      <c r="BN616" s="23"/>
      <c r="BO616" s="23"/>
      <c r="BP616" s="23"/>
      <c r="BQ616" s="23"/>
      <c r="BR616" s="10"/>
      <c r="BS616" s="16"/>
      <c r="BT616" s="16"/>
      <c r="BU616" s="16"/>
      <c r="BV616" s="16"/>
      <c r="BW616" s="11"/>
      <c r="BX616" s="16"/>
      <c r="BY616" s="16"/>
      <c r="BZ616" s="17"/>
      <c r="CA616" s="18"/>
      <c r="CB616" s="18"/>
      <c r="CC616" s="18"/>
      <c r="CD616" s="18"/>
      <c r="CE616" s="18"/>
      <c r="CF616" s="18"/>
      <c r="CG616" s="19"/>
      <c r="CH616" s="15"/>
      <c r="CI616" s="17"/>
      <c r="CJ616" s="10"/>
      <c r="CK616" s="10"/>
      <c r="CL616" s="10"/>
      <c r="CM616" s="17"/>
      <c r="CN616" s="17"/>
      <c r="CO616" s="10"/>
      <c r="CP616" s="10"/>
      <c r="CQ616" s="10"/>
      <c r="CR616" s="10"/>
      <c r="CS616" s="10"/>
      <c r="CT616" s="10"/>
      <c r="CU616" s="10"/>
      <c r="CV616" s="10"/>
      <c r="CW616" s="10"/>
      <c r="CX616" s="10"/>
      <c r="CY616" s="10"/>
      <c r="CZ616" s="10"/>
      <c r="DA616" s="34"/>
      <c r="DB616" s="34"/>
      <c r="DC616" s="34"/>
      <c r="DD616" s="34"/>
      <c r="DE616" s="34"/>
      <c r="DF616" s="34"/>
      <c r="DG616" s="34"/>
      <c r="DH616" s="34"/>
      <c r="DI616" s="34"/>
      <c r="DJ616" s="34"/>
      <c r="DK616" s="34"/>
      <c r="DL616" s="34"/>
      <c r="DM616" s="34"/>
      <c r="DN616" s="34"/>
      <c r="DO616" s="34"/>
      <c r="DP616" s="34"/>
      <c r="DQ616" s="34"/>
      <c r="DR616" s="34"/>
      <c r="DS616" s="34"/>
      <c r="DT616" s="34"/>
      <c r="DU616" s="34"/>
      <c r="DV616" s="34"/>
      <c r="DW616" s="34"/>
      <c r="DX616" s="34"/>
      <c r="DY616" s="34"/>
      <c r="DZ616" s="34"/>
      <c r="EA616" s="34"/>
      <c r="EB616" s="34"/>
      <c r="EC616" s="34"/>
      <c r="ED616" s="34"/>
      <c r="EE616" s="34"/>
    </row>
    <row r="617" spans="1:135" customFormat="1">
      <c r="A617" s="71">
        <f>'Old Data'!$I613-'Old Data'!$S613</f>
        <v>98</v>
      </c>
      <c r="B617" s="72">
        <f>VLOOKUP('Old Data'!$F613,$R$6:$T$135,2,FALSE)+VLOOKUP('Old Data'!$P613,$R$6:$T$135,3,FALSE)+$B$2</f>
        <v>249.21193781710471</v>
      </c>
      <c r="C617" s="72">
        <f>VLOOKUP('Old Data'!$P613,$R$6:$T$135,2,FALSE)+VLOOKUP('Old Data'!$F613,$R$6:$T$135,3,FALSE)+$B$2</f>
        <v>149.03152438933222</v>
      </c>
      <c r="D617" s="74">
        <f>('Old Data'!$I613-$B617)^2+('Old Data'!$S613-$C617)^2</f>
        <v>71.485191803743689</v>
      </c>
      <c r="E617" s="75">
        <f>'Old Data'!$K613-'Old Data'!$U613</f>
        <v>141</v>
      </c>
      <c r="F617" s="72">
        <f>VLOOKUP('Old Data'!$F613,$V$6:$X$135,2,FALSE)+VLOOKUP('Old Data'!$P613,$V$6:$X$135,3,FALSE)+$C$2</f>
        <v>311.95402150645901</v>
      </c>
      <c r="G617" s="72">
        <f>VLOOKUP('Old Data'!$P613,$V$6:$X$135,2,FALSE)+VLOOKUP('Old Data'!$F613,$V$6:$X$135,3,FALSE)+$C$2</f>
        <v>297.83094315033458</v>
      </c>
      <c r="H617" s="74">
        <f>('Old Data'!$K613-$F617)^2+('Old Data'!$U613-$G617)^2</f>
        <v>10019.85251639048</v>
      </c>
      <c r="I617" s="75">
        <f>('Old Data'!$L613+'Old Data'!$M613)-('Old Data'!$V613+'Old Data'!$W613)</f>
        <v>-21</v>
      </c>
      <c r="J617" s="72">
        <f>VLOOKUP('Old Data'!$F613,$Z$6:$AB$135,2,FALSE)+VLOOKUP('Old Data'!$P613,$Z$6:$AB$135,3,FALSE)+$D$2</f>
        <v>73.125618641452988</v>
      </c>
      <c r="K617" s="72">
        <f>VLOOKUP('Old Data'!$P613,$Z$6:$AB$135,2,FALSE)+VLOOKUP('Old Data'!$F613,$Z$6:$AB$135,3,FALSE)+$D$2</f>
        <v>71.988842006274822</v>
      </c>
      <c r="L617" s="74">
        <f>('Old Data'!$L613+'Old Data'!$M613-$J617)^2+('Old Data'!$V613+'Old Data'!$W613-$K617)^2</f>
        <v>1218.0612590178478</v>
      </c>
      <c r="M617" s="75">
        <f>'Old Data'!$N613-'Old Data'!$X613</f>
        <v>3</v>
      </c>
      <c r="N617" s="72">
        <f>VLOOKUP('Old Data'!$F613,$AD$6:$AF$135,2,FALSE)+VLOOKUP('Old Data'!$P613,$AD$6:$AF$135,3,FALSE)+$E$2</f>
        <v>1.6426377526697589</v>
      </c>
      <c r="O617" s="72">
        <f>VLOOKUP('Old Data'!$P613,$AD$6:$AF$135,2,FALSE)+VLOOKUP('Old Data'!$F613,$AD$6:$AF$135,3,FALSE)+$E$2</f>
        <v>1.100574697624106</v>
      </c>
      <c r="P617" s="73">
        <f>('Old Data'!$N613-$N617)^2+('Old Data'!$X613-$O617)^2</f>
        <v>3.0536969355277952</v>
      </c>
      <c r="Q617" s="62"/>
      <c r="R617" s="3"/>
      <c r="S617" s="3"/>
      <c r="T617" s="3"/>
      <c r="V617" s="3"/>
      <c r="W617" s="3"/>
      <c r="X617" s="3"/>
      <c r="Z617" s="3"/>
      <c r="AA617" s="3"/>
      <c r="AB617" s="3"/>
      <c r="AC617" s="3"/>
      <c r="AD617" s="3"/>
      <c r="AE617" s="3"/>
      <c r="AF617" s="3"/>
      <c r="AG617" s="3"/>
      <c r="AH617" s="37"/>
      <c r="AI617" s="1"/>
      <c r="AK617" s="10"/>
      <c r="AL617" s="10"/>
      <c r="AM617" s="10"/>
      <c r="AN617" s="11"/>
      <c r="AO617" s="11"/>
      <c r="AP617" s="11"/>
      <c r="AQ617" s="36"/>
      <c r="AR617" s="11"/>
      <c r="AS617" s="11"/>
      <c r="AT617" s="11"/>
      <c r="AU617" s="12"/>
      <c r="AV617" s="11"/>
      <c r="AW617" s="11"/>
      <c r="AX617" s="15"/>
      <c r="AY617" s="15"/>
      <c r="AZ617" s="15"/>
      <c r="BA617" s="15"/>
      <c r="BB617" s="15"/>
      <c r="BC617" s="15"/>
      <c r="BD617" s="15"/>
      <c r="BE617" s="12"/>
      <c r="BF617" s="11"/>
      <c r="BG617" s="11"/>
      <c r="BH617" s="10"/>
      <c r="BI617" s="10"/>
      <c r="BJ617" s="10"/>
      <c r="BK617" s="23"/>
      <c r="BL617" s="23"/>
      <c r="BM617" s="23"/>
      <c r="BN617" s="23"/>
      <c r="BO617" s="23"/>
      <c r="BP617" s="23"/>
      <c r="BQ617" s="23"/>
      <c r="BR617" s="10"/>
      <c r="BS617" s="16"/>
      <c r="BT617" s="16"/>
      <c r="BU617" s="16"/>
      <c r="BV617" s="16"/>
      <c r="BW617" s="11"/>
      <c r="BX617" s="16"/>
      <c r="BY617" s="16"/>
      <c r="BZ617" s="17"/>
      <c r="CA617" s="18"/>
      <c r="CB617" s="18"/>
      <c r="CC617" s="18"/>
      <c r="CD617" s="18"/>
      <c r="CE617" s="18"/>
      <c r="CF617" s="18"/>
      <c r="CG617" s="19"/>
      <c r="CH617" s="15"/>
      <c r="CI617" s="17"/>
      <c r="CJ617" s="10"/>
      <c r="CK617" s="10"/>
      <c r="CL617" s="10"/>
      <c r="CM617" s="17"/>
      <c r="CN617" s="17"/>
      <c r="CO617" s="10"/>
      <c r="CP617" s="10"/>
      <c r="CQ617" s="10"/>
      <c r="CR617" s="10"/>
      <c r="CS617" s="10"/>
      <c r="CT617" s="10"/>
      <c r="CU617" s="10"/>
      <c r="CV617" s="10"/>
      <c r="CW617" s="10"/>
      <c r="CX617" s="10"/>
      <c r="CY617" s="10"/>
      <c r="CZ617" s="10"/>
      <c r="DA617" s="34"/>
      <c r="DB617" s="34"/>
      <c r="DC617" s="34"/>
      <c r="DD617" s="34"/>
      <c r="DE617" s="34"/>
      <c r="DF617" s="34"/>
      <c r="DG617" s="34"/>
      <c r="DH617" s="34"/>
      <c r="DI617" s="34"/>
      <c r="DJ617" s="34"/>
      <c r="DK617" s="34"/>
      <c r="DL617" s="34"/>
      <c r="DM617" s="34"/>
      <c r="DN617" s="34"/>
      <c r="DO617" s="34"/>
      <c r="DP617" s="34"/>
      <c r="DQ617" s="34"/>
      <c r="DR617" s="34"/>
      <c r="DS617" s="34"/>
      <c r="DT617" s="34"/>
      <c r="DU617" s="34"/>
      <c r="DV617" s="34"/>
      <c r="DW617" s="34"/>
      <c r="DX617" s="34"/>
      <c r="DY617" s="34"/>
      <c r="DZ617" s="34"/>
      <c r="EA617" s="34"/>
      <c r="EB617" s="34"/>
      <c r="EC617" s="34"/>
      <c r="ED617" s="34"/>
      <c r="EE617" s="34"/>
    </row>
    <row r="618" spans="1:135" customFormat="1">
      <c r="A618" s="71">
        <f>'Old Data'!$I614-'Old Data'!$S614</f>
        <v>-8</v>
      </c>
      <c r="B618" s="72">
        <f>VLOOKUP('Old Data'!$F614,$R$6:$T$135,2,FALSE)+VLOOKUP('Old Data'!$P614,$R$6:$T$135,3,FALSE)+$B$2</f>
        <v>207.66643759703209</v>
      </c>
      <c r="C618" s="72">
        <f>VLOOKUP('Old Data'!$P614,$R$6:$T$135,2,FALSE)+VLOOKUP('Old Data'!$F614,$R$6:$T$135,3,FALSE)+$B$2</f>
        <v>222.35915253651712</v>
      </c>
      <c r="D618" s="74">
        <f>('Old Data'!$I614-$B618)^2+('Old Data'!$S614-$C618)^2</f>
        <v>263.83356111998813</v>
      </c>
      <c r="E618" s="75">
        <f>'Old Data'!$K614-'Old Data'!$U614</f>
        <v>124</v>
      </c>
      <c r="F618" s="72">
        <f>VLOOKUP('Old Data'!$F614,$V$6:$X$135,2,FALSE)+VLOOKUP('Old Data'!$P614,$V$6:$X$135,3,FALSE)+$C$2</f>
        <v>269.81799232710279</v>
      </c>
      <c r="G618" s="72">
        <f>VLOOKUP('Old Data'!$P614,$V$6:$X$135,2,FALSE)+VLOOKUP('Old Data'!$F614,$V$6:$X$135,3,FALSE)+$C$2</f>
        <v>200.2736398493127</v>
      </c>
      <c r="H618" s="74">
        <f>('Old Data'!$K614-$F618)^2+('Old Data'!$U614-$G618)^2</f>
        <v>6275.7330184707434</v>
      </c>
      <c r="I618" s="75">
        <f>('Old Data'!$L614+'Old Data'!$M614)-('Old Data'!$V614+'Old Data'!$W614)</f>
        <v>1</v>
      </c>
      <c r="J618" s="72">
        <f>VLOOKUP('Old Data'!$F614,$Z$6:$AB$135,2,FALSE)+VLOOKUP('Old Data'!$P614,$Z$6:$AB$135,3,FALSE)+$D$2</f>
        <v>78.796142490684701</v>
      </c>
      <c r="K618" s="72">
        <f>VLOOKUP('Old Data'!$P614,$Z$6:$AB$135,2,FALSE)+VLOOKUP('Old Data'!$F614,$Z$6:$AB$135,3,FALSE)+$D$2</f>
        <v>29.29610841368627</v>
      </c>
      <c r="L618" s="74">
        <f>('Old Data'!$L614+'Old Data'!$M614-$J618)^2+('Old Data'!$V614+'Old Data'!$W614-$K618)^2</f>
        <v>3282.63459906557</v>
      </c>
      <c r="M618" s="75">
        <f>'Old Data'!$N614-'Old Data'!$X614</f>
        <v>1</v>
      </c>
      <c r="N618" s="72">
        <f>VLOOKUP('Old Data'!$F614,$AD$6:$AF$135,2,FALSE)+VLOOKUP('Old Data'!$P614,$AD$6:$AF$135,3,FALSE)+$E$2</f>
        <v>1.652491955657867</v>
      </c>
      <c r="O618" s="72">
        <f>VLOOKUP('Old Data'!$P614,$AD$6:$AF$135,2,FALSE)+VLOOKUP('Old Data'!$F614,$AD$6:$AF$135,3,FALSE)+$E$2</f>
        <v>1.4451098256084731</v>
      </c>
      <c r="P618" s="73">
        <f>('Old Data'!$N614-$N618)^2+('Old Data'!$X614-$O618)^2</f>
        <v>0.31888459773569922</v>
      </c>
      <c r="Q618" s="62"/>
      <c r="R618" s="3"/>
      <c r="S618" s="3"/>
      <c r="T618" s="3"/>
      <c r="V618" s="3"/>
      <c r="W618" s="3"/>
      <c r="X618" s="3"/>
      <c r="Z618" s="3"/>
      <c r="AA618" s="3"/>
      <c r="AB618" s="3"/>
      <c r="AC618" s="3"/>
      <c r="AD618" s="3"/>
      <c r="AE618" s="3"/>
      <c r="AF618" s="3"/>
      <c r="AG618" s="3"/>
      <c r="AH618" s="37"/>
      <c r="AI618" s="1"/>
      <c r="AK618" s="10"/>
      <c r="AL618" s="10"/>
      <c r="AM618" s="10"/>
      <c r="AN618" s="11"/>
      <c r="AO618" s="11"/>
      <c r="AP618" s="11"/>
      <c r="AQ618" s="36"/>
      <c r="AR618" s="11"/>
      <c r="AS618" s="11"/>
      <c r="AT618" s="11"/>
      <c r="AU618" s="12"/>
      <c r="AV618" s="11"/>
      <c r="AW618" s="11"/>
      <c r="AX618" s="15"/>
      <c r="AY618" s="15"/>
      <c r="AZ618" s="15"/>
      <c r="BA618" s="15"/>
      <c r="BB618" s="15"/>
      <c r="BC618" s="15"/>
      <c r="BD618" s="15"/>
      <c r="BE618" s="12"/>
      <c r="BF618" s="11"/>
      <c r="BG618" s="11"/>
      <c r="BH618" s="10"/>
      <c r="BI618" s="10"/>
      <c r="BJ618" s="10"/>
      <c r="BK618" s="23"/>
      <c r="BL618" s="23"/>
      <c r="BM618" s="23"/>
      <c r="BN618" s="23"/>
      <c r="BO618" s="23"/>
      <c r="BP618" s="23"/>
      <c r="BQ618" s="23"/>
      <c r="BR618" s="10"/>
      <c r="BS618" s="16"/>
      <c r="BT618" s="16"/>
      <c r="BU618" s="16"/>
      <c r="BV618" s="16"/>
      <c r="BW618" s="11"/>
      <c r="BX618" s="16"/>
      <c r="BY618" s="16"/>
      <c r="BZ618" s="17"/>
      <c r="CA618" s="18"/>
      <c r="CB618" s="18"/>
      <c r="CC618" s="18"/>
      <c r="CD618" s="18"/>
      <c r="CE618" s="18"/>
      <c r="CF618" s="18"/>
      <c r="CG618" s="19"/>
      <c r="CH618" s="15"/>
      <c r="CI618" s="17"/>
      <c r="CJ618" s="10"/>
      <c r="CK618" s="10"/>
      <c r="CL618" s="10"/>
      <c r="CM618" s="17"/>
      <c r="CN618" s="17"/>
      <c r="CO618" s="10"/>
      <c r="CP618" s="10"/>
      <c r="CQ618" s="10"/>
      <c r="CR618" s="10"/>
      <c r="CS618" s="10"/>
      <c r="CT618" s="10"/>
      <c r="CU618" s="10"/>
      <c r="CV618" s="10"/>
      <c r="CW618" s="10"/>
      <c r="CX618" s="10"/>
      <c r="CY618" s="10"/>
      <c r="CZ618" s="10"/>
      <c r="DA618" s="34"/>
      <c r="DB618" s="34"/>
      <c r="DC618" s="34"/>
      <c r="DD618" s="34"/>
      <c r="DE618" s="34"/>
      <c r="DF618" s="34"/>
      <c r="DG618" s="34"/>
      <c r="DH618" s="34"/>
      <c r="DI618" s="34"/>
      <c r="DJ618" s="34"/>
      <c r="DK618" s="34"/>
      <c r="DL618" s="34"/>
      <c r="DM618" s="34"/>
      <c r="DN618" s="34"/>
      <c r="DO618" s="34"/>
      <c r="DP618" s="34"/>
      <c r="DQ618" s="34"/>
      <c r="DR618" s="34"/>
      <c r="DS618" s="34"/>
      <c r="DT618" s="34"/>
      <c r="DU618" s="34"/>
      <c r="DV618" s="34"/>
      <c r="DW618" s="34"/>
      <c r="DX618" s="34"/>
      <c r="DY618" s="34"/>
      <c r="DZ618" s="34"/>
      <c r="EA618" s="34"/>
      <c r="EB618" s="34"/>
      <c r="EC618" s="34"/>
      <c r="ED618" s="34"/>
      <c r="EE618" s="34"/>
    </row>
    <row r="619" spans="1:135" customFormat="1">
      <c r="A619" s="71">
        <f>'Old Data'!$I615-'Old Data'!$S615</f>
        <v>109</v>
      </c>
      <c r="B619" s="72">
        <f>VLOOKUP('Old Data'!$F615,$R$6:$T$135,2,FALSE)+VLOOKUP('Old Data'!$P615,$R$6:$T$135,3,FALSE)+$B$2</f>
        <v>274.03334086012461</v>
      </c>
      <c r="C619" s="72">
        <f>VLOOKUP('Old Data'!$P615,$R$6:$T$135,2,FALSE)+VLOOKUP('Old Data'!$F615,$R$6:$T$135,3,FALSE)+$B$2</f>
        <v>201.60518593053132</v>
      </c>
      <c r="D619" s="74">
        <f>('Old Data'!$I615-$B619)^2+('Old Data'!$S615-$C619)^2</f>
        <v>12737.343604815782</v>
      </c>
      <c r="E619" s="75">
        <f>'Old Data'!$K615-'Old Data'!$U615</f>
        <v>-11</v>
      </c>
      <c r="F619" s="72">
        <f>VLOOKUP('Old Data'!$F615,$V$6:$X$135,2,FALSE)+VLOOKUP('Old Data'!$P615,$V$6:$X$135,3,FALSE)+$C$2</f>
        <v>299.324344728021</v>
      </c>
      <c r="G619" s="72">
        <f>VLOOKUP('Old Data'!$P615,$V$6:$X$135,2,FALSE)+VLOOKUP('Old Data'!$F615,$V$6:$X$135,3,FALSE)+$C$2</f>
        <v>263.11103920907561</v>
      </c>
      <c r="H619" s="74">
        <f>('Old Data'!$K615-$F619)^2+('Old Data'!$U615-$G619)^2</f>
        <v>3959.7966838812267</v>
      </c>
      <c r="I619" s="75">
        <f>('Old Data'!$L615+'Old Data'!$M615)-('Old Data'!$V615+'Old Data'!$W615)</f>
        <v>-37</v>
      </c>
      <c r="J619" s="72">
        <f>VLOOKUP('Old Data'!$F615,$Z$6:$AB$135,2,FALSE)+VLOOKUP('Old Data'!$P615,$Z$6:$AB$135,3,FALSE)+$D$2</f>
        <v>75.421101693103793</v>
      </c>
      <c r="K619" s="72">
        <f>VLOOKUP('Old Data'!$P615,$Z$6:$AB$135,2,FALSE)+VLOOKUP('Old Data'!$F615,$Z$6:$AB$135,3,FALSE)+$D$2</f>
        <v>99.383811843140364</v>
      </c>
      <c r="L619" s="74">
        <f>('Old Data'!$L615+'Old Data'!$M615-$J619)^2+('Old Data'!$V615+'Old Data'!$W615-$K619)^2</f>
        <v>10771.487116388504</v>
      </c>
      <c r="M619" s="75">
        <f>'Old Data'!$N615-'Old Data'!$X615</f>
        <v>0</v>
      </c>
      <c r="N619" s="72">
        <f>VLOOKUP('Old Data'!$F615,$AD$6:$AF$135,2,FALSE)+VLOOKUP('Old Data'!$P615,$AD$6:$AF$135,3,FALSE)+$E$2</f>
        <v>1.0738582079720811</v>
      </c>
      <c r="O619" s="72">
        <f>VLOOKUP('Old Data'!$P615,$AD$6:$AF$135,2,FALSE)+VLOOKUP('Old Data'!$F615,$AD$6:$AF$135,3,FALSE)+$E$2</f>
        <v>1.681462480473876</v>
      </c>
      <c r="P619" s="73">
        <f>('Old Data'!$N615-$N619)^2+('Old Data'!$X615-$O619)^2</f>
        <v>0.46984614717845502</v>
      </c>
      <c r="Q619" s="62"/>
      <c r="R619" s="3"/>
      <c r="S619" s="3"/>
      <c r="T619" s="3"/>
      <c r="V619" s="3"/>
      <c r="W619" s="3"/>
      <c r="X619" s="3"/>
      <c r="Z619" s="3"/>
      <c r="AA619" s="3"/>
      <c r="AB619" s="3"/>
      <c r="AC619" s="3"/>
      <c r="AD619" s="3"/>
      <c r="AE619" s="3"/>
      <c r="AF619" s="3"/>
      <c r="AG619" s="3"/>
      <c r="AH619" s="37"/>
      <c r="AI619" s="1"/>
      <c r="AK619" s="10"/>
      <c r="AL619" s="10"/>
      <c r="AM619" s="10"/>
      <c r="AN619" s="11"/>
      <c r="AO619" s="11"/>
      <c r="AP619" s="11"/>
      <c r="AQ619" s="36"/>
      <c r="AR619" s="11"/>
      <c r="AS619" s="11"/>
      <c r="AT619" s="11"/>
      <c r="AU619" s="12"/>
      <c r="AV619" s="11"/>
      <c r="AW619" s="11"/>
      <c r="AX619" s="15"/>
      <c r="AY619" s="15"/>
      <c r="AZ619" s="15"/>
      <c r="BA619" s="15"/>
      <c r="BB619" s="15"/>
      <c r="BC619" s="15"/>
      <c r="BD619" s="15"/>
      <c r="BE619" s="12"/>
      <c r="BF619" s="11"/>
      <c r="BG619" s="11"/>
      <c r="BH619" s="10"/>
      <c r="BI619" s="10"/>
      <c r="BJ619" s="10"/>
      <c r="BK619" s="23"/>
      <c r="BL619" s="23"/>
      <c r="BM619" s="23"/>
      <c r="BN619" s="23"/>
      <c r="BO619" s="23"/>
      <c r="BP619" s="23"/>
      <c r="BQ619" s="23"/>
      <c r="BR619" s="10"/>
      <c r="BS619" s="16"/>
      <c r="BT619" s="16"/>
      <c r="BU619" s="16"/>
      <c r="BV619" s="16"/>
      <c r="BW619" s="11"/>
      <c r="BX619" s="16"/>
      <c r="BY619" s="16"/>
      <c r="BZ619" s="17"/>
      <c r="CA619" s="18"/>
      <c r="CB619" s="18"/>
      <c r="CC619" s="18"/>
      <c r="CD619" s="18"/>
      <c r="CE619" s="18"/>
      <c r="CF619" s="18"/>
      <c r="CG619" s="19"/>
      <c r="CH619" s="15"/>
      <c r="CI619" s="17"/>
      <c r="CJ619" s="10"/>
      <c r="CK619" s="10"/>
      <c r="CL619" s="10"/>
      <c r="CM619" s="17"/>
      <c r="CN619" s="17"/>
      <c r="CO619" s="10"/>
      <c r="CP619" s="10"/>
      <c r="CQ619" s="10"/>
      <c r="CR619" s="10"/>
      <c r="CS619" s="10"/>
      <c r="CT619" s="10"/>
      <c r="CU619" s="10"/>
      <c r="CV619" s="10"/>
      <c r="CW619" s="10"/>
      <c r="CX619" s="10"/>
      <c r="CY619" s="10"/>
      <c r="CZ619" s="10"/>
      <c r="DA619" s="34"/>
      <c r="DB619" s="34"/>
      <c r="DC619" s="34"/>
      <c r="DD619" s="34"/>
      <c r="DE619" s="34"/>
      <c r="DF619" s="34"/>
      <c r="DG619" s="34"/>
      <c r="DH619" s="34"/>
      <c r="DI619" s="34"/>
      <c r="DJ619" s="34"/>
      <c r="DK619" s="34"/>
      <c r="DL619" s="34"/>
      <c r="DM619" s="34"/>
      <c r="DN619" s="34"/>
      <c r="DO619" s="34"/>
      <c r="DP619" s="34"/>
      <c r="DQ619" s="34"/>
      <c r="DR619" s="34"/>
      <c r="DS619" s="34"/>
      <c r="DT619" s="34"/>
      <c r="DU619" s="34"/>
      <c r="DV619" s="34"/>
      <c r="DW619" s="34"/>
      <c r="DX619" s="34"/>
      <c r="DY619" s="34"/>
      <c r="DZ619" s="34"/>
      <c r="EA619" s="34"/>
      <c r="EB619" s="34"/>
      <c r="EC619" s="34"/>
      <c r="ED619" s="34"/>
      <c r="EE619" s="34"/>
    </row>
    <row r="620" spans="1:135" customFormat="1">
      <c r="A620" s="71">
        <f>'Old Data'!$I616-'Old Data'!$S616</f>
        <v>146</v>
      </c>
      <c r="B620" s="72">
        <f>VLOOKUP('Old Data'!$F616,$R$6:$T$135,2,FALSE)+VLOOKUP('Old Data'!$P616,$R$6:$T$135,3,FALSE)+$B$2</f>
        <v>280.87265692830863</v>
      </c>
      <c r="C620" s="72">
        <f>VLOOKUP('Old Data'!$P616,$R$6:$T$135,2,FALSE)+VLOOKUP('Old Data'!$F616,$R$6:$T$135,3,FALSE)+$B$2</f>
        <v>87.910640582548623</v>
      </c>
      <c r="D620" s="74">
        <f>('Old Data'!$I616-$B620)^2+('Old Data'!$S616-$C620)^2</f>
        <v>1116.3224820598289</v>
      </c>
      <c r="E620" s="75">
        <f>'Old Data'!$K616-'Old Data'!$U616</f>
        <v>162</v>
      </c>
      <c r="F620" s="72">
        <f>VLOOKUP('Old Data'!$F616,$V$6:$X$135,2,FALSE)+VLOOKUP('Old Data'!$P616,$V$6:$X$135,3,FALSE)+$C$2</f>
        <v>389.7606197792652</v>
      </c>
      <c r="G620" s="72">
        <f>VLOOKUP('Old Data'!$P616,$V$6:$X$135,2,FALSE)+VLOOKUP('Old Data'!$F616,$V$6:$X$135,3,FALSE)+$C$2</f>
        <v>193.63660411973629</v>
      </c>
      <c r="H620" s="74">
        <f>('Old Data'!$K616-$F620)^2+('Old Data'!$U616-$G620)^2</f>
        <v>1439.0892956379171</v>
      </c>
      <c r="I620" s="75">
        <f>('Old Data'!$L616+'Old Data'!$M616)-('Old Data'!$V616+'Old Data'!$W616)</f>
        <v>-15</v>
      </c>
      <c r="J620" s="72">
        <f>VLOOKUP('Old Data'!$F616,$Z$6:$AB$135,2,FALSE)+VLOOKUP('Old Data'!$P616,$Z$6:$AB$135,3,FALSE)+$D$2</f>
        <v>7.4289402500838975</v>
      </c>
      <c r="K620" s="72">
        <f>VLOOKUP('Old Data'!$P616,$Z$6:$AB$135,2,FALSE)+VLOOKUP('Old Data'!$F616,$Z$6:$AB$135,3,FALSE)+$D$2</f>
        <v>57.030088371337897</v>
      </c>
      <c r="L620" s="74">
        <f>('Old Data'!$L616+'Old Data'!$M616-$J620)^2+('Old Data'!$V616+'Old Data'!$W616-$K620)^2</f>
        <v>1724.7994244989461</v>
      </c>
      <c r="M620" s="75">
        <f>'Old Data'!$N616-'Old Data'!$X616</f>
        <v>-1</v>
      </c>
      <c r="N620" s="72">
        <f>VLOOKUP('Old Data'!$F616,$AD$6:$AF$135,2,FALSE)+VLOOKUP('Old Data'!$P616,$AD$6:$AF$135,3,FALSE)+$E$2</f>
        <v>2.2005120613389022</v>
      </c>
      <c r="O620" s="72">
        <f>VLOOKUP('Old Data'!$P616,$AD$6:$AF$135,2,FALSE)+VLOOKUP('Old Data'!$F616,$AD$6:$AF$135,3,FALSE)+$E$2</f>
        <v>0.39427774070507615</v>
      </c>
      <c r="P620" s="73">
        <f>('Old Data'!$N616-$N620)^2+('Old Data'!$X616-$O620)^2</f>
        <v>5.2091527875033314</v>
      </c>
      <c r="Q620" s="62"/>
      <c r="R620" s="3"/>
      <c r="S620" s="3"/>
      <c r="T620" s="3"/>
      <c r="V620" s="3"/>
      <c r="W620" s="3"/>
      <c r="X620" s="3"/>
      <c r="Z620" s="3"/>
      <c r="AA620" s="3"/>
      <c r="AB620" s="3"/>
      <c r="AC620" s="3"/>
      <c r="AD620" s="3"/>
      <c r="AE620" s="3"/>
      <c r="AF620" s="3"/>
      <c r="AG620" s="3"/>
      <c r="AH620" s="37"/>
      <c r="AI620" s="1"/>
      <c r="AK620" s="10"/>
      <c r="AL620" s="10"/>
      <c r="AM620" s="10"/>
      <c r="AN620" s="11"/>
      <c r="AO620" s="11"/>
      <c r="AP620" s="11"/>
      <c r="AQ620" s="36"/>
      <c r="AR620" s="11"/>
      <c r="AS620" s="11"/>
      <c r="AT620" s="11"/>
      <c r="AU620" s="12"/>
      <c r="AV620" s="11"/>
      <c r="AW620" s="11"/>
      <c r="AX620" s="15"/>
      <c r="AY620" s="15"/>
      <c r="AZ620" s="15"/>
      <c r="BA620" s="15"/>
      <c r="BB620" s="15"/>
      <c r="BC620" s="15"/>
      <c r="BD620" s="15"/>
      <c r="BE620" s="12"/>
      <c r="BF620" s="11"/>
      <c r="BG620" s="11"/>
      <c r="BH620" s="10"/>
      <c r="BI620" s="10"/>
      <c r="BJ620" s="10"/>
      <c r="BK620" s="23"/>
      <c r="BL620" s="23"/>
      <c r="BM620" s="23"/>
      <c r="BN620" s="23"/>
      <c r="BO620" s="23"/>
      <c r="BP620" s="23"/>
      <c r="BQ620" s="23"/>
      <c r="BR620" s="10"/>
      <c r="BS620" s="16"/>
      <c r="BT620" s="16"/>
      <c r="BU620" s="16"/>
      <c r="BV620" s="16"/>
      <c r="BW620" s="11"/>
      <c r="BX620" s="16"/>
      <c r="BY620" s="16"/>
      <c r="BZ620" s="17"/>
      <c r="CA620" s="18"/>
      <c r="CB620" s="18"/>
      <c r="CC620" s="18"/>
      <c r="CD620" s="18"/>
      <c r="CE620" s="18"/>
      <c r="CF620" s="18"/>
      <c r="CG620" s="19"/>
      <c r="CH620" s="15"/>
      <c r="CI620" s="17"/>
      <c r="CJ620" s="10"/>
      <c r="CK620" s="10"/>
      <c r="CL620" s="10"/>
      <c r="CM620" s="17"/>
      <c r="CN620" s="17"/>
      <c r="CO620" s="10"/>
      <c r="CP620" s="10"/>
      <c r="CQ620" s="10"/>
      <c r="CR620" s="10"/>
      <c r="CS620" s="10"/>
      <c r="CT620" s="10"/>
      <c r="CU620" s="10"/>
      <c r="CV620" s="10"/>
      <c r="CW620" s="10"/>
      <c r="CX620" s="10"/>
      <c r="CY620" s="10"/>
      <c r="CZ620" s="10"/>
      <c r="DA620" s="34"/>
      <c r="DB620" s="34"/>
      <c r="DC620" s="34"/>
      <c r="DD620" s="34"/>
      <c r="DE620" s="34"/>
      <c r="DF620" s="34"/>
      <c r="DG620" s="34"/>
      <c r="DH620" s="34"/>
      <c r="DI620" s="34"/>
      <c r="DJ620" s="34"/>
      <c r="DK620" s="34"/>
      <c r="DL620" s="34"/>
      <c r="DM620" s="34"/>
      <c r="DN620" s="34"/>
      <c r="DO620" s="34"/>
      <c r="DP620" s="34"/>
      <c r="DQ620" s="34"/>
      <c r="DR620" s="34"/>
      <c r="DS620" s="34"/>
      <c r="DT620" s="34"/>
      <c r="DU620" s="34"/>
      <c r="DV620" s="34"/>
      <c r="DW620" s="34"/>
      <c r="DX620" s="34"/>
      <c r="DY620" s="34"/>
      <c r="DZ620" s="34"/>
      <c r="EA620" s="34"/>
      <c r="EB620" s="34"/>
      <c r="EC620" s="34"/>
      <c r="ED620" s="34"/>
      <c r="EE620" s="34"/>
    </row>
    <row r="621" spans="1:135" customFormat="1">
      <c r="A621" s="71">
        <f>'Old Data'!$I617-'Old Data'!$S617</f>
        <v>-156</v>
      </c>
      <c r="B621" s="72">
        <f>VLOOKUP('Old Data'!$F617,$R$6:$T$135,2,FALSE)+VLOOKUP('Old Data'!$P617,$R$6:$T$135,3,FALSE)+$B$2</f>
        <v>194.37234678726131</v>
      </c>
      <c r="C621" s="72">
        <f>VLOOKUP('Old Data'!$P617,$R$6:$T$135,2,FALSE)+VLOOKUP('Old Data'!$F617,$R$6:$T$135,3,FALSE)+$B$2</f>
        <v>242.39975945834499</v>
      </c>
      <c r="D621" s="74">
        <f>('Old Data'!$I617-$B621)^2+('Old Data'!$S617-$C621)^2</f>
        <v>5977.43996885657</v>
      </c>
      <c r="E621" s="75">
        <f>'Old Data'!$K617-'Old Data'!$U617</f>
        <v>-169</v>
      </c>
      <c r="F621" s="72">
        <f>VLOOKUP('Old Data'!$F617,$V$6:$X$135,2,FALSE)+VLOOKUP('Old Data'!$P617,$V$6:$X$135,3,FALSE)+$C$2</f>
        <v>142.51808596865939</v>
      </c>
      <c r="G621" s="72">
        <f>VLOOKUP('Old Data'!$P617,$V$6:$X$135,2,FALSE)+VLOOKUP('Old Data'!$F617,$V$6:$X$135,3,FALSE)+$C$2</f>
        <v>263.5296119449801</v>
      </c>
      <c r="H621" s="74">
        <f>('Old Data'!$K617-$F621)^2+('Old Data'!$U617-$G621)^2</f>
        <v>8721.8148004838113</v>
      </c>
      <c r="I621" s="75">
        <f>('Old Data'!$L617+'Old Data'!$M617)-('Old Data'!$V617+'Old Data'!$W617)</f>
        <v>51</v>
      </c>
      <c r="J621" s="72">
        <f>VLOOKUP('Old Data'!$F617,$Z$6:$AB$135,2,FALSE)+VLOOKUP('Old Data'!$P617,$Z$6:$AB$135,3,FALSE)+$D$2</f>
        <v>132.99265409273499</v>
      </c>
      <c r="K621" s="72">
        <f>VLOOKUP('Old Data'!$P617,$Z$6:$AB$135,2,FALSE)+VLOOKUP('Old Data'!$F617,$Z$6:$AB$135,3,FALSE)+$D$2</f>
        <v>75.68002679695573</v>
      </c>
      <c r="L621" s="74">
        <f>('Old Data'!$L617+'Old Data'!$M617-$J621)^2+('Old Data'!$V617+'Old Data'!$W617-$K621)^2</f>
        <v>5603.2823748949122</v>
      </c>
      <c r="M621" s="75">
        <f>'Old Data'!$N617-'Old Data'!$X617</f>
        <v>-3</v>
      </c>
      <c r="N621" s="72">
        <f>VLOOKUP('Old Data'!$F617,$AD$6:$AF$135,2,FALSE)+VLOOKUP('Old Data'!$P617,$AD$6:$AF$135,3,FALSE)+$E$2</f>
        <v>1.7501313116223334</v>
      </c>
      <c r="O621" s="72">
        <f>VLOOKUP('Old Data'!$P617,$AD$6:$AF$135,2,FALSE)+VLOOKUP('Old Data'!$F617,$AD$6:$AF$135,3,FALSE)+$E$2</f>
        <v>2.145104212326598</v>
      </c>
      <c r="P621" s="73">
        <f>('Old Data'!$N617-$N621)^2+('Old Data'!$X617-$O621)^2</f>
        <v>4.0033353678047732</v>
      </c>
      <c r="Q621" s="62"/>
      <c r="R621" s="3"/>
      <c r="S621" s="3"/>
      <c r="T621" s="3"/>
      <c r="V621" s="3"/>
      <c r="W621" s="3"/>
      <c r="X621" s="3"/>
      <c r="Z621" s="3"/>
      <c r="AA621" s="3"/>
      <c r="AB621" s="3"/>
      <c r="AC621" s="3"/>
      <c r="AD621" s="3"/>
      <c r="AE621" s="3"/>
      <c r="AF621" s="3"/>
      <c r="AG621" s="3"/>
      <c r="AH621" s="37"/>
      <c r="AI621" s="1"/>
      <c r="AK621" s="10"/>
      <c r="AL621" s="10"/>
      <c r="AM621" s="10"/>
      <c r="AN621" s="11"/>
      <c r="AO621" s="11"/>
      <c r="AP621" s="11"/>
      <c r="AQ621" s="36"/>
      <c r="AR621" s="11"/>
      <c r="AS621" s="11"/>
      <c r="AT621" s="11"/>
      <c r="AU621" s="12"/>
      <c r="AV621" s="11"/>
      <c r="AW621" s="11"/>
      <c r="AX621" s="15"/>
      <c r="AY621" s="15"/>
      <c r="AZ621" s="15"/>
      <c r="BA621" s="15"/>
      <c r="BB621" s="15"/>
      <c r="BC621" s="15"/>
      <c r="BD621" s="15"/>
      <c r="BE621" s="12"/>
      <c r="BF621" s="11"/>
      <c r="BG621" s="11"/>
      <c r="BH621" s="10"/>
      <c r="BI621" s="10"/>
      <c r="BJ621" s="10"/>
      <c r="BK621" s="23"/>
      <c r="BL621" s="23"/>
      <c r="BM621" s="23"/>
      <c r="BN621" s="23"/>
      <c r="BO621" s="23"/>
      <c r="BP621" s="23"/>
      <c r="BQ621" s="23"/>
      <c r="BR621" s="10"/>
      <c r="BS621" s="16"/>
      <c r="BT621" s="16"/>
      <c r="BU621" s="16"/>
      <c r="BV621" s="16"/>
      <c r="BW621" s="11"/>
      <c r="BX621" s="16"/>
      <c r="BY621" s="16"/>
      <c r="BZ621" s="17"/>
      <c r="CA621" s="18"/>
      <c r="CB621" s="18"/>
      <c r="CC621" s="18"/>
      <c r="CD621" s="18"/>
      <c r="CE621" s="18"/>
      <c r="CF621" s="18"/>
      <c r="CG621" s="19"/>
      <c r="CH621" s="15"/>
      <c r="CI621" s="17"/>
      <c r="CJ621" s="10"/>
      <c r="CK621" s="10"/>
      <c r="CL621" s="10"/>
      <c r="CM621" s="17"/>
      <c r="CN621" s="17"/>
      <c r="CO621" s="10"/>
      <c r="CP621" s="10"/>
      <c r="CQ621" s="10"/>
      <c r="CR621" s="10"/>
      <c r="CS621" s="10"/>
      <c r="CT621" s="10"/>
      <c r="CU621" s="10"/>
      <c r="CV621" s="10"/>
      <c r="CW621" s="10"/>
      <c r="CX621" s="10"/>
      <c r="CY621" s="10"/>
      <c r="CZ621" s="10"/>
      <c r="DA621" s="34"/>
      <c r="DB621" s="34"/>
      <c r="DC621" s="34"/>
      <c r="DD621" s="34"/>
      <c r="DE621" s="34"/>
      <c r="DF621" s="34"/>
      <c r="DG621" s="34"/>
      <c r="DH621" s="34"/>
      <c r="DI621" s="34"/>
      <c r="DJ621" s="34"/>
      <c r="DK621" s="34"/>
      <c r="DL621" s="34"/>
      <c r="DM621" s="34"/>
      <c r="DN621" s="34"/>
      <c r="DO621" s="34"/>
      <c r="DP621" s="34"/>
      <c r="DQ621" s="34"/>
      <c r="DR621" s="34"/>
      <c r="DS621" s="34"/>
      <c r="DT621" s="34"/>
      <c r="DU621" s="34"/>
      <c r="DV621" s="34"/>
      <c r="DW621" s="34"/>
      <c r="DX621" s="34"/>
      <c r="DY621" s="34"/>
      <c r="DZ621" s="34"/>
      <c r="EA621" s="34"/>
      <c r="EB621" s="34"/>
      <c r="EC621" s="34"/>
      <c r="ED621" s="34"/>
      <c r="EE621" s="34"/>
    </row>
    <row r="622" spans="1:135" customFormat="1">
      <c r="A622" s="71">
        <f>'Old Data'!$I618-'Old Data'!$S618</f>
        <v>-12</v>
      </c>
      <c r="B622" s="72">
        <f>VLOOKUP('Old Data'!$F618,$R$6:$T$135,2,FALSE)+VLOOKUP('Old Data'!$P618,$R$6:$T$135,3,FALSE)+$B$2</f>
        <v>125.80477384298065</v>
      </c>
      <c r="C622" s="72">
        <f>VLOOKUP('Old Data'!$P618,$R$6:$T$135,2,FALSE)+VLOOKUP('Old Data'!$F618,$R$6:$T$135,3,FALSE)+$B$2</f>
        <v>117.39464489783171</v>
      </c>
      <c r="D622" s="74">
        <f>('Old Data'!$I618-$B622)^2+('Old Data'!$S618-$C622)^2</f>
        <v>759.38738414270483</v>
      </c>
      <c r="E622" s="75">
        <f>'Old Data'!$K618-'Old Data'!$U618</f>
        <v>-234</v>
      </c>
      <c r="F622" s="72">
        <f>VLOOKUP('Old Data'!$F618,$V$6:$X$135,2,FALSE)+VLOOKUP('Old Data'!$P618,$V$6:$X$135,3,FALSE)+$C$2</f>
        <v>193.66358731418637</v>
      </c>
      <c r="G622" s="72">
        <f>VLOOKUP('Old Data'!$P618,$V$6:$X$135,2,FALSE)+VLOOKUP('Old Data'!$F618,$V$6:$X$135,3,FALSE)+$C$2</f>
        <v>217.6146830019417</v>
      </c>
      <c r="H622" s="74">
        <f>('Old Data'!$K618-$F622)^2+('Old Data'!$U618-$G622)^2</f>
        <v>39121.329810087991</v>
      </c>
      <c r="I622" s="75">
        <f>('Old Data'!$L618+'Old Data'!$M618)-('Old Data'!$V618+'Old Data'!$W618)</f>
        <v>2</v>
      </c>
      <c r="J622" s="72">
        <f>VLOOKUP('Old Data'!$F618,$Z$6:$AB$135,2,FALSE)+VLOOKUP('Old Data'!$P618,$Z$6:$AB$135,3,FALSE)+$D$2</f>
        <v>19.663308563889096</v>
      </c>
      <c r="K622" s="72">
        <f>VLOOKUP('Old Data'!$P618,$Z$6:$AB$135,2,FALSE)+VLOOKUP('Old Data'!$F618,$Z$6:$AB$135,3,FALSE)+$D$2</f>
        <v>20.425163585665601</v>
      </c>
      <c r="L622" s="74">
        <f>('Old Data'!$L618+'Old Data'!$M618-$J622)^2+('Old Data'!$V618+'Old Data'!$W618-$K622)^2</f>
        <v>54.702556736826438</v>
      </c>
      <c r="M622" s="75">
        <f>'Old Data'!$N618-'Old Data'!$X618</f>
        <v>1</v>
      </c>
      <c r="N622" s="72">
        <f>VLOOKUP('Old Data'!$F618,$AD$6:$AF$135,2,FALSE)+VLOOKUP('Old Data'!$P618,$AD$6:$AF$135,3,FALSE)+$E$2</f>
        <v>1.5412676955584692</v>
      </c>
      <c r="O622" s="72">
        <f>VLOOKUP('Old Data'!$P618,$AD$6:$AF$135,2,FALSE)+VLOOKUP('Old Data'!$F618,$AD$6:$AF$135,3,FALSE)+$E$2</f>
        <v>1.0952962299643025</v>
      </c>
      <c r="P622" s="73">
        <f>('Old Data'!$N618-$N622)^2+('Old Data'!$X618-$O622)^2</f>
        <v>1.49264454962919</v>
      </c>
      <c r="Q622" s="62"/>
      <c r="R622" s="3"/>
      <c r="S622" s="3"/>
      <c r="T622" s="3"/>
      <c r="V622" s="3"/>
      <c r="W622" s="3"/>
      <c r="X622" s="3"/>
      <c r="Z622" s="3"/>
      <c r="AA622" s="3"/>
      <c r="AB622" s="3"/>
      <c r="AC622" s="3"/>
      <c r="AD622" s="3"/>
      <c r="AE622" s="3"/>
      <c r="AF622" s="3"/>
      <c r="AG622" s="3"/>
      <c r="AH622" s="37"/>
      <c r="AI622" s="1"/>
      <c r="AK622" s="10"/>
      <c r="AL622" s="10"/>
      <c r="AM622" s="10"/>
      <c r="AN622" s="11"/>
      <c r="AO622" s="11"/>
      <c r="AP622" s="11"/>
      <c r="AQ622" s="36"/>
      <c r="AR622" s="11"/>
      <c r="AS622" s="11"/>
      <c r="AT622" s="11"/>
      <c r="AU622" s="12"/>
      <c r="AV622" s="11"/>
      <c r="AW622" s="11"/>
      <c r="AX622" s="15"/>
      <c r="AY622" s="15"/>
      <c r="AZ622" s="15"/>
      <c r="BA622" s="15"/>
      <c r="BB622" s="15"/>
      <c r="BC622" s="15"/>
      <c r="BD622" s="15"/>
      <c r="BE622" s="12"/>
      <c r="BF622" s="11"/>
      <c r="BG622" s="11"/>
      <c r="BH622" s="10"/>
      <c r="BI622" s="10"/>
      <c r="BJ622" s="10"/>
      <c r="BK622" s="23"/>
      <c r="BL622" s="23"/>
      <c r="BM622" s="23"/>
      <c r="BN622" s="23"/>
      <c r="BO622" s="23"/>
      <c r="BP622" s="23"/>
      <c r="BQ622" s="23"/>
      <c r="BR622" s="10"/>
      <c r="BS622" s="16"/>
      <c r="BT622" s="16"/>
      <c r="BU622" s="16"/>
      <c r="BV622" s="16"/>
      <c r="BW622" s="11"/>
      <c r="BX622" s="16"/>
      <c r="BY622" s="16"/>
      <c r="BZ622" s="17"/>
      <c r="CA622" s="18"/>
      <c r="CB622" s="18"/>
      <c r="CC622" s="18"/>
      <c r="CD622" s="18"/>
      <c r="CE622" s="18"/>
      <c r="CF622" s="18"/>
      <c r="CG622" s="19"/>
      <c r="CH622" s="15"/>
      <c r="CI622" s="17"/>
      <c r="CJ622" s="10"/>
      <c r="CK622" s="10"/>
      <c r="CL622" s="10"/>
      <c r="CM622" s="17"/>
      <c r="CN622" s="17"/>
      <c r="CO622" s="10"/>
      <c r="CP622" s="10"/>
      <c r="CQ622" s="10"/>
      <c r="CR622" s="10"/>
      <c r="CS622" s="10"/>
      <c r="CT622" s="10"/>
      <c r="CU622" s="10"/>
      <c r="CV622" s="10"/>
      <c r="CW622" s="10"/>
      <c r="CX622" s="10"/>
      <c r="CY622" s="10"/>
      <c r="CZ622" s="10"/>
      <c r="DA622" s="34"/>
      <c r="DB622" s="34"/>
      <c r="DC622" s="34"/>
      <c r="DD622" s="34"/>
      <c r="DE622" s="34"/>
      <c r="DF622" s="34"/>
      <c r="DG622" s="34"/>
      <c r="DH622" s="34"/>
      <c r="DI622" s="34"/>
      <c r="DJ622" s="34"/>
      <c r="DK622" s="34"/>
      <c r="DL622" s="34"/>
      <c r="DM622" s="34"/>
      <c r="DN622" s="34"/>
      <c r="DO622" s="34"/>
      <c r="DP622" s="34"/>
      <c r="DQ622" s="34"/>
      <c r="DR622" s="34"/>
      <c r="DS622" s="34"/>
      <c r="DT622" s="34"/>
      <c r="DU622" s="34"/>
      <c r="DV622" s="34"/>
      <c r="DW622" s="34"/>
      <c r="DX622" s="34"/>
      <c r="DY622" s="34"/>
      <c r="DZ622" s="34"/>
      <c r="EA622" s="34"/>
      <c r="EB622" s="34"/>
      <c r="EC622" s="34"/>
      <c r="ED622" s="34"/>
      <c r="EE622" s="34"/>
    </row>
    <row r="623" spans="1:135" customFormat="1">
      <c r="A623" s="71">
        <f>'Old Data'!$I619-'Old Data'!$S619</f>
        <v>58</v>
      </c>
      <c r="B623" s="72">
        <f>VLOOKUP('Old Data'!$F619,$R$6:$T$135,2,FALSE)+VLOOKUP('Old Data'!$P619,$R$6:$T$135,3,FALSE)+$B$2</f>
        <v>178.18196044042728</v>
      </c>
      <c r="C623" s="72">
        <f>VLOOKUP('Old Data'!$P619,$R$6:$T$135,2,FALSE)+VLOOKUP('Old Data'!$F619,$R$6:$T$135,3,FALSE)+$B$2</f>
        <v>132.2882208227426</v>
      </c>
      <c r="D623" s="74">
        <f>('Old Data'!$I619-$B623)^2+('Old Data'!$S619-$C623)^2</f>
        <v>1247.9600060644809</v>
      </c>
      <c r="E623" s="75">
        <f>'Old Data'!$K619-'Old Data'!$U619</f>
        <v>-77</v>
      </c>
      <c r="F623" s="72">
        <f>VLOOKUP('Old Data'!$F619,$V$6:$X$135,2,FALSE)+VLOOKUP('Old Data'!$P619,$V$6:$X$135,3,FALSE)+$C$2</f>
        <v>236.27441727665359</v>
      </c>
      <c r="G623" s="72">
        <f>VLOOKUP('Old Data'!$P619,$V$6:$X$135,2,FALSE)+VLOOKUP('Old Data'!$F619,$V$6:$X$135,3,FALSE)+$C$2</f>
        <v>220.7332504063244</v>
      </c>
      <c r="H623" s="74">
        <f>('Old Data'!$K619-$F623)^2+('Old Data'!$U619-$G623)^2</f>
        <v>10113.105702496116</v>
      </c>
      <c r="I623" s="75">
        <f>('Old Data'!$L619+'Old Data'!$M619)-('Old Data'!$V619+'Old Data'!$W619)</f>
        <v>-22</v>
      </c>
      <c r="J623" s="72">
        <f>VLOOKUP('Old Data'!$F619,$Z$6:$AB$135,2,FALSE)+VLOOKUP('Old Data'!$P619,$Z$6:$AB$135,3,FALSE)+$D$2</f>
        <v>16.761448903646752</v>
      </c>
      <c r="K623" s="72">
        <f>VLOOKUP('Old Data'!$P619,$Z$6:$AB$135,2,FALSE)+VLOOKUP('Old Data'!$F619,$Z$6:$AB$135,3,FALSE)+$D$2</f>
        <v>86.842623857044003</v>
      </c>
      <c r="L623" s="74">
        <f>('Old Data'!$L619+'Old Data'!$M619-$J623)^2+('Old Data'!$V619+'Old Data'!$W619-$K623)^2</f>
        <v>3053.4305828018378</v>
      </c>
      <c r="M623" s="75">
        <f>'Old Data'!$N619-'Old Data'!$X619</f>
        <v>1</v>
      </c>
      <c r="N623" s="72">
        <f>VLOOKUP('Old Data'!$F619,$AD$6:$AF$135,2,FALSE)+VLOOKUP('Old Data'!$P619,$AD$6:$AF$135,3,FALSE)+$E$2</f>
        <v>1.5107433781837643</v>
      </c>
      <c r="O623" s="72">
        <f>VLOOKUP('Old Data'!$P619,$AD$6:$AF$135,2,FALSE)+VLOOKUP('Old Data'!$F619,$AD$6:$AF$135,3,FALSE)+$E$2</f>
        <v>1.0805960111914623</v>
      </c>
      <c r="P623" s="73">
        <f>('Old Data'!$N619-$N623)^2+('Old Data'!$X619-$O623)^2</f>
        <v>1.4285465377614628</v>
      </c>
      <c r="Q623" s="62"/>
      <c r="R623" s="3"/>
      <c r="S623" s="3"/>
      <c r="T623" s="3"/>
      <c r="V623" s="3"/>
      <c r="W623" s="3"/>
      <c r="X623" s="3"/>
      <c r="Z623" s="3"/>
      <c r="AA623" s="3"/>
      <c r="AB623" s="3"/>
      <c r="AC623" s="3"/>
      <c r="AD623" s="3"/>
      <c r="AE623" s="3"/>
      <c r="AF623" s="3"/>
      <c r="AG623" s="3"/>
      <c r="AH623" s="37"/>
      <c r="AI623" s="1"/>
      <c r="AK623" s="10"/>
      <c r="AL623" s="10"/>
      <c r="AM623" s="10"/>
      <c r="AN623" s="11"/>
      <c r="AO623" s="11"/>
      <c r="AP623" s="11"/>
      <c r="AQ623" s="36"/>
      <c r="AR623" s="11"/>
      <c r="AS623" s="11"/>
      <c r="AT623" s="11"/>
      <c r="AU623" s="12"/>
      <c r="AV623" s="11"/>
      <c r="AW623" s="11"/>
      <c r="AX623" s="15"/>
      <c r="AY623" s="15"/>
      <c r="AZ623" s="15"/>
      <c r="BA623" s="15"/>
      <c r="BB623" s="15"/>
      <c r="BC623" s="15"/>
      <c r="BD623" s="15"/>
      <c r="BE623" s="12"/>
      <c r="BF623" s="11"/>
      <c r="BG623" s="11"/>
      <c r="BH623" s="10"/>
      <c r="BI623" s="10"/>
      <c r="BJ623" s="10"/>
      <c r="BK623" s="23"/>
      <c r="BL623" s="23"/>
      <c r="BM623" s="23"/>
      <c r="BN623" s="23"/>
      <c r="BO623" s="23"/>
      <c r="BP623" s="23"/>
      <c r="BQ623" s="23"/>
      <c r="BR623" s="10"/>
      <c r="BS623" s="16"/>
      <c r="BT623" s="16"/>
      <c r="BU623" s="16"/>
      <c r="BV623" s="16"/>
      <c r="BW623" s="11"/>
      <c r="BX623" s="16"/>
      <c r="BY623" s="16"/>
      <c r="BZ623" s="17"/>
      <c r="CA623" s="18"/>
      <c r="CB623" s="18"/>
      <c r="CC623" s="18"/>
      <c r="CD623" s="18"/>
      <c r="CE623" s="18"/>
      <c r="CF623" s="18"/>
      <c r="CG623" s="19"/>
      <c r="CH623" s="15"/>
      <c r="CI623" s="17"/>
      <c r="CJ623" s="10"/>
      <c r="CK623" s="10"/>
      <c r="CL623" s="10"/>
      <c r="CM623" s="17"/>
      <c r="CN623" s="17"/>
      <c r="CO623" s="10"/>
      <c r="CP623" s="10"/>
      <c r="CQ623" s="10"/>
      <c r="CR623" s="10"/>
      <c r="CS623" s="10"/>
      <c r="CT623" s="10"/>
      <c r="CU623" s="10"/>
      <c r="CV623" s="10"/>
      <c r="CW623" s="10"/>
      <c r="CX623" s="10"/>
      <c r="CY623" s="10"/>
      <c r="CZ623" s="10"/>
      <c r="DA623" s="34"/>
      <c r="DB623" s="34"/>
      <c r="DC623" s="34"/>
      <c r="DD623" s="34"/>
      <c r="DE623" s="34"/>
      <c r="DF623" s="34"/>
      <c r="DG623" s="34"/>
      <c r="DH623" s="34"/>
      <c r="DI623" s="34"/>
      <c r="DJ623" s="34"/>
      <c r="DK623" s="34"/>
      <c r="DL623" s="34"/>
      <c r="DM623" s="34"/>
      <c r="DN623" s="34"/>
      <c r="DO623" s="34"/>
      <c r="DP623" s="34"/>
      <c r="DQ623" s="34"/>
      <c r="DR623" s="34"/>
      <c r="DS623" s="34"/>
      <c r="DT623" s="34"/>
      <c r="DU623" s="34"/>
      <c r="DV623" s="34"/>
      <c r="DW623" s="34"/>
      <c r="DX623" s="34"/>
      <c r="DY623" s="34"/>
      <c r="DZ623" s="34"/>
      <c r="EA623" s="34"/>
      <c r="EB623" s="34"/>
      <c r="EC623" s="34"/>
      <c r="ED623" s="34"/>
      <c r="EE623" s="34"/>
    </row>
    <row r="624" spans="1:135" customFormat="1">
      <c r="A624" s="71">
        <f>'Old Data'!$I620-'Old Data'!$S620</f>
        <v>288</v>
      </c>
      <c r="B624" s="72">
        <f>VLOOKUP('Old Data'!$F620,$R$6:$T$135,2,FALSE)+VLOOKUP('Old Data'!$P620,$R$6:$T$135,3,FALSE)+$B$2</f>
        <v>322.96868653370734</v>
      </c>
      <c r="C624" s="72">
        <f>VLOOKUP('Old Data'!$P620,$R$6:$T$135,2,FALSE)+VLOOKUP('Old Data'!$F620,$R$6:$T$135,3,FALSE)+$B$2</f>
        <v>120.14973081787974</v>
      </c>
      <c r="D624" s="74">
        <f>('Old Data'!$I620-$B624)^2+('Old Data'!$S620-$C624)^2</f>
        <v>4104.7412261064483</v>
      </c>
      <c r="E624" s="75">
        <f>'Old Data'!$K620-'Old Data'!$U620</f>
        <v>-89</v>
      </c>
      <c r="F624" s="72">
        <f>VLOOKUP('Old Data'!$F620,$V$6:$X$135,2,FALSE)+VLOOKUP('Old Data'!$P620,$V$6:$X$135,3,FALSE)+$C$2</f>
        <v>155.2208440735848</v>
      </c>
      <c r="G624" s="72">
        <f>VLOOKUP('Old Data'!$P620,$V$6:$X$135,2,FALSE)+VLOOKUP('Old Data'!$F620,$V$6:$X$135,3,FALSE)+$C$2</f>
        <v>303.15226223344604</v>
      </c>
      <c r="H624" s="74">
        <f>('Old Data'!$K620-$F624)^2+('Old Data'!$U620-$G624)^2</f>
        <v>2765.8154111407725</v>
      </c>
      <c r="I624" s="75">
        <f>('Old Data'!$L620+'Old Data'!$M620)-('Old Data'!$V620+'Old Data'!$W620)</f>
        <v>-175</v>
      </c>
      <c r="J624" s="72">
        <f>VLOOKUP('Old Data'!$F620,$Z$6:$AB$135,2,FALSE)+VLOOKUP('Old Data'!$P620,$Z$6:$AB$135,3,FALSE)+$D$2</f>
        <v>51.916985109303596</v>
      </c>
      <c r="K624" s="72">
        <f>VLOOKUP('Old Data'!$P620,$Z$6:$AB$135,2,FALSE)+VLOOKUP('Old Data'!$F620,$Z$6:$AB$135,3,FALSE)+$D$2</f>
        <v>117.2657138852188</v>
      </c>
      <c r="L624" s="74">
        <f>('Old Data'!$L620+'Old Data'!$M620-$J624)^2+('Old Data'!$V620+'Old Data'!$W620-$K624)^2</f>
        <v>6517.8709621654862</v>
      </c>
      <c r="M624" s="75">
        <f>'Old Data'!$N620-'Old Data'!$X620</f>
        <v>1</v>
      </c>
      <c r="N624" s="72">
        <f>VLOOKUP('Old Data'!$F620,$AD$6:$AF$135,2,FALSE)+VLOOKUP('Old Data'!$P620,$AD$6:$AF$135,3,FALSE)+$E$2</f>
        <v>1.5138172182072283</v>
      </c>
      <c r="O624" s="72">
        <f>VLOOKUP('Old Data'!$P620,$AD$6:$AF$135,2,FALSE)+VLOOKUP('Old Data'!$F620,$AD$6:$AF$135,3,FALSE)+$E$2</f>
        <v>1.4069794249969512</v>
      </c>
      <c r="P624" s="73">
        <f>('Old Data'!$N620-$N624)^2+('Old Data'!$X620-$O624)^2</f>
        <v>2.243599236090966</v>
      </c>
      <c r="Q624" s="62"/>
      <c r="R624" s="3"/>
      <c r="S624" s="3"/>
      <c r="T624" s="3"/>
      <c r="V624" s="3"/>
      <c r="W624" s="3"/>
      <c r="X624" s="3"/>
      <c r="Z624" s="3"/>
      <c r="AA624" s="3"/>
      <c r="AB624" s="3"/>
      <c r="AC624" s="3"/>
      <c r="AD624" s="3"/>
      <c r="AE624" s="3"/>
      <c r="AF624" s="3"/>
      <c r="AG624" s="3"/>
      <c r="AH624" s="37"/>
      <c r="AI624" s="1"/>
      <c r="AK624" s="10"/>
      <c r="AL624" s="10"/>
      <c r="AM624" s="10"/>
      <c r="AN624" s="11"/>
      <c r="AO624" s="11"/>
      <c r="AP624" s="11"/>
      <c r="AQ624" s="36"/>
      <c r="AR624" s="11"/>
      <c r="AS624" s="11"/>
      <c r="AT624" s="11"/>
      <c r="AU624" s="12"/>
      <c r="AV624" s="11"/>
      <c r="AW624" s="11"/>
      <c r="AX624" s="15"/>
      <c r="AY624" s="15"/>
      <c r="AZ624" s="15"/>
      <c r="BA624" s="15"/>
      <c r="BB624" s="15"/>
      <c r="BC624" s="15"/>
      <c r="BD624" s="15"/>
      <c r="BE624" s="12"/>
      <c r="BF624" s="11"/>
      <c r="BG624" s="11"/>
      <c r="BH624" s="10"/>
      <c r="BI624" s="10"/>
      <c r="BJ624" s="10"/>
      <c r="BK624" s="23"/>
      <c r="BL624" s="23"/>
      <c r="BM624" s="23"/>
      <c r="BN624" s="23"/>
      <c r="BO624" s="23"/>
      <c r="BP624" s="23"/>
      <c r="BQ624" s="23"/>
      <c r="BR624" s="10"/>
      <c r="BS624" s="16"/>
      <c r="BT624" s="16"/>
      <c r="BU624" s="16"/>
      <c r="BV624" s="16"/>
      <c r="BW624" s="11"/>
      <c r="BX624" s="16"/>
      <c r="BY624" s="16"/>
      <c r="BZ624" s="17"/>
      <c r="CA624" s="18"/>
      <c r="CB624" s="18"/>
      <c r="CC624" s="18"/>
      <c r="CD624" s="18"/>
      <c r="CE624" s="18"/>
      <c r="CF624" s="18"/>
      <c r="CG624" s="19"/>
      <c r="CH624" s="15"/>
      <c r="CI624" s="17"/>
      <c r="CJ624" s="10"/>
      <c r="CK624" s="10"/>
      <c r="CL624" s="10"/>
      <c r="CM624" s="17"/>
      <c r="CN624" s="17"/>
      <c r="CO624" s="10"/>
      <c r="CP624" s="10"/>
      <c r="CQ624" s="10"/>
      <c r="CR624" s="10"/>
      <c r="CS624" s="10"/>
      <c r="CT624" s="10"/>
      <c r="CU624" s="10"/>
      <c r="CV624" s="10"/>
      <c r="CW624" s="10"/>
      <c r="CX624" s="10"/>
      <c r="CY624" s="10"/>
      <c r="CZ624" s="10"/>
      <c r="DA624" s="34"/>
      <c r="DB624" s="34"/>
      <c r="DC624" s="34"/>
      <c r="DD624" s="34"/>
      <c r="DE624" s="34"/>
      <c r="DF624" s="34"/>
      <c r="DG624" s="34"/>
      <c r="DH624" s="34"/>
      <c r="DI624" s="34"/>
      <c r="DJ624" s="34"/>
      <c r="DK624" s="34"/>
      <c r="DL624" s="34"/>
      <c r="DM624" s="34"/>
      <c r="DN624" s="34"/>
      <c r="DO624" s="34"/>
      <c r="DP624" s="34"/>
      <c r="DQ624" s="34"/>
      <c r="DR624" s="34"/>
      <c r="DS624" s="34"/>
      <c r="DT624" s="34"/>
      <c r="DU624" s="34"/>
      <c r="DV624" s="34"/>
      <c r="DW624" s="34"/>
      <c r="DX624" s="34"/>
      <c r="DY624" s="34"/>
      <c r="DZ624" s="34"/>
      <c r="EA624" s="34"/>
      <c r="EB624" s="34"/>
      <c r="EC624" s="34"/>
      <c r="ED624" s="34"/>
      <c r="EE624" s="34"/>
    </row>
    <row r="625" spans="1:135" customFormat="1">
      <c r="A625" s="71">
        <f>'Old Data'!$I621-'Old Data'!$S621</f>
        <v>60</v>
      </c>
      <c r="B625" s="72">
        <f>VLOOKUP('Old Data'!$F621,$R$6:$T$135,2,FALSE)+VLOOKUP('Old Data'!$P621,$R$6:$T$135,3,FALSE)+$B$2</f>
        <v>204.55263724513691</v>
      </c>
      <c r="C625" s="72">
        <f>VLOOKUP('Old Data'!$P621,$R$6:$T$135,2,FALSE)+VLOOKUP('Old Data'!$F621,$R$6:$T$135,3,FALSE)+$B$2</f>
        <v>234.39921918733322</v>
      </c>
      <c r="D625" s="74">
        <f>('Old Data'!$I621-$B625)^2+('Old Data'!$S621-$C625)^2</f>
        <v>4217.6200300325127</v>
      </c>
      <c r="E625" s="75">
        <f>'Old Data'!$K621-'Old Data'!$U621</f>
        <v>-176</v>
      </c>
      <c r="F625" s="72">
        <f>VLOOKUP('Old Data'!$F621,$V$6:$X$135,2,FALSE)+VLOOKUP('Old Data'!$P621,$V$6:$X$135,3,FALSE)+$C$2</f>
        <v>172.65380226462588</v>
      </c>
      <c r="G625" s="72">
        <f>VLOOKUP('Old Data'!$P621,$V$6:$X$135,2,FALSE)+VLOOKUP('Old Data'!$F621,$V$6:$X$135,3,FALSE)+$C$2</f>
        <v>157.35931444818891</v>
      </c>
      <c r="H625" s="74">
        <f>('Old Data'!$K621-$F625)^2+('Old Data'!$U621-$G625)^2</f>
        <v>40344.036110809451</v>
      </c>
      <c r="I625" s="75">
        <f>('Old Data'!$L621+'Old Data'!$M621)-('Old Data'!$V621+'Old Data'!$W621)</f>
        <v>-38</v>
      </c>
      <c r="J625" s="72">
        <f>VLOOKUP('Old Data'!$F621,$Z$6:$AB$135,2,FALSE)+VLOOKUP('Old Data'!$P621,$Z$6:$AB$135,3,FALSE)+$D$2</f>
        <v>31.397320774372098</v>
      </c>
      <c r="K625" s="72">
        <f>VLOOKUP('Old Data'!$P621,$Z$6:$AB$135,2,FALSE)+VLOOKUP('Old Data'!$F621,$Z$6:$AB$135,3,FALSE)+$D$2</f>
        <v>55.651429580204265</v>
      </c>
      <c r="L625" s="74">
        <f>('Old Data'!$L621+'Old Data'!$M621-$J625)^2+('Old Data'!$V621+'Old Data'!$W621-$K625)^2</f>
        <v>516.38971094220051</v>
      </c>
      <c r="M625" s="75">
        <f>'Old Data'!$N621-'Old Data'!$X621</f>
        <v>2</v>
      </c>
      <c r="N625" s="72">
        <f>VLOOKUP('Old Data'!$F621,$AD$6:$AF$135,2,FALSE)+VLOOKUP('Old Data'!$P621,$AD$6:$AF$135,3,FALSE)+$E$2</f>
        <v>0.67716885350842615</v>
      </c>
      <c r="O625" s="72">
        <f>VLOOKUP('Old Data'!$P621,$AD$6:$AF$135,2,FALSE)+VLOOKUP('Old Data'!$F621,$AD$6:$AF$135,3,FALSE)+$E$2</f>
        <v>1.2433123148931051</v>
      </c>
      <c r="P625" s="73">
        <f>('Old Data'!$N621-$N625)^2+('Old Data'!$X621-$O625)^2</f>
        <v>3.2957077544930637</v>
      </c>
      <c r="Q625" s="62"/>
      <c r="R625" s="3"/>
      <c r="S625" s="3"/>
      <c r="T625" s="3"/>
      <c r="V625" s="3"/>
      <c r="W625" s="3"/>
      <c r="X625" s="3"/>
      <c r="Z625" s="3"/>
      <c r="AA625" s="3"/>
      <c r="AB625" s="3"/>
      <c r="AC625" s="3"/>
      <c r="AD625" s="3"/>
      <c r="AE625" s="3"/>
      <c r="AF625" s="3"/>
      <c r="AG625" s="3"/>
      <c r="AH625" s="37"/>
      <c r="AI625" s="1"/>
      <c r="AK625" s="10"/>
      <c r="AL625" s="10"/>
      <c r="AM625" s="10"/>
      <c r="AN625" s="11"/>
      <c r="AO625" s="11"/>
      <c r="AP625" s="11"/>
      <c r="AQ625" s="36"/>
      <c r="AR625" s="11"/>
      <c r="AS625" s="11"/>
      <c r="AT625" s="11"/>
      <c r="AU625" s="12"/>
      <c r="AV625" s="11"/>
      <c r="AW625" s="11"/>
      <c r="AX625" s="15"/>
      <c r="AY625" s="15"/>
      <c r="AZ625" s="15"/>
      <c r="BA625" s="15"/>
      <c r="BB625" s="15"/>
      <c r="BC625" s="15"/>
      <c r="BD625" s="15"/>
      <c r="BE625" s="12"/>
      <c r="BF625" s="11"/>
      <c r="BG625" s="11"/>
      <c r="BH625" s="10"/>
      <c r="BI625" s="10"/>
      <c r="BJ625" s="10"/>
      <c r="BK625" s="23"/>
      <c r="BL625" s="23"/>
      <c r="BM625" s="23"/>
      <c r="BN625" s="23"/>
      <c r="BO625" s="23"/>
      <c r="BP625" s="23"/>
      <c r="BQ625" s="23"/>
      <c r="BR625" s="10"/>
      <c r="BS625" s="16"/>
      <c r="BT625" s="16"/>
      <c r="BU625" s="16"/>
      <c r="BV625" s="16"/>
      <c r="BW625" s="11"/>
      <c r="BX625" s="16"/>
      <c r="BY625" s="16"/>
      <c r="BZ625" s="17"/>
      <c r="CA625" s="18"/>
      <c r="CB625" s="18"/>
      <c r="CC625" s="18"/>
      <c r="CD625" s="18"/>
      <c r="CE625" s="18"/>
      <c r="CF625" s="18"/>
      <c r="CG625" s="19"/>
      <c r="CH625" s="15"/>
      <c r="CI625" s="17"/>
      <c r="CJ625" s="10"/>
      <c r="CK625" s="10"/>
      <c r="CL625" s="10"/>
      <c r="CM625" s="17"/>
      <c r="CN625" s="17"/>
      <c r="CO625" s="10"/>
      <c r="CP625" s="10"/>
      <c r="CQ625" s="10"/>
      <c r="CR625" s="10"/>
      <c r="CS625" s="10"/>
      <c r="CT625" s="10"/>
      <c r="CU625" s="10"/>
      <c r="CV625" s="10"/>
      <c r="CW625" s="10"/>
      <c r="CX625" s="10"/>
      <c r="CY625" s="10"/>
      <c r="CZ625" s="10"/>
      <c r="DA625" s="34"/>
      <c r="DB625" s="34"/>
      <c r="DC625" s="34"/>
      <c r="DD625" s="34"/>
      <c r="DE625" s="34"/>
      <c r="DF625" s="34"/>
      <c r="DG625" s="34"/>
      <c r="DH625" s="34"/>
      <c r="DI625" s="34"/>
      <c r="DJ625" s="34"/>
      <c r="DK625" s="34"/>
      <c r="DL625" s="34"/>
      <c r="DM625" s="34"/>
      <c r="DN625" s="34"/>
      <c r="DO625" s="34"/>
      <c r="DP625" s="34"/>
      <c r="DQ625" s="34"/>
      <c r="DR625" s="34"/>
      <c r="DS625" s="34"/>
      <c r="DT625" s="34"/>
      <c r="DU625" s="34"/>
      <c r="DV625" s="34"/>
      <c r="DW625" s="34"/>
      <c r="DX625" s="34"/>
      <c r="DY625" s="34"/>
      <c r="DZ625" s="34"/>
      <c r="EA625" s="34"/>
      <c r="EB625" s="34"/>
      <c r="EC625" s="34"/>
      <c r="ED625" s="34"/>
      <c r="EE625" s="34"/>
    </row>
    <row r="626" spans="1:135" customFormat="1">
      <c r="A626" s="71">
        <f>'Old Data'!$I622-'Old Data'!$S622</f>
        <v>55</v>
      </c>
      <c r="B626" s="72">
        <f>VLOOKUP('Old Data'!$F622,$R$6:$T$135,2,FALSE)+VLOOKUP('Old Data'!$P622,$R$6:$T$135,3,FALSE)+$B$2</f>
        <v>155.90429928758272</v>
      </c>
      <c r="C626" s="72">
        <f>VLOOKUP('Old Data'!$P622,$R$6:$T$135,2,FALSE)+VLOOKUP('Old Data'!$F622,$R$6:$T$135,3,FALSE)+$B$2</f>
        <v>278.33295820299099</v>
      </c>
      <c r="D626" s="74">
        <f>('Old Data'!$I622-$B626)^2+('Old Data'!$S622-$C626)^2</f>
        <v>16833.841545761596</v>
      </c>
      <c r="E626" s="75">
        <f>'Old Data'!$K622-'Old Data'!$U622</f>
        <v>-237</v>
      </c>
      <c r="F626" s="72">
        <f>VLOOKUP('Old Data'!$F622,$V$6:$X$135,2,FALSE)+VLOOKUP('Old Data'!$P622,$V$6:$X$135,3,FALSE)+$C$2</f>
        <v>150.51043974491341</v>
      </c>
      <c r="G626" s="72">
        <f>VLOOKUP('Old Data'!$P622,$V$6:$X$135,2,FALSE)+VLOOKUP('Old Data'!$F622,$V$6:$X$135,3,FALSE)+$C$2</f>
        <v>202.75211717428499</v>
      </c>
      <c r="H626" s="74">
        <f>('Old Data'!$K622-$F626)^2+('Old Data'!$U622-$G626)^2</f>
        <v>19099.049704795405</v>
      </c>
      <c r="I626" s="75">
        <f>('Old Data'!$L622+'Old Data'!$M622)-('Old Data'!$V622+'Old Data'!$W622)</f>
        <v>142</v>
      </c>
      <c r="J626" s="72">
        <f>VLOOKUP('Old Data'!$F622,$Z$6:$AB$135,2,FALSE)+VLOOKUP('Old Data'!$P622,$Z$6:$AB$135,3,FALSE)+$D$2</f>
        <v>68.627254755679715</v>
      </c>
      <c r="K626" s="72">
        <f>VLOOKUP('Old Data'!$P622,$Z$6:$AB$135,2,FALSE)+VLOOKUP('Old Data'!$F622,$Z$6:$AB$135,3,FALSE)+$D$2</f>
        <v>-3.8471131089935469</v>
      </c>
      <c r="L626" s="74">
        <f>('Old Data'!$L622+'Old Data'!$M622-$J626)^2+('Old Data'!$V622+'Old Data'!$W622-$K626)^2</f>
        <v>5398.3600239613143</v>
      </c>
      <c r="M626" s="75">
        <f>'Old Data'!$N622-'Old Data'!$X622</f>
        <v>0</v>
      </c>
      <c r="N626" s="72">
        <f>VLOOKUP('Old Data'!$F622,$AD$6:$AF$135,2,FALSE)+VLOOKUP('Old Data'!$P622,$AD$6:$AF$135,3,FALSE)+$E$2</f>
        <v>0.69851493523054353</v>
      </c>
      <c r="O626" s="72">
        <f>VLOOKUP('Old Data'!$P622,$AD$6:$AF$135,2,FALSE)+VLOOKUP('Old Data'!$F622,$AD$6:$AF$135,3,FALSE)+$E$2</f>
        <v>1.7399392401336673</v>
      </c>
      <c r="P626" s="73">
        <f>('Old Data'!$N622-$N626)^2+('Old Data'!$X622-$O626)^2</f>
        <v>0.63840332336863226</v>
      </c>
      <c r="Q626" s="62"/>
      <c r="R626" s="3"/>
      <c r="S626" s="3"/>
      <c r="T626" s="3"/>
      <c r="V626" s="3"/>
      <c r="W626" s="3"/>
      <c r="X626" s="3"/>
      <c r="Z626" s="3"/>
      <c r="AA626" s="3"/>
      <c r="AB626" s="3"/>
      <c r="AC626" s="3"/>
      <c r="AD626" s="3"/>
      <c r="AE626" s="3"/>
      <c r="AF626" s="3"/>
      <c r="AG626" s="3"/>
      <c r="AH626" s="37"/>
      <c r="AI626" s="1"/>
      <c r="AK626" s="10"/>
      <c r="AL626" s="10"/>
      <c r="AM626" s="10"/>
      <c r="AN626" s="11"/>
      <c r="AO626" s="11"/>
      <c r="AP626" s="11"/>
      <c r="AQ626" s="36"/>
      <c r="AR626" s="11"/>
      <c r="AS626" s="11"/>
      <c r="AT626" s="11"/>
      <c r="AU626" s="12"/>
      <c r="AV626" s="11"/>
      <c r="AW626" s="11"/>
      <c r="AX626" s="15"/>
      <c r="AY626" s="15"/>
      <c r="AZ626" s="15"/>
      <c r="BA626" s="15"/>
      <c r="BB626" s="15"/>
      <c r="BC626" s="15"/>
      <c r="BD626" s="15"/>
      <c r="BE626" s="12"/>
      <c r="BF626" s="11"/>
      <c r="BG626" s="11"/>
      <c r="BH626" s="10"/>
      <c r="BI626" s="10"/>
      <c r="BJ626" s="10"/>
      <c r="BK626" s="23"/>
      <c r="BL626" s="23"/>
      <c r="BM626" s="23"/>
      <c r="BN626" s="23"/>
      <c r="BO626" s="23"/>
      <c r="BP626" s="23"/>
      <c r="BQ626" s="23"/>
      <c r="BR626" s="10"/>
      <c r="BS626" s="16"/>
      <c r="BT626" s="16"/>
      <c r="BU626" s="16"/>
      <c r="BV626" s="16"/>
      <c r="BW626" s="11"/>
      <c r="BX626" s="16"/>
      <c r="BY626" s="16"/>
      <c r="BZ626" s="17"/>
      <c r="CA626" s="18"/>
      <c r="CB626" s="18"/>
      <c r="CC626" s="18"/>
      <c r="CD626" s="18"/>
      <c r="CE626" s="18"/>
      <c r="CF626" s="18"/>
      <c r="CG626" s="19"/>
      <c r="CH626" s="15"/>
      <c r="CI626" s="17"/>
      <c r="CJ626" s="10"/>
      <c r="CK626" s="10"/>
      <c r="CL626" s="10"/>
      <c r="CM626" s="17"/>
      <c r="CN626" s="17"/>
      <c r="CO626" s="10"/>
      <c r="CP626" s="10"/>
      <c r="CQ626" s="10"/>
      <c r="CR626" s="10"/>
      <c r="CS626" s="10"/>
      <c r="CT626" s="10"/>
      <c r="CU626" s="10"/>
      <c r="CV626" s="10"/>
      <c r="CW626" s="10"/>
      <c r="CX626" s="10"/>
      <c r="CY626" s="10"/>
      <c r="CZ626" s="10"/>
      <c r="DA626" s="34"/>
      <c r="DB626" s="34"/>
      <c r="DC626" s="34"/>
      <c r="DD626" s="34"/>
      <c r="DE626" s="34"/>
      <c r="DF626" s="34"/>
      <c r="DG626" s="34"/>
      <c r="DH626" s="34"/>
      <c r="DI626" s="34"/>
      <c r="DJ626" s="34"/>
      <c r="DK626" s="34"/>
      <c r="DL626" s="34"/>
      <c r="DM626" s="34"/>
      <c r="DN626" s="34"/>
      <c r="DO626" s="34"/>
      <c r="DP626" s="34"/>
      <c r="DQ626" s="34"/>
      <c r="DR626" s="34"/>
      <c r="DS626" s="34"/>
      <c r="DT626" s="34"/>
      <c r="DU626" s="34"/>
      <c r="DV626" s="34"/>
      <c r="DW626" s="34"/>
      <c r="DX626" s="34"/>
      <c r="DY626" s="34"/>
      <c r="DZ626" s="34"/>
      <c r="EA626" s="34"/>
      <c r="EB626" s="34"/>
      <c r="EC626" s="34"/>
      <c r="ED626" s="34"/>
      <c r="EE626" s="34"/>
    </row>
    <row r="627" spans="1:135" customFormat="1">
      <c r="A627" s="71">
        <f>'Old Data'!$I623-'Old Data'!$S623</f>
        <v>-85</v>
      </c>
      <c r="B627" s="72">
        <f>VLOOKUP('Old Data'!$F623,$R$6:$T$135,2,FALSE)+VLOOKUP('Old Data'!$P623,$R$6:$T$135,3,FALSE)+$B$2</f>
        <v>124.25617904535611</v>
      </c>
      <c r="C627" s="72">
        <f>VLOOKUP('Old Data'!$P623,$R$6:$T$135,2,FALSE)+VLOOKUP('Old Data'!$F623,$R$6:$T$135,3,FALSE)+$B$2</f>
        <v>163.46399776798302</v>
      </c>
      <c r="D627" s="74">
        <f>('Old Data'!$I623-$B627)^2+('Old Data'!$S623-$C627)^2</f>
        <v>2363.2720660975006</v>
      </c>
      <c r="E627" s="75">
        <f>'Old Data'!$K623-'Old Data'!$U623</f>
        <v>-116</v>
      </c>
      <c r="F627" s="72">
        <f>VLOOKUP('Old Data'!$F623,$V$6:$X$135,2,FALSE)+VLOOKUP('Old Data'!$P623,$V$6:$X$135,3,FALSE)+$C$2</f>
        <v>109.77009430348301</v>
      </c>
      <c r="G627" s="72">
        <f>VLOOKUP('Old Data'!$P623,$V$6:$X$135,2,FALSE)+VLOOKUP('Old Data'!$F623,$V$6:$X$135,3,FALSE)+$C$2</f>
        <v>226.4023816656852</v>
      </c>
      <c r="H627" s="74">
        <f>('Old Data'!$K623-$F627)^2+('Old Data'!$U623-$G627)^2</f>
        <v>455.3890467092167</v>
      </c>
      <c r="I627" s="75">
        <f>('Old Data'!$L623+'Old Data'!$M623)-('Old Data'!$V623+'Old Data'!$W623)</f>
        <v>74</v>
      </c>
      <c r="J627" s="72">
        <f>VLOOKUP('Old Data'!$F623,$Z$6:$AB$135,2,FALSE)+VLOOKUP('Old Data'!$P623,$Z$6:$AB$135,3,FALSE)+$D$2</f>
        <v>60.166239656675501</v>
      </c>
      <c r="K627" s="72">
        <f>VLOOKUP('Old Data'!$P623,$Z$6:$AB$135,2,FALSE)+VLOOKUP('Old Data'!$F623,$Z$6:$AB$135,3,FALSE)+$D$2</f>
        <v>31.529043575675598</v>
      </c>
      <c r="L627" s="74">
        <f>('Old Data'!$L623+'Old Data'!$M623-$J627)^2+('Old Data'!$V623+'Old Data'!$W623-$K627)^2</f>
        <v>4415.9251907982789</v>
      </c>
      <c r="M627" s="75">
        <f>'Old Data'!$N623-'Old Data'!$X623</f>
        <v>1</v>
      </c>
      <c r="N627" s="72">
        <f>VLOOKUP('Old Data'!$F623,$AD$6:$AF$135,2,FALSE)+VLOOKUP('Old Data'!$P623,$AD$6:$AF$135,3,FALSE)+$E$2</f>
        <v>0.78260882743762006</v>
      </c>
      <c r="O627" s="72">
        <f>VLOOKUP('Old Data'!$P623,$AD$6:$AF$135,2,FALSE)+VLOOKUP('Old Data'!$F623,$AD$6:$AF$135,3,FALSE)+$E$2</f>
        <v>1.8543814099591764</v>
      </c>
      <c r="P627" s="73">
        <f>('Old Data'!$N623-$N627)^2+('Old Data'!$X623-$O627)^2</f>
        <v>3.4859893355102298</v>
      </c>
      <c r="Q627" s="62"/>
      <c r="R627" s="3"/>
      <c r="S627" s="3"/>
      <c r="T627" s="3"/>
      <c r="V627" s="3"/>
      <c r="W627" s="3"/>
      <c r="X627" s="3"/>
      <c r="Z627" s="3"/>
      <c r="AA627" s="3"/>
      <c r="AB627" s="3"/>
      <c r="AC627" s="3"/>
      <c r="AD627" s="3"/>
      <c r="AE627" s="3"/>
      <c r="AF627" s="3"/>
      <c r="AG627" s="3"/>
      <c r="AH627" s="37"/>
      <c r="AI627" s="1"/>
      <c r="AK627" s="10"/>
      <c r="AL627" s="10"/>
      <c r="AM627" s="10"/>
      <c r="AN627" s="11"/>
      <c r="AO627" s="11"/>
      <c r="AP627" s="11"/>
      <c r="AQ627" s="36"/>
      <c r="AR627" s="11"/>
      <c r="AS627" s="11"/>
      <c r="AT627" s="11"/>
      <c r="AU627" s="12"/>
      <c r="AV627" s="11"/>
      <c r="AW627" s="11"/>
      <c r="AX627" s="15"/>
      <c r="AY627" s="15"/>
      <c r="AZ627" s="15"/>
      <c r="BA627" s="15"/>
      <c r="BB627" s="15"/>
      <c r="BC627" s="15"/>
      <c r="BD627" s="15"/>
      <c r="BE627" s="12"/>
      <c r="BF627" s="11"/>
      <c r="BG627" s="11"/>
      <c r="BH627" s="10"/>
      <c r="BI627" s="10"/>
      <c r="BJ627" s="10"/>
      <c r="BK627" s="23"/>
      <c r="BL627" s="23"/>
      <c r="BM627" s="23"/>
      <c r="BN627" s="23"/>
      <c r="BO627" s="23"/>
      <c r="BP627" s="23"/>
      <c r="BQ627" s="23"/>
      <c r="BR627" s="10"/>
      <c r="BS627" s="16"/>
      <c r="BT627" s="16"/>
      <c r="BU627" s="16"/>
      <c r="BV627" s="16"/>
      <c r="BW627" s="11"/>
      <c r="BX627" s="16"/>
      <c r="BY627" s="16"/>
      <c r="BZ627" s="17"/>
      <c r="CA627" s="18"/>
      <c r="CB627" s="18"/>
      <c r="CC627" s="18"/>
      <c r="CD627" s="18"/>
      <c r="CE627" s="18"/>
      <c r="CF627" s="18"/>
      <c r="CG627" s="19"/>
      <c r="CH627" s="15"/>
      <c r="CI627" s="17"/>
      <c r="CJ627" s="10"/>
      <c r="CK627" s="10"/>
      <c r="CL627" s="10"/>
      <c r="CM627" s="17"/>
      <c r="CN627" s="17"/>
      <c r="CO627" s="10"/>
      <c r="CP627" s="10"/>
      <c r="CQ627" s="10"/>
      <c r="CR627" s="10"/>
      <c r="CS627" s="10"/>
      <c r="CT627" s="10"/>
      <c r="CU627" s="10"/>
      <c r="CV627" s="10"/>
      <c r="CW627" s="10"/>
      <c r="CX627" s="10"/>
      <c r="CY627" s="10"/>
      <c r="CZ627" s="10"/>
      <c r="DA627" s="34"/>
      <c r="DB627" s="34"/>
      <c r="DC627" s="34"/>
      <c r="DD627" s="34"/>
      <c r="DE627" s="34"/>
      <c r="DF627" s="34"/>
      <c r="DG627" s="34"/>
      <c r="DH627" s="34"/>
      <c r="DI627" s="34"/>
      <c r="DJ627" s="34"/>
      <c r="DK627" s="34"/>
      <c r="DL627" s="34"/>
      <c r="DM627" s="34"/>
      <c r="DN627" s="34"/>
      <c r="DO627" s="34"/>
      <c r="DP627" s="34"/>
      <c r="DQ627" s="34"/>
      <c r="DR627" s="34"/>
      <c r="DS627" s="34"/>
      <c r="DT627" s="34"/>
      <c r="DU627" s="34"/>
      <c r="DV627" s="34"/>
      <c r="DW627" s="34"/>
      <c r="DX627" s="34"/>
      <c r="DY627" s="34"/>
      <c r="DZ627" s="34"/>
      <c r="EA627" s="34"/>
      <c r="EB627" s="34"/>
      <c r="EC627" s="34"/>
      <c r="ED627" s="34"/>
      <c r="EE627" s="34"/>
    </row>
    <row r="628" spans="1:135" customFormat="1">
      <c r="A628" s="71">
        <f>'Old Data'!$I624-'Old Data'!$S624</f>
        <v>124</v>
      </c>
      <c r="B628" s="72">
        <f>VLOOKUP('Old Data'!$F624,$R$6:$T$135,2,FALSE)+VLOOKUP('Old Data'!$P624,$R$6:$T$135,3,FALSE)+$B$2</f>
        <v>198.20549238292841</v>
      </c>
      <c r="C628" s="72">
        <f>VLOOKUP('Old Data'!$P624,$R$6:$T$135,2,FALSE)+VLOOKUP('Old Data'!$F624,$R$6:$T$135,3,FALSE)+$B$2</f>
        <v>228.9082920693092</v>
      </c>
      <c r="D628" s="74">
        <f>('Old Data'!$I624-$B628)^2+('Old Data'!$S624-$C628)^2</f>
        <v>13076.332458108183</v>
      </c>
      <c r="E628" s="75">
        <f>'Old Data'!$K624-'Old Data'!$U624</f>
        <v>186</v>
      </c>
      <c r="F628" s="72">
        <f>VLOOKUP('Old Data'!$F624,$V$6:$X$135,2,FALSE)+VLOOKUP('Old Data'!$P624,$V$6:$X$135,3,FALSE)+$C$2</f>
        <v>319.0371876428743</v>
      </c>
      <c r="G628" s="72">
        <f>VLOOKUP('Old Data'!$P624,$V$6:$X$135,2,FALSE)+VLOOKUP('Old Data'!$F624,$V$6:$X$135,3,FALSE)+$C$2</f>
        <v>123.97094359625279</v>
      </c>
      <c r="H628" s="74">
        <f>('Old Data'!$K624-$F628)^2+('Old Data'!$U624-$G628)^2</f>
        <v>8622.6636159406244</v>
      </c>
      <c r="I628" s="75">
        <f>('Old Data'!$L624+'Old Data'!$M624)-('Old Data'!$V624+'Old Data'!$W624)</f>
        <v>13</v>
      </c>
      <c r="J628" s="72">
        <f>VLOOKUP('Old Data'!$F624,$Z$6:$AB$135,2,FALSE)+VLOOKUP('Old Data'!$P624,$Z$6:$AB$135,3,FALSE)+$D$2</f>
        <v>38.688875391989171</v>
      </c>
      <c r="K628" s="72">
        <f>VLOOKUP('Old Data'!$P624,$Z$6:$AB$135,2,FALSE)+VLOOKUP('Old Data'!$F624,$Z$6:$AB$135,3,FALSE)+$D$2</f>
        <v>78.048018924216095</v>
      </c>
      <c r="L628" s="74">
        <f>('Old Data'!$L624+'Old Data'!$M624-$J628)^2+('Old Data'!$V624+'Old Data'!$W624-$K628)^2</f>
        <v>1423.4056248525401</v>
      </c>
      <c r="M628" s="75">
        <f>'Old Data'!$N624-'Old Data'!$X624</f>
        <v>2</v>
      </c>
      <c r="N628" s="72">
        <f>VLOOKUP('Old Data'!$F624,$AD$6:$AF$135,2,FALSE)+VLOOKUP('Old Data'!$P624,$AD$6:$AF$135,3,FALSE)+$E$2</f>
        <v>1.2895212189839891</v>
      </c>
      <c r="O628" s="72">
        <f>VLOOKUP('Old Data'!$P624,$AD$6:$AF$135,2,FALSE)+VLOOKUP('Old Data'!$F624,$AD$6:$AF$135,3,FALSE)+$E$2</f>
        <v>0.9954358391065552</v>
      </c>
      <c r="P628" s="73">
        <f>('Old Data'!$N624-$N628)^2+('Old Data'!$X624-$O628)^2</f>
        <v>1.4956726080517684</v>
      </c>
      <c r="Q628" s="62"/>
      <c r="R628" s="3"/>
      <c r="S628" s="3"/>
      <c r="T628" s="3"/>
      <c r="V628" s="3"/>
      <c r="W628" s="3"/>
      <c r="X628" s="3"/>
      <c r="Z628" s="3"/>
      <c r="AA628" s="3"/>
      <c r="AB628" s="3"/>
      <c r="AC628" s="3"/>
      <c r="AD628" s="3"/>
      <c r="AE628" s="3"/>
      <c r="AF628" s="3"/>
      <c r="AG628" s="3"/>
      <c r="AH628" s="37"/>
      <c r="AI628" s="1"/>
      <c r="AK628" s="10"/>
      <c r="AL628" s="10"/>
      <c r="AM628" s="10"/>
      <c r="AN628" s="11"/>
      <c r="AO628" s="11"/>
      <c r="AP628" s="11"/>
      <c r="AQ628" s="36"/>
      <c r="AR628" s="11"/>
      <c r="AS628" s="11"/>
      <c r="AT628" s="11"/>
      <c r="AU628" s="12"/>
      <c r="AV628" s="11"/>
      <c r="AW628" s="11"/>
      <c r="AX628" s="15"/>
      <c r="AY628" s="15"/>
      <c r="AZ628" s="15"/>
      <c r="BA628" s="15"/>
      <c r="BB628" s="15"/>
      <c r="BC628" s="15"/>
      <c r="BD628" s="15"/>
      <c r="BE628" s="12"/>
      <c r="BF628" s="11"/>
      <c r="BG628" s="11"/>
      <c r="BH628" s="10"/>
      <c r="BI628" s="10"/>
      <c r="BJ628" s="10"/>
      <c r="BK628" s="23"/>
      <c r="BL628" s="23"/>
      <c r="BM628" s="23"/>
      <c r="BN628" s="23"/>
      <c r="BO628" s="23"/>
      <c r="BP628" s="23"/>
      <c r="BQ628" s="23"/>
      <c r="BR628" s="10"/>
      <c r="BS628" s="16"/>
      <c r="BT628" s="16"/>
      <c r="BU628" s="16"/>
      <c r="BV628" s="16"/>
      <c r="BW628" s="11"/>
      <c r="BX628" s="16"/>
      <c r="BY628" s="16"/>
      <c r="BZ628" s="17"/>
      <c r="CA628" s="18"/>
      <c r="CB628" s="18"/>
      <c r="CC628" s="18"/>
      <c r="CD628" s="18"/>
      <c r="CE628" s="18"/>
      <c r="CF628" s="18"/>
      <c r="CG628" s="19"/>
      <c r="CH628" s="15"/>
      <c r="CI628" s="17"/>
      <c r="CJ628" s="10"/>
      <c r="CK628" s="10"/>
      <c r="CL628" s="10"/>
      <c r="CM628" s="17"/>
      <c r="CN628" s="17"/>
      <c r="CO628" s="10"/>
      <c r="CP628" s="10"/>
      <c r="CQ628" s="10"/>
      <c r="CR628" s="10"/>
      <c r="CS628" s="10"/>
      <c r="CT628" s="10"/>
      <c r="CU628" s="10"/>
      <c r="CV628" s="10"/>
      <c r="CW628" s="10"/>
      <c r="CX628" s="10"/>
      <c r="CY628" s="10"/>
      <c r="CZ628" s="10"/>
      <c r="DA628" s="34"/>
      <c r="DB628" s="34"/>
      <c r="DC628" s="34"/>
      <c r="DD628" s="34"/>
      <c r="DE628" s="34"/>
      <c r="DF628" s="34"/>
      <c r="DG628" s="34"/>
      <c r="DH628" s="34"/>
      <c r="DI628" s="34"/>
      <c r="DJ628" s="34"/>
      <c r="DK628" s="34"/>
      <c r="DL628" s="34"/>
      <c r="DM628" s="34"/>
      <c r="DN628" s="34"/>
      <c r="DO628" s="34"/>
      <c r="DP628" s="34"/>
      <c r="DQ628" s="34"/>
      <c r="DR628" s="34"/>
      <c r="DS628" s="34"/>
      <c r="DT628" s="34"/>
      <c r="DU628" s="34"/>
      <c r="DV628" s="34"/>
      <c r="DW628" s="34"/>
      <c r="DX628" s="34"/>
      <c r="DY628" s="34"/>
      <c r="DZ628" s="34"/>
      <c r="EA628" s="34"/>
      <c r="EB628" s="34"/>
      <c r="EC628" s="34"/>
      <c r="ED628" s="34"/>
      <c r="EE628" s="34"/>
    </row>
    <row r="629" spans="1:135" customFormat="1">
      <c r="A629" s="71">
        <f>'Old Data'!$I625-'Old Data'!$S625</f>
        <v>130</v>
      </c>
      <c r="B629" s="72">
        <f>VLOOKUP('Old Data'!$F625,$R$6:$T$135,2,FALSE)+VLOOKUP('Old Data'!$P625,$R$6:$T$135,3,FALSE)+$B$2</f>
        <v>236.81016468039979</v>
      </c>
      <c r="C629" s="72">
        <f>VLOOKUP('Old Data'!$P625,$R$6:$T$135,2,FALSE)+VLOOKUP('Old Data'!$F625,$R$6:$T$135,3,FALSE)+$B$2</f>
        <v>130.4129122699016</v>
      </c>
      <c r="D629" s="74">
        <f>('Old Data'!$I625-$B629)^2+('Old Data'!$S625-$C629)^2</f>
        <v>1047.7697296114986</v>
      </c>
      <c r="E629" s="75">
        <f>'Old Data'!$K625-'Old Data'!$U625</f>
        <v>60</v>
      </c>
      <c r="F629" s="72">
        <f>VLOOKUP('Old Data'!$F625,$V$6:$X$135,2,FALSE)+VLOOKUP('Old Data'!$P625,$V$6:$X$135,3,FALSE)+$C$2</f>
        <v>294.73908294609578</v>
      </c>
      <c r="G629" s="72">
        <f>VLOOKUP('Old Data'!$P625,$V$6:$X$135,2,FALSE)+VLOOKUP('Old Data'!$F625,$V$6:$X$135,3,FALSE)+$C$2</f>
        <v>166.68796042188131</v>
      </c>
      <c r="H629" s="74">
        <f>('Old Data'!$K625-$F629)^2+('Old Data'!$U625-$G629)^2</f>
        <v>12889.99010977857</v>
      </c>
      <c r="I629" s="75">
        <f>('Old Data'!$L625+'Old Data'!$M625)-('Old Data'!$V625+'Old Data'!$W625)</f>
        <v>-39</v>
      </c>
      <c r="J629" s="72">
        <f>VLOOKUP('Old Data'!$F625,$Z$6:$AB$135,2,FALSE)+VLOOKUP('Old Data'!$P625,$Z$6:$AB$135,3,FALSE)+$D$2</f>
        <v>6.8357107894370017</v>
      </c>
      <c r="K629" s="72">
        <f>VLOOKUP('Old Data'!$P625,$Z$6:$AB$135,2,FALSE)+VLOOKUP('Old Data'!$F625,$Z$6:$AB$135,3,FALSE)+$D$2</f>
        <v>62.22752316020464</v>
      </c>
      <c r="L629" s="74">
        <f>('Old Data'!$L625+'Old Data'!$M625-$J629)^2+('Old Data'!$V625+'Old Data'!$W625-$K629)^2</f>
        <v>263.3594988596854</v>
      </c>
      <c r="M629" s="75">
        <f>'Old Data'!$N625-'Old Data'!$X625</f>
        <v>-2</v>
      </c>
      <c r="N629" s="72">
        <f>VLOOKUP('Old Data'!$F625,$AD$6:$AF$135,2,FALSE)+VLOOKUP('Old Data'!$P625,$AD$6:$AF$135,3,FALSE)+$E$2</f>
        <v>1.4813174510933951</v>
      </c>
      <c r="O629" s="72">
        <f>VLOOKUP('Old Data'!$P625,$AD$6:$AF$135,2,FALSE)+VLOOKUP('Old Data'!$F625,$AD$6:$AF$135,3,FALSE)+$E$2</f>
        <v>1.2360160124678801</v>
      </c>
      <c r="P629" s="73">
        <f>('Old Data'!$N625-$N629)^2+('Old Data'!$X625-$O629)^2</f>
        <v>3.3433059969967607</v>
      </c>
      <c r="Q629" s="62"/>
      <c r="R629" s="3"/>
      <c r="S629" s="3"/>
      <c r="T629" s="3"/>
      <c r="V629" s="3"/>
      <c r="W629" s="3"/>
      <c r="X629" s="3"/>
      <c r="Z629" s="3"/>
      <c r="AA629" s="3"/>
      <c r="AB629" s="3"/>
      <c r="AC629" s="3"/>
      <c r="AD629" s="3"/>
      <c r="AE629" s="3"/>
      <c r="AF629" s="3"/>
      <c r="AG629" s="3"/>
      <c r="AH629" s="37"/>
      <c r="AI629" s="1"/>
      <c r="AK629" s="10"/>
      <c r="AL629" s="10"/>
      <c r="AM629" s="10"/>
      <c r="AN629" s="11"/>
      <c r="AO629" s="11"/>
      <c r="AP629" s="11"/>
      <c r="AQ629" s="36"/>
      <c r="AR629" s="11"/>
      <c r="AS629" s="11"/>
      <c r="AT629" s="11"/>
      <c r="AU629" s="12"/>
      <c r="AV629" s="11"/>
      <c r="AW629" s="11"/>
      <c r="AX629" s="15"/>
      <c r="AY629" s="15"/>
      <c r="AZ629" s="15"/>
      <c r="BA629" s="15"/>
      <c r="BB629" s="15"/>
      <c r="BC629" s="15"/>
      <c r="BD629" s="15"/>
      <c r="BE629" s="12"/>
      <c r="BF629" s="11"/>
      <c r="BG629" s="11"/>
      <c r="BH629" s="10"/>
      <c r="BI629" s="10"/>
      <c r="BJ629" s="10"/>
      <c r="BK629" s="23"/>
      <c r="BL629" s="23"/>
      <c r="BM629" s="23"/>
      <c r="BN629" s="23"/>
      <c r="BO629" s="23"/>
      <c r="BP629" s="23"/>
      <c r="BQ629" s="23"/>
      <c r="BR629" s="10"/>
      <c r="BS629" s="16"/>
      <c r="BT629" s="16"/>
      <c r="BU629" s="16"/>
      <c r="BV629" s="16"/>
      <c r="BW629" s="11"/>
      <c r="BX629" s="16"/>
      <c r="BY629" s="16"/>
      <c r="BZ629" s="17"/>
      <c r="CA629" s="18"/>
      <c r="CB629" s="18"/>
      <c r="CC629" s="18"/>
      <c r="CD629" s="18"/>
      <c r="CE629" s="18"/>
      <c r="CF629" s="18"/>
      <c r="CG629" s="19"/>
      <c r="CH629" s="15"/>
      <c r="CI629" s="17"/>
      <c r="CJ629" s="10"/>
      <c r="CK629" s="10"/>
      <c r="CL629" s="10"/>
      <c r="CM629" s="17"/>
      <c r="CN629" s="17"/>
      <c r="CO629" s="10"/>
      <c r="CP629" s="10"/>
      <c r="CQ629" s="10"/>
      <c r="CR629" s="10"/>
      <c r="CS629" s="10"/>
      <c r="CT629" s="10"/>
      <c r="CU629" s="10"/>
      <c r="CV629" s="10"/>
      <c r="CW629" s="10"/>
      <c r="CX629" s="10"/>
      <c r="CY629" s="10"/>
      <c r="CZ629" s="10"/>
      <c r="DA629" s="34"/>
      <c r="DB629" s="34"/>
      <c r="DC629" s="34"/>
      <c r="DD629" s="34"/>
      <c r="DE629" s="34"/>
      <c r="DF629" s="34"/>
      <c r="DG629" s="34"/>
      <c r="DH629" s="34"/>
      <c r="DI629" s="34"/>
      <c r="DJ629" s="34"/>
      <c r="DK629" s="34"/>
      <c r="DL629" s="34"/>
      <c r="DM629" s="34"/>
      <c r="DN629" s="34"/>
      <c r="DO629" s="34"/>
      <c r="DP629" s="34"/>
      <c r="DQ629" s="34"/>
      <c r="DR629" s="34"/>
      <c r="DS629" s="34"/>
      <c r="DT629" s="34"/>
      <c r="DU629" s="34"/>
      <c r="DV629" s="34"/>
      <c r="DW629" s="34"/>
      <c r="DX629" s="34"/>
      <c r="DY629" s="34"/>
      <c r="DZ629" s="34"/>
      <c r="EA629" s="34"/>
      <c r="EB629" s="34"/>
      <c r="EC629" s="34"/>
      <c r="ED629" s="34"/>
      <c r="EE629" s="34"/>
    </row>
    <row r="630" spans="1:135" customFormat="1">
      <c r="A630" s="71">
        <f>'Old Data'!$I626-'Old Data'!$S626</f>
        <v>227</v>
      </c>
      <c r="B630" s="72">
        <f>VLOOKUP('Old Data'!$F626,$R$6:$T$135,2,FALSE)+VLOOKUP('Old Data'!$P626,$R$6:$T$135,3,FALSE)+$B$2</f>
        <v>221.14050014111621</v>
      </c>
      <c r="C630" s="72">
        <f>VLOOKUP('Old Data'!$P626,$R$6:$T$135,2,FALSE)+VLOOKUP('Old Data'!$F626,$R$6:$T$135,3,FALSE)+$B$2</f>
        <v>186.12629024839811</v>
      </c>
      <c r="D630" s="74">
        <f>('Old Data'!$I626-$B630)^2+('Old Data'!$S626-$C630)^2</f>
        <v>23205.161931942217</v>
      </c>
      <c r="E630" s="75">
        <f>'Old Data'!$K626-'Old Data'!$U626</f>
        <v>80</v>
      </c>
      <c r="F630" s="72">
        <f>VLOOKUP('Old Data'!$F626,$V$6:$X$135,2,FALSE)+VLOOKUP('Old Data'!$P626,$V$6:$X$135,3,FALSE)+$C$2</f>
        <v>225.60191809275611</v>
      </c>
      <c r="G630" s="72">
        <f>VLOOKUP('Old Data'!$P626,$V$6:$X$135,2,FALSE)+VLOOKUP('Old Data'!$F626,$V$6:$X$135,3,FALSE)+$C$2</f>
        <v>144.46500255105769</v>
      </c>
      <c r="H630" s="74">
        <f>('Old Data'!$K626-$F630)^2+('Old Data'!$U626-$G630)^2</f>
        <v>12811.355830670971</v>
      </c>
      <c r="I630" s="75">
        <f>('Old Data'!$L626+'Old Data'!$M626)-('Old Data'!$V626+'Old Data'!$W626)</f>
        <v>49</v>
      </c>
      <c r="J630" s="72">
        <f>VLOOKUP('Old Data'!$F626,$Z$6:$AB$135,2,FALSE)+VLOOKUP('Old Data'!$P626,$Z$6:$AB$135,3,FALSE)+$D$2</f>
        <v>63.812919949735395</v>
      </c>
      <c r="K630" s="72">
        <f>VLOOKUP('Old Data'!$P626,$Z$6:$AB$135,2,FALSE)+VLOOKUP('Old Data'!$F626,$Z$6:$AB$135,3,FALSE)+$D$2</f>
        <v>67.871216201755956</v>
      </c>
      <c r="L630" s="74">
        <f>('Old Data'!$L626+'Old Data'!$M626-$J630)^2+('Old Data'!$V626+'Old Data'!$W626-$K630)^2</f>
        <v>1445.298510932409</v>
      </c>
      <c r="M630" s="75">
        <f>'Old Data'!$N626-'Old Data'!$X626</f>
        <v>-2</v>
      </c>
      <c r="N630" s="72">
        <f>VLOOKUP('Old Data'!$F626,$AD$6:$AF$135,2,FALSE)+VLOOKUP('Old Data'!$P626,$AD$6:$AF$135,3,FALSE)+$E$2</f>
        <v>0.93638058012222813</v>
      </c>
      <c r="O630" s="72">
        <f>VLOOKUP('Old Data'!$P626,$AD$6:$AF$135,2,FALSE)+VLOOKUP('Old Data'!$F626,$AD$6:$AF$135,3,FALSE)+$E$2</f>
        <v>1.5946649015011711</v>
      </c>
      <c r="P630" s="73">
        <f>('Old Data'!$N626-$N630)^2+('Old Data'!$X626-$O630)^2</f>
        <v>1.9790141696582972</v>
      </c>
      <c r="Q630" s="62"/>
      <c r="R630" s="3"/>
      <c r="S630" s="3"/>
      <c r="T630" s="3"/>
      <c r="V630" s="3"/>
      <c r="W630" s="3"/>
      <c r="X630" s="3"/>
      <c r="Z630" s="3"/>
      <c r="AA630" s="3"/>
      <c r="AB630" s="3"/>
      <c r="AC630" s="3"/>
      <c r="AD630" s="3"/>
      <c r="AE630" s="3"/>
      <c r="AF630" s="3"/>
      <c r="AG630" s="3"/>
      <c r="AH630" s="37"/>
      <c r="AI630" s="1"/>
      <c r="AK630" s="10"/>
      <c r="AL630" s="10"/>
      <c r="AM630" s="10"/>
      <c r="AN630" s="11"/>
      <c r="AO630" s="11"/>
      <c r="AP630" s="11"/>
      <c r="AQ630" s="36"/>
      <c r="AR630" s="11"/>
      <c r="AS630" s="11"/>
      <c r="AT630" s="11"/>
      <c r="AU630" s="12"/>
      <c r="AV630" s="11"/>
      <c r="AW630" s="11"/>
      <c r="AX630" s="15"/>
      <c r="AY630" s="15"/>
      <c r="AZ630" s="15"/>
      <c r="BA630" s="15"/>
      <c r="BB630" s="15"/>
      <c r="BC630" s="15"/>
      <c r="BD630" s="15"/>
      <c r="BE630" s="12"/>
      <c r="BF630" s="11"/>
      <c r="BG630" s="11"/>
      <c r="BH630" s="10"/>
      <c r="BI630" s="10"/>
      <c r="BJ630" s="10"/>
      <c r="BK630" s="23"/>
      <c r="BL630" s="23"/>
      <c r="BM630" s="23"/>
      <c r="BN630" s="23"/>
      <c r="BO630" s="23"/>
      <c r="BP630" s="23"/>
      <c r="BQ630" s="23"/>
      <c r="BR630" s="10"/>
      <c r="BS630" s="16"/>
      <c r="BT630" s="16"/>
      <c r="BU630" s="16"/>
      <c r="BV630" s="16"/>
      <c r="BW630" s="11"/>
      <c r="BX630" s="16"/>
      <c r="BY630" s="16"/>
      <c r="BZ630" s="17"/>
      <c r="CA630" s="18"/>
      <c r="CB630" s="18"/>
      <c r="CC630" s="18"/>
      <c r="CD630" s="18"/>
      <c r="CE630" s="18"/>
      <c r="CF630" s="18"/>
      <c r="CG630" s="19"/>
      <c r="CH630" s="15"/>
      <c r="CI630" s="17"/>
      <c r="CJ630" s="10"/>
      <c r="CK630" s="10"/>
      <c r="CL630" s="10"/>
      <c r="CM630" s="17"/>
      <c r="CN630" s="17"/>
      <c r="CO630" s="10"/>
      <c r="CP630" s="10"/>
      <c r="CQ630" s="10"/>
      <c r="CR630" s="10"/>
      <c r="CS630" s="10"/>
      <c r="CT630" s="10"/>
      <c r="CU630" s="10"/>
      <c r="CV630" s="10"/>
      <c r="CW630" s="10"/>
      <c r="CX630" s="10"/>
      <c r="CY630" s="10"/>
      <c r="CZ630" s="10"/>
      <c r="DA630" s="34"/>
      <c r="DB630" s="34"/>
      <c r="DC630" s="34"/>
      <c r="DD630" s="34"/>
      <c r="DE630" s="34"/>
      <c r="DF630" s="34"/>
      <c r="DG630" s="34"/>
      <c r="DH630" s="34"/>
      <c r="DI630" s="34"/>
      <c r="DJ630" s="34"/>
      <c r="DK630" s="34"/>
      <c r="DL630" s="34"/>
      <c r="DM630" s="34"/>
      <c r="DN630" s="34"/>
      <c r="DO630" s="34"/>
      <c r="DP630" s="34"/>
      <c r="DQ630" s="34"/>
      <c r="DR630" s="34"/>
      <c r="DS630" s="34"/>
      <c r="DT630" s="34"/>
      <c r="DU630" s="34"/>
      <c r="DV630" s="34"/>
      <c r="DW630" s="34"/>
      <c r="DX630" s="34"/>
      <c r="DY630" s="34"/>
      <c r="DZ630" s="34"/>
      <c r="EA630" s="34"/>
      <c r="EB630" s="34"/>
      <c r="EC630" s="34"/>
      <c r="ED630" s="34"/>
      <c r="EE630" s="34"/>
    </row>
    <row r="631" spans="1:135" customFormat="1">
      <c r="A631" s="71">
        <f>'Old Data'!$I627-'Old Data'!$S627</f>
        <v>47</v>
      </c>
      <c r="B631" s="72">
        <f>VLOOKUP('Old Data'!$F627,$R$6:$T$135,2,FALSE)+VLOOKUP('Old Data'!$P627,$R$6:$T$135,3,FALSE)+$B$2</f>
        <v>165.05414180647679</v>
      </c>
      <c r="C631" s="72">
        <f>VLOOKUP('Old Data'!$P627,$R$6:$T$135,2,FALSE)+VLOOKUP('Old Data'!$F627,$R$6:$T$135,3,FALSE)+$B$2</f>
        <v>95.709912389614914</v>
      </c>
      <c r="D631" s="74">
        <f>('Old Data'!$I627-$B631)^2+('Old Data'!$S627-$C631)^2</f>
        <v>2282.5595978777383</v>
      </c>
      <c r="E631" s="75">
        <f>'Old Data'!$K627-'Old Data'!$U627</f>
        <v>43</v>
      </c>
      <c r="F631" s="72">
        <f>VLOOKUP('Old Data'!$F627,$V$6:$X$135,2,FALSE)+VLOOKUP('Old Data'!$P627,$V$6:$X$135,3,FALSE)+$C$2</f>
        <v>154.65051120398596</v>
      </c>
      <c r="G631" s="72">
        <f>VLOOKUP('Old Data'!$P627,$V$6:$X$135,2,FALSE)+VLOOKUP('Old Data'!$F627,$V$6:$X$135,3,FALSE)+$C$2</f>
        <v>270.04859117979839</v>
      </c>
      <c r="H631" s="74">
        <f>('Old Data'!$K627-$F631)^2+('Old Data'!$U627-$G631)^2</f>
        <v>14096.170873191582</v>
      </c>
      <c r="I631" s="75">
        <f>('Old Data'!$L627+'Old Data'!$M627)-('Old Data'!$V627+'Old Data'!$W627)</f>
        <v>-46</v>
      </c>
      <c r="J631" s="72">
        <f>VLOOKUP('Old Data'!$F627,$Z$6:$AB$135,2,FALSE)+VLOOKUP('Old Data'!$P627,$Z$6:$AB$135,3,FALSE)+$D$2</f>
        <v>70.261893012658902</v>
      </c>
      <c r="K631" s="72">
        <f>VLOOKUP('Old Data'!$P627,$Z$6:$AB$135,2,FALSE)+VLOOKUP('Old Data'!$F627,$Z$6:$AB$135,3,FALSE)+$D$2</f>
        <v>84.710084442531496</v>
      </c>
      <c r="L631" s="74">
        <f>('Old Data'!$L627+'Old Data'!$M627-$J631)^2+('Old Data'!$V627+'Old Data'!$W627-$K631)^2</f>
        <v>1799.6878544397812</v>
      </c>
      <c r="M631" s="75">
        <f>'Old Data'!$N627-'Old Data'!$X627</f>
        <v>0</v>
      </c>
      <c r="N631" s="72">
        <f>VLOOKUP('Old Data'!$F627,$AD$6:$AF$135,2,FALSE)+VLOOKUP('Old Data'!$P627,$AD$6:$AF$135,3,FALSE)+$E$2</f>
        <v>1.0320105925396472</v>
      </c>
      <c r="O631" s="72">
        <f>VLOOKUP('Old Data'!$P627,$AD$6:$AF$135,2,FALSE)+VLOOKUP('Old Data'!$F627,$AD$6:$AF$135,3,FALSE)+$E$2</f>
        <v>1.1620963005219211</v>
      </c>
      <c r="P631" s="73">
        <f>('Old Data'!$N627-$N631)^2+('Old Data'!$X627-$O631)^2</f>
        <v>1.6390861025544954</v>
      </c>
      <c r="Q631" s="62"/>
      <c r="R631" s="3"/>
      <c r="S631" s="3"/>
      <c r="T631" s="3"/>
      <c r="V631" s="3"/>
      <c r="W631" s="3"/>
      <c r="X631" s="3"/>
      <c r="Z631" s="3"/>
      <c r="AA631" s="3"/>
      <c r="AB631" s="3"/>
      <c r="AC631" s="3"/>
      <c r="AD631" s="3"/>
      <c r="AE631" s="3"/>
      <c r="AF631" s="3"/>
      <c r="AG631" s="3"/>
      <c r="AH631" s="37"/>
      <c r="AI631" s="1"/>
      <c r="AK631" s="10"/>
      <c r="AL631" s="10"/>
      <c r="AM631" s="10"/>
      <c r="AN631" s="11"/>
      <c r="AO631" s="11"/>
      <c r="AP631" s="11"/>
      <c r="AQ631" s="36"/>
      <c r="AR631" s="11"/>
      <c r="AS631" s="11"/>
      <c r="AT631" s="11"/>
      <c r="AU631" s="12"/>
      <c r="AV631" s="11"/>
      <c r="AW631" s="11"/>
      <c r="AX631" s="15"/>
      <c r="AY631" s="15"/>
      <c r="AZ631" s="15"/>
      <c r="BA631" s="15"/>
      <c r="BB631" s="15"/>
      <c r="BC631" s="15"/>
      <c r="BD631" s="15"/>
      <c r="BE631" s="12"/>
      <c r="BF631" s="11"/>
      <c r="BG631" s="11"/>
      <c r="BH631" s="10"/>
      <c r="BI631" s="10"/>
      <c r="BJ631" s="10"/>
      <c r="BK631" s="23"/>
      <c r="BL631" s="23"/>
      <c r="BM631" s="23"/>
      <c r="BN631" s="23"/>
      <c r="BO631" s="23"/>
      <c r="BP631" s="23"/>
      <c r="BQ631" s="23"/>
      <c r="BR631" s="10"/>
      <c r="BS631" s="16"/>
      <c r="BT631" s="16"/>
      <c r="BU631" s="16"/>
      <c r="BV631" s="16"/>
      <c r="BW631" s="11"/>
      <c r="BX631" s="16"/>
      <c r="BY631" s="16"/>
      <c r="BZ631" s="17"/>
      <c r="CA631" s="18"/>
      <c r="CB631" s="18"/>
      <c r="CC631" s="18"/>
      <c r="CD631" s="18"/>
      <c r="CE631" s="18"/>
      <c r="CF631" s="18"/>
      <c r="CG631" s="19"/>
      <c r="CH631" s="15"/>
      <c r="CI631" s="17"/>
      <c r="CJ631" s="10"/>
      <c r="CK631" s="10"/>
      <c r="CL631" s="10"/>
      <c r="CM631" s="17"/>
      <c r="CN631" s="17"/>
      <c r="CO631" s="10"/>
      <c r="CP631" s="10"/>
      <c r="CQ631" s="10"/>
      <c r="CR631" s="10"/>
      <c r="CS631" s="10"/>
      <c r="CT631" s="10"/>
      <c r="CU631" s="10"/>
      <c r="CV631" s="10"/>
      <c r="CW631" s="10"/>
      <c r="CX631" s="10"/>
      <c r="CY631" s="10"/>
      <c r="CZ631" s="10"/>
      <c r="DA631" s="34"/>
      <c r="DB631" s="34"/>
      <c r="DC631" s="34"/>
      <c r="DD631" s="34"/>
      <c r="DE631" s="34"/>
      <c r="DF631" s="34"/>
      <c r="DG631" s="34"/>
      <c r="DH631" s="34"/>
      <c r="DI631" s="34"/>
      <c r="DJ631" s="34"/>
      <c r="DK631" s="34"/>
      <c r="DL631" s="34"/>
      <c r="DM631" s="34"/>
      <c r="DN631" s="34"/>
      <c r="DO631" s="34"/>
      <c r="DP631" s="34"/>
      <c r="DQ631" s="34"/>
      <c r="DR631" s="34"/>
      <c r="DS631" s="34"/>
      <c r="DT631" s="34"/>
      <c r="DU631" s="34"/>
      <c r="DV631" s="34"/>
      <c r="DW631" s="34"/>
      <c r="DX631" s="34"/>
      <c r="DY631" s="34"/>
      <c r="DZ631" s="34"/>
      <c r="EA631" s="34"/>
      <c r="EB631" s="34"/>
      <c r="EC631" s="34"/>
      <c r="ED631" s="34"/>
      <c r="EE631" s="34"/>
    </row>
    <row r="632" spans="1:135" customFormat="1">
      <c r="A632" s="71">
        <f>'Old Data'!$I628-'Old Data'!$S628</f>
        <v>-73</v>
      </c>
      <c r="B632" s="72">
        <f>VLOOKUP('Old Data'!$F628,$R$6:$T$135,2,FALSE)+VLOOKUP('Old Data'!$P628,$R$6:$T$135,3,FALSE)+$B$2</f>
        <v>85.166521272144109</v>
      </c>
      <c r="C632" s="72">
        <f>VLOOKUP('Old Data'!$P628,$R$6:$T$135,2,FALSE)+VLOOKUP('Old Data'!$F628,$R$6:$T$135,3,FALSE)+$B$2</f>
        <v>175.3976158397667</v>
      </c>
      <c r="D632" s="74">
        <f>('Old Data'!$I628-$B632)^2+('Old Data'!$S628-$C632)^2</f>
        <v>380.96131468982094</v>
      </c>
      <c r="E632" s="75">
        <f>'Old Data'!$K628-'Old Data'!$U628</f>
        <v>-182</v>
      </c>
      <c r="F632" s="72">
        <f>VLOOKUP('Old Data'!$F628,$V$6:$X$135,2,FALSE)+VLOOKUP('Old Data'!$P628,$V$6:$X$135,3,FALSE)+$C$2</f>
        <v>120.2405780299965</v>
      </c>
      <c r="G632" s="72">
        <f>VLOOKUP('Old Data'!$P628,$V$6:$X$135,2,FALSE)+VLOOKUP('Old Data'!$F628,$V$6:$X$135,3,FALSE)+$C$2</f>
        <v>251.09661730890085</v>
      </c>
      <c r="H632" s="74">
        <f>('Old Data'!$K628-$F632)^2+('Old Data'!$U628-$G632)^2</f>
        <v>4145.6988598860753</v>
      </c>
      <c r="I632" s="75">
        <f>('Old Data'!$L628+'Old Data'!$M628)-('Old Data'!$V628+'Old Data'!$W628)</f>
        <v>99</v>
      </c>
      <c r="J632" s="72">
        <f>VLOOKUP('Old Data'!$F628,$Z$6:$AB$135,2,FALSE)+VLOOKUP('Old Data'!$P628,$Z$6:$AB$135,3,FALSE)+$D$2</f>
        <v>87.887369296831707</v>
      </c>
      <c r="K632" s="72">
        <f>VLOOKUP('Old Data'!$P628,$Z$6:$AB$135,2,FALSE)+VLOOKUP('Old Data'!$F628,$Z$6:$AB$135,3,FALSE)+$D$2</f>
        <v>36.435542554443899</v>
      </c>
      <c r="L632" s="74">
        <f>('Old Data'!$L628+'Old Data'!$M628-$J632)^2+('Old Data'!$V628+'Old Data'!$W628-$K632)^2</f>
        <v>1157.2269090587299</v>
      </c>
      <c r="M632" s="75">
        <f>'Old Data'!$N628-'Old Data'!$X628</f>
        <v>-1</v>
      </c>
      <c r="N632" s="72">
        <f>VLOOKUP('Old Data'!$F628,$AD$6:$AF$135,2,FALSE)+VLOOKUP('Old Data'!$P628,$AD$6:$AF$135,3,FALSE)+$E$2</f>
        <v>1.2137838040582212</v>
      </c>
      <c r="O632" s="72">
        <f>VLOOKUP('Old Data'!$P628,$AD$6:$AF$135,2,FALSE)+VLOOKUP('Old Data'!$F628,$AD$6:$AF$135,3,FALSE)+$E$2</f>
        <v>2.0453813316583034</v>
      </c>
      <c r="P632" s="73">
        <f>('Old Data'!$N628-$N632)^2+('Old Data'!$X628-$O632)^2</f>
        <v>4.7762980140684828E-2</v>
      </c>
      <c r="Q632" s="62"/>
      <c r="R632" s="3"/>
      <c r="S632" s="3"/>
      <c r="T632" s="3"/>
      <c r="V632" s="3"/>
      <c r="W632" s="3"/>
      <c r="X632" s="3"/>
      <c r="Z632" s="3"/>
      <c r="AA632" s="3"/>
      <c r="AB632" s="3"/>
      <c r="AC632" s="3"/>
      <c r="AD632" s="3"/>
      <c r="AE632" s="3"/>
      <c r="AF632" s="3"/>
      <c r="AG632" s="3"/>
      <c r="AH632" s="37"/>
      <c r="AI632" s="1"/>
      <c r="AK632" s="10"/>
      <c r="AL632" s="10"/>
      <c r="AM632" s="10"/>
      <c r="AN632" s="11"/>
      <c r="AO632" s="11"/>
      <c r="AP632" s="11"/>
      <c r="AQ632" s="36"/>
      <c r="AR632" s="11"/>
      <c r="AS632" s="11"/>
      <c r="AT632" s="11"/>
      <c r="AU632" s="12"/>
      <c r="AV632" s="11"/>
      <c r="AW632" s="11"/>
      <c r="AX632" s="15"/>
      <c r="AY632" s="15"/>
      <c r="AZ632" s="15"/>
      <c r="BA632" s="15"/>
      <c r="BB632" s="15"/>
      <c r="BC632" s="15"/>
      <c r="BD632" s="15"/>
      <c r="BE632" s="12"/>
      <c r="BF632" s="11"/>
      <c r="BG632" s="11"/>
      <c r="BH632" s="10"/>
      <c r="BI632" s="10"/>
      <c r="BJ632" s="10"/>
      <c r="BK632" s="23"/>
      <c r="BL632" s="23"/>
      <c r="BM632" s="23"/>
      <c r="BN632" s="23"/>
      <c r="BO632" s="23"/>
      <c r="BP632" s="23"/>
      <c r="BQ632" s="23"/>
      <c r="BR632" s="10"/>
      <c r="BS632" s="16"/>
      <c r="BT632" s="16"/>
      <c r="BU632" s="16"/>
      <c r="BV632" s="16"/>
      <c r="BW632" s="11"/>
      <c r="BX632" s="16"/>
      <c r="BY632" s="16"/>
      <c r="BZ632" s="17"/>
      <c r="CA632" s="18"/>
      <c r="CB632" s="18"/>
      <c r="CC632" s="18"/>
      <c r="CD632" s="18"/>
      <c r="CE632" s="18"/>
      <c r="CF632" s="18"/>
      <c r="CG632" s="19"/>
      <c r="CH632" s="15"/>
      <c r="CI632" s="17"/>
      <c r="CJ632" s="10"/>
      <c r="CK632" s="10"/>
      <c r="CL632" s="10"/>
      <c r="CM632" s="17"/>
      <c r="CN632" s="17"/>
      <c r="CO632" s="10"/>
      <c r="CP632" s="10"/>
      <c r="CQ632" s="10"/>
      <c r="CR632" s="10"/>
      <c r="CS632" s="10"/>
      <c r="CT632" s="10"/>
      <c r="CU632" s="10"/>
      <c r="CV632" s="10"/>
      <c r="CW632" s="10"/>
      <c r="CX632" s="10"/>
      <c r="CY632" s="10"/>
      <c r="CZ632" s="10"/>
      <c r="DA632" s="34"/>
      <c r="DB632" s="34"/>
      <c r="DC632" s="34"/>
      <c r="DD632" s="34"/>
      <c r="DE632" s="34"/>
      <c r="DF632" s="34"/>
      <c r="DG632" s="34"/>
      <c r="DH632" s="34"/>
      <c r="DI632" s="34"/>
      <c r="DJ632" s="34"/>
      <c r="DK632" s="34"/>
      <c r="DL632" s="34"/>
      <c r="DM632" s="34"/>
      <c r="DN632" s="34"/>
      <c r="DO632" s="34"/>
      <c r="DP632" s="34"/>
      <c r="DQ632" s="34"/>
      <c r="DR632" s="34"/>
      <c r="DS632" s="34"/>
      <c r="DT632" s="34"/>
      <c r="DU632" s="34"/>
      <c r="DV632" s="34"/>
      <c r="DW632" s="34"/>
      <c r="DX632" s="34"/>
      <c r="DY632" s="34"/>
      <c r="DZ632" s="34"/>
      <c r="EA632" s="34"/>
      <c r="EB632" s="34"/>
      <c r="EC632" s="34"/>
      <c r="ED632" s="34"/>
      <c r="EE632" s="34"/>
    </row>
    <row r="633" spans="1:135" customFormat="1">
      <c r="A633" s="71">
        <f>'Old Data'!$I629-'Old Data'!$S629</f>
        <v>-227</v>
      </c>
      <c r="B633" s="72">
        <f>VLOOKUP('Old Data'!$F629,$R$6:$T$135,2,FALSE)+VLOOKUP('Old Data'!$P629,$R$6:$T$135,3,FALSE)+$B$2</f>
        <v>146.86189970488118</v>
      </c>
      <c r="C633" s="72">
        <f>VLOOKUP('Old Data'!$P629,$R$6:$T$135,2,FALSE)+VLOOKUP('Old Data'!$F629,$R$6:$T$135,3,FALSE)+$B$2</f>
        <v>239.39728795421911</v>
      </c>
      <c r="D633" s="74">
        <f>('Old Data'!$I629-$B633)^2+('Old Data'!$S629-$C633)^2</f>
        <v>13340.795043453132</v>
      </c>
      <c r="E633" s="75">
        <f>'Old Data'!$K629-'Old Data'!$U629</f>
        <v>-191</v>
      </c>
      <c r="F633" s="72">
        <f>VLOOKUP('Old Data'!$F629,$V$6:$X$135,2,FALSE)+VLOOKUP('Old Data'!$P629,$V$6:$X$135,3,FALSE)+$C$2</f>
        <v>158.78924988978545</v>
      </c>
      <c r="G633" s="72">
        <f>VLOOKUP('Old Data'!$P629,$V$6:$X$135,2,FALSE)+VLOOKUP('Old Data'!$F629,$V$6:$X$135,3,FALSE)+$C$2</f>
        <v>230.08581219020951</v>
      </c>
      <c r="H633" s="74">
        <f>('Old Data'!$K629-$F633)^2+('Old Data'!$U629-$G633)^2</f>
        <v>13200.721132089502</v>
      </c>
      <c r="I633" s="75">
        <f>('Old Data'!$L629+'Old Data'!$M629)-('Old Data'!$V629+'Old Data'!$W629)</f>
        <v>-66</v>
      </c>
      <c r="J633" s="72">
        <f>VLOOKUP('Old Data'!$F629,$Z$6:$AB$135,2,FALSE)+VLOOKUP('Old Data'!$P629,$Z$6:$AB$135,3,FALSE)+$D$2</f>
        <v>50.7030859512438</v>
      </c>
      <c r="K633" s="72">
        <f>VLOOKUP('Old Data'!$P629,$Z$6:$AB$135,2,FALSE)+VLOOKUP('Old Data'!$F629,$Z$6:$AB$135,3,FALSE)+$D$2</f>
        <v>118.2422426086143</v>
      </c>
      <c r="L633" s="74">
        <f>('Old Data'!$L629+'Old Data'!$M629-$J633)^2+('Old Data'!$V629+'Old Data'!$W629-$K633)^2</f>
        <v>1858.351038242492</v>
      </c>
      <c r="M633" s="75">
        <f>'Old Data'!$N629-'Old Data'!$X629</f>
        <v>2</v>
      </c>
      <c r="N633" s="72">
        <f>VLOOKUP('Old Data'!$F629,$AD$6:$AF$135,2,FALSE)+VLOOKUP('Old Data'!$P629,$AD$6:$AF$135,3,FALSE)+$E$2</f>
        <v>1.2790129689827061</v>
      </c>
      <c r="O633" s="72">
        <f>VLOOKUP('Old Data'!$P629,$AD$6:$AF$135,2,FALSE)+VLOOKUP('Old Data'!$F629,$AD$6:$AF$135,3,FALSE)+$E$2</f>
        <v>1.5900918217107363</v>
      </c>
      <c r="P633" s="73">
        <f>('Old Data'!$N629-$N633)^2+('Old Data'!$X629-$O633)^2</f>
        <v>3.0482143003664999</v>
      </c>
      <c r="Q633" s="62"/>
      <c r="R633" s="3"/>
      <c r="S633" s="3"/>
      <c r="T633" s="3"/>
      <c r="V633" s="3"/>
      <c r="W633" s="3"/>
      <c r="X633" s="3"/>
      <c r="Z633" s="3"/>
      <c r="AA633" s="3"/>
      <c r="AB633" s="3"/>
      <c r="AC633" s="3"/>
      <c r="AD633" s="3"/>
      <c r="AE633" s="3"/>
      <c r="AF633" s="3"/>
      <c r="AG633" s="3"/>
      <c r="AH633" s="37"/>
      <c r="AI633" s="1"/>
      <c r="AK633" s="10"/>
      <c r="AL633" s="10"/>
      <c r="AM633" s="10"/>
      <c r="AN633" s="11"/>
      <c r="AO633" s="11"/>
      <c r="AP633" s="11"/>
      <c r="AQ633" s="36"/>
      <c r="AR633" s="11"/>
      <c r="AS633" s="11"/>
      <c r="AT633" s="11"/>
      <c r="AU633" s="12"/>
      <c r="AV633" s="11"/>
      <c r="AW633" s="11"/>
      <c r="AX633" s="15"/>
      <c r="AY633" s="15"/>
      <c r="AZ633" s="15"/>
      <c r="BA633" s="15"/>
      <c r="BB633" s="15"/>
      <c r="BC633" s="15"/>
      <c r="BD633" s="15"/>
      <c r="BE633" s="12"/>
      <c r="BF633" s="11"/>
      <c r="BG633" s="11"/>
      <c r="BH633" s="10"/>
      <c r="BI633" s="10"/>
      <c r="BJ633" s="10"/>
      <c r="BK633" s="23"/>
      <c r="BL633" s="23"/>
      <c r="BM633" s="23"/>
      <c r="BN633" s="23"/>
      <c r="BO633" s="23"/>
      <c r="BP633" s="23"/>
      <c r="BQ633" s="23"/>
      <c r="BR633" s="10"/>
      <c r="BS633" s="16"/>
      <c r="BT633" s="16"/>
      <c r="BU633" s="16"/>
      <c r="BV633" s="16"/>
      <c r="BW633" s="11"/>
      <c r="BX633" s="16"/>
      <c r="BY633" s="16"/>
      <c r="BZ633" s="17"/>
      <c r="CA633" s="18"/>
      <c r="CB633" s="18"/>
      <c r="CC633" s="18"/>
      <c r="CD633" s="18"/>
      <c r="CE633" s="18"/>
      <c r="CF633" s="18"/>
      <c r="CG633" s="19"/>
      <c r="CH633" s="15"/>
      <c r="CI633" s="17"/>
      <c r="CJ633" s="10"/>
      <c r="CK633" s="10"/>
      <c r="CL633" s="10"/>
      <c r="CM633" s="17"/>
      <c r="CN633" s="17"/>
      <c r="CO633" s="10"/>
      <c r="CP633" s="10"/>
      <c r="CQ633" s="10"/>
      <c r="CR633" s="10"/>
      <c r="CS633" s="10"/>
      <c r="CT633" s="10"/>
      <c r="CU633" s="10"/>
      <c r="CV633" s="10"/>
      <c r="CW633" s="10"/>
      <c r="CX633" s="10"/>
      <c r="CY633" s="10"/>
      <c r="CZ633" s="10"/>
      <c r="DA633" s="34"/>
      <c r="DB633" s="34"/>
      <c r="DC633" s="34"/>
      <c r="DD633" s="34"/>
      <c r="DE633" s="34"/>
      <c r="DF633" s="34"/>
      <c r="DG633" s="34"/>
      <c r="DH633" s="34"/>
      <c r="DI633" s="34"/>
      <c r="DJ633" s="34"/>
      <c r="DK633" s="34"/>
      <c r="DL633" s="34"/>
      <c r="DM633" s="34"/>
      <c r="DN633" s="34"/>
      <c r="DO633" s="34"/>
      <c r="DP633" s="34"/>
      <c r="DQ633" s="34"/>
      <c r="DR633" s="34"/>
      <c r="DS633" s="34"/>
      <c r="DT633" s="34"/>
      <c r="DU633" s="34"/>
      <c r="DV633" s="34"/>
      <c r="DW633" s="34"/>
      <c r="DX633" s="34"/>
      <c r="DY633" s="34"/>
      <c r="DZ633" s="34"/>
      <c r="EA633" s="34"/>
      <c r="EB633" s="34"/>
      <c r="EC633" s="34"/>
      <c r="ED633" s="34"/>
      <c r="EE633" s="34"/>
    </row>
    <row r="634" spans="1:135" customFormat="1">
      <c r="A634" s="71">
        <f>'Old Data'!$I630-'Old Data'!$S630</f>
        <v>-36</v>
      </c>
      <c r="B634" s="72">
        <f>VLOOKUP('Old Data'!$F630,$R$6:$T$135,2,FALSE)+VLOOKUP('Old Data'!$P630,$R$6:$T$135,3,FALSE)+$B$2</f>
        <v>83.370015766328493</v>
      </c>
      <c r="C634" s="72">
        <f>VLOOKUP('Old Data'!$P630,$R$6:$T$135,2,FALSE)+VLOOKUP('Old Data'!$F630,$R$6:$T$135,3,FALSE)+$B$2</f>
        <v>69.017403870595601</v>
      </c>
      <c r="D634" s="74">
        <f>('Old Data'!$I630-$B634)^2+('Old Data'!$S630-$C634)^2</f>
        <v>4436.7742383947607</v>
      </c>
      <c r="E634" s="75">
        <f>'Old Data'!$K630-'Old Data'!$U630</f>
        <v>59</v>
      </c>
      <c r="F634" s="72">
        <f>VLOOKUP('Old Data'!$F630,$V$6:$X$135,2,FALSE)+VLOOKUP('Old Data'!$P630,$V$6:$X$135,3,FALSE)+$C$2</f>
        <v>259.7809839492524</v>
      </c>
      <c r="G634" s="72">
        <f>VLOOKUP('Old Data'!$P630,$V$6:$X$135,2,FALSE)+VLOOKUP('Old Data'!$F630,$V$6:$X$135,3,FALSE)+$C$2</f>
        <v>236.42969706577992</v>
      </c>
      <c r="H634" s="74">
        <f>('Old Data'!$K630-$F634)^2+('Old Data'!$U630-$G634)^2</f>
        <v>942.67054130148006</v>
      </c>
      <c r="I634" s="75">
        <f>('Old Data'!$L630+'Old Data'!$M630)-('Old Data'!$V630+'Old Data'!$W630)</f>
        <v>7</v>
      </c>
      <c r="J634" s="72">
        <f>VLOOKUP('Old Data'!$F630,$Z$6:$AB$135,2,FALSE)+VLOOKUP('Old Data'!$P630,$Z$6:$AB$135,3,FALSE)+$D$2</f>
        <v>62.52657730304459</v>
      </c>
      <c r="K634" s="72">
        <f>VLOOKUP('Old Data'!$P630,$Z$6:$AB$135,2,FALSE)+VLOOKUP('Old Data'!$F630,$Z$6:$AB$135,3,FALSE)+$D$2</f>
        <v>60.573506369947388</v>
      </c>
      <c r="L634" s="74">
        <f>('Old Data'!$L630+'Old Data'!$M630-$J634)^2+('Old Data'!$V630+'Old Data'!$W630-$K634)^2</f>
        <v>664.34376710168522</v>
      </c>
      <c r="M634" s="75">
        <f>'Old Data'!$N630-'Old Data'!$X630</f>
        <v>-1</v>
      </c>
      <c r="N634" s="72">
        <f>VLOOKUP('Old Data'!$F630,$AD$6:$AF$135,2,FALSE)+VLOOKUP('Old Data'!$P630,$AD$6:$AF$135,3,FALSE)+$E$2</f>
        <v>0.7916976014197471</v>
      </c>
      <c r="O634" s="72">
        <f>VLOOKUP('Old Data'!$P630,$AD$6:$AF$135,2,FALSE)+VLOOKUP('Old Data'!$F630,$AD$6:$AF$135,3,FALSE)+$E$2</f>
        <v>1.8489289676198251</v>
      </c>
      <c r="P634" s="73">
        <f>('Old Data'!$N630-$N634)^2+('Old Data'!$X630-$O634)^2</f>
        <v>6.6212346078698414E-2</v>
      </c>
      <c r="Q634" s="62"/>
      <c r="R634" s="3"/>
      <c r="S634" s="3"/>
      <c r="T634" s="3"/>
      <c r="V634" s="3"/>
      <c r="W634" s="3"/>
      <c r="X634" s="3"/>
      <c r="Z634" s="3"/>
      <c r="AA634" s="3"/>
      <c r="AB634" s="3"/>
      <c r="AC634" s="3"/>
      <c r="AD634" s="3"/>
      <c r="AE634" s="3"/>
      <c r="AF634" s="3"/>
      <c r="AG634" s="3"/>
      <c r="AH634" s="37"/>
      <c r="AI634" s="1"/>
      <c r="AK634" s="10"/>
      <c r="AL634" s="10"/>
      <c r="AM634" s="10"/>
      <c r="AN634" s="11"/>
      <c r="AO634" s="11"/>
      <c r="AP634" s="11"/>
      <c r="AQ634" s="36"/>
      <c r="AR634" s="11"/>
      <c r="AS634" s="11"/>
      <c r="AT634" s="11"/>
      <c r="AU634" s="12"/>
      <c r="AV634" s="11"/>
      <c r="AW634" s="11"/>
      <c r="AX634" s="15"/>
      <c r="AY634" s="15"/>
      <c r="AZ634" s="15"/>
      <c r="BA634" s="15"/>
      <c r="BB634" s="15"/>
      <c r="BC634" s="15"/>
      <c r="BD634" s="15"/>
      <c r="BE634" s="12"/>
      <c r="BF634" s="11"/>
      <c r="BG634" s="11"/>
      <c r="BH634" s="10"/>
      <c r="BI634" s="10"/>
      <c r="BJ634" s="10"/>
      <c r="BK634" s="23"/>
      <c r="BL634" s="23"/>
      <c r="BM634" s="23"/>
      <c r="BN634" s="23"/>
      <c r="BO634" s="23"/>
      <c r="BP634" s="23"/>
      <c r="BQ634" s="23"/>
      <c r="BR634" s="10"/>
      <c r="BS634" s="16"/>
      <c r="BT634" s="16"/>
      <c r="BU634" s="16"/>
      <c r="BV634" s="16"/>
      <c r="BW634" s="11"/>
      <c r="BX634" s="16"/>
      <c r="BY634" s="16"/>
      <c r="BZ634" s="17"/>
      <c r="CA634" s="18"/>
      <c r="CB634" s="18"/>
      <c r="CC634" s="18"/>
      <c r="CD634" s="18"/>
      <c r="CE634" s="18"/>
      <c r="CF634" s="18"/>
      <c r="CG634" s="19"/>
      <c r="CH634" s="15"/>
      <c r="CI634" s="17"/>
      <c r="CJ634" s="10"/>
      <c r="CK634" s="10"/>
      <c r="CL634" s="10"/>
      <c r="CM634" s="17"/>
      <c r="CN634" s="17"/>
      <c r="CO634" s="10"/>
      <c r="CP634" s="10"/>
      <c r="CQ634" s="10"/>
      <c r="CR634" s="10"/>
      <c r="CS634" s="10"/>
      <c r="CT634" s="10"/>
      <c r="CU634" s="10"/>
      <c r="CV634" s="10"/>
      <c r="CW634" s="10"/>
      <c r="CX634" s="10"/>
      <c r="CY634" s="10"/>
      <c r="CZ634" s="10"/>
      <c r="DA634" s="34"/>
      <c r="DB634" s="34"/>
      <c r="DC634" s="34"/>
      <c r="DD634" s="34"/>
      <c r="DE634" s="34"/>
      <c r="DF634" s="34"/>
      <c r="DG634" s="34"/>
      <c r="DH634" s="34"/>
      <c r="DI634" s="34"/>
      <c r="DJ634" s="34"/>
      <c r="DK634" s="34"/>
      <c r="DL634" s="34"/>
      <c r="DM634" s="34"/>
      <c r="DN634" s="34"/>
      <c r="DO634" s="34"/>
      <c r="DP634" s="34"/>
      <c r="DQ634" s="34"/>
      <c r="DR634" s="34"/>
      <c r="DS634" s="34"/>
      <c r="DT634" s="34"/>
      <c r="DU634" s="34"/>
      <c r="DV634" s="34"/>
      <c r="DW634" s="34"/>
      <c r="DX634" s="34"/>
      <c r="DY634" s="34"/>
      <c r="DZ634" s="34"/>
      <c r="EA634" s="34"/>
      <c r="EB634" s="34"/>
      <c r="EC634" s="34"/>
      <c r="ED634" s="34"/>
      <c r="EE634" s="34"/>
    </row>
    <row r="635" spans="1:135" customFormat="1">
      <c r="A635" s="71">
        <f>'Old Data'!$I631-'Old Data'!$S631</f>
        <v>-78</v>
      </c>
      <c r="B635" s="72">
        <f>VLOOKUP('Old Data'!$F631,$R$6:$T$135,2,FALSE)+VLOOKUP('Old Data'!$P631,$R$6:$T$135,3,FALSE)+$B$2</f>
        <v>78.489371200042513</v>
      </c>
      <c r="C635" s="72">
        <f>VLOOKUP('Old Data'!$P631,$R$6:$T$135,2,FALSE)+VLOOKUP('Old Data'!$F631,$R$6:$T$135,3,FALSE)+$B$2</f>
        <v>127.4861180793304</v>
      </c>
      <c r="D635" s="74">
        <f>('Old Data'!$I631-$B635)^2+('Old Data'!$S631-$C635)^2</f>
        <v>438.44758185599886</v>
      </c>
      <c r="E635" s="75">
        <f>'Old Data'!$K631-'Old Data'!$U631</f>
        <v>-2</v>
      </c>
      <c r="F635" s="72">
        <f>VLOOKUP('Old Data'!$F631,$V$6:$X$135,2,FALSE)+VLOOKUP('Old Data'!$P631,$V$6:$X$135,3,FALSE)+$C$2</f>
        <v>268.3737435756675</v>
      </c>
      <c r="G635" s="72">
        <f>VLOOKUP('Old Data'!$P631,$V$6:$X$135,2,FALSE)+VLOOKUP('Old Data'!$F631,$V$6:$X$135,3,FALSE)+$C$2</f>
        <v>210.19546359393959</v>
      </c>
      <c r="H635" s="74">
        <f>('Old Data'!$K631-$F635)^2+('Old Data'!$U631-$G635)^2</f>
        <v>5809.6460439159446</v>
      </c>
      <c r="I635" s="75">
        <f>('Old Data'!$L631+'Old Data'!$M631)-('Old Data'!$V631+'Old Data'!$W631)</f>
        <v>-2</v>
      </c>
      <c r="J635" s="72">
        <f>VLOOKUP('Old Data'!$F631,$Z$6:$AB$135,2,FALSE)+VLOOKUP('Old Data'!$P631,$Z$6:$AB$135,3,FALSE)+$D$2</f>
        <v>66.33614051001237</v>
      </c>
      <c r="K635" s="72">
        <f>VLOOKUP('Old Data'!$P631,$Z$6:$AB$135,2,FALSE)+VLOOKUP('Old Data'!$F631,$Z$6:$AB$135,3,FALSE)+$D$2</f>
        <v>33.369811361095572</v>
      </c>
      <c r="L635" s="74">
        <f>('Old Data'!$L631+'Old Data'!$M631-$J635)^2+('Old Data'!$V631+'Old Data'!$W631-$K635)^2</f>
        <v>664.30580051516733</v>
      </c>
      <c r="M635" s="75">
        <f>'Old Data'!$N631-'Old Data'!$X631</f>
        <v>-2</v>
      </c>
      <c r="N635" s="72">
        <f>VLOOKUP('Old Data'!$F631,$AD$6:$AF$135,2,FALSE)+VLOOKUP('Old Data'!$P631,$AD$6:$AF$135,3,FALSE)+$E$2</f>
        <v>0.29060296023654608</v>
      </c>
      <c r="O635" s="72">
        <f>VLOOKUP('Old Data'!$P631,$AD$6:$AF$135,2,FALSE)+VLOOKUP('Old Data'!$F631,$AD$6:$AF$135,3,FALSE)+$E$2</f>
        <v>0.88383683069093311</v>
      </c>
      <c r="P635" s="73">
        <f>('Old Data'!$N631-$N635)^2+('Old Data'!$X631-$O635)^2</f>
        <v>1.3302703010203045</v>
      </c>
      <c r="Q635" s="62"/>
      <c r="R635" s="3"/>
      <c r="S635" s="3"/>
      <c r="T635" s="3"/>
      <c r="V635" s="3"/>
      <c r="W635" s="3"/>
      <c r="X635" s="3"/>
      <c r="Z635" s="3"/>
      <c r="AA635" s="3"/>
      <c r="AB635" s="3"/>
      <c r="AC635" s="3"/>
      <c r="AD635" s="3"/>
      <c r="AE635" s="3"/>
      <c r="AF635" s="3"/>
      <c r="AG635" s="3"/>
      <c r="AH635" s="37"/>
      <c r="AI635" s="1"/>
      <c r="AK635" s="10"/>
      <c r="AL635" s="10"/>
      <c r="AM635" s="10"/>
      <c r="AN635" s="11"/>
      <c r="AO635" s="11"/>
      <c r="AP635" s="11"/>
      <c r="AQ635" s="36"/>
      <c r="AR635" s="11"/>
      <c r="AS635" s="11"/>
      <c r="AT635" s="11"/>
      <c r="AU635" s="12"/>
      <c r="AV635" s="11"/>
      <c r="AW635" s="11"/>
      <c r="AX635" s="15"/>
      <c r="AY635" s="15"/>
      <c r="AZ635" s="15"/>
      <c r="BA635" s="15"/>
      <c r="BB635" s="15"/>
      <c r="BC635" s="15"/>
      <c r="BD635" s="15"/>
      <c r="BE635" s="12"/>
      <c r="BF635" s="11"/>
      <c r="BG635" s="11"/>
      <c r="BH635" s="10"/>
      <c r="BI635" s="10"/>
      <c r="BJ635" s="10"/>
      <c r="BK635" s="23"/>
      <c r="BL635" s="23"/>
      <c r="BM635" s="23"/>
      <c r="BN635" s="23"/>
      <c r="BO635" s="23"/>
      <c r="BP635" s="23"/>
      <c r="BQ635" s="23"/>
      <c r="BR635" s="10"/>
      <c r="BS635" s="16"/>
      <c r="BT635" s="16"/>
      <c r="BU635" s="16"/>
      <c r="BV635" s="16"/>
      <c r="BW635" s="11"/>
      <c r="BX635" s="16"/>
      <c r="BY635" s="16"/>
      <c r="BZ635" s="17"/>
      <c r="CA635" s="18"/>
      <c r="CB635" s="18"/>
      <c r="CC635" s="18"/>
      <c r="CD635" s="18"/>
      <c r="CE635" s="18"/>
      <c r="CF635" s="18"/>
      <c r="CG635" s="19"/>
      <c r="CH635" s="15"/>
      <c r="CI635" s="17"/>
      <c r="CJ635" s="10"/>
      <c r="CK635" s="10"/>
      <c r="CL635" s="10"/>
      <c r="CM635" s="17"/>
      <c r="CN635" s="17"/>
      <c r="CO635" s="10"/>
      <c r="CP635" s="10"/>
      <c r="CQ635" s="10"/>
      <c r="CR635" s="10"/>
      <c r="CS635" s="10"/>
      <c r="CT635" s="10"/>
      <c r="CU635" s="10"/>
      <c r="CV635" s="10"/>
      <c r="CW635" s="10"/>
      <c r="CX635" s="10"/>
      <c r="CY635" s="10"/>
      <c r="CZ635" s="10"/>
      <c r="DA635" s="34"/>
      <c r="DB635" s="34"/>
      <c r="DC635" s="34"/>
      <c r="DD635" s="34"/>
      <c r="DE635" s="34"/>
      <c r="DF635" s="34"/>
      <c r="DG635" s="34"/>
      <c r="DH635" s="34"/>
      <c r="DI635" s="34"/>
      <c r="DJ635" s="34"/>
      <c r="DK635" s="34"/>
      <c r="DL635" s="34"/>
      <c r="DM635" s="34"/>
      <c r="DN635" s="34"/>
      <c r="DO635" s="34"/>
      <c r="DP635" s="34"/>
      <c r="DQ635" s="34"/>
      <c r="DR635" s="34"/>
      <c r="DS635" s="34"/>
      <c r="DT635" s="34"/>
      <c r="DU635" s="34"/>
      <c r="DV635" s="34"/>
      <c r="DW635" s="34"/>
      <c r="DX635" s="34"/>
      <c r="DY635" s="34"/>
      <c r="DZ635" s="34"/>
      <c r="EA635" s="34"/>
      <c r="EB635" s="34"/>
      <c r="EC635" s="34"/>
      <c r="ED635" s="34"/>
      <c r="EE635" s="34"/>
    </row>
    <row r="636" spans="1:135" customFormat="1">
      <c r="A636" s="71">
        <f>'Old Data'!$I632-'Old Data'!$S632</f>
        <v>56</v>
      </c>
      <c r="B636" s="72">
        <f>VLOOKUP('Old Data'!$F632,$R$6:$T$135,2,FALSE)+VLOOKUP('Old Data'!$P632,$R$6:$T$135,3,FALSE)+$B$2</f>
        <v>257.7193312073984</v>
      </c>
      <c r="C636" s="72">
        <f>VLOOKUP('Old Data'!$P632,$R$6:$T$135,2,FALSE)+VLOOKUP('Old Data'!$F632,$R$6:$T$135,3,FALSE)+$B$2</f>
        <v>188.91497918558019</v>
      </c>
      <c r="D636" s="74">
        <f>('Old Data'!$I632-$B636)^2+('Old Data'!$S632-$C636)^2</f>
        <v>1920.2355137653558</v>
      </c>
      <c r="E636" s="75">
        <f>'Old Data'!$K632-'Old Data'!$U632</f>
        <v>-138</v>
      </c>
      <c r="F636" s="72">
        <f>VLOOKUP('Old Data'!$F632,$V$6:$X$135,2,FALSE)+VLOOKUP('Old Data'!$P632,$V$6:$X$135,3,FALSE)+$C$2</f>
        <v>192.67531029280551</v>
      </c>
      <c r="G636" s="72">
        <f>VLOOKUP('Old Data'!$P632,$V$6:$X$135,2,FALSE)+VLOOKUP('Old Data'!$F632,$V$6:$X$135,3,FALSE)+$C$2</f>
        <v>304.96327398619673</v>
      </c>
      <c r="H636" s="74">
        <f>('Old Data'!$K632-$F636)^2+('Old Data'!$U632-$G636)^2</f>
        <v>333.34254761987177</v>
      </c>
      <c r="I636" s="75">
        <f>('Old Data'!$L632+'Old Data'!$M632)-('Old Data'!$V632+'Old Data'!$W632)</f>
        <v>94</v>
      </c>
      <c r="J636" s="72">
        <f>VLOOKUP('Old Data'!$F632,$Z$6:$AB$135,2,FALSE)+VLOOKUP('Old Data'!$P632,$Z$6:$AB$135,3,FALSE)+$D$2</f>
        <v>93.669511095913364</v>
      </c>
      <c r="K636" s="72">
        <f>VLOOKUP('Old Data'!$P632,$Z$6:$AB$135,2,FALSE)+VLOOKUP('Old Data'!$F632,$Z$6:$AB$135,3,FALSE)+$D$2</f>
        <v>34.087532699546088</v>
      </c>
      <c r="L636" s="74">
        <f>('Old Data'!$L632+'Old Data'!$M632-$J636)^2+('Old Data'!$V632+'Old Data'!$W632-$K636)^2</f>
        <v>1323.5619551852676</v>
      </c>
      <c r="M636" s="75">
        <f>'Old Data'!$N632-'Old Data'!$X632</f>
        <v>0</v>
      </c>
      <c r="N636" s="72">
        <f>VLOOKUP('Old Data'!$F632,$AD$6:$AF$135,2,FALSE)+VLOOKUP('Old Data'!$P632,$AD$6:$AF$135,3,FALSE)+$E$2</f>
        <v>1.1047498877192561</v>
      </c>
      <c r="O636" s="72">
        <f>VLOOKUP('Old Data'!$P632,$AD$6:$AF$135,2,FALSE)+VLOOKUP('Old Data'!$F632,$AD$6:$AF$135,3,FALSE)+$E$2</f>
        <v>1.4672335021123053</v>
      </c>
      <c r="P636" s="73">
        <f>('Old Data'!$N632-$N636)^2+('Old Data'!$X632-$O636)^2</f>
        <v>3.3732464641364492</v>
      </c>
      <c r="Q636" s="62"/>
      <c r="R636" s="3"/>
      <c r="S636" s="3"/>
      <c r="T636" s="3"/>
      <c r="V636" s="3"/>
      <c r="W636" s="3"/>
      <c r="X636" s="3"/>
      <c r="Z636" s="3"/>
      <c r="AA636" s="3"/>
      <c r="AB636" s="3"/>
      <c r="AC636" s="3"/>
      <c r="AD636" s="3"/>
      <c r="AE636" s="3"/>
      <c r="AF636" s="3"/>
      <c r="AG636" s="3"/>
      <c r="AH636" s="37"/>
      <c r="AI636" s="1"/>
      <c r="AK636" s="10"/>
      <c r="AL636" s="10"/>
      <c r="AM636" s="10"/>
      <c r="AN636" s="11"/>
      <c r="AO636" s="11"/>
      <c r="AP636" s="11"/>
      <c r="AQ636" s="36"/>
      <c r="AR636" s="11"/>
      <c r="AS636" s="11"/>
      <c r="AT636" s="11"/>
      <c r="AU636" s="12"/>
      <c r="AV636" s="11"/>
      <c r="AW636" s="11"/>
      <c r="AX636" s="15"/>
      <c r="AY636" s="15"/>
      <c r="AZ636" s="15"/>
      <c r="BA636" s="15"/>
      <c r="BB636" s="15"/>
      <c r="BC636" s="15"/>
      <c r="BD636" s="15"/>
      <c r="BE636" s="12"/>
      <c r="BF636" s="11"/>
      <c r="BG636" s="11"/>
      <c r="BH636" s="10"/>
      <c r="BI636" s="10"/>
      <c r="BJ636" s="10"/>
      <c r="BK636" s="23"/>
      <c r="BL636" s="23"/>
      <c r="BM636" s="23"/>
      <c r="BN636" s="23"/>
      <c r="BO636" s="23"/>
      <c r="BP636" s="23"/>
      <c r="BQ636" s="23"/>
      <c r="BR636" s="10"/>
      <c r="BS636" s="16"/>
      <c r="BT636" s="16"/>
      <c r="BU636" s="16"/>
      <c r="BV636" s="16"/>
      <c r="BW636" s="11"/>
      <c r="BX636" s="16"/>
      <c r="BY636" s="16"/>
      <c r="BZ636" s="17"/>
      <c r="CA636" s="18"/>
      <c r="CB636" s="18"/>
      <c r="CC636" s="18"/>
      <c r="CD636" s="18"/>
      <c r="CE636" s="18"/>
      <c r="CF636" s="18"/>
      <c r="CG636" s="19"/>
      <c r="CH636" s="15"/>
      <c r="CI636" s="17"/>
      <c r="CJ636" s="10"/>
      <c r="CK636" s="10"/>
      <c r="CL636" s="10"/>
      <c r="CM636" s="17"/>
      <c r="CN636" s="17"/>
      <c r="CO636" s="10"/>
      <c r="CP636" s="10"/>
      <c r="CQ636" s="10"/>
      <c r="CR636" s="10"/>
      <c r="CS636" s="10"/>
      <c r="CT636" s="10"/>
      <c r="CU636" s="10"/>
      <c r="CV636" s="10"/>
      <c r="CW636" s="10"/>
      <c r="CX636" s="10"/>
      <c r="CY636" s="10"/>
      <c r="CZ636" s="10"/>
      <c r="DA636" s="34"/>
      <c r="DB636" s="34"/>
      <c r="DC636" s="34"/>
      <c r="DD636" s="34"/>
      <c r="DE636" s="34"/>
      <c r="DF636" s="34"/>
      <c r="DG636" s="34"/>
      <c r="DH636" s="34"/>
      <c r="DI636" s="34"/>
      <c r="DJ636" s="34"/>
      <c r="DK636" s="34"/>
      <c r="DL636" s="34"/>
      <c r="DM636" s="34"/>
      <c r="DN636" s="34"/>
      <c r="DO636" s="34"/>
      <c r="DP636" s="34"/>
      <c r="DQ636" s="34"/>
      <c r="DR636" s="34"/>
      <c r="DS636" s="34"/>
      <c r="DT636" s="34"/>
      <c r="DU636" s="34"/>
      <c r="DV636" s="34"/>
      <c r="DW636" s="34"/>
      <c r="DX636" s="34"/>
      <c r="DY636" s="34"/>
      <c r="DZ636" s="34"/>
      <c r="EA636" s="34"/>
      <c r="EB636" s="34"/>
      <c r="EC636" s="34"/>
      <c r="ED636" s="34"/>
      <c r="EE636" s="34"/>
    </row>
    <row r="637" spans="1:135" customFormat="1">
      <c r="A637" s="71">
        <f>'Old Data'!$I633-'Old Data'!$S633</f>
        <v>-131</v>
      </c>
      <c r="B637" s="72">
        <f>VLOOKUP('Old Data'!$F633,$R$6:$T$135,2,FALSE)+VLOOKUP('Old Data'!$P633,$R$6:$T$135,3,FALSE)+$B$2</f>
        <v>161.65266094909043</v>
      </c>
      <c r="C637" s="72">
        <f>VLOOKUP('Old Data'!$P633,$R$6:$T$135,2,FALSE)+VLOOKUP('Old Data'!$F633,$R$6:$T$135,3,FALSE)+$B$2</f>
        <v>176.0946498265067</v>
      </c>
      <c r="D637" s="74">
        <f>('Old Data'!$I633-$B637)^2+('Old Data'!$S633-$C637)^2</f>
        <v>27753.615613345653</v>
      </c>
      <c r="E637" s="75">
        <f>'Old Data'!$K633-'Old Data'!$U633</f>
        <v>281</v>
      </c>
      <c r="F637" s="72">
        <f>VLOOKUP('Old Data'!$F633,$V$6:$X$135,2,FALSE)+VLOOKUP('Old Data'!$P633,$V$6:$X$135,3,FALSE)+$C$2</f>
        <v>304.10886324090097</v>
      </c>
      <c r="G637" s="72">
        <f>VLOOKUP('Old Data'!$P633,$V$6:$X$135,2,FALSE)+VLOOKUP('Old Data'!$F633,$V$6:$X$135,3,FALSE)+$C$2</f>
        <v>188.0278695959216</v>
      </c>
      <c r="H637" s="74">
        <f>('Old Data'!$K633-$F637)^2+('Old Data'!$U633-$G637)^2</f>
        <v>13661.152737703047</v>
      </c>
      <c r="I637" s="75">
        <f>('Old Data'!$L633+'Old Data'!$M633)-('Old Data'!$V633+'Old Data'!$W633)</f>
        <v>-115</v>
      </c>
      <c r="J637" s="72">
        <f>VLOOKUP('Old Data'!$F633,$Z$6:$AB$135,2,FALSE)+VLOOKUP('Old Data'!$P633,$Z$6:$AB$135,3,FALSE)+$D$2</f>
        <v>28.392674725954098</v>
      </c>
      <c r="K637" s="72">
        <f>VLOOKUP('Old Data'!$P633,$Z$6:$AB$135,2,FALSE)+VLOOKUP('Old Data'!$F633,$Z$6:$AB$135,3,FALSE)+$D$2</f>
        <v>100.65701918646465</v>
      </c>
      <c r="L637" s="74">
        <f>('Old Data'!$L633+'Old Data'!$M633-$J637)^2+('Old Data'!$V633+'Old Data'!$W633-$K637)^2</f>
        <v>2710.1877271922885</v>
      </c>
      <c r="M637" s="75">
        <f>'Old Data'!$N633-'Old Data'!$X633</f>
        <v>-3</v>
      </c>
      <c r="N637" s="72">
        <f>VLOOKUP('Old Data'!$F633,$AD$6:$AF$135,2,FALSE)+VLOOKUP('Old Data'!$P633,$AD$6:$AF$135,3,FALSE)+$E$2</f>
        <v>1.8440447924807022</v>
      </c>
      <c r="O637" s="72">
        <f>VLOOKUP('Old Data'!$P633,$AD$6:$AF$135,2,FALSE)+VLOOKUP('Old Data'!$F633,$AD$6:$AF$135,3,FALSE)+$E$2</f>
        <v>1.215054029781625</v>
      </c>
      <c r="P637" s="73">
        <f>('Old Data'!$N633-$N637)^2+('Old Data'!$X633-$O637)^2</f>
        <v>8.4683356687493578</v>
      </c>
      <c r="Q637" s="62"/>
      <c r="R637" s="3"/>
      <c r="S637" s="3"/>
      <c r="T637" s="3"/>
      <c r="V637" s="3"/>
      <c r="W637" s="3"/>
      <c r="X637" s="3"/>
      <c r="Z637" s="3"/>
      <c r="AA637" s="3"/>
      <c r="AB637" s="3"/>
      <c r="AC637" s="3"/>
      <c r="AD637" s="3"/>
      <c r="AE637" s="3"/>
      <c r="AF637" s="3"/>
      <c r="AG637" s="3"/>
      <c r="AH637" s="37"/>
      <c r="AI637" s="1"/>
      <c r="AK637" s="10"/>
      <c r="AL637" s="10"/>
      <c r="AM637" s="10"/>
      <c r="AN637" s="11"/>
      <c r="AO637" s="11"/>
      <c r="AP637" s="11"/>
      <c r="AQ637" s="36"/>
      <c r="AR637" s="11"/>
      <c r="AS637" s="11"/>
      <c r="AT637" s="11"/>
      <c r="AU637" s="12"/>
      <c r="AV637" s="11"/>
      <c r="AW637" s="11"/>
      <c r="AX637" s="15"/>
      <c r="AY637" s="15"/>
      <c r="AZ637" s="15"/>
      <c r="BA637" s="15"/>
      <c r="BB637" s="15"/>
      <c r="BC637" s="15"/>
      <c r="BD637" s="15"/>
      <c r="BE637" s="12"/>
      <c r="BF637" s="11"/>
      <c r="BG637" s="11"/>
      <c r="BH637" s="10"/>
      <c r="BI637" s="10"/>
      <c r="BJ637" s="10"/>
      <c r="BK637" s="23"/>
      <c r="BL637" s="23"/>
      <c r="BM637" s="23"/>
      <c r="BN637" s="23"/>
      <c r="BO637" s="23"/>
      <c r="BP637" s="23"/>
      <c r="BQ637" s="23"/>
      <c r="BR637" s="10"/>
      <c r="BS637" s="16"/>
      <c r="BT637" s="16"/>
      <c r="BU637" s="16"/>
      <c r="BV637" s="16"/>
      <c r="BW637" s="11"/>
      <c r="BX637" s="16"/>
      <c r="BY637" s="16"/>
      <c r="BZ637" s="17"/>
      <c r="CA637" s="18"/>
      <c r="CB637" s="18"/>
      <c r="CC637" s="18"/>
      <c r="CD637" s="18"/>
      <c r="CE637" s="18"/>
      <c r="CF637" s="18"/>
      <c r="CG637" s="19"/>
      <c r="CH637" s="15"/>
      <c r="CI637" s="17"/>
      <c r="CJ637" s="10"/>
      <c r="CK637" s="10"/>
      <c r="CL637" s="10"/>
      <c r="CM637" s="17"/>
      <c r="CN637" s="17"/>
      <c r="CO637" s="10"/>
      <c r="CP637" s="10"/>
      <c r="CQ637" s="10"/>
      <c r="CR637" s="10"/>
      <c r="CS637" s="10"/>
      <c r="CT637" s="10"/>
      <c r="CU637" s="10"/>
      <c r="CV637" s="10"/>
      <c r="CW637" s="10"/>
      <c r="CX637" s="10"/>
      <c r="CY637" s="10"/>
      <c r="CZ637" s="10"/>
      <c r="DA637" s="34"/>
      <c r="DB637" s="34"/>
      <c r="DC637" s="34"/>
      <c r="DD637" s="34"/>
      <c r="DE637" s="34"/>
      <c r="DF637" s="34"/>
      <c r="DG637" s="34"/>
      <c r="DH637" s="34"/>
      <c r="DI637" s="34"/>
      <c r="DJ637" s="34"/>
      <c r="DK637" s="34"/>
      <c r="DL637" s="34"/>
      <c r="DM637" s="34"/>
      <c r="DN637" s="34"/>
      <c r="DO637" s="34"/>
      <c r="DP637" s="34"/>
      <c r="DQ637" s="34"/>
      <c r="DR637" s="34"/>
      <c r="DS637" s="34"/>
      <c r="DT637" s="34"/>
      <c r="DU637" s="34"/>
      <c r="DV637" s="34"/>
      <c r="DW637" s="34"/>
      <c r="DX637" s="34"/>
      <c r="DY637" s="34"/>
      <c r="DZ637" s="34"/>
      <c r="EA637" s="34"/>
      <c r="EB637" s="34"/>
      <c r="EC637" s="34"/>
      <c r="ED637" s="34"/>
      <c r="EE637" s="34"/>
    </row>
    <row r="638" spans="1:135" customFormat="1">
      <c r="A638" s="71">
        <f>'Old Data'!$I634-'Old Data'!$S634</f>
        <v>18</v>
      </c>
      <c r="B638" s="72">
        <f>VLOOKUP('Old Data'!$F634,$R$6:$T$135,2,FALSE)+VLOOKUP('Old Data'!$P634,$R$6:$T$135,3,FALSE)+$B$2</f>
        <v>108.44516863440431</v>
      </c>
      <c r="C638" s="72">
        <f>VLOOKUP('Old Data'!$P634,$R$6:$T$135,2,FALSE)+VLOOKUP('Old Data'!$F634,$R$6:$T$135,3,FALSE)+$B$2</f>
        <v>179.3194870203792</v>
      </c>
      <c r="D638" s="74">
        <f>('Old Data'!$I634-$B638)^2+('Old Data'!$S634-$C638)^2</f>
        <v>4107.1137295523331</v>
      </c>
      <c r="E638" s="75">
        <f>'Old Data'!$K634-'Old Data'!$U634</f>
        <v>122</v>
      </c>
      <c r="F638" s="72">
        <f>VLOOKUP('Old Data'!$F634,$V$6:$X$135,2,FALSE)+VLOOKUP('Old Data'!$P634,$V$6:$X$135,3,FALSE)+$C$2</f>
        <v>302.34514118175758</v>
      </c>
      <c r="G638" s="72">
        <f>VLOOKUP('Old Data'!$P634,$V$6:$X$135,2,FALSE)+VLOOKUP('Old Data'!$F634,$V$6:$X$135,3,FALSE)+$C$2</f>
        <v>269.21208980474603</v>
      </c>
      <c r="H638" s="74">
        <f>('Old Data'!$K634-$F638)^2+('Old Data'!$U634-$G638)^2</f>
        <v>4849.361599546939</v>
      </c>
      <c r="I638" s="75">
        <f>('Old Data'!$L634+'Old Data'!$M634)-('Old Data'!$V634+'Old Data'!$W634)</f>
        <v>22</v>
      </c>
      <c r="J638" s="72">
        <f>VLOOKUP('Old Data'!$F634,$Z$6:$AB$135,2,FALSE)+VLOOKUP('Old Data'!$P634,$Z$6:$AB$135,3,FALSE)+$D$2</f>
        <v>82.507039959238739</v>
      </c>
      <c r="K638" s="72">
        <f>VLOOKUP('Old Data'!$P634,$Z$6:$AB$135,2,FALSE)+VLOOKUP('Old Data'!$F634,$Z$6:$AB$135,3,FALSE)+$D$2</f>
        <v>94.607175417911463</v>
      </c>
      <c r="L638" s="74">
        <f>('Old Data'!$L634+'Old Data'!$M634-$J638)^2+('Old Data'!$V634+'Old Data'!$W634-$K638)^2</f>
        <v>5274.8372501425329</v>
      </c>
      <c r="M638" s="75">
        <f>'Old Data'!$N634-'Old Data'!$X634</f>
        <v>-1</v>
      </c>
      <c r="N638" s="72">
        <f>VLOOKUP('Old Data'!$F634,$AD$6:$AF$135,2,FALSE)+VLOOKUP('Old Data'!$P634,$AD$6:$AF$135,3,FALSE)+$E$2</f>
        <v>1.243747919342352</v>
      </c>
      <c r="O638" s="72">
        <f>VLOOKUP('Old Data'!$P634,$AD$6:$AF$135,2,FALSE)+VLOOKUP('Old Data'!$F634,$AD$6:$AF$135,3,FALSE)+$E$2</f>
        <v>1.0156690683066583</v>
      </c>
      <c r="P638" s="73">
        <f>('Old Data'!$N634-$N638)^2+('Old Data'!$X634-$O638)^2</f>
        <v>1.0283204312720078</v>
      </c>
      <c r="Q638" s="62"/>
      <c r="R638" s="3"/>
      <c r="S638" s="3"/>
      <c r="T638" s="3"/>
      <c r="V638" s="3"/>
      <c r="W638" s="3"/>
      <c r="X638" s="3"/>
      <c r="Z638" s="3"/>
      <c r="AA638" s="3"/>
      <c r="AB638" s="3"/>
      <c r="AC638" s="3"/>
      <c r="AD638" s="3"/>
      <c r="AE638" s="3"/>
      <c r="AF638" s="3"/>
      <c r="AG638" s="3"/>
      <c r="AH638" s="37"/>
      <c r="AI638" s="1"/>
      <c r="AK638" s="10"/>
      <c r="AL638" s="10"/>
      <c r="AM638" s="10"/>
      <c r="AN638" s="11"/>
      <c r="AO638" s="11"/>
      <c r="AP638" s="11"/>
      <c r="AQ638" s="36"/>
      <c r="AR638" s="11"/>
      <c r="AS638" s="11"/>
      <c r="AT638" s="11"/>
      <c r="AU638" s="12"/>
      <c r="AV638" s="11"/>
      <c r="AW638" s="11"/>
      <c r="AX638" s="15"/>
      <c r="AY638" s="15"/>
      <c r="AZ638" s="15"/>
      <c r="BA638" s="15"/>
      <c r="BB638" s="15"/>
      <c r="BC638" s="15"/>
      <c r="BD638" s="15"/>
      <c r="BE638" s="12"/>
      <c r="BF638" s="11"/>
      <c r="BG638" s="11"/>
      <c r="BH638" s="10"/>
      <c r="BI638" s="10"/>
      <c r="BJ638" s="10"/>
      <c r="BK638" s="23"/>
      <c r="BL638" s="23"/>
      <c r="BM638" s="23"/>
      <c r="BN638" s="23"/>
      <c r="BO638" s="23"/>
      <c r="BP638" s="23"/>
      <c r="BQ638" s="23"/>
      <c r="BR638" s="10"/>
      <c r="BS638" s="16"/>
      <c r="BT638" s="16"/>
      <c r="BU638" s="16"/>
      <c r="BV638" s="16"/>
      <c r="BW638" s="11"/>
      <c r="BX638" s="16"/>
      <c r="BY638" s="16"/>
      <c r="BZ638" s="17"/>
      <c r="CA638" s="18"/>
      <c r="CB638" s="18"/>
      <c r="CC638" s="18"/>
      <c r="CD638" s="18"/>
      <c r="CE638" s="18"/>
      <c r="CF638" s="18"/>
      <c r="CG638" s="19"/>
      <c r="CH638" s="15"/>
      <c r="CI638" s="17"/>
      <c r="CJ638" s="10"/>
      <c r="CK638" s="10"/>
      <c r="CL638" s="10"/>
      <c r="CM638" s="17"/>
      <c r="CN638" s="17"/>
      <c r="CO638" s="10"/>
      <c r="CP638" s="10"/>
      <c r="CQ638" s="10"/>
      <c r="CR638" s="10"/>
      <c r="CS638" s="10"/>
      <c r="CT638" s="10"/>
      <c r="CU638" s="10"/>
      <c r="CV638" s="10"/>
      <c r="CW638" s="10"/>
      <c r="CX638" s="10"/>
      <c r="CY638" s="10"/>
      <c r="CZ638" s="10"/>
      <c r="DA638" s="34"/>
      <c r="DB638" s="34"/>
      <c r="DC638" s="34"/>
      <c r="DD638" s="34"/>
      <c r="DE638" s="34"/>
      <c r="DF638" s="34"/>
      <c r="DG638" s="34"/>
      <c r="DH638" s="34"/>
      <c r="DI638" s="34"/>
      <c r="DJ638" s="34"/>
      <c r="DK638" s="34"/>
      <c r="DL638" s="34"/>
      <c r="DM638" s="34"/>
      <c r="DN638" s="34"/>
      <c r="DO638" s="34"/>
      <c r="DP638" s="34"/>
      <c r="DQ638" s="34"/>
      <c r="DR638" s="34"/>
      <c r="DS638" s="34"/>
      <c r="DT638" s="34"/>
      <c r="DU638" s="34"/>
      <c r="DV638" s="34"/>
      <c r="DW638" s="34"/>
      <c r="DX638" s="34"/>
      <c r="DY638" s="34"/>
      <c r="DZ638" s="34"/>
      <c r="EA638" s="34"/>
      <c r="EB638" s="34"/>
      <c r="EC638" s="34"/>
      <c r="ED638" s="34"/>
      <c r="EE638" s="34"/>
    </row>
    <row r="639" spans="1:135" customFormat="1">
      <c r="A639" s="71">
        <f>'Old Data'!$I635-'Old Data'!$S635</f>
        <v>69</v>
      </c>
      <c r="B639" s="72">
        <f>VLOOKUP('Old Data'!$F635,$R$6:$T$135,2,FALSE)+VLOOKUP('Old Data'!$P635,$R$6:$T$135,3,FALSE)+$B$2</f>
        <v>161.08359046185566</v>
      </c>
      <c r="C639" s="72">
        <f>VLOOKUP('Old Data'!$P635,$R$6:$T$135,2,FALSE)+VLOOKUP('Old Data'!$F635,$R$6:$T$135,3,FALSE)+$B$2</f>
        <v>116.5159973206097</v>
      </c>
      <c r="D639" s="74">
        <f>('Old Data'!$I635-$B639)^2+('Old Data'!$S635-$C639)^2</f>
        <v>405.04523416480157</v>
      </c>
      <c r="E639" s="75">
        <f>'Old Data'!$K635-'Old Data'!$U635</f>
        <v>14</v>
      </c>
      <c r="F639" s="72">
        <f>VLOOKUP('Old Data'!$F635,$V$6:$X$135,2,FALSE)+VLOOKUP('Old Data'!$P635,$V$6:$X$135,3,FALSE)+$C$2</f>
        <v>229.81227279686431</v>
      </c>
      <c r="G639" s="72">
        <f>VLOOKUP('Old Data'!$P635,$V$6:$X$135,2,FALSE)+VLOOKUP('Old Data'!$F635,$V$6:$X$135,3,FALSE)+$C$2</f>
        <v>251.9308618694794</v>
      </c>
      <c r="H639" s="74">
        <f>('Old Data'!$K635-$F639)^2+('Old Data'!$U635-$G639)^2</f>
        <v>8062.9716574919639</v>
      </c>
      <c r="I639" s="75">
        <f>('Old Data'!$L635+'Old Data'!$M635)-('Old Data'!$V635+'Old Data'!$W635)</f>
        <v>18</v>
      </c>
      <c r="J639" s="72">
        <f>VLOOKUP('Old Data'!$F635,$Z$6:$AB$135,2,FALSE)+VLOOKUP('Old Data'!$P635,$Z$6:$AB$135,3,FALSE)+$D$2</f>
        <v>67.230415981842299</v>
      </c>
      <c r="K639" s="72">
        <f>VLOOKUP('Old Data'!$P635,$Z$6:$AB$135,2,FALSE)+VLOOKUP('Old Data'!$F635,$Z$6:$AB$135,3,FALSE)+$D$2</f>
        <v>38.329973449495341</v>
      </c>
      <c r="L639" s="74">
        <f>('Old Data'!$L635+'Old Data'!$M635-$J639)^2+('Old Data'!$V635+'Old Data'!$W635-$K639)^2</f>
        <v>213.59346219061661</v>
      </c>
      <c r="M639" s="75">
        <f>'Old Data'!$N635-'Old Data'!$X635</f>
        <v>-1</v>
      </c>
      <c r="N639" s="72">
        <f>VLOOKUP('Old Data'!$F635,$AD$6:$AF$135,2,FALSE)+VLOOKUP('Old Data'!$P635,$AD$6:$AF$135,3,FALSE)+$E$2</f>
        <v>2.1354793727393879</v>
      </c>
      <c r="O639" s="72">
        <f>VLOOKUP('Old Data'!$P635,$AD$6:$AF$135,2,FALSE)+VLOOKUP('Old Data'!$F635,$AD$6:$AF$135,3,FALSE)+$E$2</f>
        <v>1.9915423620181361</v>
      </c>
      <c r="P639" s="73">
        <f>('Old Data'!$N635-$N639)^2+('Old Data'!$X635-$O639)^2</f>
        <v>5.5434284070719135</v>
      </c>
      <c r="Q639" s="62"/>
      <c r="R639" s="3"/>
      <c r="S639" s="3"/>
      <c r="T639" s="3"/>
      <c r="V639" s="3"/>
      <c r="W639" s="3"/>
      <c r="X639" s="3"/>
      <c r="Z639" s="3"/>
      <c r="AA639" s="3"/>
      <c r="AB639" s="3"/>
      <c r="AC639" s="3"/>
      <c r="AD639" s="3"/>
      <c r="AE639" s="3"/>
      <c r="AF639" s="3"/>
      <c r="AG639" s="3"/>
      <c r="AH639" s="37"/>
      <c r="AI639" s="1"/>
      <c r="AK639" s="10"/>
      <c r="AL639" s="10"/>
      <c r="AM639" s="10"/>
      <c r="AN639" s="11"/>
      <c r="AO639" s="11"/>
      <c r="AP639" s="11"/>
      <c r="AQ639" s="36"/>
      <c r="AR639" s="11"/>
      <c r="AS639" s="11"/>
      <c r="AT639" s="11"/>
      <c r="AU639" s="12"/>
      <c r="AV639" s="11"/>
      <c r="AW639" s="11"/>
      <c r="AX639" s="15"/>
      <c r="AY639" s="15"/>
      <c r="AZ639" s="15"/>
      <c r="BA639" s="15"/>
      <c r="BB639" s="15"/>
      <c r="BC639" s="15"/>
      <c r="BD639" s="15"/>
      <c r="BE639" s="12"/>
      <c r="BF639" s="11"/>
      <c r="BG639" s="11"/>
      <c r="BH639" s="10"/>
      <c r="BI639" s="10"/>
      <c r="BJ639" s="10"/>
      <c r="BK639" s="23"/>
      <c r="BL639" s="23"/>
      <c r="BM639" s="23"/>
      <c r="BN639" s="23"/>
      <c r="BO639" s="23"/>
      <c r="BP639" s="23"/>
      <c r="BQ639" s="23"/>
      <c r="BR639" s="10"/>
      <c r="BS639" s="16"/>
      <c r="BT639" s="16"/>
      <c r="BU639" s="16"/>
      <c r="BV639" s="16"/>
      <c r="BW639" s="11"/>
      <c r="BX639" s="16"/>
      <c r="BY639" s="16"/>
      <c r="BZ639" s="17"/>
      <c r="CA639" s="18"/>
      <c r="CB639" s="18"/>
      <c r="CC639" s="18"/>
      <c r="CD639" s="18"/>
      <c r="CE639" s="18"/>
      <c r="CF639" s="18"/>
      <c r="CG639" s="19"/>
      <c r="CH639" s="15"/>
      <c r="CI639" s="17"/>
      <c r="CJ639" s="10"/>
      <c r="CK639" s="10"/>
      <c r="CL639" s="10"/>
      <c r="CM639" s="17"/>
      <c r="CN639" s="17"/>
      <c r="CO639" s="10"/>
      <c r="CP639" s="10"/>
      <c r="CQ639" s="10"/>
      <c r="CR639" s="10"/>
      <c r="CS639" s="10"/>
      <c r="CT639" s="10"/>
      <c r="CU639" s="10"/>
      <c r="CV639" s="10"/>
      <c r="CW639" s="10"/>
      <c r="CX639" s="10"/>
      <c r="CY639" s="10"/>
      <c r="CZ639" s="10"/>
      <c r="DA639" s="34"/>
      <c r="DB639" s="34"/>
      <c r="DC639" s="34"/>
      <c r="DD639" s="34"/>
      <c r="DE639" s="34"/>
      <c r="DF639" s="34"/>
      <c r="DG639" s="34"/>
      <c r="DH639" s="34"/>
      <c r="DI639" s="34"/>
      <c r="DJ639" s="34"/>
      <c r="DK639" s="34"/>
      <c r="DL639" s="34"/>
      <c r="DM639" s="34"/>
      <c r="DN639" s="34"/>
      <c r="DO639" s="34"/>
      <c r="DP639" s="34"/>
      <c r="DQ639" s="34"/>
      <c r="DR639" s="34"/>
      <c r="DS639" s="34"/>
      <c r="DT639" s="34"/>
      <c r="DU639" s="34"/>
      <c r="DV639" s="34"/>
      <c r="DW639" s="34"/>
      <c r="DX639" s="34"/>
      <c r="DY639" s="34"/>
      <c r="DZ639" s="34"/>
      <c r="EA639" s="34"/>
      <c r="EB639" s="34"/>
      <c r="EC639" s="34"/>
      <c r="ED639" s="34"/>
      <c r="EE639" s="34"/>
    </row>
    <row r="640" spans="1:135" customFormat="1">
      <c r="A640" s="71">
        <f>'Old Data'!$I636-'Old Data'!$S636</f>
        <v>153</v>
      </c>
      <c r="B640" s="72">
        <f>VLOOKUP('Old Data'!$F636,$R$6:$T$135,2,FALSE)+VLOOKUP('Old Data'!$P636,$R$6:$T$135,3,FALSE)+$B$2</f>
        <v>225.064075091517</v>
      </c>
      <c r="C640" s="72">
        <f>VLOOKUP('Old Data'!$P636,$R$6:$T$135,2,FALSE)+VLOOKUP('Old Data'!$F636,$R$6:$T$135,3,FALSE)+$B$2</f>
        <v>142.18424381992469</v>
      </c>
      <c r="D640" s="74">
        <f>('Old Data'!$I636-$B640)^2+('Old Data'!$S636-$C640)^2</f>
        <v>2590.4229649741387</v>
      </c>
      <c r="E640" s="75">
        <f>'Old Data'!$K636-'Old Data'!$U636</f>
        <v>-262</v>
      </c>
      <c r="F640" s="72">
        <f>VLOOKUP('Old Data'!$F636,$V$6:$X$135,2,FALSE)+VLOOKUP('Old Data'!$P636,$V$6:$X$135,3,FALSE)+$C$2</f>
        <v>195.92331872393157</v>
      </c>
      <c r="G640" s="72">
        <f>VLOOKUP('Old Data'!$P636,$V$6:$X$135,2,FALSE)+VLOOKUP('Old Data'!$F636,$V$6:$X$135,3,FALSE)+$C$2</f>
        <v>367.05891781323561</v>
      </c>
      <c r="H640" s="74">
        <f>('Old Data'!$K636-$F640)^2+('Old Data'!$U636-$G640)^2</f>
        <v>9642.5349977975948</v>
      </c>
      <c r="I640" s="75">
        <f>('Old Data'!$L636+'Old Data'!$M636)-('Old Data'!$V636+'Old Data'!$W636)</f>
        <v>-41</v>
      </c>
      <c r="J640" s="72">
        <f>VLOOKUP('Old Data'!$F636,$Z$6:$AB$135,2,FALSE)+VLOOKUP('Old Data'!$P636,$Z$6:$AB$135,3,FALSE)+$D$2</f>
        <v>59.930493300934302</v>
      </c>
      <c r="K640" s="72">
        <f>VLOOKUP('Old Data'!$P636,$Z$6:$AB$135,2,FALSE)+VLOOKUP('Old Data'!$F636,$Z$6:$AB$135,3,FALSE)+$D$2</f>
        <v>68.005179244162193</v>
      </c>
      <c r="L640" s="74">
        <f>('Old Data'!$L636+'Old Data'!$M636-$J640)^2+('Old Data'!$V636+'Old Data'!$W636-$K640)^2</f>
        <v>1379.902796228221</v>
      </c>
      <c r="M640" s="75">
        <f>'Old Data'!$N636-'Old Data'!$X636</f>
        <v>4</v>
      </c>
      <c r="N640" s="72">
        <f>VLOOKUP('Old Data'!$F636,$AD$6:$AF$135,2,FALSE)+VLOOKUP('Old Data'!$P636,$AD$6:$AF$135,3,FALSE)+$E$2</f>
        <v>0.95090590639558004</v>
      </c>
      <c r="O640" s="72">
        <f>VLOOKUP('Old Data'!$P636,$AD$6:$AF$135,2,FALSE)+VLOOKUP('Old Data'!$F636,$AD$6:$AF$135,3,FALSE)+$E$2</f>
        <v>1.7798978011011108</v>
      </c>
      <c r="P640" s="73">
        <f>('Old Data'!$N636-$N640)^2+('Old Data'!$X636-$O640)^2</f>
        <v>17.003403559024552</v>
      </c>
      <c r="Q640" s="62"/>
      <c r="R640" s="3"/>
      <c r="S640" s="3"/>
      <c r="T640" s="3"/>
      <c r="V640" s="3"/>
      <c r="W640" s="3"/>
      <c r="X640" s="3"/>
      <c r="Z640" s="3"/>
      <c r="AA640" s="3"/>
      <c r="AB640" s="3"/>
      <c r="AC640" s="3"/>
      <c r="AD640" s="3"/>
      <c r="AE640" s="3"/>
      <c r="AF640" s="3"/>
      <c r="AG640" s="3"/>
      <c r="AH640" s="37"/>
      <c r="AI640" s="1"/>
      <c r="AK640" s="10"/>
      <c r="AL640" s="10"/>
      <c r="AM640" s="10"/>
      <c r="AN640" s="11"/>
      <c r="AO640" s="11"/>
      <c r="AP640" s="11"/>
      <c r="AQ640" s="36"/>
      <c r="AR640" s="11"/>
      <c r="AS640" s="11"/>
      <c r="AT640" s="11"/>
      <c r="AU640" s="12"/>
      <c r="AV640" s="11"/>
      <c r="AW640" s="11"/>
      <c r="AX640" s="15"/>
      <c r="AY640" s="15"/>
      <c r="AZ640" s="15"/>
      <c r="BA640" s="15"/>
      <c r="BB640" s="15"/>
      <c r="BC640" s="15"/>
      <c r="BD640" s="15"/>
      <c r="BE640" s="12"/>
      <c r="BF640" s="11"/>
      <c r="BG640" s="11"/>
      <c r="BH640" s="10"/>
      <c r="BI640" s="10"/>
      <c r="BJ640" s="10"/>
      <c r="BK640" s="23"/>
      <c r="BL640" s="23"/>
      <c r="BM640" s="23"/>
      <c r="BN640" s="23"/>
      <c r="BO640" s="23"/>
      <c r="BP640" s="23"/>
      <c r="BQ640" s="23"/>
      <c r="BR640" s="10"/>
      <c r="BS640" s="16"/>
      <c r="BT640" s="16"/>
      <c r="BU640" s="16"/>
      <c r="BV640" s="16"/>
      <c r="BW640" s="11"/>
      <c r="BX640" s="16"/>
      <c r="BY640" s="16"/>
      <c r="BZ640" s="17"/>
      <c r="CA640" s="18"/>
      <c r="CB640" s="18"/>
      <c r="CC640" s="18"/>
      <c r="CD640" s="18"/>
      <c r="CE640" s="18"/>
      <c r="CF640" s="18"/>
      <c r="CG640" s="19"/>
      <c r="CH640" s="15"/>
      <c r="CI640" s="17"/>
      <c r="CJ640" s="10"/>
      <c r="CK640" s="10"/>
      <c r="CL640" s="10"/>
      <c r="CM640" s="17"/>
      <c r="CN640" s="17"/>
      <c r="CO640" s="10"/>
      <c r="CP640" s="10"/>
      <c r="CQ640" s="10"/>
      <c r="CR640" s="10"/>
      <c r="CS640" s="10"/>
      <c r="CT640" s="10"/>
      <c r="CU640" s="10"/>
      <c r="CV640" s="10"/>
      <c r="CW640" s="10"/>
      <c r="CX640" s="10"/>
      <c r="CY640" s="10"/>
      <c r="CZ640" s="10"/>
      <c r="DA640" s="34"/>
      <c r="DB640" s="34"/>
      <c r="DC640" s="34"/>
      <c r="DD640" s="34"/>
      <c r="DE640" s="34"/>
      <c r="DF640" s="34"/>
      <c r="DG640" s="34"/>
      <c r="DH640" s="34"/>
      <c r="DI640" s="34"/>
      <c r="DJ640" s="34"/>
      <c r="DK640" s="34"/>
      <c r="DL640" s="34"/>
      <c r="DM640" s="34"/>
      <c r="DN640" s="34"/>
      <c r="DO640" s="34"/>
      <c r="DP640" s="34"/>
      <c r="DQ640" s="34"/>
      <c r="DR640" s="34"/>
      <c r="DS640" s="34"/>
      <c r="DT640" s="34"/>
      <c r="DU640" s="34"/>
      <c r="DV640" s="34"/>
      <c r="DW640" s="34"/>
      <c r="DX640" s="34"/>
      <c r="DY640" s="34"/>
      <c r="DZ640" s="34"/>
      <c r="EA640" s="34"/>
      <c r="EB640" s="34"/>
      <c r="EC640" s="34"/>
      <c r="ED640" s="34"/>
      <c r="EE640" s="34"/>
    </row>
    <row r="641" spans="1:135" customFormat="1">
      <c r="A641" s="71">
        <f>'Old Data'!$I637-'Old Data'!$S637</f>
        <v>-14</v>
      </c>
      <c r="B641" s="72">
        <f>VLOOKUP('Old Data'!$F637,$R$6:$T$135,2,FALSE)+VLOOKUP('Old Data'!$P637,$R$6:$T$135,3,FALSE)+$B$2</f>
        <v>125.2473517800733</v>
      </c>
      <c r="C641" s="72">
        <f>VLOOKUP('Old Data'!$P637,$R$6:$T$135,2,FALSE)+VLOOKUP('Old Data'!$F637,$R$6:$T$135,3,FALSE)+$B$2</f>
        <v>181.14723468380296</v>
      </c>
      <c r="D641" s="74">
        <f>('Old Data'!$I637-$B641)^2+('Old Data'!$S637-$C641)^2</f>
        <v>898.24546169512337</v>
      </c>
      <c r="E641" s="75">
        <f>'Old Data'!$K637-'Old Data'!$U637</f>
        <v>132</v>
      </c>
      <c r="F641" s="72">
        <f>VLOOKUP('Old Data'!$F637,$V$6:$X$135,2,FALSE)+VLOOKUP('Old Data'!$P637,$V$6:$X$135,3,FALSE)+$C$2</f>
        <v>401.58276405332469</v>
      </c>
      <c r="G641" s="72">
        <f>VLOOKUP('Old Data'!$P637,$V$6:$X$135,2,FALSE)+VLOOKUP('Old Data'!$F637,$V$6:$X$135,3,FALSE)+$C$2</f>
        <v>254.64540408062675</v>
      </c>
      <c r="H641" s="74">
        <f>('Old Data'!$K637-$F641)^2+('Old Data'!$U637-$G641)^2</f>
        <v>29338.371703409408</v>
      </c>
      <c r="I641" s="75">
        <f>('Old Data'!$L637+'Old Data'!$M637)-('Old Data'!$V637+'Old Data'!$W637)</f>
        <v>-19</v>
      </c>
      <c r="J641" s="72">
        <f>VLOOKUP('Old Data'!$F637,$Z$6:$AB$135,2,FALSE)+VLOOKUP('Old Data'!$P637,$Z$6:$AB$135,3,FALSE)+$D$2</f>
        <v>44.105072483738098</v>
      </c>
      <c r="K641" s="72">
        <f>VLOOKUP('Old Data'!$P637,$Z$6:$AB$135,2,FALSE)+VLOOKUP('Old Data'!$F637,$Z$6:$AB$135,3,FALSE)+$D$2</f>
        <v>83.703961739917204</v>
      </c>
      <c r="L641" s="74">
        <f>('Old Data'!$L637+'Old Data'!$M637-$J641)^2+('Old Data'!$V637+'Old Data'!$W637-$K641)^2</f>
        <v>2184.6445093483171</v>
      </c>
      <c r="M641" s="75">
        <f>'Old Data'!$N637-'Old Data'!$X637</f>
        <v>0</v>
      </c>
      <c r="N641" s="72">
        <f>VLOOKUP('Old Data'!$F637,$AD$6:$AF$135,2,FALSE)+VLOOKUP('Old Data'!$P637,$AD$6:$AF$135,3,FALSE)+$E$2</f>
        <v>1.7528372437701134</v>
      </c>
      <c r="O641" s="72">
        <f>VLOOKUP('Old Data'!$P637,$AD$6:$AF$135,2,FALSE)+VLOOKUP('Old Data'!$F637,$AD$6:$AF$135,3,FALSE)+$E$2</f>
        <v>1.6947408879940711</v>
      </c>
      <c r="P641" s="73">
        <f>('Old Data'!$N637-$N641)^2+('Old Data'!$X637-$O641)^2</f>
        <v>1.0494288170581716</v>
      </c>
      <c r="Q641" s="62"/>
      <c r="R641" s="3"/>
      <c r="S641" s="3"/>
      <c r="T641" s="3"/>
      <c r="V641" s="3"/>
      <c r="W641" s="3"/>
      <c r="X641" s="3"/>
      <c r="Z641" s="3"/>
      <c r="AA641" s="3"/>
      <c r="AB641" s="3"/>
      <c r="AC641" s="3"/>
      <c r="AD641" s="3"/>
      <c r="AE641" s="3"/>
      <c r="AF641" s="3"/>
      <c r="AG641" s="3"/>
      <c r="AH641" s="37"/>
      <c r="AI641" s="1"/>
      <c r="AK641" s="10"/>
      <c r="AL641" s="10"/>
      <c r="AM641" s="10"/>
      <c r="AN641" s="11"/>
      <c r="AO641" s="11"/>
      <c r="AP641" s="11"/>
      <c r="AQ641" s="36"/>
      <c r="AR641" s="11"/>
      <c r="AS641" s="11"/>
      <c r="AT641" s="11"/>
      <c r="AU641" s="12"/>
      <c r="AV641" s="11"/>
      <c r="AW641" s="11"/>
      <c r="AX641" s="15"/>
      <c r="AY641" s="15"/>
      <c r="AZ641" s="15"/>
      <c r="BA641" s="15"/>
      <c r="BB641" s="15"/>
      <c r="BC641" s="15"/>
      <c r="BD641" s="15"/>
      <c r="BE641" s="12"/>
      <c r="BF641" s="11"/>
      <c r="BG641" s="11"/>
      <c r="BH641" s="10"/>
      <c r="BI641" s="10"/>
      <c r="BJ641" s="10"/>
      <c r="BK641" s="23"/>
      <c r="BL641" s="23"/>
      <c r="BM641" s="23"/>
      <c r="BN641" s="23"/>
      <c r="BO641" s="23"/>
      <c r="BP641" s="23"/>
      <c r="BQ641" s="23"/>
      <c r="BR641" s="10"/>
      <c r="BS641" s="16"/>
      <c r="BT641" s="16"/>
      <c r="BU641" s="16"/>
      <c r="BV641" s="16"/>
      <c r="BW641" s="11"/>
      <c r="BX641" s="16"/>
      <c r="BY641" s="16"/>
      <c r="BZ641" s="17"/>
      <c r="CA641" s="18"/>
      <c r="CB641" s="18"/>
      <c r="CC641" s="18"/>
      <c r="CD641" s="18"/>
      <c r="CE641" s="18"/>
      <c r="CF641" s="18"/>
      <c r="CG641" s="19"/>
      <c r="CH641" s="15"/>
      <c r="CI641" s="17"/>
      <c r="CJ641" s="10"/>
      <c r="CK641" s="10"/>
      <c r="CL641" s="10"/>
      <c r="CM641" s="17"/>
      <c r="CN641" s="17"/>
      <c r="CO641" s="10"/>
      <c r="CP641" s="10"/>
      <c r="CQ641" s="10"/>
      <c r="CR641" s="10"/>
      <c r="CS641" s="10"/>
      <c r="CT641" s="10"/>
      <c r="CU641" s="10"/>
      <c r="CV641" s="10"/>
      <c r="CW641" s="10"/>
      <c r="CX641" s="10"/>
      <c r="CY641" s="10"/>
      <c r="CZ641" s="10"/>
      <c r="DA641" s="34"/>
      <c r="DB641" s="34"/>
      <c r="DC641" s="34"/>
      <c r="DD641" s="34"/>
      <c r="DE641" s="34"/>
      <c r="DF641" s="34"/>
      <c r="DG641" s="34"/>
      <c r="DH641" s="34"/>
      <c r="DI641" s="34"/>
      <c r="DJ641" s="34"/>
      <c r="DK641" s="34"/>
      <c r="DL641" s="34"/>
      <c r="DM641" s="34"/>
      <c r="DN641" s="34"/>
      <c r="DO641" s="34"/>
      <c r="DP641" s="34"/>
      <c r="DQ641" s="34"/>
      <c r="DR641" s="34"/>
      <c r="DS641" s="34"/>
      <c r="DT641" s="34"/>
      <c r="DU641" s="34"/>
      <c r="DV641" s="34"/>
      <c r="DW641" s="34"/>
      <c r="DX641" s="34"/>
      <c r="DY641" s="34"/>
      <c r="DZ641" s="34"/>
      <c r="EA641" s="34"/>
      <c r="EB641" s="34"/>
      <c r="EC641" s="34"/>
      <c r="ED641" s="34"/>
      <c r="EE641" s="34"/>
    </row>
    <row r="642" spans="1:135" customFormat="1">
      <c r="A642" s="71">
        <f>'Old Data'!$I638-'Old Data'!$S638</f>
        <v>-176</v>
      </c>
      <c r="B642" s="72">
        <f>VLOOKUP('Old Data'!$F638,$R$6:$T$135,2,FALSE)+VLOOKUP('Old Data'!$P638,$R$6:$T$135,3,FALSE)+$B$2</f>
        <v>113.22014930545031</v>
      </c>
      <c r="C642" s="72">
        <f>VLOOKUP('Old Data'!$P638,$R$6:$T$135,2,FALSE)+VLOOKUP('Old Data'!$F638,$R$6:$T$135,3,FALSE)+$B$2</f>
        <v>192.49027315286909</v>
      </c>
      <c r="D642" s="74">
        <f>('Old Data'!$I638-$B642)^2+('Old Data'!$S638-$C642)^2</f>
        <v>10982.8090824914</v>
      </c>
      <c r="E642" s="75">
        <f>'Old Data'!$K638-'Old Data'!$U638</f>
        <v>120</v>
      </c>
      <c r="F642" s="72">
        <f>VLOOKUP('Old Data'!$F638,$V$6:$X$135,2,FALSE)+VLOOKUP('Old Data'!$P638,$V$6:$X$135,3,FALSE)+$C$2</f>
        <v>249.92021426067458</v>
      </c>
      <c r="G642" s="72">
        <f>VLOOKUP('Old Data'!$P638,$V$6:$X$135,2,FALSE)+VLOOKUP('Old Data'!$F638,$V$6:$X$135,3,FALSE)+$C$2</f>
        <v>253.42215458817134</v>
      </c>
      <c r="H642" s="74">
        <f>('Old Data'!$K638-$F642)^2+('Old Data'!$U638-$G642)^2</f>
        <v>7670.0045601822276</v>
      </c>
      <c r="I642" s="75">
        <f>('Old Data'!$L638+'Old Data'!$M638)-('Old Data'!$V638+'Old Data'!$W638)</f>
        <v>-31</v>
      </c>
      <c r="J642" s="72">
        <f>VLOOKUP('Old Data'!$F638,$Z$6:$AB$135,2,FALSE)+VLOOKUP('Old Data'!$P638,$Z$6:$AB$135,3,FALSE)+$D$2</f>
        <v>61.111840347912057</v>
      </c>
      <c r="K642" s="72">
        <f>VLOOKUP('Old Data'!$P638,$Z$6:$AB$135,2,FALSE)+VLOOKUP('Old Data'!$F638,$Z$6:$AB$135,3,FALSE)+$D$2</f>
        <v>87.340556841329288</v>
      </c>
      <c r="L642" s="74">
        <f>('Old Data'!$L638+'Old Data'!$M638-$J642)^2+('Old Data'!$V638+'Old Data'!$W638-$K642)^2</f>
        <v>506.00921762499286</v>
      </c>
      <c r="M642" s="75">
        <f>'Old Data'!$N638-'Old Data'!$X638</f>
        <v>-2</v>
      </c>
      <c r="N642" s="72">
        <f>VLOOKUP('Old Data'!$F638,$AD$6:$AF$135,2,FALSE)+VLOOKUP('Old Data'!$P638,$AD$6:$AF$135,3,FALSE)+$E$2</f>
        <v>1.7147057621813901</v>
      </c>
      <c r="O642" s="72">
        <f>VLOOKUP('Old Data'!$P638,$AD$6:$AF$135,2,FALSE)+VLOOKUP('Old Data'!$F638,$AD$6:$AF$135,3,FALSE)+$E$2</f>
        <v>1.9330271630855429</v>
      </c>
      <c r="P642" s="73">
        <f>('Old Data'!$N638-$N642)^2+('Old Data'!$X638-$O642)^2</f>
        <v>2.9447012117424327</v>
      </c>
      <c r="Q642" s="62"/>
      <c r="R642" s="3"/>
      <c r="S642" s="3"/>
      <c r="T642" s="3"/>
      <c r="V642" s="3"/>
      <c r="W642" s="3"/>
      <c r="X642" s="3"/>
      <c r="Z642" s="3"/>
      <c r="AA642" s="3"/>
      <c r="AB642" s="3"/>
      <c r="AC642" s="3"/>
      <c r="AD642" s="3"/>
      <c r="AE642" s="3"/>
      <c r="AF642" s="3"/>
      <c r="AG642" s="3"/>
      <c r="AH642" s="37"/>
      <c r="AI642" s="1"/>
      <c r="AK642" s="10"/>
      <c r="AL642" s="10"/>
      <c r="AM642" s="10"/>
      <c r="AN642" s="11"/>
      <c r="AO642" s="11"/>
      <c r="AP642" s="11"/>
      <c r="AQ642" s="36"/>
      <c r="AR642" s="11"/>
      <c r="AS642" s="11"/>
      <c r="AT642" s="11"/>
      <c r="AU642" s="12"/>
      <c r="AV642" s="11"/>
      <c r="AW642" s="11"/>
      <c r="AX642" s="15"/>
      <c r="AY642" s="15"/>
      <c r="AZ642" s="15"/>
      <c r="BA642" s="15"/>
      <c r="BB642" s="15"/>
      <c r="BC642" s="15"/>
      <c r="BD642" s="15"/>
      <c r="BE642" s="12"/>
      <c r="BF642" s="11"/>
      <c r="BG642" s="11"/>
      <c r="BH642" s="10"/>
      <c r="BI642" s="10"/>
      <c r="BJ642" s="10"/>
      <c r="BK642" s="23"/>
      <c r="BL642" s="23"/>
      <c r="BM642" s="23"/>
      <c r="BN642" s="23"/>
      <c r="BO642" s="23"/>
      <c r="BP642" s="23"/>
      <c r="BQ642" s="23"/>
      <c r="BR642" s="10"/>
      <c r="BS642" s="16"/>
      <c r="BT642" s="16"/>
      <c r="BU642" s="16"/>
      <c r="BV642" s="16"/>
      <c r="BW642" s="11"/>
      <c r="BX642" s="16"/>
      <c r="BY642" s="16"/>
      <c r="BZ642" s="17"/>
      <c r="CA642" s="18"/>
      <c r="CB642" s="18"/>
      <c r="CC642" s="18"/>
      <c r="CD642" s="18"/>
      <c r="CE642" s="18"/>
      <c r="CF642" s="18"/>
      <c r="CG642" s="19"/>
      <c r="CH642" s="15"/>
      <c r="CI642" s="17"/>
      <c r="CJ642" s="10"/>
      <c r="CK642" s="10"/>
      <c r="CL642" s="10"/>
      <c r="CM642" s="17"/>
      <c r="CN642" s="17"/>
      <c r="CO642" s="10"/>
      <c r="CP642" s="10"/>
      <c r="CQ642" s="10"/>
      <c r="CR642" s="10"/>
      <c r="CS642" s="10"/>
      <c r="CT642" s="10"/>
      <c r="CU642" s="10"/>
      <c r="CV642" s="10"/>
      <c r="CW642" s="10"/>
      <c r="CX642" s="10"/>
      <c r="CY642" s="10"/>
      <c r="CZ642" s="10"/>
      <c r="DA642" s="34"/>
      <c r="DB642" s="34"/>
      <c r="DC642" s="34"/>
      <c r="DD642" s="34"/>
      <c r="DE642" s="34"/>
      <c r="DF642" s="34"/>
      <c r="DG642" s="34"/>
      <c r="DH642" s="34"/>
      <c r="DI642" s="34"/>
      <c r="DJ642" s="34"/>
      <c r="DK642" s="34"/>
      <c r="DL642" s="34"/>
      <c r="DM642" s="34"/>
      <c r="DN642" s="34"/>
      <c r="DO642" s="34"/>
      <c r="DP642" s="34"/>
      <c r="DQ642" s="34"/>
      <c r="DR642" s="34"/>
      <c r="DS642" s="34"/>
      <c r="DT642" s="34"/>
      <c r="DU642" s="34"/>
      <c r="DV642" s="34"/>
      <c r="DW642" s="34"/>
      <c r="DX642" s="34"/>
      <c r="DY642" s="34"/>
      <c r="DZ642" s="34"/>
      <c r="EA642" s="34"/>
      <c r="EB642" s="34"/>
      <c r="EC642" s="34"/>
      <c r="ED642" s="34"/>
      <c r="EE642" s="34"/>
    </row>
    <row r="643" spans="1:135" customFormat="1">
      <c r="A643" s="71">
        <f>'Old Data'!$I639-'Old Data'!$S639</f>
        <v>50</v>
      </c>
      <c r="B643" s="72">
        <f>VLOOKUP('Old Data'!$F639,$R$6:$T$135,2,FALSE)+VLOOKUP('Old Data'!$P639,$R$6:$T$135,3,FALSE)+$B$2</f>
        <v>122.83126075382739</v>
      </c>
      <c r="C643" s="72">
        <f>VLOOKUP('Old Data'!$P639,$R$6:$T$135,2,FALSE)+VLOOKUP('Old Data'!$F639,$R$6:$T$135,3,FALSE)+$B$2</f>
        <v>81.2475015634366</v>
      </c>
      <c r="D643" s="74">
        <f>('Old Data'!$I639-$B643)^2+('Old Data'!$S639-$C643)^2</f>
        <v>616.09757522095197</v>
      </c>
      <c r="E643" s="75">
        <f>'Old Data'!$K639-'Old Data'!$U639</f>
        <v>36</v>
      </c>
      <c r="F643" s="72">
        <f>VLOOKUP('Old Data'!$F639,$V$6:$X$135,2,FALSE)+VLOOKUP('Old Data'!$P639,$V$6:$X$135,3,FALSE)+$C$2</f>
        <v>201.1080341522208</v>
      </c>
      <c r="G643" s="72">
        <f>VLOOKUP('Old Data'!$P639,$V$6:$X$135,2,FALSE)+VLOOKUP('Old Data'!$F639,$V$6:$X$135,3,FALSE)+$C$2</f>
        <v>267.8678666607413</v>
      </c>
      <c r="H643" s="74">
        <f>('Old Data'!$K639-$F643)^2+('Old Data'!$U639-$G643)^2</f>
        <v>25075.496140754458</v>
      </c>
      <c r="I643" s="75">
        <f>('Old Data'!$L639+'Old Data'!$M639)-('Old Data'!$V639+'Old Data'!$W639)</f>
        <v>39</v>
      </c>
      <c r="J643" s="72">
        <f>VLOOKUP('Old Data'!$F639,$Z$6:$AB$135,2,FALSE)+VLOOKUP('Old Data'!$P639,$Z$6:$AB$135,3,FALSE)+$D$2</f>
        <v>60.154418131659625</v>
      </c>
      <c r="K643" s="72">
        <f>VLOOKUP('Old Data'!$P639,$Z$6:$AB$135,2,FALSE)+VLOOKUP('Old Data'!$F639,$Z$6:$AB$135,3,FALSE)+$D$2</f>
        <v>24.251183929465199</v>
      </c>
      <c r="L643" s="74">
        <f>('Old Data'!$L639+'Old Data'!$M639-$J643)^2+('Old Data'!$V639+'Old Data'!$W639-$K643)^2</f>
        <v>1035.6293284698406</v>
      </c>
      <c r="M643" s="75">
        <f>'Old Data'!$N639-'Old Data'!$X639</f>
        <v>0</v>
      </c>
      <c r="N643" s="72">
        <f>VLOOKUP('Old Data'!$F639,$AD$6:$AF$135,2,FALSE)+VLOOKUP('Old Data'!$P639,$AD$6:$AF$135,3,FALSE)+$E$2</f>
        <v>1.7299561282547251</v>
      </c>
      <c r="O643" s="72">
        <f>VLOOKUP('Old Data'!$P639,$AD$6:$AF$135,2,FALSE)+VLOOKUP('Old Data'!$F639,$AD$6:$AF$135,3,FALSE)+$E$2</f>
        <v>1.722361598870775</v>
      </c>
      <c r="P643" s="73">
        <f>('Old Data'!$N639-$N643)^2+('Old Data'!$X639-$O643)^2</f>
        <v>1.054642228699771</v>
      </c>
      <c r="Q643" s="62"/>
      <c r="R643" s="3"/>
      <c r="S643" s="3"/>
      <c r="T643" s="3"/>
      <c r="V643" s="3"/>
      <c r="W643" s="3"/>
      <c r="X643" s="3"/>
      <c r="Z643" s="3"/>
      <c r="AA643" s="3"/>
      <c r="AB643" s="3"/>
      <c r="AC643" s="3"/>
      <c r="AD643" s="3"/>
      <c r="AE643" s="3"/>
      <c r="AF643" s="3"/>
      <c r="AG643" s="3"/>
      <c r="AH643" s="37"/>
      <c r="AI643" s="1"/>
      <c r="AK643" s="10"/>
      <c r="AL643" s="10"/>
      <c r="AM643" s="10"/>
      <c r="AN643" s="11"/>
      <c r="AO643" s="11"/>
      <c r="AP643" s="11"/>
      <c r="AQ643" s="36"/>
      <c r="AR643" s="11"/>
      <c r="AS643" s="11"/>
      <c r="AT643" s="11"/>
      <c r="AU643" s="12"/>
      <c r="AV643" s="11"/>
      <c r="AW643" s="11"/>
      <c r="AX643" s="15"/>
      <c r="AY643" s="15"/>
      <c r="AZ643" s="15"/>
      <c r="BA643" s="15"/>
      <c r="BB643" s="15"/>
      <c r="BC643" s="15"/>
      <c r="BD643" s="15"/>
      <c r="BE643" s="12"/>
      <c r="BF643" s="11"/>
      <c r="BG643" s="11"/>
      <c r="BH643" s="10"/>
      <c r="BI643" s="10"/>
      <c r="BJ643" s="10"/>
      <c r="BK643" s="23"/>
      <c r="BL643" s="23"/>
      <c r="BM643" s="23"/>
      <c r="BN643" s="23"/>
      <c r="BO643" s="23"/>
      <c r="BP643" s="23"/>
      <c r="BQ643" s="23"/>
      <c r="BR643" s="10"/>
      <c r="BS643" s="16"/>
      <c r="BT643" s="16"/>
      <c r="BU643" s="16"/>
      <c r="BV643" s="16"/>
      <c r="BW643" s="11"/>
      <c r="BX643" s="16"/>
      <c r="BY643" s="16"/>
      <c r="BZ643" s="17"/>
      <c r="CA643" s="18"/>
      <c r="CB643" s="18"/>
      <c r="CC643" s="18"/>
      <c r="CD643" s="18"/>
      <c r="CE643" s="18"/>
      <c r="CF643" s="18"/>
      <c r="CG643" s="19"/>
      <c r="CH643" s="15"/>
      <c r="CI643" s="17"/>
      <c r="CJ643" s="10"/>
      <c r="CK643" s="10"/>
      <c r="CL643" s="10"/>
      <c r="CM643" s="17"/>
      <c r="CN643" s="17"/>
      <c r="CO643" s="10"/>
      <c r="CP643" s="10"/>
      <c r="CQ643" s="10"/>
      <c r="CR643" s="10"/>
      <c r="CS643" s="10"/>
      <c r="CT643" s="10"/>
      <c r="CU643" s="10"/>
      <c r="CV643" s="10"/>
      <c r="CW643" s="10"/>
      <c r="CX643" s="10"/>
      <c r="CY643" s="10"/>
      <c r="CZ643" s="10"/>
      <c r="DA643" s="34"/>
      <c r="DB643" s="34"/>
      <c r="DC643" s="34"/>
      <c r="DD643" s="34"/>
      <c r="DE643" s="34"/>
      <c r="DF643" s="34"/>
      <c r="DG643" s="34"/>
      <c r="DH643" s="34"/>
      <c r="DI643" s="34"/>
      <c r="DJ643" s="34"/>
      <c r="DK643" s="34"/>
      <c r="DL643" s="34"/>
      <c r="DM643" s="34"/>
      <c r="DN643" s="34"/>
      <c r="DO643" s="34"/>
      <c r="DP643" s="34"/>
      <c r="DQ643" s="34"/>
      <c r="DR643" s="34"/>
      <c r="DS643" s="34"/>
      <c r="DT643" s="34"/>
      <c r="DU643" s="34"/>
      <c r="DV643" s="34"/>
      <c r="DW643" s="34"/>
      <c r="DX643" s="34"/>
      <c r="DY643" s="34"/>
      <c r="DZ643" s="34"/>
      <c r="EA643" s="34"/>
      <c r="EB643" s="34"/>
      <c r="EC643" s="34"/>
      <c r="ED643" s="34"/>
      <c r="EE643" s="34"/>
    </row>
    <row r="644" spans="1:135" customFormat="1">
      <c r="A644" s="71">
        <f>'Old Data'!$I640-'Old Data'!$S640</f>
        <v>207</v>
      </c>
      <c r="B644" s="72">
        <f>VLOOKUP('Old Data'!$F640,$R$6:$T$135,2,FALSE)+VLOOKUP('Old Data'!$P640,$R$6:$T$135,3,FALSE)+$B$2</f>
        <v>195.00677341628338</v>
      </c>
      <c r="C644" s="72">
        <f>VLOOKUP('Old Data'!$P640,$R$6:$T$135,2,FALSE)+VLOOKUP('Old Data'!$F640,$R$6:$T$135,3,FALSE)+$B$2</f>
        <v>149.18731053087444</v>
      </c>
      <c r="D644" s="74">
        <f>('Old Data'!$I640-$B644)^2+('Old Data'!$S640-$C644)^2</f>
        <v>19811.39378474584</v>
      </c>
      <c r="E644" s="75">
        <f>'Old Data'!$K640-'Old Data'!$U640</f>
        <v>121</v>
      </c>
      <c r="F644" s="72">
        <f>VLOOKUP('Old Data'!$F640,$V$6:$X$135,2,FALSE)+VLOOKUP('Old Data'!$P640,$V$6:$X$135,3,FALSE)+$C$2</f>
        <v>198.7670595372548</v>
      </c>
      <c r="G644" s="72">
        <f>VLOOKUP('Old Data'!$P640,$V$6:$X$135,2,FALSE)+VLOOKUP('Old Data'!$F640,$V$6:$X$135,3,FALSE)+$C$2</f>
        <v>221.36138568384001</v>
      </c>
      <c r="H644" s="74">
        <f>('Old Data'!$K640-$F644)^2+('Old Data'!$U640-$G644)^2</f>
        <v>10670.705478863794</v>
      </c>
      <c r="I644" s="75">
        <f>('Old Data'!$L640+'Old Data'!$M640)-('Old Data'!$V640+'Old Data'!$W640)</f>
        <v>-215</v>
      </c>
      <c r="J644" s="72">
        <f>VLOOKUP('Old Data'!$F640,$Z$6:$AB$135,2,FALSE)+VLOOKUP('Old Data'!$P640,$Z$6:$AB$135,3,FALSE)+$D$2</f>
        <v>60.0839668504901</v>
      </c>
      <c r="K644" s="72">
        <f>VLOOKUP('Old Data'!$P640,$Z$6:$AB$135,2,FALSE)+VLOOKUP('Old Data'!$F640,$Z$6:$AB$135,3,FALSE)+$D$2</f>
        <v>143.4250778550803</v>
      </c>
      <c r="L644" s="74">
        <f>('Old Data'!$L640+'Old Data'!$M640-$J644)^2+('Old Data'!$V640+'Old Data'!$W640-$K644)^2</f>
        <v>16541.021456107082</v>
      </c>
      <c r="M644" s="75">
        <f>'Old Data'!$N640-'Old Data'!$X640</f>
        <v>3</v>
      </c>
      <c r="N644" s="72">
        <f>VLOOKUP('Old Data'!$F640,$AD$6:$AF$135,2,FALSE)+VLOOKUP('Old Data'!$P640,$AD$6:$AF$135,3,FALSE)+$E$2</f>
        <v>2.6255158413537583</v>
      </c>
      <c r="O644" s="72">
        <f>VLOOKUP('Old Data'!$P640,$AD$6:$AF$135,2,FALSE)+VLOOKUP('Old Data'!$F640,$AD$6:$AF$135,3,FALSE)+$E$2</f>
        <v>1.4834197388957611</v>
      </c>
      <c r="P644" s="73">
        <f>('Old Data'!$N640-$N644)^2+('Old Data'!$X640-$O644)^2</f>
        <v>2.3407725068225518</v>
      </c>
      <c r="Q644" s="62"/>
      <c r="R644" s="3"/>
      <c r="S644" s="3"/>
      <c r="T644" s="3"/>
      <c r="V644" s="3"/>
      <c r="W644" s="3"/>
      <c r="X644" s="3"/>
      <c r="Z644" s="3"/>
      <c r="AA644" s="3"/>
      <c r="AB644" s="3"/>
      <c r="AC644" s="3"/>
      <c r="AD644" s="3"/>
      <c r="AE644" s="3"/>
      <c r="AF644" s="3"/>
      <c r="AG644" s="3"/>
      <c r="AH644" s="37"/>
      <c r="AI644" s="1"/>
      <c r="AK644" s="10"/>
      <c r="AL644" s="10"/>
      <c r="AM644" s="10"/>
      <c r="AN644" s="11"/>
      <c r="AO644" s="11"/>
      <c r="AP644" s="11"/>
      <c r="AQ644" s="36"/>
      <c r="AR644" s="11"/>
      <c r="AS644" s="11"/>
      <c r="AT644" s="11"/>
      <c r="AU644" s="12"/>
      <c r="AV644" s="11"/>
      <c r="AW644" s="11"/>
      <c r="AX644" s="15"/>
      <c r="AY644" s="15"/>
      <c r="AZ644" s="15"/>
      <c r="BA644" s="15"/>
      <c r="BB644" s="15"/>
      <c r="BC644" s="15"/>
      <c r="BD644" s="15"/>
      <c r="BE644" s="12"/>
      <c r="BF644" s="11"/>
      <c r="BG644" s="11"/>
      <c r="BH644" s="10"/>
      <c r="BI644" s="10"/>
      <c r="BJ644" s="10"/>
      <c r="BK644" s="23"/>
      <c r="BL644" s="23"/>
      <c r="BM644" s="23"/>
      <c r="BN644" s="23"/>
      <c r="BO644" s="23"/>
      <c r="BP644" s="23"/>
      <c r="BQ644" s="23"/>
      <c r="BR644" s="10"/>
      <c r="BS644" s="16"/>
      <c r="BT644" s="16"/>
      <c r="BU644" s="16"/>
      <c r="BV644" s="16"/>
      <c r="BW644" s="11"/>
      <c r="BX644" s="16"/>
      <c r="BY644" s="16"/>
      <c r="BZ644" s="17"/>
      <c r="CA644" s="18"/>
      <c r="CB644" s="18"/>
      <c r="CC644" s="18"/>
      <c r="CD644" s="18"/>
      <c r="CE644" s="18"/>
      <c r="CF644" s="18"/>
      <c r="CG644" s="19"/>
      <c r="CH644" s="15"/>
      <c r="CI644" s="17"/>
      <c r="CJ644" s="10"/>
      <c r="CK644" s="10"/>
      <c r="CL644" s="10"/>
      <c r="CM644" s="17"/>
      <c r="CN644" s="17"/>
      <c r="CO644" s="10"/>
      <c r="CP644" s="10"/>
      <c r="CQ644" s="10"/>
      <c r="CR644" s="10"/>
      <c r="CS644" s="10"/>
      <c r="CT644" s="10"/>
      <c r="CU644" s="10"/>
      <c r="CV644" s="10"/>
      <c r="CW644" s="10"/>
      <c r="CX644" s="10"/>
      <c r="CY644" s="10"/>
      <c r="CZ644" s="10"/>
      <c r="DA644" s="34"/>
      <c r="DB644" s="34"/>
      <c r="DC644" s="34"/>
      <c r="DD644" s="34"/>
      <c r="DE644" s="34"/>
      <c r="DF644" s="34"/>
      <c r="DG644" s="34"/>
      <c r="DH644" s="34"/>
      <c r="DI644" s="34"/>
      <c r="DJ644" s="34"/>
      <c r="DK644" s="34"/>
      <c r="DL644" s="34"/>
      <c r="DM644" s="34"/>
      <c r="DN644" s="34"/>
      <c r="DO644" s="34"/>
      <c r="DP644" s="34"/>
      <c r="DQ644" s="34"/>
      <c r="DR644" s="34"/>
      <c r="DS644" s="34"/>
      <c r="DT644" s="34"/>
      <c r="DU644" s="34"/>
      <c r="DV644" s="34"/>
      <c r="DW644" s="34"/>
      <c r="DX644" s="34"/>
      <c r="DY644" s="34"/>
      <c r="DZ644" s="34"/>
      <c r="EA644" s="34"/>
      <c r="EB644" s="34"/>
      <c r="EC644" s="34"/>
      <c r="ED644" s="34"/>
      <c r="EE644" s="34"/>
    </row>
    <row r="645" spans="1:135" customFormat="1">
      <c r="A645" s="71">
        <f>'Old Data'!$I641-'Old Data'!$S641</f>
        <v>-158</v>
      </c>
      <c r="B645" s="72">
        <f>VLOOKUP('Old Data'!$F641,$R$6:$T$135,2,FALSE)+VLOOKUP('Old Data'!$P641,$R$6:$T$135,3,FALSE)+$B$2</f>
        <v>114.72350933936863</v>
      </c>
      <c r="C645" s="72">
        <f>VLOOKUP('Old Data'!$P641,$R$6:$T$135,2,FALSE)+VLOOKUP('Old Data'!$F641,$R$6:$T$135,3,FALSE)+$B$2</f>
        <v>145.74375671918398</v>
      </c>
      <c r="D645" s="74">
        <f>('Old Data'!$I641-$B645)^2+('Old Data'!$S641-$C645)^2</f>
        <v>8588.9904704000674</v>
      </c>
      <c r="E645" s="75">
        <f>'Old Data'!$K641-'Old Data'!$U641</f>
        <v>198</v>
      </c>
      <c r="F645" s="72">
        <f>VLOOKUP('Old Data'!$F641,$V$6:$X$135,2,FALSE)+VLOOKUP('Old Data'!$P641,$V$6:$X$135,3,FALSE)+$C$2</f>
        <v>439.06652957905396</v>
      </c>
      <c r="G645" s="72">
        <f>VLOOKUP('Old Data'!$P641,$V$6:$X$135,2,FALSE)+VLOOKUP('Old Data'!$F641,$V$6:$X$135,3,FALSE)+$C$2</f>
        <v>344.18798984337207</v>
      </c>
      <c r="H645" s="74">
        <f>('Old Data'!$K641-$F645)^2+('Old Data'!$U641-$G645)^2</f>
        <v>31938.756187010451</v>
      </c>
      <c r="I645" s="75">
        <f>('Old Data'!$L641+'Old Data'!$M641)-('Old Data'!$V641+'Old Data'!$W641)</f>
        <v>36</v>
      </c>
      <c r="J645" s="72">
        <f>VLOOKUP('Old Data'!$F641,$Z$6:$AB$135,2,FALSE)+VLOOKUP('Old Data'!$P641,$Z$6:$AB$135,3,FALSE)+$D$2</f>
        <v>107.1300820233057</v>
      </c>
      <c r="K645" s="72">
        <f>VLOOKUP('Old Data'!$P641,$Z$6:$AB$135,2,FALSE)+VLOOKUP('Old Data'!$F641,$Z$6:$AB$135,3,FALSE)+$D$2</f>
        <v>66.091567869791035</v>
      </c>
      <c r="L645" s="74">
        <f>('Old Data'!$L641+'Old Data'!$M641-$J645)^2+('Old Data'!$V641+'Old Data'!$W641-$K645)^2</f>
        <v>8622.2540127708126</v>
      </c>
      <c r="M645" s="75">
        <f>'Old Data'!$N641-'Old Data'!$X641</f>
        <v>-4</v>
      </c>
      <c r="N645" s="72">
        <f>VLOOKUP('Old Data'!$F641,$AD$6:$AF$135,2,FALSE)+VLOOKUP('Old Data'!$P641,$AD$6:$AF$135,3,FALSE)+$E$2</f>
        <v>0.51408618418577701</v>
      </c>
      <c r="O645" s="72">
        <f>VLOOKUP('Old Data'!$P641,$AD$6:$AF$135,2,FALSE)+VLOOKUP('Old Data'!$F641,$AD$6:$AF$135,3,FALSE)+$E$2</f>
        <v>1.9091557070938043</v>
      </c>
      <c r="P645" s="73">
        <f>('Old Data'!$N641-$N645)^2+('Old Data'!$X641-$O645)^2</f>
        <v>9.789430679389941</v>
      </c>
      <c r="Q645" s="62"/>
      <c r="R645" s="3"/>
      <c r="S645" s="3"/>
      <c r="T645" s="3"/>
      <c r="V645" s="3"/>
      <c r="W645" s="3"/>
      <c r="X645" s="3"/>
      <c r="Z645" s="3"/>
      <c r="AA645" s="3"/>
      <c r="AB645" s="3"/>
      <c r="AC645" s="3"/>
      <c r="AD645" s="3"/>
      <c r="AE645" s="3"/>
      <c r="AF645" s="3"/>
      <c r="AG645" s="3"/>
      <c r="AH645" s="37"/>
      <c r="AI645" s="1"/>
      <c r="AK645" s="10"/>
      <c r="AL645" s="10"/>
      <c r="AM645" s="10"/>
      <c r="AN645" s="11"/>
      <c r="AO645" s="11"/>
      <c r="AP645" s="11"/>
      <c r="AQ645" s="36"/>
      <c r="AR645" s="11"/>
      <c r="AS645" s="11"/>
      <c r="AT645" s="11"/>
      <c r="AU645" s="12"/>
      <c r="AV645" s="11"/>
      <c r="AW645" s="11"/>
      <c r="AX645" s="15"/>
      <c r="AY645" s="15"/>
      <c r="AZ645" s="15"/>
      <c r="BA645" s="15"/>
      <c r="BB645" s="15"/>
      <c r="BC645" s="15"/>
      <c r="BD645" s="15"/>
      <c r="BE645" s="12"/>
      <c r="BF645" s="11"/>
      <c r="BG645" s="11"/>
      <c r="BH645" s="10"/>
      <c r="BI645" s="10"/>
      <c r="BJ645" s="10"/>
      <c r="BK645" s="23"/>
      <c r="BL645" s="23"/>
      <c r="BM645" s="23"/>
      <c r="BN645" s="23"/>
      <c r="BO645" s="23"/>
      <c r="BP645" s="23"/>
      <c r="BQ645" s="23"/>
      <c r="BR645" s="10"/>
      <c r="BS645" s="16"/>
      <c r="BT645" s="16"/>
      <c r="BU645" s="16"/>
      <c r="BV645" s="16"/>
      <c r="BW645" s="11"/>
      <c r="BX645" s="16"/>
      <c r="BY645" s="16"/>
      <c r="BZ645" s="17"/>
      <c r="CA645" s="18"/>
      <c r="CB645" s="18"/>
      <c r="CC645" s="18"/>
      <c r="CD645" s="18"/>
      <c r="CE645" s="18"/>
      <c r="CF645" s="18"/>
      <c r="CG645" s="19"/>
      <c r="CH645" s="15"/>
      <c r="CI645" s="17"/>
      <c r="CJ645" s="10"/>
      <c r="CK645" s="10"/>
      <c r="CL645" s="10"/>
      <c r="CM645" s="17"/>
      <c r="CN645" s="17"/>
      <c r="CO645" s="10"/>
      <c r="CP645" s="10"/>
      <c r="CQ645" s="10"/>
      <c r="CR645" s="10"/>
      <c r="CS645" s="10"/>
      <c r="CT645" s="10"/>
      <c r="CU645" s="10"/>
      <c r="CV645" s="10"/>
      <c r="CW645" s="10"/>
      <c r="CX645" s="10"/>
      <c r="CY645" s="10"/>
      <c r="CZ645" s="10"/>
      <c r="DA645" s="34"/>
      <c r="DB645" s="34"/>
      <c r="DC645" s="34"/>
      <c r="DD645" s="34"/>
      <c r="DE645" s="34"/>
      <c r="DF645" s="34"/>
      <c r="DG645" s="34"/>
      <c r="DH645" s="34"/>
      <c r="DI645" s="34"/>
      <c r="DJ645" s="34"/>
      <c r="DK645" s="34"/>
      <c r="DL645" s="34"/>
      <c r="DM645" s="34"/>
      <c r="DN645" s="34"/>
      <c r="DO645" s="34"/>
      <c r="DP645" s="34"/>
      <c r="DQ645" s="34"/>
      <c r="DR645" s="34"/>
      <c r="DS645" s="34"/>
      <c r="DT645" s="34"/>
      <c r="DU645" s="34"/>
      <c r="DV645" s="34"/>
      <c r="DW645" s="34"/>
      <c r="DX645" s="34"/>
      <c r="DY645" s="34"/>
      <c r="DZ645" s="34"/>
      <c r="EA645" s="34"/>
      <c r="EB645" s="34"/>
      <c r="EC645" s="34"/>
      <c r="ED645" s="34"/>
      <c r="EE645" s="34"/>
    </row>
    <row r="646" spans="1:135" customFormat="1">
      <c r="A646" s="71">
        <f>'Old Data'!$I642-'Old Data'!$S642</f>
        <v>354</v>
      </c>
      <c r="B646" s="72">
        <f>VLOOKUP('Old Data'!$F642,$R$6:$T$135,2,FALSE)+VLOOKUP('Old Data'!$P642,$R$6:$T$135,3,FALSE)+$B$2</f>
        <v>264.79605116347739</v>
      </c>
      <c r="C646" s="72">
        <f>VLOOKUP('Old Data'!$P642,$R$6:$T$135,2,FALSE)+VLOOKUP('Old Data'!$F642,$R$6:$T$135,3,FALSE)+$B$2</f>
        <v>20.984043823811305</v>
      </c>
      <c r="D646" s="74">
        <f>('Old Data'!$I642-$B646)^2+('Old Data'!$S642-$C646)^2</f>
        <v>20219.665084499706</v>
      </c>
      <c r="E646" s="75">
        <f>'Old Data'!$K642-'Old Data'!$U642</f>
        <v>-123</v>
      </c>
      <c r="F646" s="72">
        <f>VLOOKUP('Old Data'!$F642,$V$6:$X$135,2,FALSE)+VLOOKUP('Old Data'!$P642,$V$6:$X$135,3,FALSE)+$C$2</f>
        <v>257.3777323703348</v>
      </c>
      <c r="G646" s="72">
        <f>VLOOKUP('Old Data'!$P642,$V$6:$X$135,2,FALSE)+VLOOKUP('Old Data'!$F642,$V$6:$X$135,3,FALSE)+$C$2</f>
        <v>267.98260465621343</v>
      </c>
      <c r="H646" s="74">
        <f>('Old Data'!$K642-$F646)^2+('Old Data'!$U642-$G646)^2</f>
        <v>6322.9559402169853</v>
      </c>
      <c r="I646" s="75">
        <f>('Old Data'!$L642+'Old Data'!$M642)-('Old Data'!$V642+'Old Data'!$W642)</f>
        <v>22</v>
      </c>
      <c r="J646" s="72">
        <f>VLOOKUP('Old Data'!$F642,$Z$6:$AB$135,2,FALSE)+VLOOKUP('Old Data'!$P642,$Z$6:$AB$135,3,FALSE)+$D$2</f>
        <v>43.593495643404296</v>
      </c>
      <c r="K646" s="72">
        <f>VLOOKUP('Old Data'!$P642,$Z$6:$AB$135,2,FALSE)+VLOOKUP('Old Data'!$F642,$Z$6:$AB$135,3,FALSE)+$D$2</f>
        <v>23.41937488334468</v>
      </c>
      <c r="L646" s="74">
        <f>('Old Data'!$L642+'Old Data'!$M642-$J646)^2+('Old Data'!$V642+'Old Data'!$W642-$K646)^2</f>
        <v>1014.7461740283559</v>
      </c>
      <c r="M646" s="75">
        <f>'Old Data'!$N642-'Old Data'!$X642</f>
        <v>-3</v>
      </c>
      <c r="N646" s="72">
        <f>VLOOKUP('Old Data'!$F642,$AD$6:$AF$135,2,FALSE)+VLOOKUP('Old Data'!$P642,$AD$6:$AF$135,3,FALSE)+$E$2</f>
        <v>1.7922031668314931</v>
      </c>
      <c r="O646" s="72">
        <f>VLOOKUP('Old Data'!$P642,$AD$6:$AF$135,2,FALSE)+VLOOKUP('Old Data'!$F642,$AD$6:$AF$135,3,FALSE)+$E$2</f>
        <v>1.3336254407713053</v>
      </c>
      <c r="P646" s="73">
        <f>('Old Data'!$N642-$N646)^2+('Old Data'!$X642-$O646)^2</f>
        <v>7.737139147639863</v>
      </c>
      <c r="Q646" s="62"/>
      <c r="R646" s="3"/>
      <c r="S646" s="3"/>
      <c r="T646" s="3"/>
      <c r="V646" s="3"/>
      <c r="W646" s="3"/>
      <c r="X646" s="3"/>
      <c r="Z646" s="3"/>
      <c r="AA646" s="3"/>
      <c r="AB646" s="3"/>
      <c r="AC646" s="3"/>
      <c r="AD646" s="3"/>
      <c r="AE646" s="3"/>
      <c r="AF646" s="3"/>
      <c r="AG646" s="3"/>
      <c r="AH646" s="37"/>
      <c r="AI646" s="1"/>
      <c r="AK646" s="10"/>
      <c r="AL646" s="10"/>
      <c r="AM646" s="10"/>
      <c r="AN646" s="11"/>
      <c r="AO646" s="11"/>
      <c r="AP646" s="11"/>
      <c r="AQ646" s="36"/>
      <c r="AR646" s="11"/>
      <c r="AS646" s="11"/>
      <c r="AT646" s="11"/>
      <c r="AU646" s="12"/>
      <c r="AV646" s="11"/>
      <c r="AW646" s="11"/>
      <c r="AX646" s="15"/>
      <c r="AY646" s="15"/>
      <c r="AZ646" s="15"/>
      <c r="BA646" s="15"/>
      <c r="BB646" s="15"/>
      <c r="BC646" s="15"/>
      <c r="BD646" s="15"/>
      <c r="BE646" s="12"/>
      <c r="BF646" s="11"/>
      <c r="BG646" s="11"/>
      <c r="BH646" s="10"/>
      <c r="BI646" s="10"/>
      <c r="BJ646" s="10"/>
      <c r="BK646" s="23"/>
      <c r="BL646" s="23"/>
      <c r="BM646" s="23"/>
      <c r="BN646" s="23"/>
      <c r="BO646" s="23"/>
      <c r="BP646" s="23"/>
      <c r="BQ646" s="23"/>
      <c r="BR646" s="10"/>
      <c r="BS646" s="16"/>
      <c r="BT646" s="16"/>
      <c r="BU646" s="16"/>
      <c r="BV646" s="16"/>
      <c r="BW646" s="11"/>
      <c r="BX646" s="16"/>
      <c r="BY646" s="16"/>
      <c r="BZ646" s="17"/>
      <c r="CA646" s="18"/>
      <c r="CB646" s="18"/>
      <c r="CC646" s="18"/>
      <c r="CD646" s="18"/>
      <c r="CE646" s="18"/>
      <c r="CF646" s="18"/>
      <c r="CG646" s="19"/>
      <c r="CH646" s="15"/>
      <c r="CI646" s="17"/>
      <c r="CJ646" s="10"/>
      <c r="CK646" s="10"/>
      <c r="CL646" s="10"/>
      <c r="CM646" s="17"/>
      <c r="CN646" s="17"/>
      <c r="CO646" s="10"/>
      <c r="CP646" s="10"/>
      <c r="CQ646" s="10"/>
      <c r="CR646" s="10"/>
      <c r="CS646" s="10"/>
      <c r="CT646" s="10"/>
      <c r="CU646" s="10"/>
      <c r="CV646" s="10"/>
      <c r="CW646" s="10"/>
      <c r="CX646" s="10"/>
      <c r="CY646" s="10"/>
      <c r="CZ646" s="10"/>
      <c r="DA646" s="34"/>
      <c r="DB646" s="34"/>
      <c r="DC646" s="34"/>
      <c r="DD646" s="34"/>
      <c r="DE646" s="34"/>
      <c r="DF646" s="34"/>
      <c r="DG646" s="34"/>
      <c r="DH646" s="34"/>
      <c r="DI646" s="34"/>
      <c r="DJ646" s="34"/>
      <c r="DK646" s="34"/>
      <c r="DL646" s="34"/>
      <c r="DM646" s="34"/>
      <c r="DN646" s="34"/>
      <c r="DO646" s="34"/>
      <c r="DP646" s="34"/>
      <c r="DQ646" s="34"/>
      <c r="DR646" s="34"/>
      <c r="DS646" s="34"/>
      <c r="DT646" s="34"/>
      <c r="DU646" s="34"/>
      <c r="DV646" s="34"/>
      <c r="DW646" s="34"/>
      <c r="DX646" s="34"/>
      <c r="DY646" s="34"/>
      <c r="DZ646" s="34"/>
      <c r="EA646" s="34"/>
      <c r="EB646" s="34"/>
      <c r="EC646" s="34"/>
      <c r="ED646" s="34"/>
      <c r="EE646" s="34"/>
    </row>
    <row r="647" spans="1:135" customFormat="1">
      <c r="A647" s="71">
        <f>'Old Data'!$I643-'Old Data'!$S643</f>
        <v>-69</v>
      </c>
      <c r="B647" s="72">
        <f>VLOOKUP('Old Data'!$F643,$R$6:$T$135,2,FALSE)+VLOOKUP('Old Data'!$P643,$R$6:$T$135,3,FALSE)+$B$2</f>
        <v>88.504653151283506</v>
      </c>
      <c r="C647" s="72">
        <f>VLOOKUP('Old Data'!$P643,$R$6:$T$135,2,FALSE)+VLOOKUP('Old Data'!$F643,$R$6:$T$135,3,FALSE)+$B$2</f>
        <v>234.36579616119042</v>
      </c>
      <c r="D647" s="74">
        <f>('Old Data'!$I643-$B647)^2+('Old Data'!$S643-$C647)^2</f>
        <v>23329.656805204733</v>
      </c>
      <c r="E647" s="75">
        <f>'Old Data'!$K643-'Old Data'!$U643</f>
        <v>111</v>
      </c>
      <c r="F647" s="72">
        <f>VLOOKUP('Old Data'!$F643,$V$6:$X$135,2,FALSE)+VLOOKUP('Old Data'!$P643,$V$6:$X$135,3,FALSE)+$C$2</f>
        <v>254.46530695597352</v>
      </c>
      <c r="G647" s="72">
        <f>VLOOKUP('Old Data'!$P643,$V$6:$X$135,2,FALSE)+VLOOKUP('Old Data'!$F643,$V$6:$X$135,3,FALSE)+$C$2</f>
        <v>211.91544594978728</v>
      </c>
      <c r="H647" s="74">
        <f>('Old Data'!$K643-$F647)^2+('Old Data'!$U643-$G647)^2</f>
        <v>3013.1953930106852</v>
      </c>
      <c r="I647" s="75">
        <f>('Old Data'!$L643+'Old Data'!$M643)-('Old Data'!$V643+'Old Data'!$W643)</f>
        <v>-22</v>
      </c>
      <c r="J647" s="72">
        <f>VLOOKUP('Old Data'!$F643,$Z$6:$AB$135,2,FALSE)+VLOOKUP('Old Data'!$P643,$Z$6:$AB$135,3,FALSE)+$D$2</f>
        <v>54.508481031591103</v>
      </c>
      <c r="K647" s="72">
        <f>VLOOKUP('Old Data'!$P643,$Z$6:$AB$135,2,FALSE)+VLOOKUP('Old Data'!$F643,$Z$6:$AB$135,3,FALSE)+$D$2</f>
        <v>28.626704804798919</v>
      </c>
      <c r="L647" s="74">
        <f>('Old Data'!$L643+'Old Data'!$M643-$J647)^2+('Old Data'!$V643+'Old Data'!$W643-$K647)^2</f>
        <v>1622.6506239933901</v>
      </c>
      <c r="M647" s="75">
        <f>'Old Data'!$N643-'Old Data'!$X643</f>
        <v>0</v>
      </c>
      <c r="N647" s="72">
        <f>VLOOKUP('Old Data'!$F643,$AD$6:$AF$135,2,FALSE)+VLOOKUP('Old Data'!$P643,$AD$6:$AF$135,3,FALSE)+$E$2</f>
        <v>1.2073592307655221</v>
      </c>
      <c r="O647" s="72">
        <f>VLOOKUP('Old Data'!$P643,$AD$6:$AF$135,2,FALSE)+VLOOKUP('Old Data'!$F643,$AD$6:$AF$135,3,FALSE)+$E$2</f>
        <v>2.0057068955337716</v>
      </c>
      <c r="P647" s="73">
        <f>('Old Data'!$N643-$N647)^2+('Old Data'!$X643-$O647)^2</f>
        <v>5.4805764629064333</v>
      </c>
      <c r="Q647" s="62"/>
      <c r="R647" s="3"/>
      <c r="S647" s="3"/>
      <c r="T647" s="3"/>
      <c r="V647" s="3"/>
      <c r="W647" s="3"/>
      <c r="X647" s="3"/>
      <c r="Z647" s="3"/>
      <c r="AA647" s="3"/>
      <c r="AB647" s="3"/>
      <c r="AC647" s="3"/>
      <c r="AD647" s="3"/>
      <c r="AE647" s="3"/>
      <c r="AF647" s="3"/>
      <c r="AG647" s="3"/>
      <c r="AH647" s="37"/>
      <c r="AI647" s="1"/>
      <c r="AK647" s="10"/>
      <c r="AL647" s="10"/>
      <c r="AM647" s="10"/>
      <c r="AN647" s="11"/>
      <c r="AO647" s="11"/>
      <c r="AP647" s="11"/>
      <c r="AQ647" s="36"/>
      <c r="AR647" s="11"/>
      <c r="AS647" s="11"/>
      <c r="AT647" s="11"/>
      <c r="AU647" s="12"/>
      <c r="AV647" s="11"/>
      <c r="AW647" s="11"/>
      <c r="AX647" s="15"/>
      <c r="AY647" s="15"/>
      <c r="AZ647" s="15"/>
      <c r="BA647" s="15"/>
      <c r="BB647" s="15"/>
      <c r="BC647" s="15"/>
      <c r="BD647" s="15"/>
      <c r="BE647" s="12"/>
      <c r="BF647" s="11"/>
      <c r="BG647" s="11"/>
      <c r="BH647" s="10"/>
      <c r="BI647" s="10"/>
      <c r="BJ647" s="10"/>
      <c r="BK647" s="23"/>
      <c r="BL647" s="23"/>
      <c r="BM647" s="23"/>
      <c r="BN647" s="23"/>
      <c r="BO647" s="23"/>
      <c r="BP647" s="23"/>
      <c r="BQ647" s="23"/>
      <c r="BR647" s="10"/>
      <c r="BS647" s="16"/>
      <c r="BT647" s="16"/>
      <c r="BU647" s="16"/>
      <c r="BV647" s="16"/>
      <c r="BW647" s="11"/>
      <c r="BX647" s="16"/>
      <c r="BY647" s="16"/>
      <c r="BZ647" s="17"/>
      <c r="CA647" s="18"/>
      <c r="CB647" s="18"/>
      <c r="CC647" s="18"/>
      <c r="CD647" s="18"/>
      <c r="CE647" s="18"/>
      <c r="CF647" s="18"/>
      <c r="CG647" s="19"/>
      <c r="CH647" s="15"/>
      <c r="CI647" s="17"/>
      <c r="CJ647" s="10"/>
      <c r="CK647" s="10"/>
      <c r="CL647" s="10"/>
      <c r="CM647" s="17"/>
      <c r="CN647" s="17"/>
      <c r="CO647" s="10"/>
      <c r="CP647" s="10"/>
      <c r="CQ647" s="10"/>
      <c r="CR647" s="10"/>
      <c r="CS647" s="10"/>
      <c r="CT647" s="10"/>
      <c r="CU647" s="10"/>
      <c r="CV647" s="10"/>
      <c r="CW647" s="10"/>
      <c r="CX647" s="10"/>
      <c r="CY647" s="10"/>
      <c r="CZ647" s="10"/>
      <c r="DA647" s="34"/>
      <c r="DB647" s="34"/>
      <c r="DC647" s="34"/>
      <c r="DD647" s="34"/>
      <c r="DE647" s="34"/>
      <c r="DF647" s="34"/>
      <c r="DG647" s="34"/>
      <c r="DH647" s="34"/>
      <c r="DI647" s="34"/>
      <c r="DJ647" s="34"/>
      <c r="DK647" s="34"/>
      <c r="DL647" s="34"/>
      <c r="DM647" s="34"/>
      <c r="DN647" s="34"/>
      <c r="DO647" s="34"/>
      <c r="DP647" s="34"/>
      <c r="DQ647" s="34"/>
      <c r="DR647" s="34"/>
      <c r="DS647" s="34"/>
      <c r="DT647" s="34"/>
      <c r="DU647" s="34"/>
      <c r="DV647" s="34"/>
      <c r="DW647" s="34"/>
      <c r="DX647" s="34"/>
      <c r="DY647" s="34"/>
      <c r="DZ647" s="34"/>
      <c r="EA647" s="34"/>
      <c r="EB647" s="34"/>
      <c r="EC647" s="34"/>
      <c r="ED647" s="34"/>
      <c r="EE647" s="34"/>
    </row>
    <row r="648" spans="1:135" customFormat="1">
      <c r="A648" s="71">
        <f>'Old Data'!$I644-'Old Data'!$S644</f>
        <v>7</v>
      </c>
      <c r="B648" s="72">
        <f>VLOOKUP('Old Data'!$F644,$R$6:$T$135,2,FALSE)+VLOOKUP('Old Data'!$P644,$R$6:$T$135,3,FALSE)+$B$2</f>
        <v>141.12351632966721</v>
      </c>
      <c r="C648" s="72">
        <f>VLOOKUP('Old Data'!$P644,$R$6:$T$135,2,FALSE)+VLOOKUP('Old Data'!$F644,$R$6:$T$135,3,FALSE)+$B$2</f>
        <v>230.79068942187729</v>
      </c>
      <c r="D648" s="74">
        <f>('Old Data'!$I644-$B648)^2+('Old Data'!$S644-$C648)^2</f>
        <v>4786.0617708730188</v>
      </c>
      <c r="E648" s="75">
        <f>'Old Data'!$K644-'Old Data'!$U644</f>
        <v>-127</v>
      </c>
      <c r="F648" s="72">
        <f>VLOOKUP('Old Data'!$F644,$V$6:$X$135,2,FALSE)+VLOOKUP('Old Data'!$P644,$V$6:$X$135,3,FALSE)+$C$2</f>
        <v>193.21599649601771</v>
      </c>
      <c r="G648" s="72">
        <f>VLOOKUP('Old Data'!$P644,$V$6:$X$135,2,FALSE)+VLOOKUP('Old Data'!$F644,$V$6:$X$135,3,FALSE)+$C$2</f>
        <v>297.55649744875478</v>
      </c>
      <c r="H648" s="74">
        <f>('Old Data'!$K644-$F648)^2+('Old Data'!$U644-$G648)^2</f>
        <v>1727.0376550213227</v>
      </c>
      <c r="I648" s="75">
        <f>('Old Data'!$L644+'Old Data'!$M644)-('Old Data'!$V644+'Old Data'!$W644)</f>
        <v>30</v>
      </c>
      <c r="J648" s="72">
        <f>VLOOKUP('Old Data'!$F644,$Z$6:$AB$135,2,FALSE)+VLOOKUP('Old Data'!$P644,$Z$6:$AB$135,3,FALSE)+$D$2</f>
        <v>72.922060157468763</v>
      </c>
      <c r="K648" s="72">
        <f>VLOOKUP('Old Data'!$P644,$Z$6:$AB$135,2,FALSE)+VLOOKUP('Old Data'!$F644,$Z$6:$AB$135,3,FALSE)+$D$2</f>
        <v>25.948047722264945</v>
      </c>
      <c r="L648" s="74">
        <f>('Old Data'!$L644+'Old Data'!$M644-$J648)^2+('Old Data'!$V644+'Old Data'!$W644-$K648)^2</f>
        <v>620.54032932842563</v>
      </c>
      <c r="M648" s="75">
        <f>'Old Data'!$N644-'Old Data'!$X644</f>
        <v>-2</v>
      </c>
      <c r="N648" s="72">
        <f>VLOOKUP('Old Data'!$F644,$AD$6:$AF$135,2,FALSE)+VLOOKUP('Old Data'!$P644,$AD$6:$AF$135,3,FALSE)+$E$2</f>
        <v>0.69162762648683707</v>
      </c>
      <c r="O648" s="72">
        <f>VLOOKUP('Old Data'!$P644,$AD$6:$AF$135,2,FALSE)+VLOOKUP('Old Data'!$F644,$AD$6:$AF$135,3,FALSE)+$E$2</f>
        <v>3.0597813006217569</v>
      </c>
      <c r="P648" s="73">
        <f>('Old Data'!$N644-$N648)^2+('Old Data'!$X644-$O648)^2</f>
        <v>9.8667324650170543E-2</v>
      </c>
      <c r="Q648" s="62"/>
      <c r="R648" s="3"/>
      <c r="S648" s="3"/>
      <c r="T648" s="3"/>
      <c r="V648" s="3"/>
      <c r="W648" s="3"/>
      <c r="X648" s="3"/>
      <c r="Z648" s="3"/>
      <c r="AA648" s="3"/>
      <c r="AB648" s="3"/>
      <c r="AC648" s="3"/>
      <c r="AD648" s="3"/>
      <c r="AE648" s="3"/>
      <c r="AF648" s="3"/>
      <c r="AG648" s="3"/>
      <c r="AH648" s="37"/>
      <c r="AI648" s="1"/>
      <c r="AK648" s="10"/>
      <c r="AL648" s="10"/>
      <c r="AM648" s="10"/>
      <c r="AN648" s="11"/>
      <c r="AO648" s="11"/>
      <c r="AP648" s="11"/>
      <c r="AQ648" s="36"/>
      <c r="AR648" s="11"/>
      <c r="AS648" s="11"/>
      <c r="AT648" s="11"/>
      <c r="AU648" s="12"/>
      <c r="AV648" s="11"/>
      <c r="AW648" s="11"/>
      <c r="AX648" s="15"/>
      <c r="AY648" s="15"/>
      <c r="AZ648" s="15"/>
      <c r="BA648" s="15"/>
      <c r="BB648" s="15"/>
      <c r="BC648" s="15"/>
      <c r="BD648" s="15"/>
      <c r="BE648" s="12"/>
      <c r="BF648" s="11"/>
      <c r="BG648" s="11"/>
      <c r="BH648" s="10"/>
      <c r="BI648" s="10"/>
      <c r="BJ648" s="10"/>
      <c r="BK648" s="23"/>
      <c r="BL648" s="23"/>
      <c r="BM648" s="23"/>
      <c r="BN648" s="23"/>
      <c r="BO648" s="23"/>
      <c r="BP648" s="23"/>
      <c r="BQ648" s="23"/>
      <c r="BR648" s="10"/>
      <c r="BS648" s="16"/>
      <c r="BT648" s="16"/>
      <c r="BU648" s="16"/>
      <c r="BV648" s="16"/>
      <c r="BW648" s="11"/>
      <c r="BX648" s="16"/>
      <c r="BY648" s="16"/>
      <c r="BZ648" s="17"/>
      <c r="CA648" s="18"/>
      <c r="CB648" s="18"/>
      <c r="CC648" s="18"/>
      <c r="CD648" s="18"/>
      <c r="CE648" s="18"/>
      <c r="CF648" s="18"/>
      <c r="CG648" s="19"/>
      <c r="CH648" s="15"/>
      <c r="CI648" s="17"/>
      <c r="CJ648" s="10"/>
      <c r="CK648" s="10"/>
      <c r="CL648" s="10"/>
      <c r="CM648" s="17"/>
      <c r="CN648" s="17"/>
      <c r="CO648" s="10"/>
      <c r="CP648" s="10"/>
      <c r="CQ648" s="10"/>
      <c r="CR648" s="10"/>
      <c r="CS648" s="10"/>
      <c r="CT648" s="10"/>
      <c r="CU648" s="10"/>
      <c r="CV648" s="10"/>
      <c r="CW648" s="10"/>
      <c r="CX648" s="10"/>
      <c r="CY648" s="10"/>
      <c r="CZ648" s="10"/>
      <c r="DA648" s="34"/>
      <c r="DB648" s="34"/>
      <c r="DC648" s="34"/>
      <c r="DD648" s="34"/>
      <c r="DE648" s="34"/>
      <c r="DF648" s="34"/>
      <c r="DG648" s="34"/>
      <c r="DH648" s="34"/>
      <c r="DI648" s="34"/>
      <c r="DJ648" s="34"/>
      <c r="DK648" s="34"/>
      <c r="DL648" s="34"/>
      <c r="DM648" s="34"/>
      <c r="DN648" s="34"/>
      <c r="DO648" s="34"/>
      <c r="DP648" s="34"/>
      <c r="DQ648" s="34"/>
      <c r="DR648" s="34"/>
      <c r="DS648" s="34"/>
      <c r="DT648" s="34"/>
      <c r="DU648" s="34"/>
      <c r="DV648" s="34"/>
      <c r="DW648" s="34"/>
      <c r="DX648" s="34"/>
      <c r="DY648" s="34"/>
      <c r="DZ648" s="34"/>
      <c r="EA648" s="34"/>
      <c r="EB648" s="34"/>
      <c r="EC648" s="34"/>
      <c r="ED648" s="34"/>
      <c r="EE648" s="34"/>
    </row>
    <row r="649" spans="1:135" customFormat="1">
      <c r="A649" s="71">
        <f>'Old Data'!$I645-'Old Data'!$S645</f>
        <v>-148</v>
      </c>
      <c r="B649" s="72">
        <f>VLOOKUP('Old Data'!$F645,$R$6:$T$135,2,FALSE)+VLOOKUP('Old Data'!$P645,$R$6:$T$135,3,FALSE)+$B$2</f>
        <v>86.432967194000696</v>
      </c>
      <c r="C649" s="72">
        <f>VLOOKUP('Old Data'!$P645,$R$6:$T$135,2,FALSE)+VLOOKUP('Old Data'!$F645,$R$6:$T$135,3,FALSE)+$B$2</f>
        <v>179.60128084532101</v>
      </c>
      <c r="D649" s="74">
        <f>('Old Data'!$I645-$B649)^2+('Old Data'!$S645-$C649)^2</f>
        <v>2301.8875788112232</v>
      </c>
      <c r="E649" s="75">
        <f>'Old Data'!$K645-'Old Data'!$U645</f>
        <v>41</v>
      </c>
      <c r="F649" s="72">
        <f>VLOOKUP('Old Data'!$F645,$V$6:$X$135,2,FALSE)+VLOOKUP('Old Data'!$P645,$V$6:$X$135,3,FALSE)+$C$2</f>
        <v>285.35505312479137</v>
      </c>
      <c r="G649" s="72">
        <f>VLOOKUP('Old Data'!$P645,$V$6:$X$135,2,FALSE)+VLOOKUP('Old Data'!$F645,$V$6:$X$135,3,FALSE)+$C$2</f>
        <v>290.61957919470944</v>
      </c>
      <c r="H649" s="74">
        <f>('Old Data'!$K645-$F649)^2+('Old Data'!$U645-$G649)^2</f>
        <v>1110.9318171211644</v>
      </c>
      <c r="I649" s="75">
        <f>('Old Data'!$L645+'Old Data'!$M645)-('Old Data'!$V645+'Old Data'!$W645)</f>
        <v>-19</v>
      </c>
      <c r="J649" s="72">
        <f>VLOOKUP('Old Data'!$F645,$Z$6:$AB$135,2,FALSE)+VLOOKUP('Old Data'!$P645,$Z$6:$AB$135,3,FALSE)+$D$2</f>
        <v>49.339851676544384</v>
      </c>
      <c r="K649" s="72">
        <f>VLOOKUP('Old Data'!$P645,$Z$6:$AB$135,2,FALSE)+VLOOKUP('Old Data'!$F645,$Z$6:$AB$135,3,FALSE)+$D$2</f>
        <v>92.721034290903901</v>
      </c>
      <c r="L649" s="74">
        <f>('Old Data'!$L645+'Old Data'!$M645-$J649)^2+('Old Data'!$V645+'Old Data'!$W645-$K649)^2</f>
        <v>5191.6951756105091</v>
      </c>
      <c r="M649" s="75">
        <f>'Old Data'!$N645-'Old Data'!$X645</f>
        <v>-2</v>
      </c>
      <c r="N649" s="72">
        <f>VLOOKUP('Old Data'!$F645,$AD$6:$AF$135,2,FALSE)+VLOOKUP('Old Data'!$P645,$AD$6:$AF$135,3,FALSE)+$E$2</f>
        <v>0.53204036808808719</v>
      </c>
      <c r="O649" s="72">
        <f>VLOOKUP('Old Data'!$P645,$AD$6:$AF$135,2,FALSE)+VLOOKUP('Old Data'!$F645,$AD$6:$AF$135,3,FALSE)+$E$2</f>
        <v>1.2445841197643519</v>
      </c>
      <c r="P649" s="73">
        <f>('Old Data'!$N645-$N649)^2+('Old Data'!$X645-$O649)^2</f>
        <v>0.85372010538750631</v>
      </c>
      <c r="Q649" s="62"/>
      <c r="R649" s="3"/>
      <c r="S649" s="3"/>
      <c r="T649" s="3"/>
      <c r="V649" s="3"/>
      <c r="W649" s="3"/>
      <c r="X649" s="3"/>
      <c r="Z649" s="3"/>
      <c r="AA649" s="3"/>
      <c r="AB649" s="3"/>
      <c r="AC649" s="3"/>
      <c r="AD649" s="3"/>
      <c r="AE649" s="3"/>
      <c r="AF649" s="3"/>
      <c r="AG649" s="3"/>
      <c r="AH649" s="37"/>
      <c r="AI649" s="1"/>
      <c r="AK649" s="10"/>
      <c r="AL649" s="10"/>
      <c r="AM649" s="10"/>
      <c r="AN649" s="11"/>
      <c r="AO649" s="11"/>
      <c r="AP649" s="11"/>
      <c r="AQ649" s="36"/>
      <c r="AR649" s="11"/>
      <c r="AS649" s="11"/>
      <c r="AT649" s="11"/>
      <c r="AU649" s="12"/>
      <c r="AV649" s="11"/>
      <c r="AW649" s="11"/>
      <c r="AX649" s="15"/>
      <c r="AY649" s="15"/>
      <c r="AZ649" s="15"/>
      <c r="BA649" s="15"/>
      <c r="BB649" s="15"/>
      <c r="BC649" s="15"/>
      <c r="BD649" s="15"/>
      <c r="BE649" s="12"/>
      <c r="BF649" s="11"/>
      <c r="BG649" s="11"/>
      <c r="BH649" s="10"/>
      <c r="BI649" s="10"/>
      <c r="BJ649" s="10"/>
      <c r="BK649" s="23"/>
      <c r="BL649" s="23"/>
      <c r="BM649" s="23"/>
      <c r="BN649" s="23"/>
      <c r="BO649" s="23"/>
      <c r="BP649" s="23"/>
      <c r="BQ649" s="23"/>
      <c r="BR649" s="10"/>
      <c r="BS649" s="16"/>
      <c r="BT649" s="16"/>
      <c r="BU649" s="16"/>
      <c r="BV649" s="16"/>
      <c r="BW649" s="11"/>
      <c r="BX649" s="16"/>
      <c r="BY649" s="16"/>
      <c r="BZ649" s="17"/>
      <c r="CA649" s="18"/>
      <c r="CB649" s="18"/>
      <c r="CC649" s="18"/>
      <c r="CD649" s="18"/>
      <c r="CE649" s="18"/>
      <c r="CF649" s="18"/>
      <c r="CG649" s="19"/>
      <c r="CH649" s="15"/>
      <c r="CI649" s="17"/>
      <c r="CJ649" s="10"/>
      <c r="CK649" s="10"/>
      <c r="CL649" s="10"/>
      <c r="CM649" s="17"/>
      <c r="CN649" s="17"/>
      <c r="CO649" s="10"/>
      <c r="CP649" s="10"/>
      <c r="CQ649" s="10"/>
      <c r="CR649" s="10"/>
      <c r="CS649" s="10"/>
      <c r="CT649" s="10"/>
      <c r="CU649" s="10"/>
      <c r="CV649" s="10"/>
      <c r="CW649" s="10"/>
      <c r="CX649" s="10"/>
      <c r="CY649" s="10"/>
      <c r="CZ649" s="10"/>
      <c r="DA649" s="34"/>
      <c r="DB649" s="34"/>
      <c r="DC649" s="34"/>
      <c r="DD649" s="34"/>
      <c r="DE649" s="34"/>
      <c r="DF649" s="34"/>
      <c r="DG649" s="34"/>
      <c r="DH649" s="34"/>
      <c r="DI649" s="34"/>
      <c r="DJ649" s="34"/>
      <c r="DK649" s="34"/>
      <c r="DL649" s="34"/>
      <c r="DM649" s="34"/>
      <c r="DN649" s="34"/>
      <c r="DO649" s="34"/>
      <c r="DP649" s="34"/>
      <c r="DQ649" s="34"/>
      <c r="DR649" s="34"/>
      <c r="DS649" s="34"/>
      <c r="DT649" s="34"/>
      <c r="DU649" s="34"/>
      <c r="DV649" s="34"/>
      <c r="DW649" s="34"/>
      <c r="DX649" s="34"/>
      <c r="DY649" s="34"/>
      <c r="DZ649" s="34"/>
      <c r="EA649" s="34"/>
      <c r="EB649" s="34"/>
      <c r="EC649" s="34"/>
      <c r="ED649" s="34"/>
      <c r="EE649" s="34"/>
    </row>
    <row r="650" spans="1:135" customFormat="1">
      <c r="A650" s="71">
        <f>'Old Data'!$I646-'Old Data'!$S646</f>
        <v>-176</v>
      </c>
      <c r="B650" s="72">
        <f>VLOOKUP('Old Data'!$F646,$R$6:$T$135,2,FALSE)+VLOOKUP('Old Data'!$P646,$R$6:$T$135,3,FALSE)+$B$2</f>
        <v>134.8616011507961</v>
      </c>
      <c r="C650" s="72">
        <f>VLOOKUP('Old Data'!$P646,$R$6:$T$135,2,FALSE)+VLOOKUP('Old Data'!$F646,$R$6:$T$135,3,FALSE)+$B$2</f>
        <v>289.53337594060781</v>
      </c>
      <c r="D650" s="74">
        <f>('Old Data'!$I646-$B650)^2+('Old Data'!$S646-$C650)^2</f>
        <v>1178.1456067378504</v>
      </c>
      <c r="E650" s="75">
        <f>'Old Data'!$K646-'Old Data'!$U646</f>
        <v>-162</v>
      </c>
      <c r="F650" s="72">
        <f>VLOOKUP('Old Data'!$F646,$V$6:$X$135,2,FALSE)+VLOOKUP('Old Data'!$P646,$V$6:$X$135,3,FALSE)+$C$2</f>
        <v>147.4160352804509</v>
      </c>
      <c r="G650" s="72">
        <f>VLOOKUP('Old Data'!$P646,$V$6:$X$135,2,FALSE)+VLOOKUP('Old Data'!$F646,$V$6:$X$135,3,FALSE)+$C$2</f>
        <v>389.74881057090204</v>
      </c>
      <c r="H650" s="74">
        <f>('Old Data'!$K646-$F650)^2+('Old Data'!$U646-$G650)^2</f>
        <v>6684.8731856727063</v>
      </c>
      <c r="I650" s="75">
        <f>('Old Data'!$L646+'Old Data'!$M646)-('Old Data'!$V646+'Old Data'!$W646)</f>
        <v>64</v>
      </c>
      <c r="J650" s="72">
        <f>VLOOKUP('Old Data'!$F646,$Z$6:$AB$135,2,FALSE)+VLOOKUP('Old Data'!$P646,$Z$6:$AB$135,3,FALSE)+$D$2</f>
        <v>151.80526295447459</v>
      </c>
      <c r="K650" s="72">
        <f>VLOOKUP('Old Data'!$P646,$Z$6:$AB$135,2,FALSE)+VLOOKUP('Old Data'!$F646,$Z$6:$AB$135,3,FALSE)+$D$2</f>
        <v>63.6275704292011</v>
      </c>
      <c r="L650" s="74">
        <f>('Old Data'!$L646+'Old Data'!$M646-$J650)^2+('Old Data'!$V646+'Old Data'!$W646-$K650)^2</f>
        <v>960.85924509634435</v>
      </c>
      <c r="M650" s="75">
        <f>'Old Data'!$N646-'Old Data'!$X646</f>
        <v>-1</v>
      </c>
      <c r="N650" s="72">
        <f>VLOOKUP('Old Data'!$F646,$AD$6:$AF$135,2,FALSE)+VLOOKUP('Old Data'!$P646,$AD$6:$AF$135,3,FALSE)+$E$2</f>
        <v>1.659824025277254</v>
      </c>
      <c r="O650" s="72">
        <f>VLOOKUP('Old Data'!$P646,$AD$6:$AF$135,2,FALSE)+VLOOKUP('Old Data'!$F646,$AD$6:$AF$135,3,FALSE)+$E$2</f>
        <v>2.1778026652828553</v>
      </c>
      <c r="P650" s="73">
        <f>('Old Data'!$N646-$N650)^2+('Old Data'!$X646-$O650)^2</f>
        <v>0.4669815321147654</v>
      </c>
      <c r="Q650" s="62"/>
      <c r="R650" s="3"/>
      <c r="S650" s="3"/>
      <c r="T650" s="3"/>
      <c r="V650" s="3"/>
      <c r="W650" s="3"/>
      <c r="X650" s="3"/>
      <c r="Z650" s="3"/>
      <c r="AA650" s="3"/>
      <c r="AB650" s="3"/>
      <c r="AC650" s="3"/>
      <c r="AD650" s="3"/>
      <c r="AE650" s="3"/>
      <c r="AF650" s="3"/>
      <c r="AG650" s="3"/>
      <c r="AH650" s="37"/>
      <c r="AI650" s="1"/>
      <c r="AK650" s="10"/>
      <c r="AL650" s="10"/>
      <c r="AM650" s="10"/>
      <c r="AN650" s="11"/>
      <c r="AO650" s="11"/>
      <c r="AP650" s="11"/>
      <c r="AQ650" s="36"/>
      <c r="AR650" s="11"/>
      <c r="AS650" s="11"/>
      <c r="AT650" s="11"/>
      <c r="AU650" s="12"/>
      <c r="AV650" s="11"/>
      <c r="AW650" s="11"/>
      <c r="AX650" s="15"/>
      <c r="AY650" s="15"/>
      <c r="AZ650" s="15"/>
      <c r="BA650" s="15"/>
      <c r="BB650" s="15"/>
      <c r="BC650" s="15"/>
      <c r="BD650" s="15"/>
      <c r="BE650" s="12"/>
      <c r="BF650" s="11"/>
      <c r="BG650" s="11"/>
      <c r="BH650" s="10"/>
      <c r="BI650" s="10"/>
      <c r="BJ650" s="10"/>
      <c r="BK650" s="23"/>
      <c r="BL650" s="23"/>
      <c r="BM650" s="23"/>
      <c r="BN650" s="23"/>
      <c r="BO650" s="23"/>
      <c r="BP650" s="23"/>
      <c r="BQ650" s="23"/>
      <c r="BR650" s="10"/>
      <c r="BS650" s="16"/>
      <c r="BT650" s="16"/>
      <c r="BU650" s="16"/>
      <c r="BV650" s="16"/>
      <c r="BW650" s="11"/>
      <c r="BX650" s="16"/>
      <c r="BY650" s="16"/>
      <c r="BZ650" s="17"/>
      <c r="CA650" s="18"/>
      <c r="CB650" s="18"/>
      <c r="CC650" s="18"/>
      <c r="CD650" s="18"/>
      <c r="CE650" s="18"/>
      <c r="CF650" s="18"/>
      <c r="CG650" s="19"/>
      <c r="CH650" s="15"/>
      <c r="CI650" s="17"/>
      <c r="CJ650" s="10"/>
      <c r="CK650" s="10"/>
      <c r="CL650" s="10"/>
      <c r="CM650" s="17"/>
      <c r="CN650" s="17"/>
      <c r="CO650" s="10"/>
      <c r="CP650" s="10"/>
      <c r="CQ650" s="10"/>
      <c r="CR650" s="10"/>
      <c r="CS650" s="10"/>
      <c r="CT650" s="10"/>
      <c r="CU650" s="10"/>
      <c r="CV650" s="10"/>
      <c r="CW650" s="10"/>
      <c r="CX650" s="10"/>
      <c r="CY650" s="10"/>
      <c r="CZ650" s="10"/>
      <c r="DA650" s="34"/>
      <c r="DB650" s="34"/>
      <c r="DC650" s="34"/>
      <c r="DD650" s="34"/>
      <c r="DE650" s="34"/>
      <c r="DF650" s="34"/>
      <c r="DG650" s="34"/>
      <c r="DH650" s="34"/>
      <c r="DI650" s="34"/>
      <c r="DJ650" s="34"/>
      <c r="DK650" s="34"/>
      <c r="DL650" s="34"/>
      <c r="DM650" s="34"/>
      <c r="DN650" s="34"/>
      <c r="DO650" s="34"/>
      <c r="DP650" s="34"/>
      <c r="DQ650" s="34"/>
      <c r="DR650" s="34"/>
      <c r="DS650" s="34"/>
      <c r="DT650" s="34"/>
      <c r="DU650" s="34"/>
      <c r="DV650" s="34"/>
      <c r="DW650" s="34"/>
      <c r="DX650" s="34"/>
      <c r="DY650" s="34"/>
      <c r="DZ650" s="34"/>
      <c r="EA650" s="34"/>
      <c r="EB650" s="34"/>
      <c r="EC650" s="34"/>
      <c r="ED650" s="34"/>
      <c r="EE650" s="34"/>
    </row>
    <row r="651" spans="1:135" customFormat="1">
      <c r="A651" s="71">
        <f>'Old Data'!$I647-'Old Data'!$S647</f>
        <v>-210</v>
      </c>
      <c r="B651" s="72">
        <f>VLOOKUP('Old Data'!$F647,$R$6:$T$135,2,FALSE)+VLOOKUP('Old Data'!$P647,$R$6:$T$135,3,FALSE)+$B$2</f>
        <v>36.558975492984501</v>
      </c>
      <c r="C651" s="72">
        <f>VLOOKUP('Old Data'!$P647,$R$6:$T$135,2,FALSE)+VLOOKUP('Old Data'!$F647,$R$6:$T$135,3,FALSE)+$B$2</f>
        <v>262.49707631028184</v>
      </c>
      <c r="D651" s="74">
        <f>('Old Data'!$I647-$B651)^2+('Old Data'!$S647-$C651)^2</f>
        <v>151.90546235635614</v>
      </c>
      <c r="E651" s="75">
        <f>'Old Data'!$K647-'Old Data'!$U647</f>
        <v>-319</v>
      </c>
      <c r="F651" s="72">
        <f>VLOOKUP('Old Data'!$F647,$V$6:$X$135,2,FALSE)+VLOOKUP('Old Data'!$P647,$V$6:$X$135,3,FALSE)+$C$2</f>
        <v>204.15296131720788</v>
      </c>
      <c r="G651" s="72">
        <f>VLOOKUP('Old Data'!$P647,$V$6:$X$135,2,FALSE)+VLOOKUP('Old Data'!$F647,$V$6:$X$135,3,FALSE)+$C$2</f>
        <v>210.34601740763262</v>
      </c>
      <c r="H651" s="74">
        <f>('Old Data'!$K647-$F651)^2+('Old Data'!$U647-$G651)^2</f>
        <v>49359.186951928379</v>
      </c>
      <c r="I651" s="75">
        <f>('Old Data'!$L647+'Old Data'!$M647)-('Old Data'!$V647+'Old Data'!$W647)</f>
        <v>16</v>
      </c>
      <c r="J651" s="72">
        <f>VLOOKUP('Old Data'!$F647,$Z$6:$AB$135,2,FALSE)+VLOOKUP('Old Data'!$P647,$Z$6:$AB$135,3,FALSE)+$D$2</f>
        <v>68.598625029010293</v>
      </c>
      <c r="K651" s="72">
        <f>VLOOKUP('Old Data'!$P647,$Z$6:$AB$135,2,FALSE)+VLOOKUP('Old Data'!$F647,$Z$6:$AB$135,3,FALSE)+$D$2</f>
        <v>39.219523031541094</v>
      </c>
      <c r="L651" s="74">
        <f>('Old Data'!$L647+'Old Data'!$M647-$J651)^2+('Old Data'!$V647+'Old Data'!$W647-$K651)^2</f>
        <v>1155.881909407919</v>
      </c>
      <c r="M651" s="75">
        <f>'Old Data'!$N647-'Old Data'!$X647</f>
        <v>0</v>
      </c>
      <c r="N651" s="72">
        <f>VLOOKUP('Old Data'!$F647,$AD$6:$AF$135,2,FALSE)+VLOOKUP('Old Data'!$P647,$AD$6:$AF$135,3,FALSE)+$E$2</f>
        <v>0.86981333137304684</v>
      </c>
      <c r="O651" s="72">
        <f>VLOOKUP('Old Data'!$P647,$AD$6:$AF$135,2,FALSE)+VLOOKUP('Old Data'!$F647,$AD$6:$AF$135,3,FALSE)+$E$2</f>
        <v>1.8737484876501731</v>
      </c>
      <c r="P651" s="73">
        <f>('Old Data'!$N647-$N651)^2+('Old Data'!$X647-$O651)^2</f>
        <v>1.2932613503127086</v>
      </c>
      <c r="Q651" s="62"/>
      <c r="R651" s="3"/>
      <c r="S651" s="3"/>
      <c r="T651" s="3"/>
      <c r="V651" s="3"/>
      <c r="W651" s="3"/>
      <c r="X651" s="3"/>
      <c r="Z651" s="3"/>
      <c r="AA651" s="3"/>
      <c r="AB651" s="3"/>
      <c r="AC651" s="3"/>
      <c r="AD651" s="3"/>
      <c r="AE651" s="3"/>
      <c r="AF651" s="3"/>
      <c r="AG651" s="3"/>
      <c r="AH651" s="37"/>
      <c r="AI651" s="1"/>
      <c r="AK651" s="10"/>
      <c r="AL651" s="10"/>
      <c r="AM651" s="10"/>
      <c r="AN651" s="11"/>
      <c r="AO651" s="11"/>
      <c r="AP651" s="11"/>
      <c r="AQ651" s="36"/>
      <c r="AR651" s="11"/>
      <c r="AS651" s="11"/>
      <c r="AT651" s="11"/>
      <c r="AU651" s="12"/>
      <c r="AV651" s="11"/>
      <c r="AW651" s="11"/>
      <c r="AX651" s="15"/>
      <c r="AY651" s="15"/>
      <c r="AZ651" s="15"/>
      <c r="BA651" s="15"/>
      <c r="BB651" s="15"/>
      <c r="BC651" s="15"/>
      <c r="BD651" s="15"/>
      <c r="BE651" s="12"/>
      <c r="BF651" s="11"/>
      <c r="BG651" s="11"/>
      <c r="BH651" s="10"/>
      <c r="BI651" s="10"/>
      <c r="BJ651" s="10"/>
      <c r="BK651" s="23"/>
      <c r="BL651" s="23"/>
      <c r="BM651" s="23"/>
      <c r="BN651" s="23"/>
      <c r="BO651" s="23"/>
      <c r="BP651" s="23"/>
      <c r="BQ651" s="23"/>
      <c r="BR651" s="10"/>
      <c r="BS651" s="16"/>
      <c r="BT651" s="16"/>
      <c r="BU651" s="16"/>
      <c r="BV651" s="16"/>
      <c r="BW651" s="11"/>
      <c r="BX651" s="16"/>
      <c r="BY651" s="16"/>
      <c r="BZ651" s="17"/>
      <c r="CA651" s="18"/>
      <c r="CB651" s="18"/>
      <c r="CC651" s="18"/>
      <c r="CD651" s="18"/>
      <c r="CE651" s="18"/>
      <c r="CF651" s="18"/>
      <c r="CG651" s="19"/>
      <c r="CH651" s="15"/>
      <c r="CI651" s="17"/>
      <c r="CJ651" s="10"/>
      <c r="CK651" s="10"/>
      <c r="CL651" s="10"/>
      <c r="CM651" s="17"/>
      <c r="CN651" s="17"/>
      <c r="CO651" s="10"/>
      <c r="CP651" s="10"/>
      <c r="CQ651" s="10"/>
      <c r="CR651" s="10"/>
      <c r="CS651" s="10"/>
      <c r="CT651" s="10"/>
      <c r="CU651" s="10"/>
      <c r="CV651" s="10"/>
      <c r="CW651" s="10"/>
      <c r="CX651" s="10"/>
      <c r="CY651" s="10"/>
      <c r="CZ651" s="10"/>
      <c r="DA651" s="34"/>
      <c r="DB651" s="34"/>
      <c r="DC651" s="34"/>
      <c r="DD651" s="34"/>
      <c r="DE651" s="34"/>
      <c r="DF651" s="34"/>
      <c r="DG651" s="34"/>
      <c r="DH651" s="34"/>
      <c r="DI651" s="34"/>
      <c r="DJ651" s="34"/>
      <c r="DK651" s="34"/>
      <c r="DL651" s="34"/>
      <c r="DM651" s="34"/>
      <c r="DN651" s="34"/>
      <c r="DO651" s="34"/>
      <c r="DP651" s="34"/>
      <c r="DQ651" s="34"/>
      <c r="DR651" s="34"/>
      <c r="DS651" s="34"/>
      <c r="DT651" s="34"/>
      <c r="DU651" s="34"/>
      <c r="DV651" s="34"/>
      <c r="DW651" s="34"/>
      <c r="DX651" s="34"/>
      <c r="DY651" s="34"/>
      <c r="DZ651" s="34"/>
      <c r="EA651" s="34"/>
      <c r="EB651" s="34"/>
      <c r="EC651" s="34"/>
      <c r="ED651" s="34"/>
      <c r="EE651" s="34"/>
    </row>
    <row r="652" spans="1:135" customFormat="1">
      <c r="A652" s="71">
        <f>'Old Data'!$I648-'Old Data'!$S648</f>
        <v>-6</v>
      </c>
      <c r="B652" s="72">
        <f>VLOOKUP('Old Data'!$F648,$R$6:$T$135,2,FALSE)+VLOOKUP('Old Data'!$P648,$R$6:$T$135,3,FALSE)+$B$2</f>
        <v>153.5295388972379</v>
      </c>
      <c r="C652" s="72">
        <f>VLOOKUP('Old Data'!$P648,$R$6:$T$135,2,FALSE)+VLOOKUP('Old Data'!$F648,$R$6:$T$135,3,FALSE)+$B$2</f>
        <v>209.20498301940387</v>
      </c>
      <c r="D652" s="74">
        <f>('Old Data'!$I648-$B652)^2+('Old Data'!$S648-$C652)^2</f>
        <v>2146.944556089185</v>
      </c>
      <c r="E652" s="75">
        <f>'Old Data'!$K648-'Old Data'!$U648</f>
        <v>-92</v>
      </c>
      <c r="F652" s="72">
        <f>VLOOKUP('Old Data'!$F648,$V$6:$X$135,2,FALSE)+VLOOKUP('Old Data'!$P648,$V$6:$X$135,3,FALSE)+$C$2</f>
        <v>224.44187516299769</v>
      </c>
      <c r="G652" s="72">
        <f>VLOOKUP('Old Data'!$P648,$V$6:$X$135,2,FALSE)+VLOOKUP('Old Data'!$F648,$V$6:$X$135,3,FALSE)+$C$2</f>
        <v>228.85366996019502</v>
      </c>
      <c r="H652" s="74">
        <f>('Old Data'!$K648-$F652)^2+('Old Data'!$U648-$G652)^2</f>
        <v>19200.110915342779</v>
      </c>
      <c r="I652" s="75">
        <f>('Old Data'!$L648+'Old Data'!$M648)-('Old Data'!$V648+'Old Data'!$W648)</f>
        <v>-28</v>
      </c>
      <c r="J652" s="72">
        <f>VLOOKUP('Old Data'!$F648,$Z$6:$AB$135,2,FALSE)+VLOOKUP('Old Data'!$P648,$Z$6:$AB$135,3,FALSE)+$D$2</f>
        <v>23.328016345575094</v>
      </c>
      <c r="K652" s="72">
        <f>VLOOKUP('Old Data'!$P648,$Z$6:$AB$135,2,FALSE)+VLOOKUP('Old Data'!$F648,$Z$6:$AB$135,3,FALSE)+$D$2</f>
        <v>67.344802735416962</v>
      </c>
      <c r="L652" s="74">
        <f>('Old Data'!$L648+'Old Data'!$M648-$J652)^2+('Old Data'!$V648+'Old Data'!$W648-$K652)^2</f>
        <v>800.71655280249945</v>
      </c>
      <c r="M652" s="75">
        <f>'Old Data'!$N648-'Old Data'!$X648</f>
        <v>0</v>
      </c>
      <c r="N652" s="72">
        <f>VLOOKUP('Old Data'!$F648,$AD$6:$AF$135,2,FALSE)+VLOOKUP('Old Data'!$P648,$AD$6:$AF$135,3,FALSE)+$E$2</f>
        <v>0.96103238192854401</v>
      </c>
      <c r="O652" s="72">
        <f>VLOOKUP('Old Data'!$P648,$AD$6:$AF$135,2,FALSE)+VLOOKUP('Old Data'!$F648,$AD$6:$AF$135,3,FALSE)+$E$2</f>
        <v>2.062161597771325</v>
      </c>
      <c r="P652" s="73">
        <f>('Old Data'!$N648-$N652)^2+('Old Data'!$X648-$O652)^2</f>
        <v>1.083317775638559</v>
      </c>
      <c r="Q652" s="62"/>
      <c r="R652" s="3"/>
      <c r="S652" s="3"/>
      <c r="T652" s="3"/>
      <c r="V652" s="3"/>
      <c r="W652" s="3"/>
      <c r="X652" s="3"/>
      <c r="Z652" s="3"/>
      <c r="AA652" s="3"/>
      <c r="AB652" s="3"/>
      <c r="AC652" s="3"/>
      <c r="AD652" s="3"/>
      <c r="AE652" s="3"/>
      <c r="AF652" s="3"/>
      <c r="AG652" s="3"/>
      <c r="AH652" s="37"/>
      <c r="AI652" s="1"/>
      <c r="AK652" s="10"/>
      <c r="AL652" s="10"/>
      <c r="AM652" s="10"/>
      <c r="AN652" s="11"/>
      <c r="AO652" s="11"/>
      <c r="AP652" s="11"/>
      <c r="AQ652" s="36"/>
      <c r="AR652" s="11"/>
      <c r="AS652" s="11"/>
      <c r="AT652" s="11"/>
      <c r="AU652" s="12"/>
      <c r="AV652" s="11"/>
      <c r="AW652" s="11"/>
      <c r="AX652" s="15"/>
      <c r="AY652" s="15"/>
      <c r="AZ652" s="15"/>
      <c r="BA652" s="15"/>
      <c r="BB652" s="15"/>
      <c r="BC652" s="15"/>
      <c r="BD652" s="15"/>
      <c r="BE652" s="12"/>
      <c r="BF652" s="11"/>
      <c r="BG652" s="11"/>
      <c r="BH652" s="10"/>
      <c r="BI652" s="10"/>
      <c r="BJ652" s="10"/>
      <c r="BK652" s="23"/>
      <c r="BL652" s="23"/>
      <c r="BM652" s="23"/>
      <c r="BN652" s="23"/>
      <c r="BO652" s="23"/>
      <c r="BP652" s="23"/>
      <c r="BQ652" s="23"/>
      <c r="BR652" s="10"/>
      <c r="BS652" s="16"/>
      <c r="BT652" s="16"/>
      <c r="BU652" s="16"/>
      <c r="BV652" s="16"/>
      <c r="BW652" s="11"/>
      <c r="BX652" s="16"/>
      <c r="BY652" s="16"/>
      <c r="BZ652" s="17"/>
      <c r="CA652" s="18"/>
      <c r="CB652" s="18"/>
      <c r="CC652" s="18"/>
      <c r="CD652" s="18"/>
      <c r="CE652" s="18"/>
      <c r="CF652" s="18"/>
      <c r="CG652" s="19"/>
      <c r="CH652" s="15"/>
      <c r="CI652" s="17"/>
      <c r="CJ652" s="10"/>
      <c r="CK652" s="10"/>
      <c r="CL652" s="10"/>
      <c r="CM652" s="17"/>
      <c r="CN652" s="17"/>
      <c r="CO652" s="10"/>
      <c r="CP652" s="10"/>
      <c r="CQ652" s="10"/>
      <c r="CR652" s="10"/>
      <c r="CS652" s="10"/>
      <c r="CT652" s="10"/>
      <c r="CU652" s="10"/>
      <c r="CV652" s="10"/>
      <c r="CW652" s="10"/>
      <c r="CX652" s="10"/>
      <c r="CY652" s="10"/>
      <c r="CZ652" s="10"/>
      <c r="DA652" s="34"/>
      <c r="DB652" s="34"/>
      <c r="DC652" s="34"/>
      <c r="DD652" s="34"/>
      <c r="DE652" s="34"/>
      <c r="DF652" s="34"/>
      <c r="DG652" s="34"/>
      <c r="DH652" s="34"/>
      <c r="DI652" s="34"/>
      <c r="DJ652" s="34"/>
      <c r="DK652" s="34"/>
      <c r="DL652" s="34"/>
      <c r="DM652" s="34"/>
      <c r="DN652" s="34"/>
      <c r="DO652" s="34"/>
      <c r="DP652" s="34"/>
      <c r="DQ652" s="34"/>
      <c r="DR652" s="34"/>
      <c r="DS652" s="34"/>
      <c r="DT652" s="34"/>
      <c r="DU652" s="34"/>
      <c r="DV652" s="34"/>
      <c r="DW652" s="34"/>
      <c r="DX652" s="34"/>
      <c r="DY652" s="34"/>
      <c r="DZ652" s="34"/>
      <c r="EA652" s="34"/>
      <c r="EB652" s="34"/>
      <c r="EC652" s="34"/>
      <c r="ED652" s="34"/>
      <c r="EE652" s="34"/>
    </row>
    <row r="653" spans="1:135" customFormat="1">
      <c r="A653" s="71">
        <f>'Old Data'!$I649-'Old Data'!$S649</f>
        <v>71</v>
      </c>
      <c r="B653" s="72">
        <f>VLOOKUP('Old Data'!$F649,$R$6:$T$135,2,FALSE)+VLOOKUP('Old Data'!$P649,$R$6:$T$135,3,FALSE)+$B$2</f>
        <v>196.86650717677409</v>
      </c>
      <c r="C653" s="72">
        <f>VLOOKUP('Old Data'!$P649,$R$6:$T$135,2,FALSE)+VLOOKUP('Old Data'!$F649,$R$6:$T$135,3,FALSE)+$B$2</f>
        <v>227.44833154418109</v>
      </c>
      <c r="D653" s="74">
        <f>('Old Data'!$I649-$B653)^2+('Old Data'!$S649-$C653)^2</f>
        <v>7995.5959866871053</v>
      </c>
      <c r="E653" s="75">
        <f>'Old Data'!$K649-'Old Data'!$U649</f>
        <v>-137</v>
      </c>
      <c r="F653" s="72">
        <f>VLOOKUP('Old Data'!$F649,$V$6:$X$135,2,FALSE)+VLOOKUP('Old Data'!$P649,$V$6:$X$135,3,FALSE)+$C$2</f>
        <v>226.62933161175991</v>
      </c>
      <c r="G653" s="72">
        <f>VLOOKUP('Old Data'!$P649,$V$6:$X$135,2,FALSE)+VLOOKUP('Old Data'!$F649,$V$6:$X$135,3,FALSE)+$C$2</f>
        <v>208.30148844814815</v>
      </c>
      <c r="H653" s="74">
        <f>('Old Data'!$K649-$F653)^2+('Old Data'!$U649-$G653)^2</f>
        <v>15419.699068774302</v>
      </c>
      <c r="I653" s="75">
        <f>('Old Data'!$L649+'Old Data'!$M649)-('Old Data'!$V649+'Old Data'!$W649)</f>
        <v>-9</v>
      </c>
      <c r="J653" s="72">
        <f>VLOOKUP('Old Data'!$F649,$Z$6:$AB$135,2,FALSE)+VLOOKUP('Old Data'!$P649,$Z$6:$AB$135,3,FALSE)+$D$2</f>
        <v>37.910589263576512</v>
      </c>
      <c r="K653" s="72">
        <f>VLOOKUP('Old Data'!$P649,$Z$6:$AB$135,2,FALSE)+VLOOKUP('Old Data'!$F649,$Z$6:$AB$135,3,FALSE)+$D$2</f>
        <v>46.650617624960127</v>
      </c>
      <c r="L653" s="74">
        <f>('Old Data'!$L649+'Old Data'!$M649-$J653)^2+('Old Data'!$V649+'Old Data'!$W649-$K653)^2</f>
        <v>77.395579661336626</v>
      </c>
      <c r="M653" s="75">
        <f>'Old Data'!$N649-'Old Data'!$X649</f>
        <v>2</v>
      </c>
      <c r="N653" s="72">
        <f>VLOOKUP('Old Data'!$F649,$AD$6:$AF$135,2,FALSE)+VLOOKUP('Old Data'!$P649,$AD$6:$AF$135,3,FALSE)+$E$2</f>
        <v>1.7527411936749759</v>
      </c>
      <c r="O653" s="72">
        <f>VLOOKUP('Old Data'!$P649,$AD$6:$AF$135,2,FALSE)+VLOOKUP('Old Data'!$F649,$AD$6:$AF$135,3,FALSE)+$E$2</f>
        <v>1.7038888934706471</v>
      </c>
      <c r="P653" s="73">
        <f>('Old Data'!$N649-$N653)^2+('Old Data'!$X649-$O653)^2</f>
        <v>2.0511141043066559</v>
      </c>
      <c r="Q653" s="62"/>
      <c r="R653" s="3"/>
      <c r="S653" s="3"/>
      <c r="T653" s="3"/>
      <c r="V653" s="3"/>
      <c r="W653" s="3"/>
      <c r="X653" s="3"/>
      <c r="Z653" s="3"/>
      <c r="AA653" s="3"/>
      <c r="AB653" s="3"/>
      <c r="AC653" s="3"/>
      <c r="AD653" s="3"/>
      <c r="AE653" s="3"/>
      <c r="AF653" s="3"/>
      <c r="AG653" s="3"/>
      <c r="AH653" s="37"/>
      <c r="AI653" s="1"/>
      <c r="AK653" s="10"/>
      <c r="AL653" s="10"/>
      <c r="AM653" s="10"/>
      <c r="AN653" s="11"/>
      <c r="AO653" s="11"/>
      <c r="AP653" s="11"/>
      <c r="AQ653" s="36"/>
      <c r="AR653" s="11"/>
      <c r="AS653" s="11"/>
      <c r="AT653" s="11"/>
      <c r="AU653" s="12"/>
      <c r="AV653" s="11"/>
      <c r="AW653" s="11"/>
      <c r="AX653" s="15"/>
      <c r="AY653" s="15"/>
      <c r="AZ653" s="15"/>
      <c r="BA653" s="15"/>
      <c r="BB653" s="15"/>
      <c r="BC653" s="15"/>
      <c r="BD653" s="15"/>
      <c r="BE653" s="12"/>
      <c r="BF653" s="11"/>
      <c r="BG653" s="11"/>
      <c r="BH653" s="10"/>
      <c r="BI653" s="10"/>
      <c r="BJ653" s="10"/>
      <c r="BK653" s="23"/>
      <c r="BL653" s="23"/>
      <c r="BM653" s="23"/>
      <c r="BN653" s="23"/>
      <c r="BO653" s="23"/>
      <c r="BP653" s="23"/>
      <c r="BQ653" s="23"/>
      <c r="BR653" s="10"/>
      <c r="BS653" s="16"/>
      <c r="BT653" s="16"/>
      <c r="BU653" s="16"/>
      <c r="BV653" s="16"/>
      <c r="BW653" s="11"/>
      <c r="BX653" s="16"/>
      <c r="BY653" s="16"/>
      <c r="BZ653" s="17"/>
      <c r="CA653" s="18"/>
      <c r="CB653" s="18"/>
      <c r="CC653" s="18"/>
      <c r="CD653" s="18"/>
      <c r="CE653" s="18"/>
      <c r="CF653" s="18"/>
      <c r="CG653" s="19"/>
      <c r="CH653" s="15"/>
      <c r="CI653" s="17"/>
      <c r="CJ653" s="10"/>
      <c r="CK653" s="10"/>
      <c r="CL653" s="10"/>
      <c r="CM653" s="17"/>
      <c r="CN653" s="17"/>
      <c r="CO653" s="10"/>
      <c r="CP653" s="10"/>
      <c r="CQ653" s="10"/>
      <c r="CR653" s="10"/>
      <c r="CS653" s="10"/>
      <c r="CT653" s="10"/>
      <c r="CU653" s="10"/>
      <c r="CV653" s="10"/>
      <c r="CW653" s="10"/>
      <c r="CX653" s="10"/>
      <c r="CY653" s="10"/>
      <c r="CZ653" s="10"/>
      <c r="DA653" s="34"/>
      <c r="DB653" s="34"/>
      <c r="DC653" s="34"/>
      <c r="DD653" s="34"/>
      <c r="DE653" s="34"/>
      <c r="DF653" s="34"/>
      <c r="DG653" s="34"/>
      <c r="DH653" s="34"/>
      <c r="DI653" s="34"/>
      <c r="DJ653" s="34"/>
      <c r="DK653" s="34"/>
      <c r="DL653" s="34"/>
      <c r="DM653" s="34"/>
      <c r="DN653" s="34"/>
      <c r="DO653" s="34"/>
      <c r="DP653" s="34"/>
      <c r="DQ653" s="34"/>
      <c r="DR653" s="34"/>
      <c r="DS653" s="34"/>
      <c r="DT653" s="34"/>
      <c r="DU653" s="34"/>
      <c r="DV653" s="34"/>
      <c r="DW653" s="34"/>
      <c r="DX653" s="34"/>
      <c r="DY653" s="34"/>
      <c r="DZ653" s="34"/>
      <c r="EA653" s="34"/>
      <c r="EB653" s="34"/>
      <c r="EC653" s="34"/>
      <c r="ED653" s="34"/>
      <c r="EE653" s="34"/>
    </row>
    <row r="654" spans="1:135" customFormat="1">
      <c r="A654" s="71">
        <f>'Old Data'!$I650-'Old Data'!$S650</f>
        <v>154</v>
      </c>
      <c r="B654" s="72">
        <f>VLOOKUP('Old Data'!$F650,$R$6:$T$135,2,FALSE)+VLOOKUP('Old Data'!$P650,$R$6:$T$135,3,FALSE)+$B$2</f>
        <v>210.37221311864397</v>
      </c>
      <c r="C654" s="72">
        <f>VLOOKUP('Old Data'!$P650,$R$6:$T$135,2,FALSE)+VLOOKUP('Old Data'!$F650,$R$6:$T$135,3,FALSE)+$B$2</f>
        <v>137.5093454167677</v>
      </c>
      <c r="D654" s="74">
        <f>('Old Data'!$I650-$B654)^2+('Old Data'!$S650-$C654)^2</f>
        <v>3493.99296226365</v>
      </c>
      <c r="E654" s="75">
        <f>'Old Data'!$K650-'Old Data'!$U650</f>
        <v>149</v>
      </c>
      <c r="F654" s="72">
        <f>VLOOKUP('Old Data'!$F650,$V$6:$X$135,2,FALSE)+VLOOKUP('Old Data'!$P650,$V$6:$X$135,3,FALSE)+$C$2</f>
        <v>215.61749695060033</v>
      </c>
      <c r="G654" s="72">
        <f>VLOOKUP('Old Data'!$P650,$V$6:$X$135,2,FALSE)+VLOOKUP('Old Data'!$F650,$V$6:$X$135,3,FALSE)+$C$2</f>
        <v>203.38099589868369</v>
      </c>
      <c r="H654" s="74">
        <f>('Old Data'!$K650-$F654)^2+('Old Data'!$U650-$G654)^2</f>
        <v>11530.226795344208</v>
      </c>
      <c r="I654" s="75">
        <f>('Old Data'!$L650+'Old Data'!$M650)-('Old Data'!$V650+'Old Data'!$W650)</f>
        <v>-133</v>
      </c>
      <c r="J654" s="72">
        <f>VLOOKUP('Old Data'!$F650,$Z$6:$AB$135,2,FALSE)+VLOOKUP('Old Data'!$P650,$Z$6:$AB$135,3,FALSE)+$D$2</f>
        <v>69.326399343028598</v>
      </c>
      <c r="K654" s="72">
        <f>VLOOKUP('Old Data'!$P650,$Z$6:$AB$135,2,FALSE)+VLOOKUP('Old Data'!$F650,$Z$6:$AB$135,3,FALSE)+$D$2</f>
        <v>141.5999279619746</v>
      </c>
      <c r="L654" s="74">
        <f>('Old Data'!$L650+'Old Data'!$M650-$J654)^2+('Old Data'!$V650+'Old Data'!$W650-$K654)^2</f>
        <v>2179.9393869600626</v>
      </c>
      <c r="M654" s="75">
        <f>'Old Data'!$N650-'Old Data'!$X650</f>
        <v>1</v>
      </c>
      <c r="N654" s="72">
        <f>VLOOKUP('Old Data'!$F650,$AD$6:$AF$135,2,FALSE)+VLOOKUP('Old Data'!$P650,$AD$6:$AF$135,3,FALSE)+$E$2</f>
        <v>2.1817652083275751</v>
      </c>
      <c r="O654" s="72">
        <f>VLOOKUP('Old Data'!$P650,$AD$6:$AF$135,2,FALSE)+VLOOKUP('Old Data'!$F650,$AD$6:$AF$135,3,FALSE)+$E$2</f>
        <v>1.4292214680884661</v>
      </c>
      <c r="P654" s="73">
        <f>('Old Data'!$N650-$N654)^2+('Old Data'!$X650-$O654)^2</f>
        <v>0.21726965962638489</v>
      </c>
      <c r="Q654" s="62"/>
      <c r="R654" s="3"/>
      <c r="S654" s="3"/>
      <c r="T654" s="3"/>
      <c r="V654" s="3"/>
      <c r="W654" s="3"/>
      <c r="X654" s="3"/>
      <c r="Z654" s="3"/>
      <c r="AA654" s="3"/>
      <c r="AB654" s="3"/>
      <c r="AC654" s="3"/>
      <c r="AD654" s="3"/>
      <c r="AE654" s="3"/>
      <c r="AF654" s="3"/>
      <c r="AG654" s="3"/>
      <c r="AH654" s="37"/>
      <c r="AI654" s="1"/>
      <c r="AK654" s="10"/>
      <c r="AL654" s="10"/>
      <c r="AM654" s="10"/>
      <c r="AN654" s="11"/>
      <c r="AO654" s="11"/>
      <c r="AP654" s="11"/>
      <c r="AQ654" s="36"/>
      <c r="AR654" s="11"/>
      <c r="AS654" s="11"/>
      <c r="AT654" s="11"/>
      <c r="AU654" s="12"/>
      <c r="AV654" s="11"/>
      <c r="AW654" s="11"/>
      <c r="AX654" s="15"/>
      <c r="AY654" s="15"/>
      <c r="AZ654" s="15"/>
      <c r="BA654" s="15"/>
      <c r="BB654" s="15"/>
      <c r="BC654" s="15"/>
      <c r="BD654" s="15"/>
      <c r="BE654" s="12"/>
      <c r="BF654" s="11"/>
      <c r="BG654" s="11"/>
      <c r="BH654" s="10"/>
      <c r="BI654" s="10"/>
      <c r="BJ654" s="10"/>
      <c r="BK654" s="23"/>
      <c r="BL654" s="23"/>
      <c r="BM654" s="23"/>
      <c r="BN654" s="23"/>
      <c r="BO654" s="23"/>
      <c r="BP654" s="23"/>
      <c r="BQ654" s="23"/>
      <c r="BR654" s="10"/>
      <c r="BS654" s="16"/>
      <c r="BT654" s="16"/>
      <c r="BU654" s="16"/>
      <c r="BV654" s="16"/>
      <c r="BW654" s="11"/>
      <c r="BX654" s="16"/>
      <c r="BY654" s="16"/>
      <c r="BZ654" s="17"/>
      <c r="CA654" s="18"/>
      <c r="CB654" s="18"/>
      <c r="CC654" s="18"/>
      <c r="CD654" s="18"/>
      <c r="CE654" s="18"/>
      <c r="CF654" s="18"/>
      <c r="CG654" s="19"/>
      <c r="CH654" s="15"/>
      <c r="CI654" s="17"/>
      <c r="CJ654" s="10"/>
      <c r="CK654" s="10"/>
      <c r="CL654" s="10"/>
      <c r="CM654" s="17"/>
      <c r="CN654" s="17"/>
      <c r="CO654" s="10"/>
      <c r="CP654" s="10"/>
      <c r="CQ654" s="10"/>
      <c r="CR654" s="10"/>
      <c r="CS654" s="10"/>
      <c r="CT654" s="10"/>
      <c r="CU654" s="10"/>
      <c r="CV654" s="10"/>
      <c r="CW654" s="10"/>
      <c r="CX654" s="10"/>
      <c r="CY654" s="10"/>
      <c r="CZ654" s="10"/>
      <c r="DA654" s="34"/>
      <c r="DB654" s="34"/>
      <c r="DC654" s="34"/>
      <c r="DD654" s="34"/>
      <c r="DE654" s="34"/>
      <c r="DF654" s="34"/>
      <c r="DG654" s="34"/>
      <c r="DH654" s="34"/>
      <c r="DI654" s="34"/>
      <c r="DJ654" s="34"/>
      <c r="DK654" s="34"/>
      <c r="DL654" s="34"/>
      <c r="DM654" s="34"/>
      <c r="DN654" s="34"/>
      <c r="DO654" s="34"/>
      <c r="DP654" s="34"/>
      <c r="DQ654" s="34"/>
      <c r="DR654" s="34"/>
      <c r="DS654" s="34"/>
      <c r="DT654" s="34"/>
      <c r="DU654" s="34"/>
      <c r="DV654" s="34"/>
      <c r="DW654" s="34"/>
      <c r="DX654" s="34"/>
      <c r="DY654" s="34"/>
      <c r="DZ654" s="34"/>
      <c r="EA654" s="34"/>
      <c r="EB654" s="34"/>
      <c r="EC654" s="34"/>
      <c r="ED654" s="34"/>
      <c r="EE654" s="34"/>
    </row>
    <row r="655" spans="1:135" customFormat="1">
      <c r="A655" s="71">
        <f>'Old Data'!$I651-'Old Data'!$S651</f>
        <v>349</v>
      </c>
      <c r="B655" s="72">
        <f>VLOOKUP('Old Data'!$F651,$R$6:$T$135,2,FALSE)+VLOOKUP('Old Data'!$P651,$R$6:$T$135,3,FALSE)+$B$2</f>
        <v>318.5066185717692</v>
      </c>
      <c r="C655" s="72">
        <f>VLOOKUP('Old Data'!$P651,$R$6:$T$135,2,FALSE)+VLOOKUP('Old Data'!$F651,$R$6:$T$135,3,FALSE)+$B$2</f>
        <v>84.837163242726504</v>
      </c>
      <c r="D655" s="74">
        <f>('Old Data'!$I651-$B655)^2+('Old Data'!$S651-$C655)^2</f>
        <v>19078.308833327508</v>
      </c>
      <c r="E655" s="75">
        <f>'Old Data'!$K651-'Old Data'!$U651</f>
        <v>50</v>
      </c>
      <c r="F655" s="72">
        <f>VLOOKUP('Old Data'!$F651,$V$6:$X$135,2,FALSE)+VLOOKUP('Old Data'!$P651,$V$6:$X$135,3,FALSE)+$C$2</f>
        <v>161.0361193257902</v>
      </c>
      <c r="G655" s="72">
        <f>VLOOKUP('Old Data'!$P651,$V$6:$X$135,2,FALSE)+VLOOKUP('Old Data'!$F651,$V$6:$X$135,3,FALSE)+$C$2</f>
        <v>123.7031460955768</v>
      </c>
      <c r="H655" s="74">
        <f>('Old Data'!$K651-$F655)^2+('Old Data'!$U651-$G655)^2</f>
        <v>2725.7271506132834</v>
      </c>
      <c r="I655" s="75">
        <f>('Old Data'!$L651+'Old Data'!$M651)-('Old Data'!$V651+'Old Data'!$W651)</f>
        <v>-70</v>
      </c>
      <c r="J655" s="72">
        <f>VLOOKUP('Old Data'!$F651,$Z$6:$AB$135,2,FALSE)+VLOOKUP('Old Data'!$P651,$Z$6:$AB$135,3,FALSE)+$D$2</f>
        <v>19.7646592537739</v>
      </c>
      <c r="K655" s="72">
        <f>VLOOKUP('Old Data'!$P651,$Z$6:$AB$135,2,FALSE)+VLOOKUP('Old Data'!$F651,$Z$6:$AB$135,3,FALSE)+$D$2</f>
        <v>84.094946968029291</v>
      </c>
      <c r="L655" s="74">
        <f>('Old Data'!$L651+'Old Data'!$M651-$J655)^2+('Old Data'!$V651+'Old Data'!$W651-$K655)^2</f>
        <v>24.644249020827104</v>
      </c>
      <c r="M655" s="75">
        <f>'Old Data'!$N651-'Old Data'!$X651</f>
        <v>0</v>
      </c>
      <c r="N655" s="72">
        <f>VLOOKUP('Old Data'!$F651,$AD$6:$AF$135,2,FALSE)+VLOOKUP('Old Data'!$P651,$AD$6:$AF$135,3,FALSE)+$E$2</f>
        <v>2.1484596024378391</v>
      </c>
      <c r="O655" s="72">
        <f>VLOOKUP('Old Data'!$P651,$AD$6:$AF$135,2,FALSE)+VLOOKUP('Old Data'!$F651,$AD$6:$AF$135,3,FALSE)+$E$2</f>
        <v>1.0579115879534431</v>
      </c>
      <c r="P655" s="73">
        <f>('Old Data'!$N651-$N655)^2+('Old Data'!$X651-$O655)^2</f>
        <v>5.7350555912335333</v>
      </c>
      <c r="Q655" s="62"/>
      <c r="R655" s="3"/>
      <c r="S655" s="3"/>
      <c r="T655" s="3"/>
      <c r="V655" s="3"/>
      <c r="W655" s="3"/>
      <c r="X655" s="3"/>
      <c r="Z655" s="3"/>
      <c r="AA655" s="3"/>
      <c r="AB655" s="3"/>
      <c r="AC655" s="3"/>
      <c r="AD655" s="3"/>
      <c r="AE655" s="3"/>
      <c r="AF655" s="3"/>
      <c r="AG655" s="3"/>
      <c r="AH655" s="37"/>
      <c r="AI655" s="1"/>
      <c r="AK655" s="10"/>
      <c r="AL655" s="10"/>
      <c r="AM655" s="10"/>
      <c r="AN655" s="11"/>
      <c r="AO655" s="11"/>
      <c r="AP655" s="11"/>
      <c r="AQ655" s="36"/>
      <c r="AR655" s="11"/>
      <c r="AS655" s="11"/>
      <c r="AT655" s="11"/>
      <c r="AU655" s="12"/>
      <c r="AV655" s="11"/>
      <c r="AW655" s="11"/>
      <c r="AX655" s="15"/>
      <c r="AY655" s="15"/>
      <c r="AZ655" s="15"/>
      <c r="BA655" s="15"/>
      <c r="BB655" s="15"/>
      <c r="BC655" s="15"/>
      <c r="BD655" s="15"/>
      <c r="BE655" s="12"/>
      <c r="BF655" s="11"/>
      <c r="BG655" s="11"/>
      <c r="BH655" s="10"/>
      <c r="BI655" s="10"/>
      <c r="BJ655" s="10"/>
      <c r="BK655" s="23"/>
      <c r="BL655" s="23"/>
      <c r="BM655" s="23"/>
      <c r="BN655" s="23"/>
      <c r="BO655" s="23"/>
      <c r="BP655" s="23"/>
      <c r="BQ655" s="23"/>
      <c r="BR655" s="10"/>
      <c r="BS655" s="16"/>
      <c r="BT655" s="16"/>
      <c r="BU655" s="16"/>
      <c r="BV655" s="16"/>
      <c r="BW655" s="11"/>
      <c r="BX655" s="16"/>
      <c r="BY655" s="16"/>
      <c r="BZ655" s="17"/>
      <c r="CA655" s="18"/>
      <c r="CB655" s="18"/>
      <c r="CC655" s="18"/>
      <c r="CD655" s="18"/>
      <c r="CE655" s="18"/>
      <c r="CF655" s="18"/>
      <c r="CG655" s="19"/>
      <c r="CH655" s="15"/>
      <c r="CI655" s="17"/>
      <c r="CJ655" s="10"/>
      <c r="CK655" s="10"/>
      <c r="CL655" s="10"/>
      <c r="CM655" s="17"/>
      <c r="CN655" s="17"/>
      <c r="CO655" s="10"/>
      <c r="CP655" s="10"/>
      <c r="CQ655" s="10"/>
      <c r="CR655" s="10"/>
      <c r="CS655" s="10"/>
      <c r="CT655" s="10"/>
      <c r="CU655" s="10"/>
      <c r="CV655" s="10"/>
      <c r="CW655" s="10"/>
      <c r="CX655" s="10"/>
      <c r="CY655" s="10"/>
      <c r="CZ655" s="10"/>
      <c r="DA655" s="34"/>
      <c r="DB655" s="34"/>
      <c r="DC655" s="34"/>
      <c r="DD655" s="34"/>
      <c r="DE655" s="34"/>
      <c r="DF655" s="34"/>
      <c r="DG655" s="34"/>
      <c r="DH655" s="34"/>
      <c r="DI655" s="34"/>
      <c r="DJ655" s="34"/>
      <c r="DK655" s="34"/>
      <c r="DL655" s="34"/>
      <c r="DM655" s="34"/>
      <c r="DN655" s="34"/>
      <c r="DO655" s="34"/>
      <c r="DP655" s="34"/>
      <c r="DQ655" s="34"/>
      <c r="DR655" s="34"/>
      <c r="DS655" s="34"/>
      <c r="DT655" s="34"/>
      <c r="DU655" s="34"/>
      <c r="DV655" s="34"/>
      <c r="DW655" s="34"/>
      <c r="DX655" s="34"/>
      <c r="DY655" s="34"/>
      <c r="DZ655" s="34"/>
      <c r="EA655" s="34"/>
      <c r="EB655" s="34"/>
      <c r="EC655" s="34"/>
      <c r="ED655" s="34"/>
      <c r="EE655" s="34"/>
    </row>
    <row r="656" spans="1:135" customFormat="1">
      <c r="A656" s="71">
        <f>'Old Data'!$I652-'Old Data'!$S652</f>
        <v>100</v>
      </c>
      <c r="B656" s="72">
        <f>VLOOKUP('Old Data'!$F652,$R$6:$T$135,2,FALSE)+VLOOKUP('Old Data'!$P652,$R$6:$T$135,3,FALSE)+$B$2</f>
        <v>244.82574226167591</v>
      </c>
      <c r="C656" s="72">
        <f>VLOOKUP('Old Data'!$P652,$R$6:$T$135,2,FALSE)+VLOOKUP('Old Data'!$F652,$R$6:$T$135,3,FALSE)+$B$2</f>
        <v>171.52983842388809</v>
      </c>
      <c r="D656" s="74">
        <f>('Old Data'!$I652-$B656)^2+('Old Data'!$S652-$C656)^2</f>
        <v>1727.1077903816392</v>
      </c>
      <c r="E656" s="75">
        <f>'Old Data'!$K652-'Old Data'!$U652</f>
        <v>191</v>
      </c>
      <c r="F656" s="72">
        <f>VLOOKUP('Old Data'!$F652,$V$6:$X$135,2,FALSE)+VLOOKUP('Old Data'!$P652,$V$6:$X$135,3,FALSE)+$C$2</f>
        <v>244.06624234864</v>
      </c>
      <c r="G656" s="72">
        <f>VLOOKUP('Old Data'!$P652,$V$6:$X$135,2,FALSE)+VLOOKUP('Old Data'!$F652,$V$6:$X$135,3,FALSE)+$C$2</f>
        <v>146.1995926355354</v>
      </c>
      <c r="H656" s="74">
        <f>('Old Data'!$K652-$F656)^2+('Old Data'!$U652-$G656)^2</f>
        <v>4872.6732474723967</v>
      </c>
      <c r="I656" s="75">
        <f>('Old Data'!$L652+'Old Data'!$M652)-('Old Data'!$V652+'Old Data'!$W652)</f>
        <v>13</v>
      </c>
      <c r="J656" s="72">
        <f>VLOOKUP('Old Data'!$F652,$Z$6:$AB$135,2,FALSE)+VLOOKUP('Old Data'!$P652,$Z$6:$AB$135,3,FALSE)+$D$2</f>
        <v>60.783554022930304</v>
      </c>
      <c r="K656" s="72">
        <f>VLOOKUP('Old Data'!$P652,$Z$6:$AB$135,2,FALSE)+VLOOKUP('Old Data'!$F652,$Z$6:$AB$135,3,FALSE)+$D$2</f>
        <v>68.238078051053606</v>
      </c>
      <c r="L656" s="74">
        <f>('Old Data'!$L652+'Old Data'!$M652-$J656)^2+('Old Data'!$V652+'Old Data'!$W652-$K656)^2</f>
        <v>2802.7515199086906</v>
      </c>
      <c r="M656" s="75">
        <f>'Old Data'!$N652-'Old Data'!$X652</f>
        <v>3</v>
      </c>
      <c r="N656" s="72">
        <f>VLOOKUP('Old Data'!$F652,$AD$6:$AF$135,2,FALSE)+VLOOKUP('Old Data'!$P652,$AD$6:$AF$135,3,FALSE)+$E$2</f>
        <v>1.5864516125917945</v>
      </c>
      <c r="O656" s="72">
        <f>VLOOKUP('Old Data'!$P652,$AD$6:$AF$135,2,FALSE)+VLOOKUP('Old Data'!$F652,$AD$6:$AF$135,3,FALSE)+$E$2</f>
        <v>1.4251256770876601</v>
      </c>
      <c r="P656" s="73">
        <f>('Old Data'!$N652-$N656)^2+('Old Data'!$X652-$O656)^2</f>
        <v>4.0291022390389006</v>
      </c>
      <c r="Q656" s="62"/>
      <c r="R656" s="3"/>
      <c r="S656" s="3"/>
      <c r="T656" s="3"/>
      <c r="V656" s="3"/>
      <c r="W656" s="3"/>
      <c r="X656" s="3"/>
      <c r="Z656" s="3"/>
      <c r="AA656" s="3"/>
      <c r="AB656" s="3"/>
      <c r="AC656" s="3"/>
      <c r="AD656" s="3"/>
      <c r="AE656" s="3"/>
      <c r="AF656" s="3"/>
      <c r="AG656" s="3"/>
      <c r="AH656" s="37"/>
      <c r="AI656" s="1"/>
      <c r="AK656" s="10"/>
      <c r="AL656" s="10"/>
      <c r="AM656" s="10"/>
      <c r="AN656" s="11"/>
      <c r="AO656" s="11"/>
      <c r="AP656" s="11"/>
      <c r="AQ656" s="36"/>
      <c r="AR656" s="11"/>
      <c r="AS656" s="11"/>
      <c r="AT656" s="11"/>
      <c r="AU656" s="12"/>
      <c r="AV656" s="11"/>
      <c r="AW656" s="11"/>
      <c r="AX656" s="15"/>
      <c r="AY656" s="15"/>
      <c r="AZ656" s="15"/>
      <c r="BA656" s="15"/>
      <c r="BB656" s="15"/>
      <c r="BC656" s="15"/>
      <c r="BD656" s="15"/>
      <c r="BE656" s="12"/>
      <c r="BF656" s="11"/>
      <c r="BG656" s="11"/>
      <c r="BH656" s="10"/>
      <c r="BI656" s="10"/>
      <c r="BJ656" s="10"/>
      <c r="BK656" s="23"/>
      <c r="BL656" s="23"/>
      <c r="BM656" s="23"/>
      <c r="BN656" s="23"/>
      <c r="BO656" s="23"/>
      <c r="BP656" s="23"/>
      <c r="BQ656" s="23"/>
      <c r="BR656" s="10"/>
      <c r="BS656" s="16"/>
      <c r="BT656" s="16"/>
      <c r="BU656" s="16"/>
      <c r="BV656" s="16"/>
      <c r="BW656" s="11"/>
      <c r="BX656" s="16"/>
      <c r="BY656" s="16"/>
      <c r="BZ656" s="17"/>
      <c r="CA656" s="18"/>
      <c r="CB656" s="18"/>
      <c r="CC656" s="18"/>
      <c r="CD656" s="18"/>
      <c r="CE656" s="18"/>
      <c r="CF656" s="18"/>
      <c r="CG656" s="19"/>
      <c r="CH656" s="15"/>
      <c r="CI656" s="17"/>
      <c r="CJ656" s="10"/>
      <c r="CK656" s="10"/>
      <c r="CL656" s="10"/>
      <c r="CM656" s="17"/>
      <c r="CN656" s="17"/>
      <c r="CO656" s="10"/>
      <c r="CP656" s="10"/>
      <c r="CQ656" s="10"/>
      <c r="CR656" s="10"/>
      <c r="CS656" s="10"/>
      <c r="CT656" s="10"/>
      <c r="CU656" s="10"/>
      <c r="CV656" s="10"/>
      <c r="CW656" s="10"/>
      <c r="CX656" s="10"/>
      <c r="CY656" s="10"/>
      <c r="CZ656" s="10"/>
      <c r="DA656" s="34"/>
      <c r="DB656" s="34"/>
      <c r="DC656" s="34"/>
      <c r="DD656" s="34"/>
      <c r="DE656" s="34"/>
      <c r="DF656" s="34"/>
      <c r="DG656" s="34"/>
      <c r="DH656" s="34"/>
      <c r="DI656" s="34"/>
      <c r="DJ656" s="34"/>
      <c r="DK656" s="34"/>
      <c r="DL656" s="34"/>
      <c r="DM656" s="34"/>
      <c r="DN656" s="34"/>
      <c r="DO656" s="34"/>
      <c r="DP656" s="34"/>
      <c r="DQ656" s="34"/>
      <c r="DR656" s="34"/>
      <c r="DS656" s="34"/>
      <c r="DT656" s="34"/>
      <c r="DU656" s="34"/>
      <c r="DV656" s="34"/>
      <c r="DW656" s="34"/>
      <c r="DX656" s="34"/>
      <c r="DY656" s="34"/>
      <c r="DZ656" s="34"/>
      <c r="EA656" s="34"/>
      <c r="EB656" s="34"/>
      <c r="EC656" s="34"/>
      <c r="ED656" s="34"/>
      <c r="EE656" s="34"/>
    </row>
    <row r="657" spans="1:136" customFormat="1">
      <c r="A657" s="71">
        <f>'Old Data'!$I653-'Old Data'!$S653</f>
        <v>206</v>
      </c>
      <c r="B657" s="72">
        <f>VLOOKUP('Old Data'!$F653,$R$6:$T$135,2,FALSE)+VLOOKUP('Old Data'!$P653,$R$6:$T$135,3,FALSE)+$B$2</f>
        <v>217.04846106915898</v>
      </c>
      <c r="C657" s="72">
        <f>VLOOKUP('Old Data'!$P653,$R$6:$T$135,2,FALSE)+VLOOKUP('Old Data'!$F653,$R$6:$T$135,3,FALSE)+$B$2</f>
        <v>159.91095182294833</v>
      </c>
      <c r="D657" s="74">
        <f>('Old Data'!$I653-$B657)^2+('Old Data'!$S653-$C657)^2</f>
        <v>11092.318464828211</v>
      </c>
      <c r="E657" s="75">
        <f>'Old Data'!$K653-'Old Data'!$U653</f>
        <v>90</v>
      </c>
      <c r="F657" s="72">
        <f>VLOOKUP('Old Data'!$F653,$V$6:$X$135,2,FALSE)+VLOOKUP('Old Data'!$P653,$V$6:$X$135,3,FALSE)+$C$2</f>
        <v>290.37532631638999</v>
      </c>
      <c r="G657" s="72">
        <f>VLOOKUP('Old Data'!$P653,$V$6:$X$135,2,FALSE)+VLOOKUP('Old Data'!$F653,$V$6:$X$135,3,FALSE)+$C$2</f>
        <v>244.08265149968219</v>
      </c>
      <c r="H657" s="74">
        <f>('Old Data'!$K653-$F657)^2+('Old Data'!$U653-$G657)^2</f>
        <v>5802.1518351541044</v>
      </c>
      <c r="I657" s="75">
        <f>('Old Data'!$L653+'Old Data'!$M653)-('Old Data'!$V653+'Old Data'!$W653)</f>
        <v>-156</v>
      </c>
      <c r="J657" s="72">
        <f>VLOOKUP('Old Data'!$F653,$Z$6:$AB$135,2,FALSE)+VLOOKUP('Old Data'!$P653,$Z$6:$AB$135,3,FALSE)+$D$2</f>
        <v>79.221416780907944</v>
      </c>
      <c r="K657" s="72">
        <f>VLOOKUP('Old Data'!$P653,$Z$6:$AB$135,2,FALSE)+VLOOKUP('Old Data'!$F653,$Z$6:$AB$135,3,FALSE)+$D$2</f>
        <v>117.30491593775109</v>
      </c>
      <c r="L657" s="74">
        <f>('Old Data'!$L653+'Old Data'!$M653-$J657)^2+('Old Data'!$V653+'Old Data'!$W653-$K657)^2</f>
        <v>6980.0784368631994</v>
      </c>
      <c r="M657" s="75">
        <f>'Old Data'!$N653-'Old Data'!$X653</f>
        <v>0</v>
      </c>
      <c r="N657" s="72">
        <f>VLOOKUP('Old Data'!$F653,$AD$6:$AF$135,2,FALSE)+VLOOKUP('Old Data'!$P653,$AD$6:$AF$135,3,FALSE)+$E$2</f>
        <v>1.594600126779119</v>
      </c>
      <c r="O657" s="72">
        <f>VLOOKUP('Old Data'!$P653,$AD$6:$AF$135,2,FALSE)+VLOOKUP('Old Data'!$F653,$AD$6:$AF$135,3,FALSE)+$E$2</f>
        <v>1.342708935521248</v>
      </c>
      <c r="P657" s="73">
        <f>('Old Data'!$N653-$N657)^2+('Old Data'!$X653-$O657)^2</f>
        <v>4.3456168498525853</v>
      </c>
      <c r="Q657" s="62"/>
      <c r="R657" s="3"/>
      <c r="S657" s="3"/>
      <c r="T657" s="3"/>
      <c r="V657" s="3"/>
      <c r="W657" s="3"/>
      <c r="X657" s="3"/>
      <c r="Z657" s="3"/>
      <c r="AA657" s="3"/>
      <c r="AB657" s="3"/>
      <c r="AC657" s="3"/>
      <c r="AD657" s="3"/>
      <c r="AE657" s="3"/>
      <c r="AF657" s="3"/>
      <c r="AG657" s="3"/>
      <c r="AH657" s="37"/>
      <c r="AI657" s="1"/>
      <c r="AK657" s="10"/>
      <c r="AL657" s="10"/>
      <c r="AM657" s="10"/>
      <c r="AN657" s="11"/>
      <c r="AO657" s="11"/>
      <c r="AP657" s="11"/>
      <c r="AQ657" s="36"/>
      <c r="AR657" s="11"/>
      <c r="AS657" s="11"/>
      <c r="AT657" s="11"/>
      <c r="AU657" s="12"/>
      <c r="AV657" s="11"/>
      <c r="AW657" s="11"/>
      <c r="AX657" s="15"/>
      <c r="AY657" s="15"/>
      <c r="AZ657" s="15"/>
      <c r="BA657" s="15"/>
      <c r="BB657" s="15"/>
      <c r="BC657" s="15"/>
      <c r="BD657" s="15"/>
      <c r="BE657" s="12"/>
      <c r="BF657" s="11"/>
      <c r="BG657" s="11"/>
      <c r="BH657" s="10"/>
      <c r="BI657" s="10"/>
      <c r="BJ657" s="10"/>
      <c r="BK657" s="23"/>
      <c r="BL657" s="23"/>
      <c r="BM657" s="23"/>
      <c r="BN657" s="23"/>
      <c r="BO657" s="23"/>
      <c r="BP657" s="23"/>
      <c r="BQ657" s="23"/>
      <c r="BR657" s="10"/>
      <c r="BS657" s="16"/>
      <c r="BT657" s="16"/>
      <c r="BU657" s="16"/>
      <c r="BV657" s="16"/>
      <c r="BW657" s="11"/>
      <c r="BX657" s="16"/>
      <c r="BY657" s="16"/>
      <c r="BZ657" s="17"/>
      <c r="CA657" s="18"/>
      <c r="CB657" s="18"/>
      <c r="CC657" s="18"/>
      <c r="CD657" s="18"/>
      <c r="CE657" s="18"/>
      <c r="CF657" s="18"/>
      <c r="CG657" s="19"/>
      <c r="CH657" s="15"/>
      <c r="CI657" s="17"/>
      <c r="CJ657" s="10"/>
      <c r="CK657" s="10"/>
      <c r="CL657" s="10"/>
      <c r="CM657" s="17"/>
      <c r="CN657" s="17"/>
      <c r="CO657" s="10"/>
      <c r="CP657" s="10"/>
      <c r="CQ657" s="10"/>
      <c r="CR657" s="10"/>
      <c r="CS657" s="10"/>
      <c r="CT657" s="10"/>
      <c r="CU657" s="10"/>
      <c r="CV657" s="10"/>
      <c r="CW657" s="10"/>
      <c r="CX657" s="10"/>
      <c r="CY657" s="10"/>
      <c r="CZ657" s="10"/>
      <c r="DA657" s="34"/>
      <c r="DB657" s="34"/>
      <c r="DC657" s="34"/>
      <c r="DD657" s="34"/>
      <c r="DE657" s="34"/>
      <c r="DF657" s="34"/>
      <c r="DG657" s="34"/>
      <c r="DH657" s="34"/>
      <c r="DI657" s="34"/>
      <c r="DJ657" s="34"/>
      <c r="DK657" s="34"/>
      <c r="DL657" s="34"/>
      <c r="DM657" s="34"/>
      <c r="DN657" s="34"/>
      <c r="DO657" s="34"/>
      <c r="DP657" s="34"/>
      <c r="DQ657" s="34"/>
      <c r="DR657" s="34"/>
      <c r="DS657" s="34"/>
      <c r="DT657" s="34"/>
      <c r="DU657" s="34"/>
      <c r="DV657" s="34"/>
      <c r="DW657" s="34"/>
      <c r="DX657" s="34"/>
      <c r="DY657" s="34"/>
      <c r="DZ657" s="34"/>
      <c r="EA657" s="34"/>
      <c r="EB657" s="34"/>
      <c r="EC657" s="34"/>
      <c r="ED657" s="34"/>
      <c r="EE657" s="34"/>
    </row>
    <row r="658" spans="1:136" customFormat="1">
      <c r="A658" s="71">
        <f>'Old Data'!$I654-'Old Data'!$S654</f>
        <v>-1</v>
      </c>
      <c r="B658" s="72">
        <f>VLOOKUP('Old Data'!$F654,$R$6:$T$135,2,FALSE)+VLOOKUP('Old Data'!$P654,$R$6:$T$135,3,FALSE)+$B$2</f>
        <v>67.018058096045905</v>
      </c>
      <c r="C658" s="72">
        <f>VLOOKUP('Old Data'!$P654,$R$6:$T$135,2,FALSE)+VLOOKUP('Old Data'!$F654,$R$6:$T$135,3,FALSE)+$B$2</f>
        <v>165.1628243762863</v>
      </c>
      <c r="D658" s="74">
        <f>('Old Data'!$I654-$B658)^2+('Old Data'!$S654-$C658)^2</f>
        <v>6028.2941731446062</v>
      </c>
      <c r="E658" s="75">
        <f>'Old Data'!$K654-'Old Data'!$U654</f>
        <v>36</v>
      </c>
      <c r="F658" s="72">
        <f>VLOOKUP('Old Data'!$F654,$V$6:$X$135,2,FALSE)+VLOOKUP('Old Data'!$P654,$V$6:$X$135,3,FALSE)+$C$2</f>
        <v>267.46081692076018</v>
      </c>
      <c r="G658" s="72">
        <f>VLOOKUP('Old Data'!$P654,$V$6:$X$135,2,FALSE)+VLOOKUP('Old Data'!$F654,$V$6:$X$135,3,FALSE)+$C$2</f>
        <v>233.25211693103279</v>
      </c>
      <c r="H658" s="74">
        <f>('Old Data'!$K654-$F658)^2+('Old Data'!$U654-$G658)^2</f>
        <v>853.91529342661283</v>
      </c>
      <c r="I658" s="75">
        <f>('Old Data'!$L654+'Old Data'!$M654)-('Old Data'!$V654+'Old Data'!$W654)</f>
        <v>-16</v>
      </c>
      <c r="J658" s="72">
        <f>VLOOKUP('Old Data'!$F654,$Z$6:$AB$135,2,FALSE)+VLOOKUP('Old Data'!$P654,$Z$6:$AB$135,3,FALSE)+$D$2</f>
        <v>62.566705520183604</v>
      </c>
      <c r="K658" s="72">
        <f>VLOOKUP('Old Data'!$P654,$Z$6:$AB$135,2,FALSE)+VLOOKUP('Old Data'!$F654,$Z$6:$AB$135,3,FALSE)+$D$2</f>
        <v>69.299051456385726</v>
      </c>
      <c r="L658" s="74">
        <f>('Old Data'!$L654+'Old Data'!$M654-$J658)^2+('Old Data'!$V654+'Old Data'!$W654-$K658)^2</f>
        <v>930.59192350187277</v>
      </c>
      <c r="M658" s="75">
        <f>'Old Data'!$N654-'Old Data'!$X654</f>
        <v>-2</v>
      </c>
      <c r="N658" s="72">
        <f>VLOOKUP('Old Data'!$F654,$AD$6:$AF$135,2,FALSE)+VLOOKUP('Old Data'!$P654,$AD$6:$AF$135,3,FALSE)+$E$2</f>
        <v>1.1136586240035353</v>
      </c>
      <c r="O658" s="72">
        <f>VLOOKUP('Old Data'!$P654,$AD$6:$AF$135,2,FALSE)+VLOOKUP('Old Data'!$F654,$AD$6:$AF$135,3,FALSE)+$E$2</f>
        <v>2.2068925149699989</v>
      </c>
      <c r="P658" s="73">
        <f>('Old Data'!$N654-$N658)^2+('Old Data'!$X654-$O658)^2</f>
        <v>1.2830400435680589</v>
      </c>
      <c r="Q658" s="62"/>
      <c r="R658" s="3"/>
      <c r="S658" s="3"/>
      <c r="T658" s="3"/>
      <c r="V658" s="3"/>
      <c r="W658" s="3"/>
      <c r="X658" s="3"/>
      <c r="Z658" s="3"/>
      <c r="AA658" s="3"/>
      <c r="AB658" s="3"/>
      <c r="AC658" s="3"/>
      <c r="AD658" s="3"/>
      <c r="AE658" s="3"/>
      <c r="AF658" s="3"/>
      <c r="AG658" s="3"/>
      <c r="AH658" s="37"/>
      <c r="AI658" s="1"/>
      <c r="AK658" s="10"/>
      <c r="AL658" s="10"/>
      <c r="AM658" s="10"/>
      <c r="AN658" s="11"/>
      <c r="AO658" s="11"/>
      <c r="AP658" s="11"/>
      <c r="AQ658" s="36"/>
      <c r="AR658" s="11"/>
      <c r="AS658" s="11"/>
      <c r="AT658" s="11"/>
      <c r="AU658" s="12"/>
      <c r="AV658" s="11"/>
      <c r="AW658" s="11"/>
      <c r="AX658" s="15"/>
      <c r="AY658" s="15"/>
      <c r="AZ658" s="15"/>
      <c r="BA658" s="15"/>
      <c r="BB658" s="15"/>
      <c r="BC658" s="15"/>
      <c r="BD658" s="15"/>
      <c r="BE658" s="12"/>
      <c r="BF658" s="11"/>
      <c r="BG658" s="11"/>
      <c r="BH658" s="10"/>
      <c r="BI658" s="10"/>
      <c r="BJ658" s="10"/>
      <c r="BK658" s="23"/>
      <c r="BL658" s="23"/>
      <c r="BM658" s="23"/>
      <c r="BN658" s="23"/>
      <c r="BO658" s="23"/>
      <c r="BP658" s="23"/>
      <c r="BQ658" s="23"/>
      <c r="BR658" s="10"/>
      <c r="BS658" s="16"/>
      <c r="BT658" s="16"/>
      <c r="BU658" s="16"/>
      <c r="BV658" s="16"/>
      <c r="BW658" s="11"/>
      <c r="BX658" s="16"/>
      <c r="BY658" s="16"/>
      <c r="BZ658" s="17"/>
      <c r="CA658" s="18"/>
      <c r="CB658" s="18"/>
      <c r="CC658" s="18"/>
      <c r="CD658" s="18"/>
      <c r="CE658" s="18"/>
      <c r="CF658" s="18"/>
      <c r="CG658" s="19"/>
      <c r="CH658" s="15"/>
      <c r="CI658" s="17"/>
      <c r="CJ658" s="10"/>
      <c r="CK658" s="10"/>
      <c r="CL658" s="10"/>
      <c r="CM658" s="17"/>
      <c r="CN658" s="17"/>
      <c r="CO658" s="10"/>
      <c r="CP658" s="10"/>
      <c r="CQ658" s="10"/>
      <c r="CR658" s="10"/>
      <c r="CS658" s="10"/>
      <c r="CT658" s="10"/>
      <c r="CU658" s="10"/>
      <c r="CV658" s="10"/>
      <c r="CW658" s="10"/>
      <c r="CX658" s="10"/>
      <c r="CY658" s="10"/>
      <c r="CZ658" s="10"/>
      <c r="DA658" s="34"/>
      <c r="DB658" s="34"/>
      <c r="DC658" s="34"/>
      <c r="DD658" s="34"/>
      <c r="DE658" s="34"/>
      <c r="DF658" s="34"/>
      <c r="DG658" s="34"/>
      <c r="DH658" s="34"/>
      <c r="DI658" s="34"/>
      <c r="DJ658" s="34"/>
      <c r="DK658" s="34"/>
      <c r="DL658" s="34"/>
      <c r="DM658" s="34"/>
      <c r="DN658" s="34"/>
      <c r="DO658" s="34"/>
      <c r="DP658" s="34"/>
      <c r="DQ658" s="34"/>
      <c r="DR658" s="34"/>
      <c r="DS658" s="34"/>
      <c r="DT658" s="34"/>
      <c r="DU658" s="34"/>
      <c r="DV658" s="34"/>
      <c r="DW658" s="34"/>
      <c r="DX658" s="34"/>
      <c r="DY658" s="34"/>
      <c r="DZ658" s="34"/>
      <c r="EA658" s="34"/>
      <c r="EB658" s="34"/>
      <c r="EC658" s="34"/>
      <c r="ED658" s="34"/>
      <c r="EE658" s="34"/>
    </row>
    <row r="659" spans="1:136" customFormat="1">
      <c r="A659" s="71">
        <f>'Old Data'!$I655-'Old Data'!$S655</f>
        <v>-130</v>
      </c>
      <c r="B659" s="72">
        <f>VLOOKUP('Old Data'!$F655,$R$6:$T$135,2,FALSE)+VLOOKUP('Old Data'!$P655,$R$6:$T$135,3,FALSE)+$B$2</f>
        <v>193.8439698978502</v>
      </c>
      <c r="C659" s="72">
        <f>VLOOKUP('Old Data'!$P655,$R$6:$T$135,2,FALSE)+VLOOKUP('Old Data'!$F655,$R$6:$T$135,3,FALSE)+$B$2</f>
        <v>222.46928483147849</v>
      </c>
      <c r="D659" s="74">
        <f>('Old Data'!$I655-$B659)^2+('Old Data'!$S655-$C659)^2</f>
        <v>5950.9926395888951</v>
      </c>
      <c r="E659" s="75">
        <f>'Old Data'!$K655-'Old Data'!$U655</f>
        <v>189</v>
      </c>
      <c r="F659" s="72">
        <f>VLOOKUP('Old Data'!$F655,$V$6:$X$135,2,FALSE)+VLOOKUP('Old Data'!$P655,$V$6:$X$135,3,FALSE)+$C$2</f>
        <v>308.10141362169873</v>
      </c>
      <c r="G659" s="72">
        <f>VLOOKUP('Old Data'!$P655,$V$6:$X$135,2,FALSE)+VLOOKUP('Old Data'!$F655,$V$6:$X$135,3,FALSE)+$C$2</f>
        <v>254.6534062466983</v>
      </c>
      <c r="H659" s="74">
        <f>('Old Data'!$K655-$F659)^2+('Old Data'!$U655-$G659)^2</f>
        <v>9392.1050115844955</v>
      </c>
      <c r="I659" s="75">
        <f>('Old Data'!$L655+'Old Data'!$M655)-('Old Data'!$V655+'Old Data'!$W655)</f>
        <v>-104</v>
      </c>
      <c r="J659" s="72">
        <f>VLOOKUP('Old Data'!$F655,$Z$6:$AB$135,2,FALSE)+VLOOKUP('Old Data'!$P655,$Z$6:$AB$135,3,FALSE)+$D$2</f>
        <v>12.780322782395302</v>
      </c>
      <c r="K659" s="72">
        <f>VLOOKUP('Old Data'!$P655,$Z$6:$AB$135,2,FALSE)+VLOOKUP('Old Data'!$F655,$Z$6:$AB$135,3,FALSE)+$D$2</f>
        <v>89.232911590708824</v>
      </c>
      <c r="L659" s="74">
        <f>('Old Data'!$L655+'Old Data'!$M655-$J659)^2+('Old Data'!$V655+'Old Data'!$W655-$K659)^2</f>
        <v>4610.2124569306625</v>
      </c>
      <c r="M659" s="75">
        <f>'Old Data'!$N655-'Old Data'!$X655</f>
        <v>-1</v>
      </c>
      <c r="N659" s="72">
        <f>VLOOKUP('Old Data'!$F655,$AD$6:$AF$135,2,FALSE)+VLOOKUP('Old Data'!$P655,$AD$6:$AF$135,3,FALSE)+$E$2</f>
        <v>0.94870456670561709</v>
      </c>
      <c r="O659" s="72">
        <f>VLOOKUP('Old Data'!$P655,$AD$6:$AF$135,2,FALSE)+VLOOKUP('Old Data'!$F655,$AD$6:$AF$135,3,FALSE)+$E$2</f>
        <v>0.82982911908068913</v>
      </c>
      <c r="P659" s="73">
        <f>('Old Data'!$N655-$N659)^2+('Old Data'!$X655-$O659)^2</f>
        <v>1.3719311120283348</v>
      </c>
      <c r="Q659" s="62"/>
      <c r="R659" s="3"/>
      <c r="S659" s="3"/>
      <c r="T659" s="3"/>
      <c r="V659" s="3"/>
      <c r="W659" s="3"/>
      <c r="X659" s="3"/>
      <c r="Z659" s="3"/>
      <c r="AA659" s="3"/>
      <c r="AB659" s="3"/>
      <c r="AC659" s="3"/>
      <c r="AD659" s="3"/>
      <c r="AE659" s="3"/>
      <c r="AF659" s="3"/>
      <c r="AG659" s="3"/>
      <c r="AH659" s="37"/>
      <c r="AI659" s="1"/>
      <c r="AK659" s="10"/>
      <c r="AL659" s="10"/>
      <c r="AM659" s="10"/>
      <c r="AN659" s="11"/>
      <c r="AO659" s="11"/>
      <c r="AP659" s="11"/>
      <c r="AQ659" s="36"/>
      <c r="AR659" s="11"/>
      <c r="AS659" s="11"/>
      <c r="AT659" s="11"/>
      <c r="AU659" s="12"/>
      <c r="AV659" s="11"/>
      <c r="AW659" s="11"/>
      <c r="AX659" s="15"/>
      <c r="AY659" s="15"/>
      <c r="AZ659" s="15"/>
      <c r="BA659" s="15"/>
      <c r="BB659" s="15"/>
      <c r="BC659" s="15"/>
      <c r="BD659" s="15"/>
      <c r="BE659" s="12"/>
      <c r="BF659" s="11"/>
      <c r="BG659" s="11"/>
      <c r="BH659" s="10"/>
      <c r="BI659" s="10"/>
      <c r="BJ659" s="10"/>
      <c r="BK659" s="23"/>
      <c r="BL659" s="23"/>
      <c r="BM659" s="23"/>
      <c r="BN659" s="23"/>
      <c r="BO659" s="23"/>
      <c r="BP659" s="23"/>
      <c r="BQ659" s="23"/>
      <c r="BR659" s="10"/>
      <c r="BS659" s="16"/>
      <c r="BT659" s="16"/>
      <c r="BU659" s="16"/>
      <c r="BV659" s="16"/>
      <c r="BW659" s="11"/>
      <c r="BX659" s="16"/>
      <c r="BY659" s="16"/>
      <c r="BZ659" s="17"/>
      <c r="CA659" s="18"/>
      <c r="CB659" s="18"/>
      <c r="CC659" s="18"/>
      <c r="CD659" s="18"/>
      <c r="CE659" s="18"/>
      <c r="CF659" s="18"/>
      <c r="CG659" s="19"/>
      <c r="CH659" s="15"/>
      <c r="CI659" s="17"/>
      <c r="CJ659" s="10"/>
      <c r="CK659" s="10"/>
      <c r="CL659" s="10"/>
      <c r="CM659" s="17"/>
      <c r="CN659" s="17"/>
      <c r="CO659" s="10"/>
      <c r="CP659" s="10"/>
      <c r="CQ659" s="10"/>
      <c r="CR659" s="10"/>
      <c r="CS659" s="10"/>
      <c r="CT659" s="10"/>
      <c r="CU659" s="10"/>
      <c r="CV659" s="10"/>
      <c r="CW659" s="10"/>
      <c r="CX659" s="10"/>
      <c r="CY659" s="10"/>
      <c r="CZ659" s="10"/>
      <c r="DA659" s="34"/>
      <c r="DB659" s="34"/>
      <c r="DC659" s="34"/>
      <c r="DD659" s="34"/>
      <c r="DE659" s="34"/>
      <c r="DF659" s="34"/>
      <c r="DG659" s="34"/>
      <c r="DH659" s="34"/>
      <c r="DI659" s="34"/>
      <c r="DJ659" s="34"/>
      <c r="DK659" s="34"/>
      <c r="DL659" s="34"/>
      <c r="DM659" s="34"/>
      <c r="DN659" s="34"/>
      <c r="DO659" s="34"/>
      <c r="DP659" s="34"/>
      <c r="DQ659" s="34"/>
      <c r="DR659" s="34"/>
      <c r="DS659" s="34"/>
      <c r="DT659" s="34"/>
      <c r="DU659" s="34"/>
      <c r="DV659" s="34"/>
      <c r="DW659" s="34"/>
      <c r="DX659" s="34"/>
      <c r="DY659" s="34"/>
      <c r="DZ659" s="34"/>
      <c r="EA659" s="34"/>
      <c r="EB659" s="34"/>
      <c r="EC659" s="34"/>
      <c r="ED659" s="34"/>
      <c r="EE659" s="34"/>
    </row>
    <row r="660" spans="1:136" customFormat="1">
      <c r="A660" s="71">
        <f>'Old Data'!$I656-'Old Data'!$S656</f>
        <v>21</v>
      </c>
      <c r="B660" s="72">
        <f>VLOOKUP('Old Data'!$F656,$R$6:$T$135,2,FALSE)+VLOOKUP('Old Data'!$P656,$R$6:$T$135,3,FALSE)+$B$2</f>
        <v>158.98683243953801</v>
      </c>
      <c r="C660" s="72">
        <f>VLOOKUP('Old Data'!$P656,$R$6:$T$135,2,FALSE)+VLOOKUP('Old Data'!$F656,$R$6:$T$135,3,FALSE)+$B$2</f>
        <v>197.07519023895949</v>
      </c>
      <c r="D660" s="74">
        <f>('Old Data'!$I656-$B660)^2+('Old Data'!$S656-$C660)^2</f>
        <v>1964.9164608741037</v>
      </c>
      <c r="E660" s="75">
        <f>'Old Data'!$K656-'Old Data'!$U656</f>
        <v>4</v>
      </c>
      <c r="F660" s="72">
        <f>VLOOKUP('Old Data'!$F656,$V$6:$X$135,2,FALSE)+VLOOKUP('Old Data'!$P656,$V$6:$X$135,3,FALSE)+$C$2</f>
        <v>272.30537425045213</v>
      </c>
      <c r="G660" s="72">
        <f>VLOOKUP('Old Data'!$P656,$V$6:$X$135,2,FALSE)+VLOOKUP('Old Data'!$F656,$V$6:$X$135,3,FALSE)+$C$2</f>
        <v>172.57656540950853</v>
      </c>
      <c r="H660" s="74">
        <f>('Old Data'!$K656-$F660)^2+('Old Data'!$U656-$G660)^2</f>
        <v>4728.5164159555743</v>
      </c>
      <c r="I660" s="75">
        <f>('Old Data'!$L656+'Old Data'!$M656)-('Old Data'!$V656+'Old Data'!$W656)</f>
        <v>79</v>
      </c>
      <c r="J660" s="72">
        <f>VLOOKUP('Old Data'!$F656,$Z$6:$AB$135,2,FALSE)+VLOOKUP('Old Data'!$P656,$Z$6:$AB$135,3,FALSE)+$D$2</f>
        <v>108.8266210604248</v>
      </c>
      <c r="K660" s="72">
        <f>VLOOKUP('Old Data'!$P656,$Z$6:$AB$135,2,FALSE)+VLOOKUP('Old Data'!$F656,$Z$6:$AB$135,3,FALSE)+$D$2</f>
        <v>56.219171330451459</v>
      </c>
      <c r="L660" s="74">
        <f>('Old Data'!$L656+'Old Data'!$M656-$J660)^2+('Old Data'!$V656+'Old Data'!$W656-$K660)^2</f>
        <v>547.36855553194812</v>
      </c>
      <c r="M660" s="75">
        <f>'Old Data'!$N656-'Old Data'!$X656</f>
        <v>2</v>
      </c>
      <c r="N660" s="72">
        <f>VLOOKUP('Old Data'!$F656,$AD$6:$AF$135,2,FALSE)+VLOOKUP('Old Data'!$P656,$AD$6:$AF$135,3,FALSE)+$E$2</f>
        <v>1.4133828236738717</v>
      </c>
      <c r="O660" s="72">
        <f>VLOOKUP('Old Data'!$P656,$AD$6:$AF$135,2,FALSE)+VLOOKUP('Old Data'!$F656,$AD$6:$AF$135,3,FALSE)+$E$2</f>
        <v>1.8475698844502391</v>
      </c>
      <c r="P660" s="73">
        <f>('Old Data'!$N656-$N660)^2+('Old Data'!$X656-$O660)^2</f>
        <v>3.2357287732400883</v>
      </c>
      <c r="Q660" s="62"/>
      <c r="R660" s="3"/>
      <c r="S660" s="3"/>
      <c r="T660" s="3"/>
      <c r="V660" s="3"/>
      <c r="W660" s="3"/>
      <c r="X660" s="3"/>
      <c r="Z660" s="3"/>
      <c r="AA660" s="3"/>
      <c r="AB660" s="3"/>
      <c r="AC660" s="3"/>
      <c r="AD660" s="3"/>
      <c r="AE660" s="3"/>
      <c r="AF660" s="3"/>
      <c r="AG660" s="3"/>
      <c r="AH660" s="37"/>
      <c r="AI660" s="1"/>
      <c r="AK660" s="10"/>
      <c r="AL660" s="10"/>
      <c r="AM660" s="10"/>
      <c r="AN660" s="11"/>
      <c r="AO660" s="11"/>
      <c r="AP660" s="11"/>
      <c r="AQ660" s="36"/>
      <c r="AR660" s="11"/>
      <c r="AS660" s="11"/>
      <c r="AT660" s="11"/>
      <c r="AU660" s="12"/>
      <c r="AV660" s="11"/>
      <c r="AW660" s="11"/>
      <c r="AX660" s="15"/>
      <c r="AY660" s="15"/>
      <c r="AZ660" s="15"/>
      <c r="BA660" s="15"/>
      <c r="BB660" s="15"/>
      <c r="BC660" s="15"/>
      <c r="BD660" s="15"/>
      <c r="BE660" s="12"/>
      <c r="BF660" s="11"/>
      <c r="BG660" s="11"/>
      <c r="BH660" s="10"/>
      <c r="BI660" s="10"/>
      <c r="BJ660" s="10"/>
      <c r="BK660" s="23"/>
      <c r="BL660" s="23"/>
      <c r="BM660" s="23"/>
      <c r="BN660" s="23"/>
      <c r="BO660" s="23"/>
      <c r="BP660" s="23"/>
      <c r="BQ660" s="23"/>
      <c r="BR660" s="10"/>
      <c r="BS660" s="16"/>
      <c r="BT660" s="16"/>
      <c r="BU660" s="16"/>
      <c r="BV660" s="16"/>
      <c r="BW660" s="11"/>
      <c r="BX660" s="16"/>
      <c r="BY660" s="16"/>
      <c r="BZ660" s="17"/>
      <c r="CA660" s="18"/>
      <c r="CB660" s="18"/>
      <c r="CC660" s="18"/>
      <c r="CD660" s="18"/>
      <c r="CE660" s="18"/>
      <c r="CF660" s="18"/>
      <c r="CG660" s="19"/>
      <c r="CH660" s="15"/>
      <c r="CI660" s="17"/>
      <c r="CJ660" s="10"/>
      <c r="CK660" s="10"/>
      <c r="CL660" s="10"/>
      <c r="CM660" s="17"/>
      <c r="CN660" s="17"/>
      <c r="CO660" s="10"/>
      <c r="CP660" s="10"/>
      <c r="CQ660" s="10"/>
      <c r="CR660" s="10"/>
      <c r="CS660" s="10"/>
      <c r="CT660" s="10"/>
      <c r="CU660" s="10"/>
      <c r="CV660" s="10"/>
      <c r="CW660" s="10"/>
      <c r="CX660" s="10"/>
      <c r="CY660" s="10"/>
      <c r="CZ660" s="10"/>
      <c r="DA660" s="34"/>
      <c r="DB660" s="34"/>
      <c r="DC660" s="34"/>
      <c r="DD660" s="34"/>
      <c r="DE660" s="34"/>
      <c r="DF660" s="34"/>
      <c r="DG660" s="34"/>
      <c r="DH660" s="34"/>
      <c r="DI660" s="34"/>
      <c r="DJ660" s="34"/>
      <c r="DK660" s="34"/>
      <c r="DL660" s="34"/>
      <c r="DM660" s="34"/>
      <c r="DN660" s="34"/>
      <c r="DO660" s="34"/>
      <c r="DP660" s="34"/>
      <c r="DQ660" s="34"/>
      <c r="DR660" s="34"/>
      <c r="DS660" s="34"/>
      <c r="DT660" s="34"/>
      <c r="DU660" s="34"/>
      <c r="DV660" s="34"/>
      <c r="DW660" s="34"/>
      <c r="DX660" s="34"/>
      <c r="DY660" s="34"/>
      <c r="DZ660" s="34"/>
      <c r="EA660" s="34"/>
      <c r="EB660" s="34"/>
      <c r="EC660" s="34"/>
      <c r="ED660" s="34"/>
      <c r="EE660" s="34"/>
    </row>
    <row r="661" spans="1:136" customFormat="1">
      <c r="A661" s="71">
        <f>'Old Data'!$I657-'Old Data'!$S657</f>
        <v>-43</v>
      </c>
      <c r="B661" s="72">
        <f>VLOOKUP('Old Data'!$F657,$R$6:$T$135,2,FALSE)+VLOOKUP('Old Data'!$P657,$R$6:$T$135,3,FALSE)+$B$2</f>
        <v>165.33698465089151</v>
      </c>
      <c r="C661" s="72">
        <f>VLOOKUP('Old Data'!$P657,$R$6:$T$135,2,FALSE)+VLOOKUP('Old Data'!$F657,$R$6:$T$135,3,FALSE)+$B$2</f>
        <v>168.98101199871655</v>
      </c>
      <c r="D661" s="74">
        <f>('Old Data'!$I657-$B661)^2+('Old Data'!$S657-$C661)^2</f>
        <v>3714.5111106141312</v>
      </c>
      <c r="E661" s="75">
        <f>'Old Data'!$K657-'Old Data'!$U657</f>
        <v>1</v>
      </c>
      <c r="F661" s="72">
        <f>VLOOKUP('Old Data'!$F657,$V$6:$X$135,2,FALSE)+VLOOKUP('Old Data'!$P657,$V$6:$X$135,3,FALSE)+$C$2</f>
        <v>181.38942605942469</v>
      </c>
      <c r="G661" s="72">
        <f>VLOOKUP('Old Data'!$P657,$V$6:$X$135,2,FALSE)+VLOOKUP('Old Data'!$F657,$V$6:$X$135,3,FALSE)+$C$2</f>
        <v>211.77018097724473</v>
      </c>
      <c r="H661" s="74">
        <f>('Old Data'!$K657-$F661)^2+('Old Data'!$U657-$G661)^2</f>
        <v>19341.35239192309</v>
      </c>
      <c r="I661" s="75">
        <f>('Old Data'!$L657+'Old Data'!$M657)-('Old Data'!$V657+'Old Data'!$W657)</f>
        <v>-115</v>
      </c>
      <c r="J661" s="72">
        <f>VLOOKUP('Old Data'!$F657,$Z$6:$AB$135,2,FALSE)+VLOOKUP('Old Data'!$P657,$Z$6:$AB$135,3,FALSE)+$D$2</f>
        <v>35.646434961869332</v>
      </c>
      <c r="K661" s="72">
        <f>VLOOKUP('Old Data'!$P657,$Z$6:$AB$135,2,FALSE)+VLOOKUP('Old Data'!$F657,$Z$6:$AB$135,3,FALSE)+$D$2</f>
        <v>80.532382427170518</v>
      </c>
      <c r="L661" s="74">
        <f>('Old Data'!$L657+'Old Data'!$M657-$J661)^2+('Old Data'!$V657+'Old Data'!$W657-$K661)^2</f>
        <v>2718.3933693006475</v>
      </c>
      <c r="M661" s="75">
        <f>'Old Data'!$N657-'Old Data'!$X657</f>
        <v>0</v>
      </c>
      <c r="N661" s="72">
        <f>VLOOKUP('Old Data'!$F657,$AD$6:$AF$135,2,FALSE)+VLOOKUP('Old Data'!$P657,$AD$6:$AF$135,3,FALSE)+$E$2</f>
        <v>1.2512565669727411</v>
      </c>
      <c r="O661" s="72">
        <f>VLOOKUP('Old Data'!$P657,$AD$6:$AF$135,2,FALSE)+VLOOKUP('Old Data'!$F657,$AD$6:$AF$135,3,FALSE)+$E$2</f>
        <v>1.8426717930920602</v>
      </c>
      <c r="P661" s="73">
        <f>('Old Data'!$N657-$N661)^2+('Old Data'!$X657-$O661)^2</f>
        <v>0.58536889319031282</v>
      </c>
      <c r="Q661" s="62"/>
      <c r="R661" s="3"/>
      <c r="S661" s="3"/>
      <c r="T661" s="3"/>
      <c r="V661" s="3"/>
      <c r="W661" s="3"/>
      <c r="X661" s="3"/>
      <c r="Z661" s="3"/>
      <c r="AA661" s="3"/>
      <c r="AB661" s="3"/>
      <c r="AC661" s="3"/>
      <c r="AD661" s="3"/>
      <c r="AE661" s="3"/>
      <c r="AF661" s="3"/>
      <c r="AG661" s="3"/>
      <c r="AH661" s="37"/>
      <c r="AI661" s="1"/>
      <c r="AK661" s="10"/>
      <c r="AL661" s="10"/>
      <c r="AM661" s="10"/>
      <c r="AN661" s="11"/>
      <c r="AO661" s="11"/>
      <c r="AP661" s="11"/>
      <c r="AQ661" s="36"/>
      <c r="AR661" s="11"/>
      <c r="AS661" s="11"/>
      <c r="AT661" s="11"/>
      <c r="AU661" s="12"/>
      <c r="AV661" s="11"/>
      <c r="AW661" s="11"/>
      <c r="AX661" s="15"/>
      <c r="AY661" s="15"/>
      <c r="AZ661" s="15"/>
      <c r="BA661" s="15"/>
      <c r="BB661" s="15"/>
      <c r="BC661" s="15"/>
      <c r="BD661" s="15"/>
      <c r="BE661" s="12"/>
      <c r="BF661" s="11"/>
      <c r="BG661" s="11"/>
      <c r="BH661" s="10"/>
      <c r="BI661" s="10"/>
      <c r="BJ661" s="10"/>
      <c r="BK661" s="23"/>
      <c r="BL661" s="23"/>
      <c r="BM661" s="23"/>
      <c r="BN661" s="23"/>
      <c r="BO661" s="23"/>
      <c r="BP661" s="23"/>
      <c r="BQ661" s="23"/>
      <c r="BR661" s="10"/>
      <c r="BS661" s="16"/>
      <c r="BT661" s="16"/>
      <c r="BU661" s="16"/>
      <c r="BV661" s="16"/>
      <c r="BW661" s="11"/>
      <c r="BX661" s="16"/>
      <c r="BY661" s="16"/>
      <c r="BZ661" s="17"/>
      <c r="CA661" s="18"/>
      <c r="CB661" s="18"/>
      <c r="CC661" s="18"/>
      <c r="CD661" s="18"/>
      <c r="CE661" s="18"/>
      <c r="CF661" s="18"/>
      <c r="CG661" s="19"/>
      <c r="CH661" s="15"/>
      <c r="CI661" s="17"/>
      <c r="CJ661" s="10"/>
      <c r="CK661" s="10"/>
      <c r="CL661" s="10"/>
      <c r="CM661" s="17"/>
      <c r="CN661" s="17"/>
      <c r="CO661" s="10"/>
      <c r="CP661" s="10"/>
      <c r="CQ661" s="10"/>
      <c r="CR661" s="10"/>
      <c r="CS661" s="10"/>
      <c r="CT661" s="10"/>
      <c r="CU661" s="10"/>
      <c r="CV661" s="10"/>
      <c r="CW661" s="10"/>
      <c r="CX661" s="10"/>
      <c r="CY661" s="10"/>
      <c r="CZ661" s="10"/>
      <c r="DA661" s="34"/>
      <c r="DB661" s="34"/>
      <c r="DC661" s="34"/>
      <c r="DD661" s="34"/>
      <c r="DE661" s="34"/>
      <c r="DF661" s="34"/>
      <c r="DG661" s="34"/>
      <c r="DH661" s="34"/>
      <c r="DI661" s="34"/>
      <c r="DJ661" s="34"/>
      <c r="DK661" s="34"/>
      <c r="DL661" s="34"/>
      <c r="DM661" s="34"/>
      <c r="DN661" s="34"/>
      <c r="DO661" s="34"/>
      <c r="DP661" s="34"/>
      <c r="DQ661" s="34"/>
      <c r="DR661" s="34"/>
      <c r="DS661" s="34"/>
      <c r="DT661" s="34"/>
      <c r="DU661" s="34"/>
      <c r="DV661" s="34"/>
      <c r="DW661" s="34"/>
      <c r="DX661" s="34"/>
      <c r="DY661" s="34"/>
      <c r="DZ661" s="34"/>
      <c r="EA661" s="34"/>
      <c r="EB661" s="34"/>
      <c r="EC661" s="34"/>
      <c r="ED661" s="34"/>
      <c r="EE661" s="34"/>
    </row>
    <row r="662" spans="1:136" customFormat="1">
      <c r="A662" s="71">
        <f>'Old Data'!$I658-'Old Data'!$S658</f>
        <v>121</v>
      </c>
      <c r="B662" s="72">
        <f>VLOOKUP('Old Data'!$F658,$R$6:$T$135,2,FALSE)+VLOOKUP('Old Data'!$P658,$R$6:$T$135,3,FALSE)+$B$2</f>
        <v>181.94707656165889</v>
      </c>
      <c r="C662" s="72">
        <f>VLOOKUP('Old Data'!$P658,$R$6:$T$135,2,FALSE)+VLOOKUP('Old Data'!$F658,$R$6:$T$135,3,FALSE)+$B$2</f>
        <v>131.13545361789161</v>
      </c>
      <c r="D662" s="74">
        <f>('Old Data'!$I658-$B662)^2+('Old Data'!$S658-$C662)^2</f>
        <v>2465.3726028683177</v>
      </c>
      <c r="E662" s="75">
        <f>'Old Data'!$K658-'Old Data'!$U658</f>
        <v>-63</v>
      </c>
      <c r="F662" s="72">
        <f>VLOOKUP('Old Data'!$F658,$V$6:$X$135,2,FALSE)+VLOOKUP('Old Data'!$P658,$V$6:$X$135,3,FALSE)+$C$2</f>
        <v>201.48766362596041</v>
      </c>
      <c r="G662" s="72">
        <f>VLOOKUP('Old Data'!$P658,$V$6:$X$135,2,FALSE)+VLOOKUP('Old Data'!$F658,$V$6:$X$135,3,FALSE)+$C$2</f>
        <v>302.33799616702242</v>
      </c>
      <c r="H662" s="74">
        <f>('Old Data'!$K658-$F662)^2+('Old Data'!$U658-$G662)^2</f>
        <v>7581.2368382093891</v>
      </c>
      <c r="I662" s="75">
        <f>('Old Data'!$L658+'Old Data'!$M658)-('Old Data'!$V658+'Old Data'!$W658)</f>
        <v>40</v>
      </c>
      <c r="J662" s="72">
        <f>VLOOKUP('Old Data'!$F658,$Z$6:$AB$135,2,FALSE)+VLOOKUP('Old Data'!$P658,$Z$6:$AB$135,3,FALSE)+$D$2</f>
        <v>79.372254610579887</v>
      </c>
      <c r="K662" s="72">
        <f>VLOOKUP('Old Data'!$P658,$Z$6:$AB$135,2,FALSE)+VLOOKUP('Old Data'!$F658,$Z$6:$AB$135,3,FALSE)+$D$2</f>
        <v>108.84463901232179</v>
      </c>
      <c r="L662" s="74">
        <f>('Old Data'!$L658+'Old Data'!$M658-$J662)^2+('Old Data'!$V658+'Old Data'!$W658-$K662)^2</f>
        <v>2745.5903844580803</v>
      </c>
      <c r="M662" s="75">
        <f>'Old Data'!$N658-'Old Data'!$X658</f>
        <v>-1</v>
      </c>
      <c r="N662" s="72">
        <f>VLOOKUP('Old Data'!$F658,$AD$6:$AF$135,2,FALSE)+VLOOKUP('Old Data'!$P658,$AD$6:$AF$135,3,FALSE)+$E$2</f>
        <v>1.6973638479020152</v>
      </c>
      <c r="O662" s="72">
        <f>VLOOKUP('Old Data'!$P658,$AD$6:$AF$135,2,FALSE)+VLOOKUP('Old Data'!$F658,$AD$6:$AF$135,3,FALSE)+$E$2</f>
        <v>1.6777478165050965</v>
      </c>
      <c r="P662" s="73">
        <f>('Old Data'!$N658-$N662)^2+('Old Data'!$X658-$O662)^2</f>
        <v>0.59016280612793803</v>
      </c>
      <c r="Q662" s="62"/>
      <c r="R662" s="3"/>
      <c r="S662" s="3"/>
      <c r="T662" s="3"/>
      <c r="V662" s="3"/>
      <c r="W662" s="3"/>
      <c r="X662" s="3"/>
      <c r="Z662" s="3"/>
      <c r="AA662" s="3"/>
      <c r="AB662" s="3"/>
      <c r="AC662" s="3"/>
      <c r="AD662" s="3"/>
      <c r="AE662" s="3"/>
      <c r="AF662" s="3"/>
      <c r="AG662" s="3"/>
      <c r="AH662" s="37"/>
      <c r="AI662" s="1"/>
      <c r="AK662" s="10"/>
      <c r="AL662" s="10"/>
      <c r="AM662" s="10"/>
      <c r="AN662" s="11"/>
      <c r="AO662" s="11"/>
      <c r="AP662" s="11"/>
      <c r="AQ662" s="36"/>
      <c r="AR662" s="11"/>
      <c r="AS662" s="11"/>
      <c r="AT662" s="11"/>
      <c r="AU662" s="12"/>
      <c r="AV662" s="11"/>
      <c r="AW662" s="11"/>
      <c r="AX662" s="15"/>
      <c r="AY662" s="15"/>
      <c r="AZ662" s="15"/>
      <c r="BA662" s="15"/>
      <c r="BB662" s="15"/>
      <c r="BC662" s="15"/>
      <c r="BD662" s="15"/>
      <c r="BE662" s="12"/>
      <c r="BF662" s="11"/>
      <c r="BG662" s="11"/>
      <c r="BH662" s="10"/>
      <c r="BI662" s="10"/>
      <c r="BJ662" s="10"/>
      <c r="BK662" s="23"/>
      <c r="BL662" s="23"/>
      <c r="BM662" s="23"/>
      <c r="BN662" s="23"/>
      <c r="BO662" s="23"/>
      <c r="BP662" s="23"/>
      <c r="BQ662" s="23"/>
      <c r="BR662" s="10"/>
      <c r="BS662" s="16"/>
      <c r="BT662" s="16"/>
      <c r="BU662" s="16"/>
      <c r="BV662" s="16"/>
      <c r="BW662" s="11"/>
      <c r="BX662" s="16"/>
      <c r="BY662" s="16"/>
      <c r="BZ662" s="17"/>
      <c r="CA662" s="18"/>
      <c r="CB662" s="18"/>
      <c r="CC662" s="18"/>
      <c r="CD662" s="18"/>
      <c r="CE662" s="18"/>
      <c r="CF662" s="18"/>
      <c r="CG662" s="19"/>
      <c r="CH662" s="15"/>
      <c r="CI662" s="17"/>
      <c r="CJ662" s="10"/>
      <c r="CK662" s="10"/>
      <c r="CL662" s="10"/>
      <c r="CM662" s="17"/>
      <c r="CN662" s="17"/>
      <c r="CO662" s="10"/>
      <c r="CP662" s="10"/>
      <c r="CQ662" s="10"/>
      <c r="CR662" s="10"/>
      <c r="CS662" s="10"/>
      <c r="CT662" s="10"/>
      <c r="CU662" s="10"/>
      <c r="CV662" s="10"/>
      <c r="CW662" s="10"/>
      <c r="CX662" s="10"/>
      <c r="CY662" s="10"/>
      <c r="CZ662" s="10"/>
      <c r="DA662" s="34"/>
      <c r="DB662" s="34"/>
      <c r="DC662" s="34"/>
      <c r="DD662" s="34"/>
      <c r="DE662" s="34"/>
      <c r="DF662" s="34"/>
      <c r="DG662" s="34"/>
      <c r="DH662" s="34"/>
      <c r="DI662" s="34"/>
      <c r="DJ662" s="34"/>
      <c r="DK662" s="34"/>
      <c r="DL662" s="34"/>
      <c r="DM662" s="34"/>
      <c r="DN662" s="34"/>
      <c r="DO662" s="34"/>
      <c r="DP662" s="34"/>
      <c r="DQ662" s="34"/>
      <c r="DR662" s="34"/>
      <c r="DS662" s="34"/>
      <c r="DT662" s="34"/>
      <c r="DU662" s="34"/>
      <c r="DV662" s="34"/>
      <c r="DW662" s="34"/>
      <c r="DX662" s="34"/>
      <c r="DY662" s="34"/>
      <c r="DZ662" s="34"/>
      <c r="EA662" s="34"/>
      <c r="EB662" s="34"/>
      <c r="EC662" s="34"/>
      <c r="ED662" s="34"/>
      <c r="EE662" s="34"/>
    </row>
    <row r="663" spans="1:136" customFormat="1">
      <c r="A663" s="71">
        <f>'Old Data'!$I659-'Old Data'!$S659</f>
        <v>62</v>
      </c>
      <c r="B663" s="72">
        <f>VLOOKUP('Old Data'!$F659,$R$6:$T$135,2,FALSE)+VLOOKUP('Old Data'!$P659,$R$6:$T$135,3,FALSE)+$B$2</f>
        <v>195.0530795266844</v>
      </c>
      <c r="C663" s="72">
        <f>VLOOKUP('Old Data'!$P659,$R$6:$T$135,2,FALSE)+VLOOKUP('Old Data'!$F659,$R$6:$T$135,3,FALSE)+$B$2</f>
        <v>73.143297674899515</v>
      </c>
      <c r="D663" s="74">
        <f>('Old Data'!$I659-$B663)^2+('Old Data'!$S659-$C663)^2</f>
        <v>2087.3233156048918</v>
      </c>
      <c r="E663" s="75">
        <f>'Old Data'!$K659-'Old Data'!$U659</f>
        <v>-14</v>
      </c>
      <c r="F663" s="72">
        <f>VLOOKUP('Old Data'!$F659,$V$6:$X$135,2,FALSE)+VLOOKUP('Old Data'!$P659,$V$6:$X$135,3,FALSE)+$C$2</f>
        <v>182.35824433657018</v>
      </c>
      <c r="G663" s="72">
        <f>VLOOKUP('Old Data'!$P659,$V$6:$X$135,2,FALSE)+VLOOKUP('Old Data'!$F659,$V$6:$X$135,3,FALSE)+$C$2</f>
        <v>184.47578951361351</v>
      </c>
      <c r="H663" s="74">
        <f>('Old Data'!$K659-$F663)^2+('Old Data'!$U659-$G663)^2</f>
        <v>2172.3223389531854</v>
      </c>
      <c r="I663" s="75">
        <f>('Old Data'!$L659+'Old Data'!$M659)-('Old Data'!$V659+'Old Data'!$W659)</f>
        <v>118</v>
      </c>
      <c r="J663" s="72">
        <f>VLOOKUP('Old Data'!$F659,$Z$6:$AB$135,2,FALSE)+VLOOKUP('Old Data'!$P659,$Z$6:$AB$135,3,FALSE)+$D$2</f>
        <v>48.831479658019703</v>
      </c>
      <c r="K663" s="72">
        <f>VLOOKUP('Old Data'!$P659,$Z$6:$AB$135,2,FALSE)+VLOOKUP('Old Data'!$F659,$Z$6:$AB$135,3,FALSE)+$D$2</f>
        <v>58.328149418593725</v>
      </c>
      <c r="L663" s="74">
        <f>('Old Data'!$L659+'Old Data'!$M659-$J663)^2+('Old Data'!$V659+'Old Data'!$W659-$K663)^2</f>
        <v>8210.1379627435108</v>
      </c>
      <c r="M663" s="75">
        <f>'Old Data'!$N659-'Old Data'!$X659</f>
        <v>1</v>
      </c>
      <c r="N663" s="72">
        <f>VLOOKUP('Old Data'!$F659,$AD$6:$AF$135,2,FALSE)+VLOOKUP('Old Data'!$P659,$AD$6:$AF$135,3,FALSE)+$E$2</f>
        <v>2.1315588479570913</v>
      </c>
      <c r="O663" s="72">
        <f>VLOOKUP('Old Data'!$P659,$AD$6:$AF$135,2,FALSE)+VLOOKUP('Old Data'!$F659,$AD$6:$AF$135,3,FALSE)+$E$2</f>
        <v>1.358720431321587</v>
      </c>
      <c r="P663" s="73">
        <f>('Old Data'!$N659-$N663)^2+('Old Data'!$X659-$O663)^2</f>
        <v>1.1654295197659859</v>
      </c>
      <c r="Q663" s="62"/>
      <c r="R663" s="3"/>
      <c r="S663" s="3"/>
      <c r="T663" s="3"/>
      <c r="V663" s="3"/>
      <c r="W663" s="3"/>
      <c r="X663" s="3"/>
      <c r="Z663" s="3"/>
      <c r="AA663" s="3"/>
      <c r="AB663" s="3"/>
      <c r="AC663" s="3"/>
      <c r="AD663" s="3"/>
      <c r="AE663" s="3"/>
      <c r="AF663" s="3"/>
      <c r="AG663" s="3"/>
      <c r="AH663" s="37"/>
      <c r="AI663" s="1"/>
      <c r="AK663" s="10"/>
      <c r="AL663" s="10"/>
      <c r="AM663" s="10"/>
      <c r="AN663" s="11"/>
      <c r="AO663" s="11"/>
      <c r="AP663" s="11"/>
      <c r="AQ663" s="36"/>
      <c r="AR663" s="11"/>
      <c r="AS663" s="11"/>
      <c r="AT663" s="11"/>
      <c r="AU663" s="12"/>
      <c r="AV663" s="11"/>
      <c r="AW663" s="11"/>
      <c r="AX663" s="15"/>
      <c r="AY663" s="15"/>
      <c r="AZ663" s="15"/>
      <c r="BA663" s="15"/>
      <c r="BB663" s="15"/>
      <c r="BC663" s="15"/>
      <c r="BD663" s="15"/>
      <c r="BE663" s="12"/>
      <c r="BF663" s="11"/>
      <c r="BG663" s="11"/>
      <c r="BH663" s="10"/>
      <c r="BI663" s="10"/>
      <c r="BJ663" s="10"/>
      <c r="BK663" s="23"/>
      <c r="BL663" s="23"/>
      <c r="BM663" s="23"/>
      <c r="BN663" s="23"/>
      <c r="BO663" s="23"/>
      <c r="BP663" s="23"/>
      <c r="BQ663" s="23"/>
      <c r="BR663" s="10"/>
      <c r="BS663" s="16"/>
      <c r="BT663" s="16"/>
      <c r="BU663" s="16"/>
      <c r="BV663" s="16"/>
      <c r="BW663" s="11"/>
      <c r="BX663" s="16"/>
      <c r="BY663" s="16"/>
      <c r="BZ663" s="17"/>
      <c r="CA663" s="18"/>
      <c r="CB663" s="18"/>
      <c r="CC663" s="18"/>
      <c r="CD663" s="18"/>
      <c r="CE663" s="18"/>
      <c r="CF663" s="18"/>
      <c r="CG663" s="19"/>
      <c r="CH663" s="15"/>
      <c r="CI663" s="17"/>
      <c r="CJ663" s="10"/>
      <c r="CK663" s="10"/>
      <c r="CL663" s="10"/>
      <c r="CM663" s="17"/>
      <c r="CN663" s="17"/>
      <c r="CO663" s="10"/>
      <c r="CP663" s="10"/>
      <c r="CQ663" s="10"/>
      <c r="CR663" s="10"/>
      <c r="CS663" s="10"/>
      <c r="CT663" s="10"/>
      <c r="CU663" s="10"/>
      <c r="CV663" s="10"/>
      <c r="CW663" s="10"/>
      <c r="CX663" s="10"/>
      <c r="CY663" s="10"/>
      <c r="CZ663" s="10"/>
      <c r="DA663" s="34"/>
      <c r="DB663" s="34"/>
      <c r="DC663" s="34"/>
      <c r="DD663" s="34"/>
      <c r="DE663" s="34"/>
      <c r="DF663" s="34"/>
      <c r="DG663" s="34"/>
      <c r="DH663" s="34"/>
      <c r="DI663" s="34"/>
      <c r="DJ663" s="34"/>
      <c r="DK663" s="34"/>
      <c r="DL663" s="34"/>
      <c r="DM663" s="34"/>
      <c r="DN663" s="34"/>
      <c r="DO663" s="34"/>
      <c r="DP663" s="34"/>
      <c r="DQ663" s="34"/>
      <c r="DR663" s="34"/>
      <c r="DS663" s="34"/>
      <c r="DT663" s="34"/>
      <c r="DU663" s="34"/>
      <c r="DV663" s="34"/>
      <c r="DW663" s="34"/>
      <c r="DX663" s="34"/>
      <c r="DY663" s="34"/>
      <c r="DZ663" s="34"/>
      <c r="EA663" s="34"/>
      <c r="EB663" s="34"/>
      <c r="EC663" s="34"/>
      <c r="ED663" s="34"/>
      <c r="EE663" s="34"/>
    </row>
    <row r="664" spans="1:136" customFormat="1">
      <c r="A664" s="71">
        <f>'Old Data'!$I660-'Old Data'!$S660</f>
        <v>191</v>
      </c>
      <c r="B664" s="72">
        <f>VLOOKUP('Old Data'!$F660,$R$6:$T$135,2,FALSE)+VLOOKUP('Old Data'!$P660,$R$6:$T$135,3,FALSE)+$B$2</f>
        <v>181.47276798648392</v>
      </c>
      <c r="C664" s="72">
        <f>VLOOKUP('Old Data'!$P660,$R$6:$T$135,2,FALSE)+VLOOKUP('Old Data'!$F660,$R$6:$T$135,3,FALSE)+$B$2</f>
        <v>122.53606349194651</v>
      </c>
      <c r="D664" s="74">
        <f>('Old Data'!$I660-$B664)^2+('Old Data'!$S660-$C664)^2</f>
        <v>9140.6009360045919</v>
      </c>
      <c r="E664" s="75">
        <f>'Old Data'!$K660-'Old Data'!$U660</f>
        <v>-51</v>
      </c>
      <c r="F664" s="72">
        <f>VLOOKUP('Old Data'!$F660,$V$6:$X$135,2,FALSE)+VLOOKUP('Old Data'!$P660,$V$6:$X$135,3,FALSE)+$C$2</f>
        <v>389.26092698217258</v>
      </c>
      <c r="G664" s="72">
        <f>VLOOKUP('Old Data'!$P660,$V$6:$X$135,2,FALSE)+VLOOKUP('Old Data'!$F660,$V$6:$X$135,3,FALSE)+$C$2</f>
        <v>380.7908817424825</v>
      </c>
      <c r="H664" s="74">
        <f>('Old Data'!$K660-$F664)^2+('Old Data'!$U660-$G664)^2</f>
        <v>2034.0360831444341</v>
      </c>
      <c r="I664" s="75">
        <f>('Old Data'!$L660+'Old Data'!$M660)-('Old Data'!$V660+'Old Data'!$W660)</f>
        <v>-45</v>
      </c>
      <c r="J664" s="72">
        <f>VLOOKUP('Old Data'!$F660,$Z$6:$AB$135,2,FALSE)+VLOOKUP('Old Data'!$P660,$Z$6:$AB$135,3,FALSE)+$D$2</f>
        <v>40.158534537192963</v>
      </c>
      <c r="K664" s="72">
        <f>VLOOKUP('Old Data'!$P660,$Z$6:$AB$135,2,FALSE)+VLOOKUP('Old Data'!$F660,$Z$6:$AB$135,3,FALSE)+$D$2</f>
        <v>65.510661354184094</v>
      </c>
      <c r="L664" s="74">
        <f>('Old Data'!$L660+'Old Data'!$M660-$J664)^2+('Old Data'!$V660+'Old Data'!$W660-$K664)^2</f>
        <v>420.52106226802221</v>
      </c>
      <c r="M664" s="75">
        <f>'Old Data'!$N660-'Old Data'!$X660</f>
        <v>2</v>
      </c>
      <c r="N664" s="72">
        <f>VLOOKUP('Old Data'!$F660,$AD$6:$AF$135,2,FALSE)+VLOOKUP('Old Data'!$P660,$AD$6:$AF$135,3,FALSE)+$E$2</f>
        <v>1.6636546597887811</v>
      </c>
      <c r="O664" s="72">
        <f>VLOOKUP('Old Data'!$P660,$AD$6:$AF$135,2,FALSE)+VLOOKUP('Old Data'!$F660,$AD$6:$AF$135,3,FALSE)+$E$2</f>
        <v>1.3077261350357769</v>
      </c>
      <c r="P664" s="73">
        <f>('Old Data'!$N660-$N664)^2+('Old Data'!$X660-$O664)^2</f>
        <v>1.8232758321374116</v>
      </c>
      <c r="Q664" s="62"/>
      <c r="R664" s="3"/>
      <c r="S664" s="3"/>
      <c r="T664" s="3"/>
      <c r="V664" s="3"/>
      <c r="W664" s="3"/>
      <c r="X664" s="3"/>
      <c r="Z664" s="3"/>
      <c r="AA664" s="3"/>
      <c r="AB664" s="3"/>
      <c r="AC664" s="3"/>
      <c r="AD664" s="3"/>
      <c r="AE664" s="3"/>
      <c r="AF664" s="3"/>
      <c r="AG664" s="3"/>
      <c r="AH664" s="37"/>
      <c r="AI664" s="1"/>
      <c r="AK664" s="10"/>
      <c r="AL664" s="10"/>
      <c r="AM664" s="10"/>
      <c r="AN664" s="11"/>
      <c r="AO664" s="11"/>
      <c r="AP664" s="11"/>
      <c r="AQ664" s="36"/>
      <c r="AR664" s="11"/>
      <c r="AS664" s="11"/>
      <c r="AT664" s="11"/>
      <c r="AU664" s="12"/>
      <c r="AV664" s="11"/>
      <c r="AW664" s="11"/>
      <c r="AX664" s="15"/>
      <c r="AY664" s="15"/>
      <c r="AZ664" s="15"/>
      <c r="BA664" s="15"/>
      <c r="BB664" s="15"/>
      <c r="BC664" s="15"/>
      <c r="BD664" s="15"/>
      <c r="BE664" s="12"/>
      <c r="BF664" s="11"/>
      <c r="BG664" s="11"/>
      <c r="BH664" s="10"/>
      <c r="BI664" s="10"/>
      <c r="BJ664" s="10"/>
      <c r="BK664" s="23"/>
      <c r="BL664" s="23"/>
      <c r="BM664" s="23"/>
      <c r="BN664" s="23"/>
      <c r="BO664" s="23"/>
      <c r="BP664" s="23"/>
      <c r="BQ664" s="23"/>
      <c r="BR664" s="10"/>
      <c r="BS664" s="16"/>
      <c r="BT664" s="16"/>
      <c r="BU664" s="16"/>
      <c r="BV664" s="16"/>
      <c r="BW664" s="11"/>
      <c r="BX664" s="16"/>
      <c r="BY664" s="16"/>
      <c r="BZ664" s="17"/>
      <c r="CA664" s="18"/>
      <c r="CB664" s="18"/>
      <c r="CC664" s="18"/>
      <c r="CD664" s="18"/>
      <c r="CE664" s="18"/>
      <c r="CF664" s="18"/>
      <c r="CG664" s="19"/>
      <c r="CH664" s="15"/>
      <c r="CI664" s="17"/>
      <c r="CJ664" s="10"/>
      <c r="CK664" s="10"/>
      <c r="CL664" s="10"/>
      <c r="CM664" s="17"/>
      <c r="CN664" s="17"/>
      <c r="CO664" s="10"/>
      <c r="CP664" s="10"/>
      <c r="CQ664" s="10"/>
      <c r="CR664" s="10"/>
      <c r="CS664" s="10"/>
      <c r="CT664" s="10"/>
      <c r="CU664" s="10"/>
      <c r="CV664" s="10"/>
      <c r="CW664" s="10"/>
      <c r="CX664" s="10"/>
      <c r="CY664" s="10"/>
      <c r="CZ664" s="10"/>
      <c r="DA664" s="34"/>
      <c r="DB664" s="34"/>
      <c r="DC664" s="34"/>
      <c r="DD664" s="34"/>
      <c r="DE664" s="34"/>
      <c r="DF664" s="34"/>
      <c r="DG664" s="34"/>
      <c r="DH664" s="34"/>
      <c r="DI664" s="34"/>
      <c r="DJ664" s="34"/>
      <c r="DK664" s="34"/>
      <c r="DL664" s="34"/>
      <c r="DM664" s="34"/>
      <c r="DN664" s="34"/>
      <c r="DO664" s="34"/>
      <c r="DP664" s="34"/>
      <c r="DQ664" s="34"/>
      <c r="DR664" s="34"/>
      <c r="DS664" s="34"/>
      <c r="DT664" s="34"/>
      <c r="DU664" s="34"/>
      <c r="DV664" s="34"/>
      <c r="DW664" s="34"/>
      <c r="DX664" s="34"/>
      <c r="DY664" s="34"/>
      <c r="DZ664" s="34"/>
      <c r="EA664" s="34"/>
      <c r="EB664" s="34"/>
      <c r="EC664" s="34"/>
      <c r="ED664" s="34"/>
      <c r="EE664" s="34"/>
    </row>
    <row r="665" spans="1:136" customFormat="1">
      <c r="A665" s="71">
        <f>'Old Data'!$I661-'Old Data'!$S661</f>
        <v>-159</v>
      </c>
      <c r="B665" s="72">
        <f>VLOOKUP('Old Data'!$F661,$R$6:$T$135,2,FALSE)+VLOOKUP('Old Data'!$P661,$R$6:$T$135,3,FALSE)+$B$2</f>
        <v>97.031651983163513</v>
      </c>
      <c r="C665" s="72">
        <f>VLOOKUP('Old Data'!$P661,$R$6:$T$135,2,FALSE)+VLOOKUP('Old Data'!$F661,$R$6:$T$135,3,FALSE)+$B$2</f>
        <v>211.31907899483551</v>
      </c>
      <c r="D665" s="74">
        <f>('Old Data'!$I661-$B665)^2+('Old Data'!$S661-$C665)^2</f>
        <v>4147.876344989666</v>
      </c>
      <c r="E665" s="75">
        <f>'Old Data'!$K661-'Old Data'!$U661</f>
        <v>-24</v>
      </c>
      <c r="F665" s="72">
        <f>VLOOKUP('Old Data'!$F661,$V$6:$X$135,2,FALSE)+VLOOKUP('Old Data'!$P661,$V$6:$X$135,3,FALSE)+$C$2</f>
        <v>296.75946282284497</v>
      </c>
      <c r="G665" s="72">
        <f>VLOOKUP('Old Data'!$P661,$V$6:$X$135,2,FALSE)+VLOOKUP('Old Data'!$F661,$V$6:$X$135,3,FALSE)+$C$2</f>
        <v>303.7744586211918</v>
      </c>
      <c r="H665" s="74">
        <f>('Old Data'!$K661-$F665)^2+('Old Data'!$U661-$G665)^2</f>
        <v>639.30223371011266</v>
      </c>
      <c r="I665" s="75">
        <f>('Old Data'!$L661+'Old Data'!$M661)-('Old Data'!$V661+'Old Data'!$W661)</f>
        <v>36</v>
      </c>
      <c r="J665" s="72">
        <f>VLOOKUP('Old Data'!$F661,$Z$6:$AB$135,2,FALSE)+VLOOKUP('Old Data'!$P661,$Z$6:$AB$135,3,FALSE)+$D$2</f>
        <v>99.004010887747199</v>
      </c>
      <c r="K665" s="72">
        <f>VLOOKUP('Old Data'!$P661,$Z$6:$AB$135,2,FALSE)+VLOOKUP('Old Data'!$F661,$Z$6:$AB$135,3,FALSE)+$D$2</f>
        <v>60.200723415180846</v>
      </c>
      <c r="L665" s="74">
        <f>('Old Data'!$L661+'Old Data'!$M661-$J665)^2+('Old Data'!$V661+'Old Data'!$W661-$K665)^2</f>
        <v>5329.5378015959104</v>
      </c>
      <c r="M665" s="75">
        <f>'Old Data'!$N661-'Old Data'!$X661</f>
        <v>-1</v>
      </c>
      <c r="N665" s="72">
        <f>VLOOKUP('Old Data'!$F661,$AD$6:$AF$135,2,FALSE)+VLOOKUP('Old Data'!$P661,$AD$6:$AF$135,3,FALSE)+$E$2</f>
        <v>0.86008833883692914</v>
      </c>
      <c r="O665" s="72">
        <f>VLOOKUP('Old Data'!$P661,$AD$6:$AF$135,2,FALSE)+VLOOKUP('Old Data'!$F661,$AD$6:$AF$135,3,FALSE)+$E$2</f>
        <v>1.8454452119475411</v>
      </c>
      <c r="P665" s="73">
        <f>('Old Data'!$N661-$N665)^2+('Old Data'!$X661-$O665)^2</f>
        <v>4.3462455439350449E-2</v>
      </c>
      <c r="Q665" s="62"/>
      <c r="R665" s="3"/>
      <c r="S665" s="3"/>
      <c r="T665" s="3"/>
      <c r="V665" s="3"/>
      <c r="W665" s="3"/>
      <c r="X665" s="3"/>
      <c r="Z665" s="3"/>
      <c r="AA665" s="3"/>
      <c r="AB665" s="3"/>
      <c r="AC665" s="3"/>
      <c r="AD665" s="3"/>
      <c r="AE665" s="3"/>
      <c r="AF665" s="3"/>
      <c r="AG665" s="3"/>
      <c r="AH665" s="37"/>
      <c r="AI665" s="1"/>
      <c r="AK665" s="10"/>
      <c r="AL665" s="10"/>
      <c r="AM665" s="10"/>
      <c r="AN665" s="11"/>
      <c r="AO665" s="11"/>
      <c r="AP665" s="11"/>
      <c r="AQ665" s="36"/>
      <c r="AR665" s="11"/>
      <c r="AS665" s="11"/>
      <c r="AT665" s="11"/>
      <c r="AU665" s="12"/>
      <c r="AV665" s="11"/>
      <c r="AW665" s="11"/>
      <c r="AX665" s="15"/>
      <c r="AY665" s="15"/>
      <c r="AZ665" s="15"/>
      <c r="BA665" s="15"/>
      <c r="BB665" s="15"/>
      <c r="BC665" s="15"/>
      <c r="BD665" s="15"/>
      <c r="BE665" s="12"/>
      <c r="BF665" s="11"/>
      <c r="BG665" s="11"/>
      <c r="BH665" s="10"/>
      <c r="BI665" s="10"/>
      <c r="BJ665" s="10"/>
      <c r="BK665" s="23"/>
      <c r="BL665" s="23"/>
      <c r="BM665" s="23"/>
      <c r="BN665" s="23"/>
      <c r="BO665" s="23"/>
      <c r="BP665" s="23"/>
      <c r="BQ665" s="23"/>
      <c r="BR665" s="10"/>
      <c r="BS665" s="16"/>
      <c r="BT665" s="16"/>
      <c r="BU665" s="16"/>
      <c r="BV665" s="16"/>
      <c r="BW665" s="11"/>
      <c r="BX665" s="16"/>
      <c r="BY665" s="16"/>
      <c r="BZ665" s="17"/>
      <c r="CA665" s="18"/>
      <c r="CB665" s="18"/>
      <c r="CC665" s="18"/>
      <c r="CD665" s="18"/>
      <c r="CE665" s="18"/>
      <c r="CF665" s="18"/>
      <c r="CG665" s="19"/>
      <c r="CH665" s="15"/>
      <c r="CI665" s="17"/>
      <c r="CJ665" s="10"/>
      <c r="CK665" s="10"/>
      <c r="CL665" s="10"/>
      <c r="CM665" s="17"/>
      <c r="CN665" s="17"/>
      <c r="CO665" s="10"/>
      <c r="CP665" s="10"/>
      <c r="CQ665" s="10"/>
      <c r="CR665" s="10"/>
      <c r="CS665" s="10"/>
      <c r="CT665" s="10"/>
      <c r="CU665" s="10"/>
      <c r="CV665" s="10"/>
      <c r="CW665" s="10"/>
      <c r="CX665" s="10"/>
      <c r="CY665" s="10"/>
      <c r="CZ665" s="10"/>
      <c r="DA665" s="34"/>
      <c r="DB665" s="34"/>
      <c r="DC665" s="34"/>
      <c r="DD665" s="34"/>
      <c r="DE665" s="34"/>
      <c r="DF665" s="34"/>
      <c r="DG665" s="34"/>
      <c r="DH665" s="34"/>
      <c r="DI665" s="34"/>
      <c r="DJ665" s="34"/>
      <c r="DK665" s="34"/>
      <c r="DL665" s="34"/>
      <c r="DM665" s="34"/>
      <c r="DN665" s="34"/>
      <c r="DO665" s="34"/>
      <c r="DP665" s="34"/>
      <c r="DQ665" s="34"/>
      <c r="DR665" s="34"/>
      <c r="DS665" s="34"/>
      <c r="DT665" s="34"/>
      <c r="DU665" s="34"/>
      <c r="DV665" s="34"/>
      <c r="DW665" s="34"/>
      <c r="DX665" s="34"/>
      <c r="DY665" s="34"/>
      <c r="DZ665" s="34"/>
      <c r="EA665" s="34"/>
      <c r="EB665" s="34"/>
      <c r="EC665" s="34"/>
      <c r="ED665" s="34"/>
      <c r="EE665" s="34"/>
    </row>
    <row r="666" spans="1:136" customFormat="1">
      <c r="A666" s="71">
        <f>'Old Data'!$I662-'Old Data'!$S662</f>
        <v>9</v>
      </c>
      <c r="B666" s="72">
        <f>VLOOKUP('Old Data'!$F662,$R$6:$T$135,2,FALSE)+VLOOKUP('Old Data'!$P662,$R$6:$T$135,3,FALSE)+$B$2</f>
        <v>110.37639649920121</v>
      </c>
      <c r="C666" s="72">
        <f>VLOOKUP('Old Data'!$P662,$R$6:$T$135,2,FALSE)+VLOOKUP('Old Data'!$F662,$R$6:$T$135,3,FALSE)+$B$2</f>
        <v>159.1225380127668</v>
      </c>
      <c r="D666" s="74">
        <f>('Old Data'!$I662-$B666)^2+('Old Data'!$S662-$C666)^2</f>
        <v>5153.5223986706751</v>
      </c>
      <c r="E666" s="75">
        <f>'Old Data'!$K662-'Old Data'!$U662</f>
        <v>0</v>
      </c>
      <c r="F666" s="72">
        <f>VLOOKUP('Old Data'!$F662,$V$6:$X$135,2,FALSE)+VLOOKUP('Old Data'!$P662,$V$6:$X$135,3,FALSE)+$C$2</f>
        <v>298.24535543548308</v>
      </c>
      <c r="G666" s="72">
        <f>VLOOKUP('Old Data'!$P662,$V$6:$X$135,2,FALSE)+VLOOKUP('Old Data'!$F662,$V$6:$X$135,3,FALSE)+$C$2</f>
        <v>221.61961725180936</v>
      </c>
      <c r="H666" s="74">
        <f>('Old Data'!$K662-$F666)^2+('Old Data'!$U662-$G666)^2</f>
        <v>8151.5337781802164</v>
      </c>
      <c r="I666" s="75">
        <f>('Old Data'!$L662+'Old Data'!$M662)-('Old Data'!$V662+'Old Data'!$W662)</f>
        <v>-86</v>
      </c>
      <c r="J666" s="72">
        <f>VLOOKUP('Old Data'!$F662,$Z$6:$AB$135,2,FALSE)+VLOOKUP('Old Data'!$P662,$Z$6:$AB$135,3,FALSE)+$D$2</f>
        <v>71.262498626574001</v>
      </c>
      <c r="K666" s="72">
        <f>VLOOKUP('Old Data'!$P662,$Z$6:$AB$135,2,FALSE)+VLOOKUP('Old Data'!$F662,$Z$6:$AB$135,3,FALSE)+$D$2</f>
        <v>50.777045175259801</v>
      </c>
      <c r="L666" s="74">
        <f>('Old Data'!$L662+'Old Data'!$M662-$J666)^2+('Old Data'!$V662+'Old Data'!$W662-$K666)^2</f>
        <v>6635.8367529414463</v>
      </c>
      <c r="M666" s="75">
        <f>'Old Data'!$N662-'Old Data'!$X662</f>
        <v>3</v>
      </c>
      <c r="N666" s="72">
        <f>VLOOKUP('Old Data'!$F662,$AD$6:$AF$135,2,FALSE)+VLOOKUP('Old Data'!$P662,$AD$6:$AF$135,3,FALSE)+$E$2</f>
        <v>1.8210260211175928</v>
      </c>
      <c r="O666" s="72">
        <f>VLOOKUP('Old Data'!$P662,$AD$6:$AF$135,2,FALSE)+VLOOKUP('Old Data'!$F662,$AD$6:$AF$135,3,FALSE)+$E$2</f>
        <v>1.2242856893660352</v>
      </c>
      <c r="P666" s="73">
        <f>('Old Data'!$N662-$N666)^2+('Old Data'!$X662-$O666)^2</f>
        <v>4.7982316711010267</v>
      </c>
      <c r="Q666" s="62"/>
      <c r="R666" s="3"/>
      <c r="S666" s="3"/>
      <c r="T666" s="3"/>
      <c r="V666" s="3"/>
      <c r="W666" s="3"/>
      <c r="X666" s="3"/>
      <c r="Z666" s="3"/>
      <c r="AA666" s="3"/>
      <c r="AB666" s="3"/>
      <c r="AC666" s="3"/>
      <c r="AD666" s="3"/>
      <c r="AE666" s="3"/>
      <c r="AF666" s="3"/>
      <c r="AG666" s="3"/>
      <c r="AH666" s="37"/>
      <c r="AI666" s="1"/>
      <c r="AK666" s="10"/>
      <c r="AL666" s="10"/>
      <c r="AM666" s="10"/>
      <c r="AN666" s="11"/>
      <c r="AO666" s="11"/>
      <c r="AP666" s="11"/>
      <c r="AQ666" s="36"/>
      <c r="AR666" s="11"/>
      <c r="AS666" s="11"/>
      <c r="AT666" s="11"/>
      <c r="AU666" s="12"/>
      <c r="AV666" s="11"/>
      <c r="AW666" s="11"/>
      <c r="AX666" s="15"/>
      <c r="AY666" s="15"/>
      <c r="AZ666" s="15"/>
      <c r="BA666" s="15"/>
      <c r="BB666" s="15"/>
      <c r="BC666" s="15"/>
      <c r="BD666" s="15"/>
      <c r="BE666" s="12"/>
      <c r="BF666" s="11"/>
      <c r="BG666" s="11"/>
      <c r="BH666" s="10"/>
      <c r="BI666" s="10"/>
      <c r="BJ666" s="10"/>
      <c r="BK666" s="23"/>
      <c r="BL666" s="23"/>
      <c r="BM666" s="23"/>
      <c r="BN666" s="23"/>
      <c r="BO666" s="23"/>
      <c r="BP666" s="23"/>
      <c r="BQ666" s="23"/>
      <c r="BR666" s="10"/>
      <c r="BS666" s="16"/>
      <c r="BT666" s="16"/>
      <c r="BU666" s="16"/>
      <c r="BV666" s="16"/>
      <c r="BW666" s="11"/>
      <c r="BX666" s="16"/>
      <c r="BY666" s="16"/>
      <c r="BZ666" s="17"/>
      <c r="CA666" s="18"/>
      <c r="CB666" s="18"/>
      <c r="CC666" s="18"/>
      <c r="CD666" s="18"/>
      <c r="CE666" s="18"/>
      <c r="CF666" s="18"/>
      <c r="CG666" s="19"/>
      <c r="CH666" s="15"/>
      <c r="CI666" s="17"/>
      <c r="CJ666" s="10"/>
      <c r="CK666" s="10"/>
      <c r="CL666" s="10"/>
      <c r="CM666" s="17"/>
      <c r="CN666" s="17"/>
      <c r="CO666" s="10"/>
      <c r="CP666" s="10"/>
      <c r="CQ666" s="10"/>
      <c r="CR666" s="10"/>
      <c r="CS666" s="10"/>
      <c r="CT666" s="10"/>
      <c r="CU666" s="10"/>
      <c r="CV666" s="10"/>
      <c r="CW666" s="10"/>
      <c r="CX666" s="10"/>
      <c r="CY666" s="10"/>
      <c r="CZ666" s="10"/>
      <c r="DA666" s="34"/>
      <c r="DB666" s="34"/>
      <c r="DC666" s="34"/>
      <c r="DD666" s="34"/>
      <c r="DE666" s="34"/>
      <c r="DF666" s="34"/>
      <c r="DG666" s="34"/>
      <c r="DH666" s="34"/>
      <c r="DI666" s="34"/>
      <c r="DJ666" s="34"/>
      <c r="DK666" s="34"/>
      <c r="DL666" s="34"/>
      <c r="DM666" s="34"/>
      <c r="DN666" s="34"/>
      <c r="DO666" s="34"/>
      <c r="DP666" s="34"/>
      <c r="DQ666" s="34"/>
      <c r="DR666" s="34"/>
      <c r="DS666" s="34"/>
      <c r="DT666" s="34"/>
      <c r="DU666" s="34"/>
      <c r="DV666" s="34"/>
      <c r="DW666" s="34"/>
      <c r="DX666" s="34"/>
      <c r="DY666" s="34"/>
      <c r="DZ666" s="34"/>
      <c r="EA666" s="34"/>
      <c r="EB666" s="34"/>
      <c r="EC666" s="34"/>
      <c r="ED666" s="34"/>
      <c r="EE666" s="34"/>
    </row>
    <row r="667" spans="1:136" customFormat="1">
      <c r="A667" s="71">
        <f>'Old Data'!$I663-'Old Data'!$S663</f>
        <v>70</v>
      </c>
      <c r="B667" s="72">
        <f>VLOOKUP('Old Data'!$F663,$R$6:$T$135,2,FALSE)+VLOOKUP('Old Data'!$P663,$R$6:$T$135,3,FALSE)+$B$2</f>
        <v>130.5637150142789</v>
      </c>
      <c r="C667" s="72">
        <f>VLOOKUP('Old Data'!$P663,$R$6:$T$135,2,FALSE)+VLOOKUP('Old Data'!$F663,$R$6:$T$135,3,FALSE)+$B$2</f>
        <v>99.341393157135599</v>
      </c>
      <c r="D667" s="74">
        <f>('Old Data'!$I663-$B667)^2+('Old Data'!$S663-$C667)^2</f>
        <v>5544.5592641036801</v>
      </c>
      <c r="E667" s="75">
        <f>'Old Data'!$K663-'Old Data'!$U663</f>
        <v>-64</v>
      </c>
      <c r="F667" s="72">
        <f>VLOOKUP('Old Data'!$F663,$V$6:$X$135,2,FALSE)+VLOOKUP('Old Data'!$P663,$V$6:$X$135,3,FALSE)+$C$2</f>
        <v>321.7656145239684</v>
      </c>
      <c r="G667" s="72">
        <f>VLOOKUP('Old Data'!$P663,$V$6:$X$135,2,FALSE)+VLOOKUP('Old Data'!$F663,$V$6:$X$135,3,FALSE)+$C$2</f>
        <v>353.34679849109466</v>
      </c>
      <c r="H667" s="74">
        <f>('Old Data'!$K663-$F667)^2+('Old Data'!$U663-$G667)^2</f>
        <v>8103.8229356823886</v>
      </c>
      <c r="I667" s="75">
        <f>('Old Data'!$L663+'Old Data'!$M663)-('Old Data'!$V663+'Old Data'!$W663)</f>
        <v>43</v>
      </c>
      <c r="J667" s="72">
        <f>VLOOKUP('Old Data'!$F663,$Z$6:$AB$135,2,FALSE)+VLOOKUP('Old Data'!$P663,$Z$6:$AB$135,3,FALSE)+$D$2</f>
        <v>48.202958989511544</v>
      </c>
      <c r="K667" s="72">
        <f>VLOOKUP('Old Data'!$P663,$Z$6:$AB$135,2,FALSE)+VLOOKUP('Old Data'!$F663,$Z$6:$AB$135,3,FALSE)+$D$2</f>
        <v>63.548735686694073</v>
      </c>
      <c r="L667" s="74">
        <f>('Old Data'!$L663+'Old Data'!$M663-$J667)^2+('Old Data'!$V663+'Old Data'!$W663-$K667)^2</f>
        <v>1740.4109090515067</v>
      </c>
      <c r="M667" s="75">
        <f>'Old Data'!$N663-'Old Data'!$X663</f>
        <v>2</v>
      </c>
      <c r="N667" s="72">
        <f>VLOOKUP('Old Data'!$F663,$AD$6:$AF$135,2,FALSE)+VLOOKUP('Old Data'!$P663,$AD$6:$AF$135,3,FALSE)+$E$2</f>
        <v>2.2932486695307341</v>
      </c>
      <c r="O667" s="72">
        <f>VLOOKUP('Old Data'!$P663,$AD$6:$AF$135,2,FALSE)+VLOOKUP('Old Data'!$F663,$AD$6:$AF$135,3,FALSE)+$E$2</f>
        <v>1.4656510852148821</v>
      </c>
      <c r="P667" s="73">
        <f>('Old Data'!$N663-$N667)^2+('Old Data'!$X663-$O667)^2</f>
        <v>0.71632837628187485</v>
      </c>
      <c r="Q667" s="62"/>
      <c r="R667" s="54"/>
      <c r="S667" s="3"/>
      <c r="T667" s="3"/>
      <c r="V667" s="54"/>
      <c r="W667" s="3"/>
      <c r="X667" s="3"/>
      <c r="Z667" s="54"/>
      <c r="AA667" s="3"/>
      <c r="AB667" s="3"/>
      <c r="AC667" s="3"/>
      <c r="AD667" s="54"/>
      <c r="AE667" s="3"/>
      <c r="AF667" s="3"/>
      <c r="AG667" s="3"/>
      <c r="AH667" s="37"/>
      <c r="AI667" s="1"/>
      <c r="AK667" s="10"/>
      <c r="AL667" s="10"/>
      <c r="AM667" s="10"/>
      <c r="AN667" s="11"/>
      <c r="AO667" s="11"/>
      <c r="AP667" s="11"/>
      <c r="AQ667" s="36"/>
      <c r="AR667" s="11"/>
      <c r="AS667" s="11"/>
      <c r="AT667" s="11"/>
      <c r="AU667" s="12"/>
      <c r="AV667" s="11"/>
      <c r="AW667" s="11"/>
      <c r="AX667" s="15"/>
      <c r="AY667" s="15"/>
      <c r="AZ667" s="15"/>
      <c r="BA667" s="15"/>
      <c r="BB667" s="15"/>
      <c r="BC667" s="15"/>
      <c r="BD667" s="15"/>
      <c r="BE667" s="12"/>
      <c r="BF667" s="11"/>
      <c r="BG667" s="11"/>
      <c r="BH667" s="10"/>
      <c r="BI667" s="10"/>
      <c r="BJ667" s="10"/>
      <c r="BK667" s="23"/>
      <c r="BL667" s="23"/>
      <c r="BM667" s="23"/>
      <c r="BN667" s="23"/>
      <c r="BO667" s="23"/>
      <c r="BP667" s="23"/>
      <c r="BQ667" s="23"/>
      <c r="BR667" s="10"/>
      <c r="BS667" s="16"/>
      <c r="BT667" s="16"/>
      <c r="BU667" s="16"/>
      <c r="BV667" s="16"/>
      <c r="BW667" s="11"/>
      <c r="BX667" s="16"/>
      <c r="BY667" s="16"/>
      <c r="BZ667" s="17"/>
      <c r="CA667" s="18"/>
      <c r="CB667" s="18"/>
      <c r="CC667" s="18"/>
      <c r="CD667" s="18"/>
      <c r="CE667" s="18"/>
      <c r="CF667" s="18"/>
      <c r="CG667" s="19"/>
      <c r="CH667" s="15"/>
      <c r="CI667" s="17"/>
      <c r="CJ667" s="10"/>
      <c r="CK667" s="10"/>
      <c r="CL667" s="10"/>
      <c r="CM667" s="17"/>
      <c r="CN667" s="17"/>
      <c r="CO667" s="10"/>
      <c r="CP667" s="10"/>
      <c r="CQ667" s="10"/>
      <c r="CR667" s="10"/>
      <c r="CS667" s="10"/>
      <c r="CT667" s="10"/>
      <c r="CU667" s="10"/>
      <c r="CV667" s="10"/>
      <c r="CW667" s="10"/>
      <c r="CX667" s="10"/>
      <c r="CY667" s="10"/>
      <c r="CZ667" s="10"/>
      <c r="DA667" s="34"/>
      <c r="DB667" s="34"/>
      <c r="DC667" s="34"/>
      <c r="DD667" s="34"/>
      <c r="DE667" s="34"/>
      <c r="DF667" s="34"/>
      <c r="DG667" s="34"/>
      <c r="DH667" s="34"/>
      <c r="DI667" s="34"/>
      <c r="DJ667" s="34"/>
      <c r="DK667" s="34"/>
      <c r="DL667" s="34"/>
      <c r="DM667" s="34"/>
      <c r="DN667" s="34"/>
      <c r="DO667" s="34"/>
      <c r="DP667" s="34"/>
      <c r="DQ667" s="34"/>
      <c r="DR667" s="34"/>
      <c r="DS667" s="34"/>
      <c r="DT667" s="34"/>
      <c r="DU667" s="34"/>
      <c r="DV667" s="34"/>
      <c r="DW667" s="34"/>
      <c r="DX667" s="34"/>
      <c r="DY667" s="34"/>
      <c r="DZ667" s="34"/>
      <c r="EA667" s="34"/>
      <c r="EB667" s="34"/>
      <c r="EC667" s="34"/>
      <c r="ED667" s="34"/>
      <c r="EE667" s="34"/>
    </row>
    <row r="668" spans="1:136" customFormat="1">
      <c r="A668" s="71">
        <f>'Old Data'!$I664-'Old Data'!$S664</f>
        <v>48</v>
      </c>
      <c r="B668" s="72">
        <f>VLOOKUP('Old Data'!$F664,$R$6:$T$135,2,FALSE)+VLOOKUP('Old Data'!$P664,$R$6:$T$135,3,FALSE)+$B$2</f>
        <v>214.16477269255103</v>
      </c>
      <c r="C668" s="72">
        <f>VLOOKUP('Old Data'!$P664,$R$6:$T$135,2,FALSE)+VLOOKUP('Old Data'!$F664,$R$6:$T$135,3,FALSE)+$B$2</f>
        <v>167.71078988175282</v>
      </c>
      <c r="D668" s="74">
        <f>('Old Data'!$I664-$B668)^2+('Old Data'!$S664-$C668)^2</f>
        <v>5606.0124597873182</v>
      </c>
      <c r="E668" s="75">
        <f>'Old Data'!$K664-'Old Data'!$U664</f>
        <v>32</v>
      </c>
      <c r="F668" s="72">
        <f>VLOOKUP('Old Data'!$F664,$V$6:$X$135,2,FALSE)+VLOOKUP('Old Data'!$P664,$V$6:$X$135,3,FALSE)+$C$2</f>
        <v>180.23058436183311</v>
      </c>
      <c r="G668" s="72">
        <f>VLOOKUP('Old Data'!$P664,$V$6:$X$135,2,FALSE)+VLOOKUP('Old Data'!$F664,$V$6:$X$135,3,FALSE)+$C$2</f>
        <v>112.9658410229824</v>
      </c>
      <c r="H668" s="74">
        <f>('Old Data'!$K664-$F668)^2+('Old Data'!$U664-$G668)^2</f>
        <v>1389.9809428512126</v>
      </c>
      <c r="I668" s="75">
        <f>('Old Data'!$L664+'Old Data'!$M664)-('Old Data'!$V664+'Old Data'!$W664)</f>
        <v>-103</v>
      </c>
      <c r="J668" s="72">
        <f>VLOOKUP('Old Data'!$F664,$Z$6:$AB$135,2,FALSE)+VLOOKUP('Old Data'!$P664,$Z$6:$AB$135,3,FALSE)+$D$2</f>
        <v>-6.1396965476409093</v>
      </c>
      <c r="K668" s="72">
        <f>VLOOKUP('Old Data'!$P664,$Z$6:$AB$135,2,FALSE)+VLOOKUP('Old Data'!$F664,$Z$6:$AB$135,3,FALSE)+$D$2</f>
        <v>59.470401465135296</v>
      </c>
      <c r="L668" s="74">
        <f>('Old Data'!$L664+'Old Data'!$M664-$J668)^2+('Old Data'!$V664+'Old Data'!$W664-$K668)^2</f>
        <v>1932.521822303609</v>
      </c>
      <c r="M668" s="75">
        <f>'Old Data'!$N664-'Old Data'!$X664</f>
        <v>2</v>
      </c>
      <c r="N668" s="72">
        <f>VLOOKUP('Old Data'!$F664,$AD$6:$AF$135,2,FALSE)+VLOOKUP('Old Data'!$P664,$AD$6:$AF$135,3,FALSE)+$E$2</f>
        <v>0.7309468359690301</v>
      </c>
      <c r="O668" s="72">
        <f>VLOOKUP('Old Data'!$P664,$AD$6:$AF$135,2,FALSE)+VLOOKUP('Old Data'!$F664,$AD$6:$AF$135,3,FALSE)+$E$2</f>
        <v>1.5217097066368857</v>
      </c>
      <c r="P668" s="73">
        <f>('Old Data'!$N664-$N668)^2+('Old Data'!$X664-$O668)^2</f>
        <v>5.4207832791980994</v>
      </c>
      <c r="Q668" s="62"/>
      <c r="R668" s="54"/>
      <c r="S668" s="3"/>
      <c r="T668" s="3"/>
      <c r="V668" s="54"/>
      <c r="W668" s="3"/>
      <c r="X668" s="3"/>
      <c r="Z668" s="54"/>
      <c r="AA668" s="3"/>
      <c r="AB668" s="3"/>
      <c r="AC668" s="3"/>
      <c r="AD668" s="54"/>
      <c r="AE668" s="3"/>
      <c r="AF668" s="3"/>
      <c r="AG668" s="3"/>
      <c r="AK668" s="10"/>
      <c r="AL668" s="10"/>
      <c r="AM668" s="10"/>
      <c r="AN668" s="11"/>
      <c r="AO668" s="11"/>
      <c r="AP668" s="11"/>
      <c r="AQ668" s="36"/>
      <c r="AR668" s="11"/>
      <c r="AS668" s="11"/>
      <c r="AT668" s="11"/>
      <c r="AU668" s="12"/>
      <c r="AV668" s="11"/>
      <c r="AW668" s="11"/>
      <c r="AX668" s="15"/>
      <c r="AY668" s="15"/>
      <c r="AZ668" s="15"/>
      <c r="BA668" s="15"/>
      <c r="BB668" s="15"/>
      <c r="BC668" s="15"/>
      <c r="BD668" s="15"/>
      <c r="BE668" s="12"/>
      <c r="BF668" s="11"/>
      <c r="BG668" s="11"/>
      <c r="BH668" s="10"/>
      <c r="BI668" s="10"/>
      <c r="BJ668" s="10"/>
      <c r="BK668" s="23"/>
      <c r="BL668" s="23"/>
      <c r="BM668" s="23"/>
      <c r="BN668" s="23"/>
      <c r="BO668" s="23"/>
      <c r="BP668" s="23"/>
      <c r="BQ668" s="23"/>
      <c r="BR668" s="10"/>
      <c r="BS668" s="16"/>
      <c r="BT668" s="16"/>
      <c r="BU668" s="16"/>
      <c r="BV668" s="16"/>
      <c r="BW668" s="11"/>
      <c r="BX668" s="16"/>
      <c r="BY668" s="16"/>
      <c r="BZ668" s="17"/>
      <c r="CA668" s="18"/>
      <c r="CB668" s="18"/>
      <c r="CC668" s="18"/>
      <c r="CD668" s="18"/>
      <c r="CE668" s="18"/>
      <c r="CF668" s="18"/>
      <c r="CG668" s="19"/>
      <c r="CH668" s="15"/>
      <c r="CI668" s="17"/>
      <c r="CJ668" s="10"/>
      <c r="CK668" s="10"/>
      <c r="CL668" s="10"/>
      <c r="CM668" s="17"/>
      <c r="CN668" s="17"/>
      <c r="CO668" s="10"/>
      <c r="CP668" s="10"/>
      <c r="CQ668" s="10"/>
      <c r="CR668" s="10"/>
      <c r="CS668" s="10"/>
      <c r="CT668" s="10"/>
      <c r="CU668" s="10"/>
      <c r="CV668" s="10"/>
      <c r="CW668" s="10"/>
      <c r="CX668" s="10"/>
      <c r="CY668" s="10"/>
      <c r="CZ668" s="10"/>
      <c r="DA668" s="34"/>
      <c r="DB668" s="34"/>
      <c r="DC668" s="34"/>
      <c r="DD668" s="34"/>
      <c r="DE668" s="34"/>
      <c r="DF668" s="34"/>
      <c r="DG668" s="34"/>
      <c r="DH668" s="34"/>
      <c r="DI668" s="34"/>
      <c r="DJ668" s="34"/>
      <c r="DK668" s="34"/>
      <c r="DL668" s="34"/>
      <c r="DM668" s="34"/>
      <c r="DN668" s="34"/>
      <c r="DO668" s="34"/>
      <c r="DP668" s="34"/>
      <c r="DQ668" s="34"/>
      <c r="DR668" s="34"/>
      <c r="DS668" s="34"/>
      <c r="DT668" s="34"/>
      <c r="DU668" s="34"/>
      <c r="DV668" s="34"/>
      <c r="DW668" s="34"/>
      <c r="DX668" s="34"/>
      <c r="DY668" s="34"/>
      <c r="DZ668" s="34"/>
      <c r="EA668" s="34"/>
      <c r="EB668" s="34"/>
      <c r="EC668" s="34"/>
      <c r="ED668" s="34"/>
      <c r="EE668" s="34"/>
    </row>
    <row r="669" spans="1:136" customFormat="1">
      <c r="A669" s="71">
        <f>'Old Data'!$I665-'Old Data'!$S665</f>
        <v>6</v>
      </c>
      <c r="B669" s="72">
        <f>VLOOKUP('Old Data'!$F665,$R$6:$T$135,2,FALSE)+VLOOKUP('Old Data'!$P665,$R$6:$T$135,3,FALSE)+$B$2</f>
        <v>179.16270270011691</v>
      </c>
      <c r="C669" s="72">
        <f>VLOOKUP('Old Data'!$P665,$R$6:$T$135,2,FALSE)+VLOOKUP('Old Data'!$F665,$R$6:$T$135,3,FALSE)+$B$2</f>
        <v>118.15522025528502</v>
      </c>
      <c r="D669" s="74">
        <f>('Old Data'!$I665-$B669)^2+('Old Data'!$S665-$C669)^2</f>
        <v>3871.5254160392969</v>
      </c>
      <c r="E669" s="75">
        <f>'Old Data'!$K665-'Old Data'!$U665</f>
        <v>-162</v>
      </c>
      <c r="F669" s="72">
        <f>VLOOKUP('Old Data'!$F665,$V$6:$X$135,2,FALSE)+VLOOKUP('Old Data'!$P665,$V$6:$X$135,3,FALSE)+$C$2</f>
        <v>198.12955533295712</v>
      </c>
      <c r="G669" s="72">
        <f>VLOOKUP('Old Data'!$P665,$V$6:$X$135,2,FALSE)+VLOOKUP('Old Data'!$F665,$V$6:$X$135,3,FALSE)+$C$2</f>
        <v>305.59748018590909</v>
      </c>
      <c r="H669" s="74">
        <f>('Old Data'!$K665-$F669)^2+('Old Data'!$U665-$G669)^2</f>
        <v>1496.0027226501625</v>
      </c>
      <c r="I669" s="75">
        <f>('Old Data'!$L665+'Old Data'!$M665)-('Old Data'!$V665+'Old Data'!$W665)</f>
        <v>-82</v>
      </c>
      <c r="J669" s="72">
        <f>VLOOKUP('Old Data'!$F665,$Z$6:$AB$135,2,FALSE)+VLOOKUP('Old Data'!$P665,$Z$6:$AB$135,3,FALSE)+$D$2</f>
        <v>54.318111713091454</v>
      </c>
      <c r="K669" s="72">
        <f>VLOOKUP('Old Data'!$P665,$Z$6:$AB$135,2,FALSE)+VLOOKUP('Old Data'!$F665,$Z$6:$AB$135,3,FALSE)+$D$2</f>
        <v>87.861448620977143</v>
      </c>
      <c r="L669" s="74">
        <f>('Old Data'!$L665+'Old Data'!$M665-$J669)^2+('Old Data'!$V665+'Old Data'!$W665-$K669)^2</f>
        <v>9600.6973765392049</v>
      </c>
      <c r="M669" s="75">
        <f>'Old Data'!$N665-'Old Data'!$X665</f>
        <v>1</v>
      </c>
      <c r="N669" s="72">
        <f>VLOOKUP('Old Data'!$F665,$AD$6:$AF$135,2,FALSE)+VLOOKUP('Old Data'!$P665,$AD$6:$AF$135,3,FALSE)+$E$2</f>
        <v>1.3627994199791751</v>
      </c>
      <c r="O669" s="72">
        <f>VLOOKUP('Old Data'!$P665,$AD$6:$AF$135,2,FALSE)+VLOOKUP('Old Data'!$F665,$AD$6:$AF$135,3,FALSE)+$E$2</f>
        <v>1.4977284720477322</v>
      </c>
      <c r="P669" s="73">
        <f>('Old Data'!$N665-$N669)^2+('Old Data'!$X665-$O669)^2</f>
        <v>0.65375821106584575</v>
      </c>
      <c r="Q669" s="62"/>
      <c r="R669" s="54"/>
      <c r="S669" s="3"/>
      <c r="T669" s="3"/>
      <c r="V669" s="54"/>
      <c r="W669" s="3"/>
      <c r="X669" s="3"/>
      <c r="Z669" s="54"/>
      <c r="AA669" s="3"/>
      <c r="AB669" s="3"/>
      <c r="AC669" s="3"/>
      <c r="AD669" s="54"/>
      <c r="AE669" s="3"/>
      <c r="AF669" s="3"/>
      <c r="AG669" s="3"/>
      <c r="AL669" s="10"/>
      <c r="AM669" s="10"/>
      <c r="AN669" s="10"/>
      <c r="AO669" s="11"/>
      <c r="AP669" s="11"/>
      <c r="AQ669" s="11"/>
      <c r="AR669" s="10"/>
      <c r="AS669" s="11"/>
      <c r="AT669" s="11"/>
      <c r="AU669" s="11"/>
      <c r="AV669" s="12"/>
      <c r="AW669" s="11"/>
      <c r="AX669" s="11"/>
      <c r="AY669" s="11"/>
      <c r="AZ669" s="11"/>
      <c r="BA669" s="11"/>
      <c r="BB669" s="11"/>
      <c r="BC669" s="11"/>
      <c r="BD669" s="11"/>
      <c r="BE669" s="11"/>
      <c r="BF669" s="12"/>
      <c r="BG669" s="12"/>
      <c r="BH669" s="12"/>
      <c r="BI669" s="10"/>
      <c r="BJ669" s="10"/>
      <c r="BK669" s="10"/>
      <c r="BL669" s="10"/>
      <c r="BM669" s="10"/>
      <c r="BN669" s="10"/>
      <c r="BO669" s="10"/>
      <c r="BP669" s="10"/>
      <c r="BQ669" s="10"/>
      <c r="BR669" s="10"/>
      <c r="BS669" s="10"/>
      <c r="BT669" s="10"/>
      <c r="BU669" s="10"/>
      <c r="BV669" s="10"/>
      <c r="BW669" s="10"/>
      <c r="BX669" s="10"/>
      <c r="BY669" s="10"/>
      <c r="BZ669" s="10"/>
      <c r="CA669" s="17"/>
      <c r="CB669" s="10"/>
      <c r="CC669" s="10"/>
      <c r="CD669" s="18"/>
      <c r="CE669" s="10"/>
      <c r="CF669" s="15"/>
      <c r="CG669" s="10"/>
      <c r="CH669" s="19"/>
      <c r="CI669" s="10"/>
      <c r="CJ669" s="17"/>
      <c r="CK669" s="10"/>
      <c r="CL669" s="10"/>
      <c r="CM669" s="10"/>
      <c r="CN669" s="17"/>
      <c r="CO669" s="17"/>
      <c r="CP669" s="10"/>
      <c r="CQ669" s="10"/>
      <c r="CR669" s="10"/>
      <c r="CS669" s="10"/>
      <c r="CT669" s="10"/>
      <c r="CU669" s="10"/>
      <c r="CV669" s="10"/>
      <c r="CW669" s="10"/>
      <c r="CX669" s="10"/>
      <c r="CY669" s="10"/>
      <c r="CZ669" s="34"/>
      <c r="DA669" s="34"/>
      <c r="DB669" s="34"/>
      <c r="DC669" s="34"/>
      <c r="DD669" s="34"/>
      <c r="DE669" s="34"/>
      <c r="DF669" s="34"/>
      <c r="DG669" s="34"/>
      <c r="DH669" s="34"/>
      <c r="DI669" s="34"/>
      <c r="DJ669" s="34"/>
      <c r="DK669" s="34"/>
      <c r="DL669" s="34"/>
      <c r="DM669" s="34"/>
      <c r="DN669" s="34"/>
      <c r="DO669" s="34"/>
      <c r="DP669" s="34"/>
      <c r="DQ669" s="34"/>
      <c r="DR669" s="34"/>
      <c r="DS669" s="34"/>
      <c r="DT669" s="34"/>
      <c r="DU669" s="34"/>
      <c r="DV669" s="34"/>
      <c r="DW669" s="34"/>
      <c r="DX669" s="34"/>
      <c r="DY669" s="34"/>
      <c r="DZ669" s="34"/>
      <c r="EA669" s="34"/>
      <c r="EB669" s="34"/>
      <c r="EC669" s="34"/>
      <c r="ED669" s="34"/>
      <c r="EE669" s="34"/>
      <c r="EF669" s="34"/>
    </row>
    <row r="670" spans="1:136" customFormat="1">
      <c r="A670" s="71">
        <f>'Old Data'!$I666-'Old Data'!$S666</f>
        <v>79</v>
      </c>
      <c r="B670" s="72">
        <f>VLOOKUP('Old Data'!$F666,$R$6:$T$135,2,FALSE)+VLOOKUP('Old Data'!$P666,$R$6:$T$135,3,FALSE)+$B$2</f>
        <v>189.19594528198371</v>
      </c>
      <c r="C670" s="72">
        <f>VLOOKUP('Old Data'!$P666,$R$6:$T$135,2,FALSE)+VLOOKUP('Old Data'!$F666,$R$6:$T$135,3,FALSE)+$B$2</f>
        <v>112.8473354948292</v>
      </c>
      <c r="D670" s="74">
        <f>('Old Data'!$I666-$B670)^2+('Old Data'!$S666-$C670)^2</f>
        <v>3784.2504440604844</v>
      </c>
      <c r="E670" s="75">
        <f>'Old Data'!$K666-'Old Data'!$U666</f>
        <v>-124</v>
      </c>
      <c r="F670" s="72">
        <f>VLOOKUP('Old Data'!$F666,$V$6:$X$135,2,FALSE)+VLOOKUP('Old Data'!$P666,$V$6:$X$135,3,FALSE)+$C$2</f>
        <v>254.57010642384512</v>
      </c>
      <c r="G670" s="72">
        <f>VLOOKUP('Old Data'!$P666,$V$6:$X$135,2,FALSE)+VLOOKUP('Old Data'!$F666,$V$6:$X$135,3,FALSE)+$C$2</f>
        <v>270.64808454021011</v>
      </c>
      <c r="H670" s="74">
        <f>('Old Data'!$K666-$F670)^2+('Old Data'!$U666-$G670)^2</f>
        <v>24490.216063436954</v>
      </c>
      <c r="I670" s="75">
        <f>('Old Data'!$L666+'Old Data'!$M666)-('Old Data'!$V666+'Old Data'!$W666)</f>
        <v>-95</v>
      </c>
      <c r="J670" s="72">
        <f>VLOOKUP('Old Data'!$F666,$Z$6:$AB$135,2,FALSE)+VLOOKUP('Old Data'!$P666,$Z$6:$AB$135,3,FALSE)+$D$2</f>
        <v>42.094693950455898</v>
      </c>
      <c r="K670" s="72">
        <f>VLOOKUP('Old Data'!$P666,$Z$6:$AB$135,2,FALSE)+VLOOKUP('Old Data'!$F666,$Z$6:$AB$135,3,FALSE)+$D$2</f>
        <v>78.285263651755059</v>
      </c>
      <c r="L670" s="74">
        <f>('Old Data'!$L666+'Old Data'!$M666-$J670)^2+('Old Data'!$V666+'Old Data'!$W666-$K670)^2</f>
        <v>2051.345669973889</v>
      </c>
      <c r="M670" s="75">
        <f>'Old Data'!$N666-'Old Data'!$X666</f>
        <v>3</v>
      </c>
      <c r="N670" s="72">
        <f>VLOOKUP('Old Data'!$F666,$AD$6:$AF$135,2,FALSE)+VLOOKUP('Old Data'!$P666,$AD$6:$AF$135,3,FALSE)+$E$2</f>
        <v>1.929136500626861</v>
      </c>
      <c r="O670" s="72">
        <f>VLOOKUP('Old Data'!$P666,$AD$6:$AF$135,2,FALSE)+VLOOKUP('Old Data'!$F666,$AD$6:$AF$135,3,FALSE)+$E$2</f>
        <v>1.193680941592808</v>
      </c>
      <c r="P670" s="73">
        <f>('Old Data'!$N666-$N670)^2+('Old Data'!$X666-$O670)^2</f>
        <v>2.5716228246115778</v>
      </c>
      <c r="Q670" s="62"/>
      <c r="R670" s="54"/>
      <c r="S670" s="3"/>
      <c r="T670" s="3"/>
      <c r="V670" s="54"/>
      <c r="W670" s="3"/>
      <c r="X670" s="3"/>
      <c r="Z670" s="54"/>
      <c r="AA670" s="3"/>
      <c r="AB670" s="3"/>
      <c r="AC670" s="3"/>
      <c r="AD670" s="54"/>
      <c r="AE670" s="3"/>
      <c r="AF670" s="3"/>
      <c r="AG670" s="3"/>
      <c r="AL670" s="10"/>
      <c r="AM670" s="10"/>
      <c r="AN670" s="10"/>
      <c r="AO670" s="11"/>
      <c r="AP670" s="11"/>
      <c r="AQ670" s="11"/>
      <c r="AR670" s="10"/>
      <c r="AS670" s="11"/>
      <c r="AT670" s="11"/>
      <c r="AU670" s="11"/>
      <c r="AV670" s="12"/>
      <c r="AW670" s="11"/>
      <c r="AX670" s="11"/>
      <c r="AY670" s="11"/>
      <c r="AZ670" s="11"/>
      <c r="BA670" s="11"/>
      <c r="BB670" s="11"/>
      <c r="BC670" s="11"/>
      <c r="BD670" s="11"/>
      <c r="BE670" s="11"/>
      <c r="BF670" s="12"/>
      <c r="BG670" s="12"/>
      <c r="BH670" s="12"/>
      <c r="BI670" s="10"/>
      <c r="BJ670" s="10"/>
      <c r="BK670" s="10"/>
      <c r="BL670" s="10"/>
      <c r="BM670" s="10"/>
      <c r="BN670" s="10"/>
      <c r="BO670" s="10"/>
      <c r="BP670" s="10"/>
      <c r="BQ670" s="10"/>
      <c r="BR670" s="10"/>
      <c r="BS670" s="10"/>
      <c r="BT670" s="10"/>
      <c r="BU670" s="10"/>
      <c r="BV670" s="10"/>
      <c r="BW670" s="10"/>
      <c r="BX670" s="10"/>
      <c r="BY670" s="10"/>
      <c r="BZ670" s="10"/>
      <c r="CA670" s="17"/>
      <c r="CB670" s="10"/>
      <c r="CC670" s="10"/>
      <c r="CD670" s="18"/>
      <c r="CE670" s="10"/>
      <c r="CF670" s="15"/>
      <c r="CG670" s="10"/>
      <c r="CH670" s="19"/>
      <c r="CI670" s="10"/>
      <c r="CJ670" s="17"/>
      <c r="CK670" s="10"/>
      <c r="CL670" s="10"/>
      <c r="CM670" s="10"/>
      <c r="CN670" s="17"/>
      <c r="CO670" s="17"/>
      <c r="CP670" s="10"/>
      <c r="CQ670" s="10"/>
      <c r="CR670" s="10"/>
      <c r="CS670" s="10"/>
      <c r="CT670" s="10"/>
      <c r="CU670" s="10"/>
      <c r="CV670" s="10"/>
      <c r="CW670" s="10"/>
      <c r="CX670" s="10"/>
      <c r="CY670" s="10"/>
      <c r="CZ670" s="34"/>
      <c r="DA670" s="34"/>
      <c r="DB670" s="34"/>
      <c r="DC670" s="34"/>
      <c r="DD670" s="34"/>
      <c r="DE670" s="34"/>
      <c r="DF670" s="34"/>
      <c r="DG670" s="34"/>
      <c r="DH670" s="34"/>
      <c r="DI670" s="34"/>
      <c r="DJ670" s="34"/>
      <c r="DK670" s="34"/>
      <c r="DL670" s="34"/>
      <c r="DM670" s="34"/>
      <c r="DN670" s="34"/>
      <c r="DO670" s="34"/>
      <c r="DP670" s="34"/>
      <c r="DQ670" s="34"/>
      <c r="DR670" s="34"/>
      <c r="DS670" s="34"/>
      <c r="DT670" s="34"/>
      <c r="DU670" s="34"/>
      <c r="DV670" s="34"/>
      <c r="DW670" s="34"/>
      <c r="DX670" s="34"/>
      <c r="DY670" s="34"/>
      <c r="DZ670" s="34"/>
      <c r="EA670" s="34"/>
      <c r="EB670" s="34"/>
      <c r="EC670" s="34"/>
      <c r="ED670" s="34"/>
      <c r="EE670" s="34"/>
      <c r="EF670" s="34"/>
    </row>
    <row r="671" spans="1:136" customFormat="1">
      <c r="A671" s="71">
        <f>'Old Data'!$I667-'Old Data'!$S667</f>
        <v>187</v>
      </c>
      <c r="B671" s="72">
        <f>VLOOKUP('Old Data'!$F667,$R$6:$T$135,2,FALSE)+VLOOKUP('Old Data'!$P667,$R$6:$T$135,3,FALSE)+$B$2</f>
        <v>197.70683217274251</v>
      </c>
      <c r="C671" s="72">
        <f>VLOOKUP('Old Data'!$P667,$R$6:$T$135,2,FALSE)+VLOOKUP('Old Data'!$F667,$R$6:$T$135,3,FALSE)+$B$2</f>
        <v>67.487589454681597</v>
      </c>
      <c r="D671" s="74">
        <f>('Old Data'!$I667-$B671)^2+('Old Data'!$S667-$C671)^2</f>
        <v>1631.2126284043893</v>
      </c>
      <c r="E671" s="75">
        <f>'Old Data'!$K667-'Old Data'!$U667</f>
        <v>-136</v>
      </c>
      <c r="F671" s="72">
        <f>VLOOKUP('Old Data'!$F667,$V$6:$X$135,2,FALSE)+VLOOKUP('Old Data'!$P667,$V$6:$X$135,3,FALSE)+$C$2</f>
        <v>151.57641511465931</v>
      </c>
      <c r="G671" s="72">
        <f>VLOOKUP('Old Data'!$P667,$V$6:$X$135,2,FALSE)+VLOOKUP('Old Data'!$F667,$V$6:$X$135,3,FALSE)+$C$2</f>
        <v>246.41293911918052</v>
      </c>
      <c r="H671" s="74">
        <f>('Old Data'!$K667-$F671)^2+('Old Data'!$U667-$G671)^2</f>
        <v>2199.7695145216767</v>
      </c>
      <c r="I671" s="75">
        <f>('Old Data'!$L667+'Old Data'!$M667)-('Old Data'!$V667+'Old Data'!$W667)</f>
        <v>-77</v>
      </c>
      <c r="J671" s="72">
        <f>VLOOKUP('Old Data'!$F667,$Z$6:$AB$135,2,FALSE)+VLOOKUP('Old Data'!$P667,$Z$6:$AB$135,3,FALSE)+$D$2</f>
        <v>41.476890326082597</v>
      </c>
      <c r="K671" s="72">
        <f>VLOOKUP('Old Data'!$P667,$Z$6:$AB$135,2,FALSE)+VLOOKUP('Old Data'!$F667,$Z$6:$AB$135,3,FALSE)+$D$2</f>
        <v>110.4319446466278</v>
      </c>
      <c r="L671" s="74">
        <f>('Old Data'!$L667+'Old Data'!$M667-$J671)^2+('Old Data'!$V667+'Old Data'!$W667-$K671)^2</f>
        <v>960.78482719724252</v>
      </c>
      <c r="M671" s="75">
        <f>'Old Data'!$N667-'Old Data'!$X667</f>
        <v>1</v>
      </c>
      <c r="N671" s="72">
        <f>VLOOKUP('Old Data'!$F667,$AD$6:$AF$135,2,FALSE)+VLOOKUP('Old Data'!$P667,$AD$6:$AF$135,3,FALSE)+$E$2</f>
        <v>2.1796287909151184</v>
      </c>
      <c r="O671" s="72">
        <f>VLOOKUP('Old Data'!$P667,$AD$6:$AF$135,2,FALSE)+VLOOKUP('Old Data'!$F667,$AD$6:$AF$135,3,FALSE)+$E$2</f>
        <v>1.0268732805267911</v>
      </c>
      <c r="P671" s="73">
        <f>('Old Data'!$N667-$N671)^2+('Old Data'!$X667-$O671)^2</f>
        <v>2.4459928186157178</v>
      </c>
      <c r="Q671" s="62"/>
      <c r="R671" s="54"/>
      <c r="S671" s="3"/>
      <c r="T671" s="3"/>
      <c r="V671" s="54"/>
      <c r="W671" s="3"/>
      <c r="X671" s="3"/>
      <c r="Z671" s="54"/>
      <c r="AA671" s="3"/>
      <c r="AB671" s="3"/>
      <c r="AC671" s="3"/>
      <c r="AD671" s="54"/>
      <c r="AE671" s="3"/>
      <c r="AF671" s="3"/>
      <c r="AG671" s="3"/>
      <c r="AL671" s="10"/>
      <c r="AM671" s="10"/>
      <c r="AN671" s="10"/>
      <c r="AO671" s="11"/>
      <c r="AP671" s="11"/>
      <c r="AQ671" s="11"/>
      <c r="AR671" s="10"/>
      <c r="AS671" s="11"/>
      <c r="AT671" s="11"/>
      <c r="AU671" s="11"/>
      <c r="AV671" s="12"/>
      <c r="AW671" s="11"/>
      <c r="AX671" s="11"/>
      <c r="AY671" s="11"/>
      <c r="AZ671" s="11"/>
      <c r="BA671" s="11"/>
      <c r="BB671" s="11"/>
      <c r="BC671" s="11"/>
      <c r="BD671" s="11"/>
      <c r="BE671" s="11"/>
      <c r="BF671" s="12"/>
      <c r="BG671" s="12"/>
      <c r="BH671" s="12"/>
      <c r="BI671" s="10"/>
      <c r="BJ671" s="10"/>
      <c r="BK671" s="10"/>
      <c r="BL671" s="10"/>
      <c r="BM671" s="10"/>
      <c r="BN671" s="10"/>
      <c r="BO671" s="10"/>
      <c r="BP671" s="10"/>
      <c r="BQ671" s="10"/>
      <c r="BR671" s="10"/>
      <c r="BS671" s="10"/>
      <c r="BT671" s="10"/>
      <c r="BU671" s="10"/>
      <c r="BV671" s="10"/>
      <c r="BW671" s="10"/>
      <c r="BX671" s="10"/>
      <c r="BY671" s="10"/>
      <c r="BZ671" s="10"/>
      <c r="CA671" s="17"/>
      <c r="CB671" s="10"/>
      <c r="CC671" s="10"/>
      <c r="CD671" s="18"/>
      <c r="CE671" s="10"/>
      <c r="CF671" s="15"/>
      <c r="CG671" s="10"/>
      <c r="CH671" s="19"/>
      <c r="CI671" s="10"/>
      <c r="CJ671" s="17"/>
      <c r="CK671" s="10"/>
      <c r="CL671" s="10"/>
      <c r="CM671" s="10"/>
      <c r="CN671" s="17"/>
      <c r="CO671" s="17"/>
      <c r="CP671" s="10"/>
      <c r="CQ671" s="10"/>
      <c r="CR671" s="10"/>
      <c r="CS671" s="10"/>
      <c r="CT671" s="10"/>
      <c r="CU671" s="10"/>
      <c r="CV671" s="10"/>
      <c r="CW671" s="10"/>
      <c r="CX671" s="10"/>
      <c r="CY671" s="10"/>
      <c r="CZ671" s="34"/>
      <c r="DA671" s="34"/>
      <c r="DB671" s="34"/>
      <c r="DC671" s="34"/>
      <c r="DD671" s="34"/>
      <c r="DE671" s="34"/>
      <c r="DF671" s="34"/>
      <c r="DG671" s="34"/>
      <c r="DH671" s="34"/>
      <c r="DI671" s="34"/>
      <c r="DJ671" s="34"/>
      <c r="DK671" s="34"/>
      <c r="DL671" s="34"/>
      <c r="DM671" s="34"/>
      <c r="DN671" s="34"/>
      <c r="DO671" s="34"/>
      <c r="DP671" s="34"/>
      <c r="DQ671" s="34"/>
      <c r="DR671" s="34"/>
      <c r="DS671" s="34"/>
      <c r="DT671" s="34"/>
      <c r="DU671" s="34"/>
      <c r="DV671" s="34"/>
      <c r="DW671" s="34"/>
      <c r="DX671" s="34"/>
      <c r="DY671" s="34"/>
      <c r="DZ671" s="34"/>
      <c r="EA671" s="34"/>
      <c r="EB671" s="34"/>
      <c r="EC671" s="34"/>
      <c r="ED671" s="34"/>
      <c r="EE671" s="34"/>
      <c r="EF671" s="34"/>
    </row>
    <row r="672" spans="1:136" customFormat="1">
      <c r="A672" s="71">
        <f>'Old Data'!$I668-'Old Data'!$S668</f>
        <v>33</v>
      </c>
      <c r="B672" s="72">
        <f>VLOOKUP('Old Data'!$F668,$R$6:$T$135,2,FALSE)+VLOOKUP('Old Data'!$P668,$R$6:$T$135,3,FALSE)+$B$2</f>
        <v>107.4159666536741</v>
      </c>
      <c r="C672" s="72">
        <f>VLOOKUP('Old Data'!$P668,$R$6:$T$135,2,FALSE)+VLOOKUP('Old Data'!$F668,$R$6:$T$135,3,FALSE)+$B$2</f>
        <v>133.2931045478023</v>
      </c>
      <c r="D672" s="74">
        <f>('Old Data'!$I668-$B672)^2+('Old Data'!$S668-$C672)^2</f>
        <v>1801.8098575027152</v>
      </c>
      <c r="E672" s="75">
        <f>'Old Data'!$K668-'Old Data'!$U668</f>
        <v>-5</v>
      </c>
      <c r="F672" s="72">
        <f>VLOOKUP('Old Data'!$F668,$V$6:$X$135,2,FALSE)+VLOOKUP('Old Data'!$P668,$V$6:$X$135,3,FALSE)+$C$2</f>
        <v>140.90467218636499</v>
      </c>
      <c r="G672" s="72">
        <f>VLOOKUP('Old Data'!$P668,$V$6:$X$135,2,FALSE)+VLOOKUP('Old Data'!$F668,$V$6:$X$135,3,FALSE)+$C$2</f>
        <v>172.17630573287539</v>
      </c>
      <c r="H672" s="74">
        <f>('Old Data'!$K668-$F672)^2+('Old Data'!$U668-$G672)^2</f>
        <v>352.77873163580603</v>
      </c>
      <c r="I672" s="75">
        <f>('Old Data'!$L668+'Old Data'!$M668)-('Old Data'!$V668+'Old Data'!$W668)</f>
        <v>-31</v>
      </c>
      <c r="J672" s="72">
        <f>VLOOKUP('Old Data'!$F668,$Z$6:$AB$135,2,FALSE)+VLOOKUP('Old Data'!$P668,$Z$6:$AB$135,3,FALSE)+$D$2</f>
        <v>88.274432912562105</v>
      </c>
      <c r="K672" s="72">
        <f>VLOOKUP('Old Data'!$P668,$Z$6:$AB$135,2,FALSE)+VLOOKUP('Old Data'!$F668,$Z$6:$AB$135,3,FALSE)+$D$2</f>
        <v>73.223235829355815</v>
      </c>
      <c r="L672" s="74">
        <f>('Old Data'!$L668+'Old Data'!$M668-$J672)^2+('Old Data'!$V668+'Old Data'!$W668-$K672)^2</f>
        <v>7276.7413143916874</v>
      </c>
      <c r="M672" s="75">
        <f>'Old Data'!$N668-'Old Data'!$X668</f>
        <v>0</v>
      </c>
      <c r="N672" s="72">
        <f>VLOOKUP('Old Data'!$F668,$AD$6:$AF$135,2,FALSE)+VLOOKUP('Old Data'!$P668,$AD$6:$AF$135,3,FALSE)+$E$2</f>
        <v>1.4967267332163221</v>
      </c>
      <c r="O672" s="72">
        <f>VLOOKUP('Old Data'!$P668,$AD$6:$AF$135,2,FALSE)+VLOOKUP('Old Data'!$F668,$AD$6:$AF$135,3,FALSE)+$E$2</f>
        <v>2.025711162577156</v>
      </c>
      <c r="P672" s="73">
        <f>('Old Data'!$N668-$N672)^2+('Old Data'!$X668-$O672)^2</f>
        <v>1.2988208365271401</v>
      </c>
      <c r="Q672" s="62"/>
      <c r="R672" s="54"/>
      <c r="S672" s="3"/>
      <c r="T672" s="3"/>
      <c r="V672" s="54"/>
      <c r="W672" s="3"/>
      <c r="X672" s="3"/>
      <c r="Z672" s="54"/>
      <c r="AA672" s="3"/>
      <c r="AB672" s="3"/>
      <c r="AC672" s="3"/>
      <c r="AD672" s="54"/>
      <c r="AE672" s="3"/>
      <c r="AF672" s="3"/>
      <c r="AG672" s="3"/>
      <c r="AL672" s="10"/>
      <c r="AM672" s="10"/>
      <c r="AN672" s="10"/>
      <c r="AO672" s="11"/>
      <c r="AP672" s="11"/>
      <c r="AQ672" s="11"/>
      <c r="AR672" s="10"/>
      <c r="AS672" s="11"/>
      <c r="AT672" s="11"/>
      <c r="AU672" s="11"/>
      <c r="AV672" s="12"/>
      <c r="AW672" s="11"/>
      <c r="AX672" s="11"/>
      <c r="AY672" s="11"/>
      <c r="AZ672" s="11"/>
      <c r="BA672" s="11"/>
      <c r="BB672" s="11"/>
      <c r="BC672" s="11"/>
      <c r="BD672" s="11"/>
      <c r="BE672" s="11"/>
      <c r="BF672" s="12"/>
      <c r="BG672" s="12"/>
      <c r="BH672" s="12"/>
      <c r="BI672" s="10"/>
      <c r="BJ672" s="10"/>
      <c r="BK672" s="10"/>
      <c r="BL672" s="10"/>
      <c r="BM672" s="10"/>
      <c r="BN672" s="10"/>
      <c r="BO672" s="10"/>
      <c r="BP672" s="10"/>
      <c r="BQ672" s="10"/>
      <c r="BR672" s="10"/>
      <c r="BS672" s="10"/>
      <c r="BT672" s="10"/>
      <c r="BU672" s="10"/>
      <c r="BV672" s="10"/>
      <c r="BW672" s="10"/>
      <c r="BX672" s="10"/>
      <c r="BY672" s="10"/>
      <c r="BZ672" s="10"/>
      <c r="CA672" s="17"/>
      <c r="CB672" s="10"/>
      <c r="CC672" s="10"/>
      <c r="CD672" s="18"/>
      <c r="CE672" s="10"/>
      <c r="CF672" s="15"/>
      <c r="CG672" s="10"/>
      <c r="CH672" s="19"/>
      <c r="CI672" s="10"/>
      <c r="CJ672" s="17"/>
      <c r="CK672" s="10"/>
      <c r="CL672" s="10"/>
      <c r="CM672" s="10"/>
      <c r="CN672" s="17"/>
      <c r="CO672" s="17"/>
      <c r="CP672" s="10"/>
      <c r="CQ672" s="10"/>
      <c r="CR672" s="10"/>
      <c r="CS672" s="10"/>
      <c r="CT672" s="10"/>
      <c r="CU672" s="10"/>
      <c r="CV672" s="10"/>
      <c r="CW672" s="10"/>
      <c r="CX672" s="10"/>
      <c r="CY672" s="10"/>
      <c r="CZ672" s="34"/>
      <c r="DA672" s="34"/>
      <c r="DB672" s="34"/>
      <c r="DC672" s="34"/>
      <c r="DD672" s="34"/>
      <c r="DE672" s="34"/>
      <c r="DF672" s="34"/>
      <c r="DG672" s="34"/>
      <c r="DH672" s="34"/>
      <c r="DI672" s="34"/>
      <c r="DJ672" s="34"/>
      <c r="DK672" s="34"/>
      <c r="DL672" s="34"/>
      <c r="DM672" s="34"/>
      <c r="DN672" s="34"/>
      <c r="DO672" s="34"/>
      <c r="DP672" s="34"/>
      <c r="DQ672" s="34"/>
      <c r="DR672" s="34"/>
      <c r="DS672" s="34"/>
      <c r="DT672" s="34"/>
      <c r="DU672" s="34"/>
      <c r="DV672" s="34"/>
      <c r="DW672" s="34"/>
      <c r="DX672" s="34"/>
      <c r="DY672" s="34"/>
      <c r="DZ672" s="34"/>
      <c r="EA672" s="34"/>
      <c r="EB672" s="34"/>
      <c r="EC672" s="34"/>
      <c r="ED672" s="34"/>
      <c r="EE672" s="34"/>
      <c r="EF672" s="34"/>
    </row>
    <row r="673" spans="1:136" customFormat="1">
      <c r="A673" s="71">
        <f>'Old Data'!$I669-'Old Data'!$S669</f>
        <v>-263</v>
      </c>
      <c r="B673" s="72">
        <f>VLOOKUP('Old Data'!$F669,$R$6:$T$135,2,FALSE)+VLOOKUP('Old Data'!$P669,$R$6:$T$135,3,FALSE)+$B$2</f>
        <v>97.455230134819203</v>
      </c>
      <c r="C673" s="72">
        <f>VLOOKUP('Old Data'!$P669,$R$6:$T$135,2,FALSE)+VLOOKUP('Old Data'!$F669,$R$6:$T$135,3,FALSE)+$B$2</f>
        <v>227.51513195176432</v>
      </c>
      <c r="D673" s="74">
        <f>('Old Data'!$I669-$B673)^2+('Old Data'!$S669-$C673)^2</f>
        <v>12711.143428043742</v>
      </c>
      <c r="E673" s="75">
        <f>'Old Data'!$K669-'Old Data'!$U669</f>
        <v>-23</v>
      </c>
      <c r="F673" s="72">
        <f>VLOOKUP('Old Data'!$F669,$V$6:$X$135,2,FALSE)+VLOOKUP('Old Data'!$P669,$V$6:$X$135,3,FALSE)+$C$2</f>
        <v>277.46796632188909</v>
      </c>
      <c r="G673" s="72">
        <f>VLOOKUP('Old Data'!$P669,$V$6:$X$135,2,FALSE)+VLOOKUP('Old Data'!$F669,$V$6:$X$135,3,FALSE)+$C$2</f>
        <v>338.8284985351778</v>
      </c>
      <c r="H673" s="74">
        <f>('Old Data'!$K669-$F673)^2+('Old Data'!$U669-$G673)^2</f>
        <v>993.49046983657956</v>
      </c>
      <c r="I673" s="75">
        <f>('Old Data'!$L669+'Old Data'!$M669)-('Old Data'!$V669+'Old Data'!$W669)</f>
        <v>51</v>
      </c>
      <c r="J673" s="72">
        <f>VLOOKUP('Old Data'!$F669,$Z$6:$AB$135,2,FALSE)+VLOOKUP('Old Data'!$P669,$Z$6:$AB$135,3,FALSE)+$D$2</f>
        <v>103.88096672104669</v>
      </c>
      <c r="K673" s="72">
        <f>VLOOKUP('Old Data'!$P669,$Z$6:$AB$135,2,FALSE)+VLOOKUP('Old Data'!$F669,$Z$6:$AB$135,3,FALSE)+$D$2</f>
        <v>27.330232721576095</v>
      </c>
      <c r="L673" s="74">
        <f>('Old Data'!$L669+'Old Data'!$M669-$J673)^2+('Old Data'!$V669+'Old Data'!$W669-$K673)^2</f>
        <v>328.01990767288783</v>
      </c>
      <c r="M673" s="75">
        <f>'Old Data'!$N669-'Old Data'!$X669</f>
        <v>1</v>
      </c>
      <c r="N673" s="72">
        <f>VLOOKUP('Old Data'!$F669,$AD$6:$AF$135,2,FALSE)+VLOOKUP('Old Data'!$P669,$AD$6:$AF$135,3,FALSE)+$E$2</f>
        <v>1.5066361096699796</v>
      </c>
      <c r="O673" s="72">
        <f>VLOOKUP('Old Data'!$P669,$AD$6:$AF$135,2,FALSE)+VLOOKUP('Old Data'!$F669,$AD$6:$AF$135,3,FALSE)+$E$2</f>
        <v>1.603972648637298</v>
      </c>
      <c r="P673" s="73">
        <f>('Old Data'!$N669-$N673)^2+('Old Data'!$X669-$O673)^2</f>
        <v>0.60819088858352544</v>
      </c>
      <c r="Q673" s="62"/>
      <c r="R673" s="54"/>
      <c r="S673" s="3"/>
      <c r="T673" s="3"/>
      <c r="V673" s="54"/>
      <c r="W673" s="3"/>
      <c r="X673" s="3"/>
      <c r="Z673" s="54"/>
      <c r="AA673" s="3"/>
      <c r="AB673" s="3"/>
      <c r="AC673" s="3"/>
      <c r="AD673" s="54"/>
      <c r="AE673" s="3"/>
      <c r="AF673" s="3"/>
      <c r="AG673" s="3"/>
      <c r="AL673" s="10"/>
      <c r="AM673" s="10"/>
      <c r="AN673" s="10"/>
      <c r="AO673" s="11"/>
      <c r="AP673" s="11"/>
      <c r="AQ673" s="11"/>
      <c r="AR673" s="10"/>
      <c r="AS673" s="11"/>
      <c r="AT673" s="11"/>
      <c r="AU673" s="11"/>
      <c r="AV673" s="12"/>
      <c r="AW673" s="11"/>
      <c r="AX673" s="11"/>
      <c r="AY673" s="11"/>
      <c r="AZ673" s="11"/>
      <c r="BA673" s="11"/>
      <c r="BB673" s="11"/>
      <c r="BC673" s="11"/>
      <c r="BD673" s="11"/>
      <c r="BE673" s="11"/>
      <c r="BF673" s="12"/>
      <c r="BG673" s="12"/>
      <c r="BH673" s="12"/>
      <c r="BI673" s="10"/>
      <c r="BJ673" s="10"/>
      <c r="BK673" s="10"/>
      <c r="BL673" s="10"/>
      <c r="BM673" s="10"/>
      <c r="BN673" s="10"/>
      <c r="BO673" s="10"/>
      <c r="BP673" s="10"/>
      <c r="BQ673" s="10"/>
      <c r="BR673" s="10"/>
      <c r="BS673" s="10"/>
      <c r="BT673" s="10"/>
      <c r="BU673" s="10"/>
      <c r="BV673" s="10"/>
      <c r="BW673" s="10"/>
      <c r="BX673" s="10"/>
      <c r="BY673" s="10"/>
      <c r="BZ673" s="10"/>
      <c r="CA673" s="17"/>
      <c r="CB673" s="10"/>
      <c r="CC673" s="10"/>
      <c r="CD673" s="18"/>
      <c r="CE673" s="10"/>
      <c r="CF673" s="15"/>
      <c r="CG673" s="10"/>
      <c r="CH673" s="19"/>
      <c r="CI673" s="10"/>
      <c r="CJ673" s="17"/>
      <c r="CK673" s="10"/>
      <c r="CL673" s="10"/>
      <c r="CM673" s="10"/>
      <c r="CN673" s="17"/>
      <c r="CO673" s="17"/>
      <c r="CP673" s="10"/>
      <c r="CQ673" s="10"/>
      <c r="CR673" s="10"/>
      <c r="CS673" s="10"/>
      <c r="CT673" s="10"/>
      <c r="CU673" s="10"/>
      <c r="CV673" s="10"/>
      <c r="CW673" s="10"/>
      <c r="CX673" s="10"/>
      <c r="CY673" s="10"/>
      <c r="CZ673" s="34"/>
      <c r="DA673" s="34"/>
      <c r="DB673" s="34"/>
      <c r="DC673" s="34"/>
      <c r="DD673" s="34"/>
      <c r="DE673" s="34"/>
      <c r="DF673" s="34"/>
      <c r="DG673" s="34"/>
      <c r="DH673" s="34"/>
      <c r="DI673" s="34"/>
      <c r="DJ673" s="34"/>
      <c r="DK673" s="34"/>
      <c r="DL673" s="34"/>
      <c r="DM673" s="34"/>
      <c r="DN673" s="34"/>
      <c r="DO673" s="34"/>
      <c r="DP673" s="34"/>
      <c r="DQ673" s="34"/>
      <c r="DR673" s="34"/>
      <c r="DS673" s="34"/>
      <c r="DT673" s="34"/>
      <c r="DU673" s="34"/>
      <c r="DV673" s="34"/>
      <c r="DW673" s="34"/>
      <c r="DX673" s="34"/>
      <c r="DY673" s="34"/>
      <c r="DZ673" s="34"/>
      <c r="EA673" s="34"/>
      <c r="EB673" s="34"/>
      <c r="EC673" s="34"/>
      <c r="ED673" s="34"/>
      <c r="EE673" s="34"/>
      <c r="EF673" s="34"/>
    </row>
    <row r="674" spans="1:136" customFormat="1">
      <c r="A674" s="71">
        <f>'Old Data'!$I670-'Old Data'!$S670</f>
        <v>84</v>
      </c>
      <c r="B674" s="72">
        <f>VLOOKUP('Old Data'!$F670,$R$6:$T$135,2,FALSE)+VLOOKUP('Old Data'!$P670,$R$6:$T$135,3,FALSE)+$B$2</f>
        <v>130.81665572018048</v>
      </c>
      <c r="C674" s="72">
        <f>VLOOKUP('Old Data'!$P670,$R$6:$T$135,2,FALSE)+VLOOKUP('Old Data'!$F670,$R$6:$T$135,3,FALSE)+$B$2</f>
        <v>97.658570951359508</v>
      </c>
      <c r="D674" s="74">
        <f>('Old Data'!$I670-$B674)^2+('Old Data'!$S670-$C674)^2</f>
        <v>1591.9685324988282</v>
      </c>
      <c r="E674" s="75">
        <f>'Old Data'!$K670-'Old Data'!$U670</f>
        <v>-42</v>
      </c>
      <c r="F674" s="72">
        <f>VLOOKUP('Old Data'!$F670,$V$6:$X$135,2,FALSE)+VLOOKUP('Old Data'!$P670,$V$6:$X$135,3,FALSE)+$C$2</f>
        <v>286.39749819289568</v>
      </c>
      <c r="G674" s="72">
        <f>VLOOKUP('Old Data'!$P670,$V$6:$X$135,2,FALSE)+VLOOKUP('Old Data'!$F670,$V$6:$X$135,3,FALSE)+$C$2</f>
        <v>288.17401375877381</v>
      </c>
      <c r="H674" s="74">
        <f>('Old Data'!$K670-$F674)^2+('Old Data'!$U670-$G674)^2</f>
        <v>25134.86029233376</v>
      </c>
      <c r="I674" s="75">
        <f>('Old Data'!$L670+'Old Data'!$M670)-('Old Data'!$V670+'Old Data'!$W670)</f>
        <v>-39</v>
      </c>
      <c r="J674" s="72">
        <f>VLOOKUP('Old Data'!$F670,$Z$6:$AB$135,2,FALSE)+VLOOKUP('Old Data'!$P670,$Z$6:$AB$135,3,FALSE)+$D$2</f>
        <v>42.026867261656896</v>
      </c>
      <c r="K674" s="72">
        <f>VLOOKUP('Old Data'!$P670,$Z$6:$AB$135,2,FALSE)+VLOOKUP('Old Data'!$F670,$Z$6:$AB$135,3,FALSE)+$D$2</f>
        <v>76.791566543801935</v>
      </c>
      <c r="L674" s="74">
        <f>('Old Data'!$L670+'Old Data'!$M670-$J674)^2+('Old Data'!$V670+'Old Data'!$W670-$K674)^2</f>
        <v>292.62778055784338</v>
      </c>
      <c r="M674" s="75">
        <f>'Old Data'!$N670-'Old Data'!$X670</f>
        <v>4</v>
      </c>
      <c r="N674" s="72">
        <f>VLOOKUP('Old Data'!$F670,$AD$6:$AF$135,2,FALSE)+VLOOKUP('Old Data'!$P670,$AD$6:$AF$135,3,FALSE)+$E$2</f>
        <v>3.0333050950289393</v>
      </c>
      <c r="O674" s="72">
        <f>VLOOKUP('Old Data'!$P670,$AD$6:$AF$135,2,FALSE)+VLOOKUP('Old Data'!$F670,$AD$6:$AF$135,3,FALSE)+$E$2</f>
        <v>0.43150596330874302</v>
      </c>
      <c r="P674" s="73">
        <f>('Old Data'!$N670-$N674)^2+('Old Data'!$X670-$O674)^2</f>
        <v>4.1910743189926496</v>
      </c>
      <c r="Q674" s="62"/>
      <c r="R674" s="54"/>
      <c r="S674" s="3"/>
      <c r="T674" s="3"/>
      <c r="V674" s="54"/>
      <c r="W674" s="3"/>
      <c r="X674" s="3"/>
      <c r="Z674" s="54"/>
      <c r="AA674" s="3"/>
      <c r="AB674" s="3"/>
      <c r="AC674" s="3"/>
      <c r="AD674" s="54"/>
      <c r="AE674" s="3"/>
      <c r="AF674" s="3"/>
      <c r="AG674" s="3"/>
      <c r="AL674" s="10"/>
      <c r="AM674" s="10"/>
      <c r="AN674" s="10"/>
      <c r="AO674" s="11"/>
      <c r="AP674" s="11"/>
      <c r="AQ674" s="11"/>
      <c r="AR674" s="10"/>
      <c r="AS674" s="11"/>
      <c r="AT674" s="11"/>
      <c r="AU674" s="11"/>
      <c r="AV674" s="12"/>
      <c r="AW674" s="11"/>
      <c r="AX674" s="11"/>
      <c r="AY674" s="11"/>
      <c r="AZ674" s="11"/>
      <c r="BA674" s="11"/>
      <c r="BB674" s="11"/>
      <c r="BC674" s="11"/>
      <c r="BD674" s="11"/>
      <c r="BE674" s="11"/>
      <c r="BF674" s="12"/>
      <c r="BG674" s="12"/>
      <c r="BH674" s="12"/>
      <c r="BI674" s="10"/>
      <c r="BJ674" s="10"/>
      <c r="BK674" s="10"/>
      <c r="BL674" s="10"/>
      <c r="BM674" s="10"/>
      <c r="BN674" s="10"/>
      <c r="BO674" s="10"/>
      <c r="BP674" s="10"/>
      <c r="BQ674" s="10"/>
      <c r="BR674" s="10"/>
      <c r="BS674" s="10"/>
      <c r="BT674" s="10"/>
      <c r="BU674" s="10"/>
      <c r="BV674" s="10"/>
      <c r="BW674" s="10"/>
      <c r="BX674" s="10"/>
      <c r="BY674" s="10"/>
      <c r="BZ674" s="10"/>
      <c r="CA674" s="17"/>
      <c r="CB674" s="10"/>
      <c r="CC674" s="10"/>
      <c r="CD674" s="18"/>
      <c r="CE674" s="10"/>
      <c r="CF674" s="15"/>
      <c r="CG674" s="10"/>
      <c r="CH674" s="19"/>
      <c r="CI674" s="10"/>
      <c r="CJ674" s="17"/>
      <c r="CK674" s="10"/>
      <c r="CL674" s="10"/>
      <c r="CM674" s="10"/>
      <c r="CN674" s="17"/>
      <c r="CO674" s="17"/>
      <c r="CP674" s="10"/>
      <c r="CQ674" s="10"/>
      <c r="CR674" s="10"/>
      <c r="CS674" s="10"/>
      <c r="CT674" s="10"/>
      <c r="CU674" s="10"/>
      <c r="CV674" s="10"/>
      <c r="CW674" s="10"/>
      <c r="CX674" s="10"/>
      <c r="CY674" s="10"/>
      <c r="CZ674" s="34"/>
      <c r="DA674" s="34"/>
      <c r="DB674" s="34"/>
      <c r="DC674" s="34"/>
      <c r="DD674" s="34"/>
      <c r="DE674" s="34"/>
      <c r="DF674" s="34"/>
      <c r="DG674" s="34"/>
      <c r="DH674" s="34"/>
      <c r="DI674" s="34"/>
      <c r="DJ674" s="34"/>
      <c r="DK674" s="34"/>
      <c r="DL674" s="34"/>
      <c r="DM674" s="34"/>
      <c r="DN674" s="34"/>
      <c r="DO674" s="34"/>
      <c r="DP674" s="34"/>
      <c r="DQ674" s="34"/>
      <c r="DR674" s="34"/>
      <c r="DS674" s="34"/>
      <c r="DT674" s="34"/>
      <c r="DU674" s="34"/>
      <c r="DV674" s="34"/>
      <c r="DW674" s="34"/>
      <c r="DX674" s="34"/>
      <c r="DY674" s="34"/>
      <c r="DZ674" s="34"/>
      <c r="EA674" s="34"/>
      <c r="EB674" s="34"/>
      <c r="EC674" s="34"/>
      <c r="ED674" s="34"/>
      <c r="EE674" s="34"/>
      <c r="EF674" s="34"/>
    </row>
    <row r="675" spans="1:136" customFormat="1">
      <c r="A675" s="71">
        <f>'Old Data'!$I671-'Old Data'!$S671</f>
        <v>8</v>
      </c>
      <c r="B675" s="72">
        <f>VLOOKUP('Old Data'!$F671,$R$6:$T$135,2,FALSE)+VLOOKUP('Old Data'!$P671,$R$6:$T$135,3,FALSE)+$B$2</f>
        <v>123.5882473496528</v>
      </c>
      <c r="C675" s="72">
        <f>VLOOKUP('Old Data'!$P671,$R$6:$T$135,2,FALSE)+VLOOKUP('Old Data'!$F671,$R$6:$T$135,3,FALSE)+$B$2</f>
        <v>100.16877203844861</v>
      </c>
      <c r="D675" s="74">
        <f>('Old Data'!$I671-$B675)^2+('Old Data'!$S671-$C675)^2</f>
        <v>3141.9571414972074</v>
      </c>
      <c r="E675" s="75">
        <f>'Old Data'!$K671-'Old Data'!$U671</f>
        <v>209</v>
      </c>
      <c r="F675" s="72">
        <f>VLOOKUP('Old Data'!$F671,$V$6:$X$135,2,FALSE)+VLOOKUP('Old Data'!$P671,$V$6:$X$135,3,FALSE)+$C$2</f>
        <v>352.75148366836038</v>
      </c>
      <c r="G675" s="72">
        <f>VLOOKUP('Old Data'!$P671,$V$6:$X$135,2,FALSE)+VLOOKUP('Old Data'!$F671,$V$6:$X$135,3,FALSE)+$C$2</f>
        <v>220.6929687858273</v>
      </c>
      <c r="H675" s="74">
        <f>('Old Data'!$K671-$F675)^2+('Old Data'!$U671-$G675)^2</f>
        <v>2962.9837399410844</v>
      </c>
      <c r="I675" s="75">
        <f>('Old Data'!$L671+'Old Data'!$M671)-('Old Data'!$V671+'Old Data'!$W671)</f>
        <v>10</v>
      </c>
      <c r="J675" s="72">
        <f>VLOOKUP('Old Data'!$F671,$Z$6:$AB$135,2,FALSE)+VLOOKUP('Old Data'!$P671,$Z$6:$AB$135,3,FALSE)+$D$2</f>
        <v>3.4218476757651999</v>
      </c>
      <c r="K675" s="72">
        <f>VLOOKUP('Old Data'!$P671,$Z$6:$AB$135,2,FALSE)+VLOOKUP('Old Data'!$F671,$Z$6:$AB$135,3,FALSE)+$D$2</f>
        <v>31.941934025232577</v>
      </c>
      <c r="L675" s="74">
        <f>('Old Data'!$L671+'Old Data'!$M671-$J675)^2+('Old Data'!$V671+'Old Data'!$W671-$K675)^2</f>
        <v>2461.0015743893332</v>
      </c>
      <c r="M675" s="75">
        <f>'Old Data'!$N671-'Old Data'!$X671</f>
        <v>0</v>
      </c>
      <c r="N675" s="72">
        <f>VLOOKUP('Old Data'!$F671,$AD$6:$AF$135,2,FALSE)+VLOOKUP('Old Data'!$P671,$AD$6:$AF$135,3,FALSE)+$E$2</f>
        <v>2.0565869554318059</v>
      </c>
      <c r="O675" s="72">
        <f>VLOOKUP('Old Data'!$P671,$AD$6:$AF$135,2,FALSE)+VLOOKUP('Old Data'!$F671,$AD$6:$AF$135,3,FALSE)+$E$2</f>
        <v>1.7721303423404859</v>
      </c>
      <c r="P675" s="73">
        <f>('Old Data'!$N671-$N675)^2+('Old Data'!$X671-$O675)^2</f>
        <v>7.3699958554960725</v>
      </c>
      <c r="Q675" s="62"/>
      <c r="R675" s="54"/>
      <c r="S675" s="3"/>
      <c r="T675" s="3"/>
      <c r="V675" s="54"/>
      <c r="W675" s="3"/>
      <c r="X675" s="3"/>
      <c r="Z675" s="54"/>
      <c r="AA675" s="3"/>
      <c r="AB675" s="3"/>
      <c r="AC675" s="3"/>
      <c r="AD675" s="54"/>
      <c r="AE675" s="3"/>
      <c r="AF675" s="3"/>
      <c r="AG675" s="3"/>
      <c r="AL675" s="10"/>
      <c r="AM675" s="10"/>
      <c r="AN675" s="10"/>
      <c r="AO675" s="11"/>
      <c r="AP675" s="11"/>
      <c r="AQ675" s="11"/>
      <c r="AR675" s="10"/>
      <c r="AS675" s="11"/>
      <c r="AT675" s="11"/>
      <c r="AU675" s="11"/>
      <c r="AV675" s="12"/>
      <c r="AW675" s="11"/>
      <c r="AX675" s="11"/>
      <c r="AY675" s="11"/>
      <c r="AZ675" s="11"/>
      <c r="BA675" s="11"/>
      <c r="BB675" s="11"/>
      <c r="BC675" s="11"/>
      <c r="BD675" s="11"/>
      <c r="BE675" s="11"/>
      <c r="BF675" s="12"/>
      <c r="BG675" s="12"/>
      <c r="BH675" s="12"/>
      <c r="BI675" s="10"/>
      <c r="BJ675" s="10"/>
      <c r="BK675" s="10"/>
      <c r="BL675" s="10"/>
      <c r="BM675" s="10"/>
      <c r="BN675" s="10"/>
      <c r="BO675" s="10"/>
      <c r="BP675" s="10"/>
      <c r="BQ675" s="10"/>
      <c r="BR675" s="10"/>
      <c r="BS675" s="10"/>
      <c r="BT675" s="10"/>
      <c r="BU675" s="10"/>
      <c r="BV675" s="10"/>
      <c r="BW675" s="10"/>
      <c r="BX675" s="10"/>
      <c r="BY675" s="10"/>
      <c r="BZ675" s="10"/>
      <c r="CA675" s="17"/>
      <c r="CB675" s="10"/>
      <c r="CC675" s="10"/>
      <c r="CD675" s="18"/>
      <c r="CE675" s="10"/>
      <c r="CF675" s="15"/>
      <c r="CG675" s="10"/>
      <c r="CH675" s="19"/>
      <c r="CI675" s="10"/>
      <c r="CJ675" s="17"/>
      <c r="CK675" s="10"/>
      <c r="CL675" s="10"/>
      <c r="CM675" s="10"/>
      <c r="CN675" s="17"/>
      <c r="CO675" s="17"/>
      <c r="CP675" s="10"/>
      <c r="CQ675" s="10"/>
      <c r="CR675" s="10"/>
      <c r="CS675" s="10"/>
      <c r="CT675" s="10"/>
      <c r="CU675" s="10"/>
      <c r="CV675" s="10"/>
      <c r="CW675" s="10"/>
      <c r="CX675" s="10"/>
      <c r="CY675" s="10"/>
      <c r="CZ675" s="34"/>
      <c r="DA675" s="34"/>
      <c r="DB675" s="34"/>
      <c r="DC675" s="34"/>
      <c r="DD675" s="34"/>
      <c r="DE675" s="34"/>
      <c r="DF675" s="34"/>
      <c r="DG675" s="34"/>
      <c r="DH675" s="34"/>
      <c r="DI675" s="34"/>
      <c r="DJ675" s="34"/>
      <c r="DK675" s="34"/>
      <c r="DL675" s="34"/>
      <c r="DM675" s="34"/>
      <c r="DN675" s="34"/>
      <c r="DO675" s="34"/>
      <c r="DP675" s="34"/>
      <c r="DQ675" s="34"/>
      <c r="DR675" s="34"/>
      <c r="DS675" s="34"/>
      <c r="DT675" s="34"/>
      <c r="DU675" s="34"/>
      <c r="DV675" s="34"/>
      <c r="DW675" s="34"/>
      <c r="DX675" s="34"/>
      <c r="DY675" s="34"/>
      <c r="DZ675" s="34"/>
      <c r="EA675" s="34"/>
      <c r="EB675" s="34"/>
      <c r="EC675" s="34"/>
      <c r="ED675" s="34"/>
      <c r="EE675" s="34"/>
      <c r="EF675" s="34"/>
    </row>
    <row r="676" spans="1:136" customFormat="1">
      <c r="A676" s="71">
        <f>'Old Data'!$I672-'Old Data'!$S672</f>
        <v>171</v>
      </c>
      <c r="B676" s="72">
        <f>VLOOKUP('Old Data'!$F672,$R$6:$T$135,2,FALSE)+VLOOKUP('Old Data'!$P672,$R$6:$T$135,3,FALSE)+$B$2</f>
        <v>264.89258383208085</v>
      </c>
      <c r="C676" s="72">
        <f>VLOOKUP('Old Data'!$P672,$R$6:$T$135,2,FALSE)+VLOOKUP('Old Data'!$F672,$R$6:$T$135,3,FALSE)+$B$2</f>
        <v>217.5492981915302</v>
      </c>
      <c r="D676" s="74">
        <f>('Old Data'!$I672-$B676)^2+('Old Data'!$S672-$C676)^2</f>
        <v>12200.067925191668</v>
      </c>
      <c r="E676" s="75">
        <f>'Old Data'!$K672-'Old Data'!$U672</f>
        <v>-109</v>
      </c>
      <c r="F676" s="72">
        <f>VLOOKUP('Old Data'!$F672,$V$6:$X$135,2,FALSE)+VLOOKUP('Old Data'!$P672,$V$6:$X$135,3,FALSE)+$C$2</f>
        <v>106.60002917353199</v>
      </c>
      <c r="G676" s="72">
        <f>VLOOKUP('Old Data'!$P672,$V$6:$X$135,2,FALSE)+VLOOKUP('Old Data'!$F672,$V$6:$X$135,3,FALSE)+$C$2</f>
        <v>159.490466753334</v>
      </c>
      <c r="H676" s="74">
        <f>('Old Data'!$K672-$F676)^2+('Old Data'!$U672-$G676)^2</f>
        <v>1635.6410474449629</v>
      </c>
      <c r="I676" s="75">
        <f>('Old Data'!$L672+'Old Data'!$M672)-('Old Data'!$V672+'Old Data'!$W672)</f>
        <v>48</v>
      </c>
      <c r="J676" s="72">
        <f>VLOOKUP('Old Data'!$F672,$Z$6:$AB$135,2,FALSE)+VLOOKUP('Old Data'!$P672,$Z$6:$AB$135,3,FALSE)+$D$2</f>
        <v>40.729503800390397</v>
      </c>
      <c r="K676" s="72">
        <f>VLOOKUP('Old Data'!$P672,$Z$6:$AB$135,2,FALSE)+VLOOKUP('Old Data'!$F672,$Z$6:$AB$135,3,FALSE)+$D$2</f>
        <v>-25.107932134939503</v>
      </c>
      <c r="L676" s="74">
        <f>('Old Data'!$L672+'Old Data'!$M672-$J676)^2+('Old Data'!$V672+'Old Data'!$W672-$K676)^2</f>
        <v>683.2683710812654</v>
      </c>
      <c r="M676" s="75">
        <f>'Old Data'!$N672-'Old Data'!$X672</f>
        <v>0</v>
      </c>
      <c r="N676" s="72">
        <f>VLOOKUP('Old Data'!$F672,$AD$6:$AF$135,2,FALSE)+VLOOKUP('Old Data'!$P672,$AD$6:$AF$135,3,FALSE)+$E$2</f>
        <v>1.1956795841165229</v>
      </c>
      <c r="O676" s="72">
        <f>VLOOKUP('Old Data'!$P672,$AD$6:$AF$135,2,FALSE)+VLOOKUP('Old Data'!$F672,$AD$6:$AF$135,3,FALSE)+$E$2</f>
        <v>0.89111550737206879</v>
      </c>
      <c r="P676" s="73">
        <f>('Old Data'!$N672-$N676)^2+('Old Data'!$X672-$O676)^2</f>
        <v>2.2237365153520408</v>
      </c>
      <c r="Q676" s="62"/>
      <c r="R676" s="54"/>
      <c r="S676" s="3"/>
      <c r="T676" s="3"/>
      <c r="V676" s="54"/>
      <c r="W676" s="3"/>
      <c r="X676" s="3"/>
      <c r="Z676" s="54"/>
      <c r="AA676" s="3"/>
      <c r="AB676" s="3"/>
      <c r="AC676" s="3"/>
      <c r="AD676" s="54"/>
      <c r="AE676" s="3"/>
      <c r="AF676" s="3"/>
      <c r="AG676" s="3"/>
      <c r="AL676" s="10"/>
      <c r="AM676" s="10"/>
      <c r="AN676" s="10"/>
      <c r="AO676" s="11"/>
      <c r="AP676" s="11"/>
      <c r="AQ676" s="11"/>
      <c r="AR676" s="10"/>
      <c r="AS676" s="11"/>
      <c r="AT676" s="11"/>
      <c r="AU676" s="11"/>
      <c r="AV676" s="12"/>
      <c r="AW676" s="11"/>
      <c r="AX676" s="11"/>
      <c r="AY676" s="11"/>
      <c r="AZ676" s="11"/>
      <c r="BA676" s="11"/>
      <c r="BB676" s="11"/>
      <c r="BC676" s="11"/>
      <c r="BD676" s="11"/>
      <c r="BE676" s="11"/>
      <c r="BF676" s="12"/>
      <c r="BG676" s="12"/>
      <c r="BH676" s="12"/>
      <c r="BI676" s="10"/>
      <c r="BJ676" s="10"/>
      <c r="BK676" s="10"/>
      <c r="BL676" s="10"/>
      <c r="BM676" s="10"/>
      <c r="BN676" s="10"/>
      <c r="BO676" s="10"/>
      <c r="BP676" s="10"/>
      <c r="BQ676" s="10"/>
      <c r="BR676" s="10"/>
      <c r="BS676" s="10"/>
      <c r="BT676" s="10"/>
      <c r="BU676" s="10"/>
      <c r="BV676" s="10"/>
      <c r="BW676" s="10"/>
      <c r="BX676" s="10"/>
      <c r="BY676" s="10"/>
      <c r="BZ676" s="10"/>
      <c r="CA676" s="17"/>
      <c r="CB676" s="10"/>
      <c r="CC676" s="10"/>
      <c r="CD676" s="18"/>
      <c r="CE676" s="10"/>
      <c r="CF676" s="15"/>
      <c r="CG676" s="10"/>
      <c r="CH676" s="19"/>
      <c r="CI676" s="10"/>
      <c r="CJ676" s="17"/>
      <c r="CK676" s="10"/>
      <c r="CL676" s="10"/>
      <c r="CM676" s="10"/>
      <c r="CN676" s="17"/>
      <c r="CO676" s="17"/>
      <c r="CP676" s="10"/>
      <c r="CQ676" s="10"/>
      <c r="CR676" s="10"/>
      <c r="CS676" s="10"/>
      <c r="CT676" s="10"/>
      <c r="CU676" s="10"/>
      <c r="CV676" s="10"/>
      <c r="CW676" s="10"/>
      <c r="CX676" s="10"/>
      <c r="CY676" s="10"/>
      <c r="CZ676" s="34"/>
      <c r="DA676" s="34"/>
      <c r="DB676" s="34"/>
      <c r="DC676" s="34"/>
      <c r="DD676" s="34"/>
      <c r="DE676" s="34"/>
      <c r="DF676" s="34"/>
      <c r="DG676" s="34"/>
      <c r="DH676" s="34"/>
      <c r="DI676" s="34"/>
      <c r="DJ676" s="34"/>
      <c r="DK676" s="34"/>
      <c r="DL676" s="34"/>
      <c r="DM676" s="34"/>
      <c r="DN676" s="34"/>
      <c r="DO676" s="34"/>
      <c r="DP676" s="34"/>
      <c r="DQ676" s="34"/>
      <c r="DR676" s="34"/>
      <c r="DS676" s="34"/>
      <c r="DT676" s="34"/>
      <c r="DU676" s="34"/>
      <c r="DV676" s="34"/>
      <c r="DW676" s="34"/>
      <c r="DX676" s="34"/>
      <c r="DY676" s="34"/>
      <c r="DZ676" s="34"/>
      <c r="EA676" s="34"/>
      <c r="EB676" s="34"/>
      <c r="EC676" s="34"/>
      <c r="ED676" s="34"/>
      <c r="EE676" s="34"/>
      <c r="EF676" s="34"/>
    </row>
    <row r="677" spans="1:136" customFormat="1">
      <c r="A677" s="71">
        <f>'Old Data'!$I673-'Old Data'!$S673</f>
        <v>-120</v>
      </c>
      <c r="B677" s="72">
        <f>VLOOKUP('Old Data'!$F673,$R$6:$T$135,2,FALSE)+VLOOKUP('Old Data'!$P673,$R$6:$T$135,3,FALSE)+$B$2</f>
        <v>87.009734200213799</v>
      </c>
      <c r="C677" s="72">
        <f>VLOOKUP('Old Data'!$P673,$R$6:$T$135,2,FALSE)+VLOOKUP('Old Data'!$F673,$R$6:$T$135,3,FALSE)+$B$2</f>
        <v>250.90058284556079</v>
      </c>
      <c r="D677" s="74">
        <f>('Old Data'!$I673-$B677)^2+('Old Data'!$S673-$C677)^2</f>
        <v>1161.4136598360101</v>
      </c>
      <c r="E677" s="75">
        <f>'Old Data'!$K673-'Old Data'!$U673</f>
        <v>-241</v>
      </c>
      <c r="F677" s="72">
        <f>VLOOKUP('Old Data'!$F673,$V$6:$X$135,2,FALSE)+VLOOKUP('Old Data'!$P673,$V$6:$X$135,3,FALSE)+$C$2</f>
        <v>115.08853311227358</v>
      </c>
      <c r="G677" s="72">
        <f>VLOOKUP('Old Data'!$P673,$V$6:$X$135,2,FALSE)+VLOOKUP('Old Data'!$F673,$V$6:$X$135,3,FALSE)+$C$2</f>
        <v>219.93102467677795</v>
      </c>
      <c r="H677" s="74">
        <f>('Old Data'!$K673-$F677)^2+('Old Data'!$U673-$G677)^2</f>
        <v>9367.7075519813097</v>
      </c>
      <c r="I677" s="75">
        <f>('Old Data'!$L673+'Old Data'!$M673)-('Old Data'!$V673+'Old Data'!$W673)</f>
        <v>-26</v>
      </c>
      <c r="J677" s="72">
        <f>VLOOKUP('Old Data'!$F673,$Z$6:$AB$135,2,FALSE)+VLOOKUP('Old Data'!$P673,$Z$6:$AB$135,3,FALSE)+$D$2</f>
        <v>45.839986964998296</v>
      </c>
      <c r="K677" s="72">
        <f>VLOOKUP('Old Data'!$P673,$Z$6:$AB$135,2,FALSE)+VLOOKUP('Old Data'!$F673,$Z$6:$AB$135,3,FALSE)+$D$2</f>
        <v>51.150271531997099</v>
      </c>
      <c r="L677" s="74">
        <f>('Old Data'!$L673+'Old Data'!$M673-$J677)^2+('Old Data'!$V673+'Old Data'!$W673-$K677)^2</f>
        <v>274.63936633077498</v>
      </c>
      <c r="M677" s="75">
        <f>'Old Data'!$N673-'Old Data'!$X673</f>
        <v>2</v>
      </c>
      <c r="N677" s="72">
        <f>VLOOKUP('Old Data'!$F673,$AD$6:$AF$135,2,FALSE)+VLOOKUP('Old Data'!$P673,$AD$6:$AF$135,3,FALSE)+$E$2</f>
        <v>0.76336115964425011</v>
      </c>
      <c r="O677" s="72">
        <f>VLOOKUP('Old Data'!$P673,$AD$6:$AF$135,2,FALSE)+VLOOKUP('Old Data'!$F673,$AD$6:$AF$135,3,FALSE)+$E$2</f>
        <v>1.5690876305722792</v>
      </c>
      <c r="P677" s="73">
        <f>('Old Data'!$N673-$N677)^2+('Old Data'!$X673-$O677)^2</f>
        <v>5.3264140334582857</v>
      </c>
      <c r="Q677" s="62"/>
      <c r="R677" s="54"/>
      <c r="S677" s="3"/>
      <c r="T677" s="3"/>
      <c r="V677" s="54"/>
      <c r="W677" s="3"/>
      <c r="X677" s="3"/>
      <c r="Z677" s="54"/>
      <c r="AA677" s="3"/>
      <c r="AB677" s="3"/>
      <c r="AC677" s="3"/>
      <c r="AD677" s="54"/>
      <c r="AE677" s="3"/>
      <c r="AF677" s="3"/>
      <c r="AG677" s="3"/>
      <c r="AL677" s="10"/>
      <c r="AM677" s="10"/>
      <c r="AN677" s="10"/>
      <c r="AO677" s="11"/>
      <c r="AP677" s="11"/>
      <c r="AQ677" s="11"/>
      <c r="AR677" s="10"/>
      <c r="AS677" s="11"/>
      <c r="AT677" s="11"/>
      <c r="AU677" s="11"/>
      <c r="AV677" s="12"/>
      <c r="AW677" s="11"/>
      <c r="AX677" s="11"/>
      <c r="AY677" s="11"/>
      <c r="AZ677" s="11"/>
      <c r="BA677" s="11"/>
      <c r="BB677" s="11"/>
      <c r="BC677" s="11"/>
      <c r="BD677" s="11"/>
      <c r="BE677" s="11"/>
      <c r="BF677" s="12"/>
      <c r="BG677" s="12"/>
      <c r="BH677" s="12"/>
      <c r="BI677" s="10"/>
      <c r="BJ677" s="10"/>
      <c r="BK677" s="10"/>
      <c r="BL677" s="10"/>
      <c r="BM677" s="10"/>
      <c r="BN677" s="10"/>
      <c r="BO677" s="10"/>
      <c r="BP677" s="10"/>
      <c r="BQ677" s="10"/>
      <c r="BR677" s="10"/>
      <c r="BS677" s="10"/>
      <c r="BT677" s="10"/>
      <c r="BU677" s="10"/>
      <c r="BV677" s="10"/>
      <c r="BW677" s="10"/>
      <c r="BX677" s="10"/>
      <c r="BY677" s="10"/>
      <c r="BZ677" s="10"/>
      <c r="CA677" s="17"/>
      <c r="CB677" s="10"/>
      <c r="CC677" s="10"/>
      <c r="CD677" s="18"/>
      <c r="CE677" s="10"/>
      <c r="CF677" s="15"/>
      <c r="CG677" s="10"/>
      <c r="CH677" s="19"/>
      <c r="CI677" s="10"/>
      <c r="CJ677" s="17"/>
      <c r="CK677" s="10"/>
      <c r="CL677" s="10"/>
      <c r="CM677" s="10"/>
      <c r="CN677" s="17"/>
      <c r="CO677" s="17"/>
      <c r="CP677" s="10"/>
      <c r="CQ677" s="10"/>
      <c r="CR677" s="10"/>
      <c r="CS677" s="10"/>
      <c r="CT677" s="10"/>
      <c r="CU677" s="10"/>
      <c r="CV677" s="10"/>
      <c r="CW677" s="10"/>
      <c r="CX677" s="10"/>
      <c r="CY677" s="10"/>
      <c r="CZ677" s="34"/>
      <c r="DA677" s="34"/>
      <c r="DB677" s="34"/>
      <c r="DC677" s="34"/>
      <c r="DD677" s="34"/>
      <c r="DE677" s="34"/>
      <c r="DF677" s="34"/>
      <c r="DG677" s="34"/>
      <c r="DH677" s="34"/>
      <c r="DI677" s="34"/>
      <c r="DJ677" s="34"/>
      <c r="DK677" s="34"/>
      <c r="DL677" s="34"/>
      <c r="DM677" s="34"/>
      <c r="DN677" s="34"/>
      <c r="DO677" s="34"/>
      <c r="DP677" s="34"/>
      <c r="DQ677" s="34"/>
      <c r="DR677" s="34"/>
      <c r="DS677" s="34"/>
      <c r="DT677" s="34"/>
      <c r="DU677" s="34"/>
      <c r="DV677" s="34"/>
      <c r="DW677" s="34"/>
      <c r="DX677" s="34"/>
      <c r="DY677" s="34"/>
      <c r="DZ677" s="34"/>
      <c r="EA677" s="34"/>
      <c r="EB677" s="34"/>
      <c r="EC677" s="34"/>
      <c r="ED677" s="34"/>
      <c r="EE677" s="34"/>
      <c r="EF677" s="34"/>
    </row>
    <row r="678" spans="1:136" customFormat="1">
      <c r="A678" s="71">
        <f>'Old Data'!$I674-'Old Data'!$S674</f>
        <v>-278</v>
      </c>
      <c r="B678" s="72">
        <f>VLOOKUP('Old Data'!$F674,$R$6:$T$135,2,FALSE)+VLOOKUP('Old Data'!$P674,$R$6:$T$135,3,FALSE)+$B$2</f>
        <v>148.80101147152939</v>
      </c>
      <c r="C678" s="72">
        <f>VLOOKUP('Old Data'!$P674,$R$6:$T$135,2,FALSE)+VLOOKUP('Old Data'!$F674,$R$6:$T$135,3,FALSE)+$B$2</f>
        <v>283.41175152582434</v>
      </c>
      <c r="D678" s="74">
        <f>('Old Data'!$I674-$B678)^2+('Old Data'!$S674-$C678)^2</f>
        <v>16528.433112231389</v>
      </c>
      <c r="E678" s="75">
        <f>'Old Data'!$K674-'Old Data'!$U674</f>
        <v>232</v>
      </c>
      <c r="F678" s="72">
        <f>VLOOKUP('Old Data'!$F674,$V$6:$X$135,2,FALSE)+VLOOKUP('Old Data'!$P674,$V$6:$X$135,3,FALSE)+$C$2</f>
        <v>287.06643869161542</v>
      </c>
      <c r="G678" s="72">
        <f>VLOOKUP('Old Data'!$P674,$V$6:$X$135,2,FALSE)+VLOOKUP('Old Data'!$F674,$V$6:$X$135,3,FALSE)+$C$2</f>
        <v>101.111929331461</v>
      </c>
      <c r="H678" s="74">
        <f>('Old Data'!$K674-$F678)^2+('Old Data'!$U674-$G678)^2</f>
        <v>5844.6294454463923</v>
      </c>
      <c r="I678" s="75">
        <f>('Old Data'!$L674+'Old Data'!$M674)-('Old Data'!$V674+'Old Data'!$W674)</f>
        <v>19</v>
      </c>
      <c r="J678" s="72">
        <f>VLOOKUP('Old Data'!$F674,$Z$6:$AB$135,2,FALSE)+VLOOKUP('Old Data'!$P674,$Z$6:$AB$135,3,FALSE)+$D$2</f>
        <v>86.881972723567998</v>
      </c>
      <c r="K678" s="72">
        <f>VLOOKUP('Old Data'!$P674,$Z$6:$AB$135,2,FALSE)+VLOOKUP('Old Data'!$F674,$Z$6:$AB$135,3,FALSE)+$D$2</f>
        <v>26.483941039422696</v>
      </c>
      <c r="L678" s="74">
        <f>('Old Data'!$L674+'Old Data'!$M674-$J678)^2+('Old Data'!$V674+'Old Data'!$W674-$K678)^2</f>
        <v>949.84266741985243</v>
      </c>
      <c r="M678" s="75">
        <f>'Old Data'!$N674-'Old Data'!$X674</f>
        <v>2</v>
      </c>
      <c r="N678" s="72">
        <f>VLOOKUP('Old Data'!$F674,$AD$6:$AF$135,2,FALSE)+VLOOKUP('Old Data'!$P674,$AD$6:$AF$135,3,FALSE)+$E$2</f>
        <v>1.3589995981963525</v>
      </c>
      <c r="O678" s="72">
        <f>VLOOKUP('Old Data'!$P674,$AD$6:$AF$135,2,FALSE)+VLOOKUP('Old Data'!$F674,$AD$6:$AF$135,3,FALSE)+$E$2</f>
        <v>1.6082768072639202</v>
      </c>
      <c r="P678" s="73">
        <f>('Old Data'!$N674-$N678)^2+('Old Data'!$X674-$O678)^2</f>
        <v>2.997435803895466</v>
      </c>
      <c r="Q678" s="62"/>
      <c r="R678" s="54"/>
      <c r="S678" s="3"/>
      <c r="T678" s="3"/>
      <c r="V678" s="54"/>
      <c r="W678" s="3"/>
      <c r="X678" s="3"/>
      <c r="Z678" s="54"/>
      <c r="AA678" s="3"/>
      <c r="AB678" s="3"/>
      <c r="AC678" s="3"/>
      <c r="AD678" s="54"/>
      <c r="AE678" s="3"/>
      <c r="AF678" s="3"/>
      <c r="AG678" s="3"/>
      <c r="AL678" s="10"/>
      <c r="AM678" s="10"/>
      <c r="AN678" s="10"/>
      <c r="AO678" s="11"/>
      <c r="AP678" s="11"/>
      <c r="AQ678" s="11"/>
      <c r="AR678" s="10"/>
      <c r="AS678" s="11"/>
      <c r="AT678" s="11"/>
      <c r="AU678" s="11"/>
      <c r="AV678" s="12"/>
      <c r="AW678" s="11"/>
      <c r="AX678" s="11"/>
      <c r="AY678" s="11"/>
      <c r="AZ678" s="11"/>
      <c r="BA678" s="11"/>
      <c r="BB678" s="11"/>
      <c r="BC678" s="11"/>
      <c r="BD678" s="11"/>
      <c r="BE678" s="11"/>
      <c r="BF678" s="12"/>
      <c r="BG678" s="12"/>
      <c r="BH678" s="12"/>
      <c r="BI678" s="10"/>
      <c r="BJ678" s="10"/>
      <c r="BK678" s="10"/>
      <c r="BL678" s="10"/>
      <c r="BM678" s="10"/>
      <c r="BN678" s="10"/>
      <c r="BO678" s="10"/>
      <c r="BP678" s="10"/>
      <c r="BQ678" s="10"/>
      <c r="BR678" s="10"/>
      <c r="BS678" s="10"/>
      <c r="BT678" s="10"/>
      <c r="BU678" s="10"/>
      <c r="BV678" s="10"/>
      <c r="BW678" s="10"/>
      <c r="BX678" s="10"/>
      <c r="BY678" s="10"/>
      <c r="BZ678" s="10"/>
      <c r="CA678" s="17"/>
      <c r="CB678" s="10"/>
      <c r="CC678" s="10"/>
      <c r="CD678" s="18"/>
      <c r="CE678" s="10"/>
      <c r="CF678" s="15"/>
      <c r="CG678" s="10"/>
      <c r="CH678" s="19"/>
      <c r="CI678" s="10"/>
      <c r="CJ678" s="17"/>
      <c r="CK678" s="10"/>
      <c r="CL678" s="10"/>
      <c r="CM678" s="10"/>
      <c r="CN678" s="17"/>
      <c r="CO678" s="17"/>
      <c r="CP678" s="10"/>
      <c r="CQ678" s="10"/>
      <c r="CR678" s="10"/>
      <c r="CS678" s="10"/>
      <c r="CT678" s="10"/>
      <c r="CU678" s="10"/>
      <c r="CV678" s="10"/>
      <c r="CW678" s="10"/>
      <c r="CX678" s="10"/>
      <c r="CY678" s="10"/>
      <c r="CZ678" s="34"/>
      <c r="DA678" s="34"/>
      <c r="DB678" s="34"/>
      <c r="DC678" s="34"/>
      <c r="DD678" s="34"/>
      <c r="DE678" s="34"/>
      <c r="DF678" s="34"/>
      <c r="DG678" s="34"/>
      <c r="DH678" s="34"/>
      <c r="DI678" s="34"/>
      <c r="DJ678" s="34"/>
      <c r="DK678" s="34"/>
      <c r="DL678" s="34"/>
      <c r="DM678" s="34"/>
      <c r="DN678" s="34"/>
      <c r="DO678" s="34"/>
      <c r="DP678" s="34"/>
      <c r="DQ678" s="34"/>
      <c r="DR678" s="34"/>
      <c r="DS678" s="34"/>
      <c r="DT678" s="34"/>
      <c r="DU678" s="34"/>
      <c r="DV678" s="34"/>
      <c r="DW678" s="34"/>
      <c r="DX678" s="34"/>
      <c r="DY678" s="34"/>
      <c r="DZ678" s="34"/>
      <c r="EA678" s="34"/>
      <c r="EB678" s="34"/>
      <c r="EC678" s="34"/>
      <c r="ED678" s="34"/>
      <c r="EE678" s="34"/>
      <c r="EF678" s="34"/>
    </row>
    <row r="679" spans="1:136" customFormat="1">
      <c r="A679" s="71">
        <f>'Old Data'!$I675-'Old Data'!$S675</f>
        <v>-316</v>
      </c>
      <c r="B679" s="72">
        <f>VLOOKUP('Old Data'!$F675,$R$6:$T$135,2,FALSE)+VLOOKUP('Old Data'!$P675,$R$6:$T$135,3,FALSE)+$B$2</f>
        <v>135.47403501667242</v>
      </c>
      <c r="C679" s="72">
        <f>VLOOKUP('Old Data'!$P675,$R$6:$T$135,2,FALSE)+VLOOKUP('Old Data'!$F675,$R$6:$T$135,3,FALSE)+$B$2</f>
        <v>335.94648803730024</v>
      </c>
      <c r="D679" s="74">
        <f>('Old Data'!$I675-$B679)^2+('Old Data'!$S675-$C679)^2</f>
        <v>13010.376370256074</v>
      </c>
      <c r="E679" s="75">
        <f>'Old Data'!$K675-'Old Data'!$U675</f>
        <v>286</v>
      </c>
      <c r="F679" s="72">
        <f>VLOOKUP('Old Data'!$F675,$V$6:$X$135,2,FALSE)+VLOOKUP('Old Data'!$P675,$V$6:$X$135,3,FALSE)+$C$2</f>
        <v>208.90250467497765</v>
      </c>
      <c r="G679" s="72">
        <f>VLOOKUP('Old Data'!$P675,$V$6:$X$135,2,FALSE)+VLOOKUP('Old Data'!$F675,$V$6:$X$135,3,FALSE)+$C$2</f>
        <v>135.17039650353291</v>
      </c>
      <c r="H679" s="74">
        <f>('Old Data'!$K675-$F679)^2+('Old Data'!$U675-$G679)^2</f>
        <v>34685.45902411289</v>
      </c>
      <c r="I679" s="75">
        <f>('Old Data'!$L675+'Old Data'!$M675)-('Old Data'!$V675+'Old Data'!$W675)</f>
        <v>-1</v>
      </c>
      <c r="J679" s="72">
        <f>VLOOKUP('Old Data'!$F675,$Z$6:$AB$135,2,FALSE)+VLOOKUP('Old Data'!$P675,$Z$6:$AB$135,3,FALSE)+$D$2</f>
        <v>80.913786349511952</v>
      </c>
      <c r="K679" s="72">
        <f>VLOOKUP('Old Data'!$P675,$Z$6:$AB$135,2,FALSE)+VLOOKUP('Old Data'!$F675,$Z$6:$AB$135,3,FALSE)+$D$2</f>
        <v>10.046958634997594</v>
      </c>
      <c r="L679" s="74">
        <f>('Old Data'!$L675+'Old Data'!$M675-$J679)^2+('Old Data'!$V675+'Old Data'!$W675-$K679)^2</f>
        <v>6628.8882819578239</v>
      </c>
      <c r="M679" s="75">
        <f>'Old Data'!$N675-'Old Data'!$X675</f>
        <v>-5</v>
      </c>
      <c r="N679" s="72">
        <f>VLOOKUP('Old Data'!$F675,$AD$6:$AF$135,2,FALSE)+VLOOKUP('Old Data'!$P675,$AD$6:$AF$135,3,FALSE)+$E$2</f>
        <v>1.1088788130803335</v>
      </c>
      <c r="O679" s="72">
        <f>VLOOKUP('Old Data'!$P675,$AD$6:$AF$135,2,FALSE)+VLOOKUP('Old Data'!$F675,$AD$6:$AF$135,3,FALSE)+$E$2</f>
        <v>2.0425118553763379</v>
      </c>
      <c r="P679" s="73">
        <f>('Old Data'!$N675-$N679)^2+('Old Data'!$X675-$O679)^2</f>
        <v>9.97634834768796</v>
      </c>
      <c r="Q679" s="62"/>
      <c r="R679" s="54"/>
      <c r="S679" s="3"/>
      <c r="T679" s="3"/>
      <c r="V679" s="54"/>
      <c r="W679" s="3"/>
      <c r="X679" s="3"/>
      <c r="Z679" s="54"/>
      <c r="AA679" s="3"/>
      <c r="AB679" s="3"/>
      <c r="AC679" s="3"/>
      <c r="AD679" s="54"/>
      <c r="AE679" s="3"/>
      <c r="AF679" s="3"/>
      <c r="AG679" s="3"/>
      <c r="AL679" s="10"/>
      <c r="AM679" s="10"/>
      <c r="AN679" s="10"/>
      <c r="AO679" s="11"/>
      <c r="AP679" s="11"/>
      <c r="AQ679" s="11"/>
      <c r="AR679" s="10"/>
      <c r="AS679" s="11"/>
      <c r="AT679" s="11"/>
      <c r="AU679" s="11"/>
      <c r="AV679" s="12"/>
      <c r="AW679" s="11"/>
      <c r="AX679" s="11"/>
      <c r="AY679" s="11"/>
      <c r="AZ679" s="11"/>
      <c r="BA679" s="11"/>
      <c r="BB679" s="11"/>
      <c r="BC679" s="11"/>
      <c r="BD679" s="11"/>
      <c r="BE679" s="11"/>
      <c r="BF679" s="12"/>
      <c r="BG679" s="12"/>
      <c r="BH679" s="12"/>
      <c r="BI679" s="10"/>
      <c r="BJ679" s="10"/>
      <c r="BK679" s="10"/>
      <c r="BL679" s="10"/>
      <c r="BM679" s="10"/>
      <c r="BN679" s="10"/>
      <c r="BO679" s="10"/>
      <c r="BP679" s="10"/>
      <c r="BQ679" s="10"/>
      <c r="BR679" s="10"/>
      <c r="BS679" s="10"/>
      <c r="BT679" s="10"/>
      <c r="BU679" s="10"/>
      <c r="BV679" s="10"/>
      <c r="BW679" s="10"/>
      <c r="BX679" s="10"/>
      <c r="BY679" s="10"/>
      <c r="BZ679" s="10"/>
      <c r="CA679" s="17"/>
      <c r="CB679" s="10"/>
      <c r="CC679" s="10"/>
      <c r="CD679" s="18"/>
      <c r="CE679" s="10"/>
      <c r="CF679" s="15"/>
      <c r="CG679" s="10"/>
      <c r="CH679" s="19"/>
      <c r="CI679" s="10"/>
      <c r="CJ679" s="17"/>
      <c r="CK679" s="10"/>
      <c r="CL679" s="10"/>
      <c r="CM679" s="10"/>
      <c r="CN679" s="17"/>
      <c r="CO679" s="17"/>
      <c r="CP679" s="10"/>
      <c r="CQ679" s="10"/>
      <c r="CR679" s="10"/>
      <c r="CS679" s="10"/>
      <c r="CT679" s="10"/>
      <c r="CU679" s="10"/>
      <c r="CV679" s="10"/>
      <c r="CW679" s="10"/>
      <c r="CX679" s="10"/>
      <c r="CY679" s="10"/>
      <c r="CZ679" s="34"/>
      <c r="DA679" s="34"/>
      <c r="DB679" s="34"/>
      <c r="DC679" s="34"/>
      <c r="DD679" s="34"/>
      <c r="DE679" s="34"/>
      <c r="DF679" s="34"/>
      <c r="DG679" s="34"/>
      <c r="DH679" s="34"/>
      <c r="DI679" s="34"/>
      <c r="DJ679" s="34"/>
      <c r="DK679" s="34"/>
      <c r="DL679" s="34"/>
      <c r="DM679" s="34"/>
      <c r="DN679" s="34"/>
      <c r="DO679" s="34"/>
      <c r="DP679" s="34"/>
      <c r="DQ679" s="34"/>
      <c r="DR679" s="34"/>
      <c r="DS679" s="34"/>
      <c r="DT679" s="34"/>
      <c r="DU679" s="34"/>
      <c r="DV679" s="34"/>
      <c r="DW679" s="34"/>
      <c r="DX679" s="34"/>
      <c r="DY679" s="34"/>
      <c r="DZ679" s="34"/>
      <c r="EA679" s="34"/>
      <c r="EB679" s="34"/>
      <c r="EC679" s="34"/>
      <c r="ED679" s="34"/>
      <c r="EE679" s="34"/>
      <c r="EF679" s="34"/>
    </row>
    <row r="680" spans="1:136" customFormat="1">
      <c r="A680" s="71">
        <f>'Old Data'!$I676-'Old Data'!$S676</f>
        <v>-364</v>
      </c>
      <c r="B680" s="72">
        <f>VLOOKUP('Old Data'!$F676,$R$6:$T$135,2,FALSE)+VLOOKUP('Old Data'!$P676,$R$6:$T$135,3,FALSE)+$B$2</f>
        <v>122.64541046732299</v>
      </c>
      <c r="C680" s="72">
        <f>VLOOKUP('Old Data'!$P676,$R$6:$T$135,2,FALSE)+VLOOKUP('Old Data'!$F676,$R$6:$T$135,3,FALSE)+$B$2</f>
        <v>236.65716271815811</v>
      </c>
      <c r="D680" s="74">
        <f>('Old Data'!$I676-$B680)^2+('Old Data'!$S676-$C680)^2</f>
        <v>31781.622866494334</v>
      </c>
      <c r="E680" s="75">
        <f>'Old Data'!$K676-'Old Data'!$U676</f>
        <v>91</v>
      </c>
      <c r="F680" s="72">
        <f>VLOOKUP('Old Data'!$F676,$V$6:$X$135,2,FALSE)+VLOOKUP('Old Data'!$P676,$V$6:$X$135,3,FALSE)+$C$2</f>
        <v>149.2808053250132</v>
      </c>
      <c r="G680" s="72">
        <f>VLOOKUP('Old Data'!$P676,$V$6:$X$135,2,FALSE)+VLOOKUP('Old Data'!$F676,$V$6:$X$135,3,FALSE)+$C$2</f>
        <v>113.1763369143008</v>
      </c>
      <c r="H680" s="74">
        <f>('Old Data'!$K676-$F680)^2+('Old Data'!$U676-$G680)^2</f>
        <v>3395.2498603468739</v>
      </c>
      <c r="I680" s="75">
        <f>('Old Data'!$L676+'Old Data'!$M676)-('Old Data'!$V676+'Old Data'!$W676)</f>
        <v>30</v>
      </c>
      <c r="J680" s="72">
        <f>VLOOKUP('Old Data'!$F676,$Z$6:$AB$135,2,FALSE)+VLOOKUP('Old Data'!$P676,$Z$6:$AB$135,3,FALSE)+$D$2</f>
        <v>65.145231994350496</v>
      </c>
      <c r="K680" s="72">
        <f>VLOOKUP('Old Data'!$P676,$Z$6:$AB$135,2,FALSE)+VLOOKUP('Old Data'!$F676,$Z$6:$AB$135,3,FALSE)+$D$2</f>
        <v>29.077539442503198</v>
      </c>
      <c r="L680" s="74">
        <f>('Old Data'!$L676+'Old Data'!$M676-$J680)^2+('Old Data'!$V676+'Old Data'!$W676-$K680)^2</f>
        <v>1464.403602418311</v>
      </c>
      <c r="M680" s="75">
        <f>'Old Data'!$N676-'Old Data'!$X676</f>
        <v>-1</v>
      </c>
      <c r="N680" s="72">
        <f>VLOOKUP('Old Data'!$F676,$AD$6:$AF$135,2,FALSE)+VLOOKUP('Old Data'!$P676,$AD$6:$AF$135,3,FALSE)+$E$2</f>
        <v>2.607663844583143</v>
      </c>
      <c r="O680" s="72">
        <f>VLOOKUP('Old Data'!$P676,$AD$6:$AF$135,2,FALSE)+VLOOKUP('Old Data'!$F676,$AD$6:$AF$135,3,FALSE)+$E$2</f>
        <v>1.026681028228428</v>
      </c>
      <c r="P680" s="73">
        <f>('Old Data'!$N676-$N680)^2+('Old Data'!$X676-$O680)^2</f>
        <v>3.5319328579903226</v>
      </c>
      <c r="Q680" s="62"/>
      <c r="R680" s="54"/>
      <c r="S680" s="3"/>
      <c r="T680" s="3"/>
      <c r="V680" s="54"/>
      <c r="W680" s="3"/>
      <c r="X680" s="3"/>
      <c r="Z680" s="54"/>
      <c r="AA680" s="3"/>
      <c r="AB680" s="3"/>
      <c r="AC680" s="3"/>
      <c r="AD680" s="54"/>
      <c r="AE680" s="3"/>
      <c r="AF680" s="3"/>
      <c r="AG680" s="3"/>
      <c r="AL680" s="10"/>
      <c r="AM680" s="10"/>
      <c r="AN680" s="10"/>
      <c r="AO680" s="11"/>
      <c r="AP680" s="11"/>
      <c r="AQ680" s="11"/>
      <c r="AR680" s="10"/>
      <c r="AS680" s="11"/>
      <c r="AT680" s="11"/>
      <c r="AU680" s="11"/>
      <c r="AV680" s="12"/>
      <c r="AW680" s="11"/>
      <c r="AX680" s="11"/>
      <c r="AY680" s="11"/>
      <c r="AZ680" s="11"/>
      <c r="BA680" s="11"/>
      <c r="BB680" s="11"/>
      <c r="BC680" s="11"/>
      <c r="BD680" s="11"/>
      <c r="BE680" s="11"/>
      <c r="BF680" s="12"/>
      <c r="BG680" s="12"/>
      <c r="BH680" s="12"/>
      <c r="BI680" s="10"/>
      <c r="BJ680" s="10"/>
      <c r="BK680" s="10"/>
      <c r="BL680" s="10"/>
      <c r="BM680" s="10"/>
      <c r="BN680" s="10"/>
      <c r="BO680" s="10"/>
      <c r="BP680" s="10"/>
      <c r="BQ680" s="10"/>
      <c r="BR680" s="10"/>
      <c r="BS680" s="10"/>
      <c r="BT680" s="10"/>
      <c r="BU680" s="10"/>
      <c r="BV680" s="10"/>
      <c r="BW680" s="10"/>
      <c r="BX680" s="10"/>
      <c r="BY680" s="10"/>
      <c r="BZ680" s="10"/>
      <c r="CA680" s="17"/>
      <c r="CB680" s="10"/>
      <c r="CC680" s="10"/>
      <c r="CD680" s="18"/>
      <c r="CE680" s="10"/>
      <c r="CF680" s="15"/>
      <c r="CG680" s="10"/>
      <c r="CH680" s="19"/>
      <c r="CI680" s="10"/>
      <c r="CJ680" s="17"/>
      <c r="CK680" s="10"/>
      <c r="CL680" s="10"/>
      <c r="CM680" s="10"/>
      <c r="CN680" s="17"/>
      <c r="CO680" s="17"/>
      <c r="CP680" s="10"/>
      <c r="CQ680" s="10"/>
      <c r="CR680" s="10"/>
      <c r="CS680" s="10"/>
      <c r="CT680" s="10"/>
      <c r="CU680" s="10"/>
      <c r="CV680" s="10"/>
      <c r="CW680" s="10"/>
      <c r="CX680" s="10"/>
      <c r="CY680" s="10"/>
      <c r="CZ680" s="34"/>
      <c r="DA680" s="34"/>
      <c r="DB680" s="34"/>
      <c r="DC680" s="34"/>
      <c r="DD680" s="34"/>
      <c r="DE680" s="34"/>
      <c r="DF680" s="34"/>
      <c r="DG680" s="34"/>
      <c r="DH680" s="34"/>
      <c r="DI680" s="34"/>
      <c r="DJ680" s="34"/>
      <c r="DK680" s="34"/>
      <c r="DL680" s="34"/>
      <c r="DM680" s="34"/>
      <c r="DN680" s="34"/>
      <c r="DO680" s="34"/>
      <c r="DP680" s="34"/>
      <c r="DQ680" s="34"/>
      <c r="DR680" s="34"/>
      <c r="DS680" s="34"/>
      <c r="DT680" s="34"/>
      <c r="DU680" s="34"/>
      <c r="DV680" s="34"/>
      <c r="DW680" s="34"/>
      <c r="DX680" s="34"/>
      <c r="DY680" s="34"/>
      <c r="DZ680" s="34"/>
      <c r="EA680" s="34"/>
      <c r="EB680" s="34"/>
      <c r="EC680" s="34"/>
      <c r="ED680" s="34"/>
      <c r="EE680" s="34"/>
      <c r="EF680" s="34"/>
    </row>
    <row r="681" spans="1:136" customFormat="1">
      <c r="A681" s="71">
        <f>'Old Data'!$I677-'Old Data'!$S677</f>
        <v>-121</v>
      </c>
      <c r="B681" s="72">
        <f>VLOOKUP('Old Data'!$F677,$R$6:$T$135,2,FALSE)+VLOOKUP('Old Data'!$P677,$R$6:$T$135,3,FALSE)+$B$2</f>
        <v>130.0862161531692</v>
      </c>
      <c r="C681" s="72">
        <f>VLOOKUP('Old Data'!$P677,$R$6:$T$135,2,FALSE)+VLOOKUP('Old Data'!$F677,$R$6:$T$135,3,FALSE)+$B$2</f>
        <v>225.05111234662002</v>
      </c>
      <c r="D681" s="74">
        <f>('Old Data'!$I677-$B681)^2+('Old Data'!$S677-$C681)^2</f>
        <v>1582.0563196778621</v>
      </c>
      <c r="E681" s="75">
        <f>'Old Data'!$K677-'Old Data'!$U677</f>
        <v>-127</v>
      </c>
      <c r="F681" s="72">
        <f>VLOOKUP('Old Data'!$F677,$V$6:$X$135,2,FALSE)+VLOOKUP('Old Data'!$P677,$V$6:$X$135,3,FALSE)+$C$2</f>
        <v>203.92122271329319</v>
      </c>
      <c r="G681" s="72">
        <f>VLOOKUP('Old Data'!$P677,$V$6:$X$135,2,FALSE)+VLOOKUP('Old Data'!$F677,$V$6:$X$135,3,FALSE)+$C$2</f>
        <v>268.17159075365191</v>
      </c>
      <c r="H681" s="74">
        <f>('Old Data'!$K677-$F681)^2+('Old Data'!$U677-$G681)^2</f>
        <v>8363.7503844698367</v>
      </c>
      <c r="I681" s="75">
        <f>('Old Data'!$L677+'Old Data'!$M677)-('Old Data'!$V677+'Old Data'!$W677)</f>
        <v>51</v>
      </c>
      <c r="J681" s="72">
        <f>VLOOKUP('Old Data'!$F677,$Z$6:$AB$135,2,FALSE)+VLOOKUP('Old Data'!$P677,$Z$6:$AB$135,3,FALSE)+$D$2</f>
        <v>75.576145166370566</v>
      </c>
      <c r="K681" s="72">
        <f>VLOOKUP('Old Data'!$P677,$Z$6:$AB$135,2,FALSE)+VLOOKUP('Old Data'!$F677,$Z$6:$AB$135,3,FALSE)+$D$2</f>
        <v>58.19488303146953</v>
      </c>
      <c r="L681" s="74">
        <f>('Old Data'!$L677+'Old Data'!$M677-$J681)^2+('Old Data'!$V677+'Old Data'!$W677-$K681)^2</f>
        <v>1241.164025184295</v>
      </c>
      <c r="M681" s="75">
        <f>'Old Data'!$N677-'Old Data'!$X677</f>
        <v>-5</v>
      </c>
      <c r="N681" s="72">
        <f>VLOOKUP('Old Data'!$F677,$AD$6:$AF$135,2,FALSE)+VLOOKUP('Old Data'!$P677,$AD$6:$AF$135,3,FALSE)+$E$2</f>
        <v>0.83228337323092505</v>
      </c>
      <c r="O681" s="72">
        <f>VLOOKUP('Old Data'!$P677,$AD$6:$AF$135,2,FALSE)+VLOOKUP('Old Data'!$F677,$AD$6:$AF$135,3,FALSE)+$E$2</f>
        <v>2.3991748785561842</v>
      </c>
      <c r="P681" s="73">
        <f>('Old Data'!$N677-$N681)^2+('Old Data'!$X677-$O681)^2</f>
        <v>12.994070422115668</v>
      </c>
      <c r="Q681" s="62"/>
      <c r="R681" s="54"/>
      <c r="S681" s="3"/>
      <c r="T681" s="3"/>
      <c r="V681" s="54"/>
      <c r="W681" s="3"/>
      <c r="X681" s="3"/>
      <c r="Z681" s="54"/>
      <c r="AA681" s="3"/>
      <c r="AB681" s="3"/>
      <c r="AC681" s="3"/>
      <c r="AD681" s="54"/>
      <c r="AE681" s="3"/>
      <c r="AF681" s="3"/>
      <c r="AG681" s="3"/>
      <c r="AL681" s="10"/>
      <c r="AM681" s="10"/>
      <c r="AN681" s="10"/>
      <c r="AO681" s="11"/>
      <c r="AP681" s="11"/>
      <c r="AQ681" s="11"/>
      <c r="AR681" s="10"/>
      <c r="AS681" s="11"/>
      <c r="AT681" s="11"/>
      <c r="AU681" s="11"/>
      <c r="AV681" s="12"/>
      <c r="AW681" s="11"/>
      <c r="AX681" s="11"/>
      <c r="AY681" s="11"/>
      <c r="AZ681" s="11"/>
      <c r="BA681" s="11"/>
      <c r="BB681" s="11"/>
      <c r="BC681" s="11"/>
      <c r="BD681" s="11"/>
      <c r="BE681" s="11"/>
      <c r="BF681" s="12"/>
      <c r="BG681" s="12"/>
      <c r="BH681" s="12"/>
      <c r="BI681" s="10"/>
      <c r="BJ681" s="10"/>
      <c r="BK681" s="10"/>
      <c r="BL681" s="10"/>
      <c r="BM681" s="10"/>
      <c r="BN681" s="10"/>
      <c r="BO681" s="10"/>
      <c r="BP681" s="10"/>
      <c r="BQ681" s="10"/>
      <c r="BR681" s="10"/>
      <c r="BS681" s="10"/>
      <c r="BT681" s="10"/>
      <c r="BU681" s="10"/>
      <c r="BV681" s="10"/>
      <c r="BW681" s="10"/>
      <c r="BX681" s="10"/>
      <c r="BY681" s="10"/>
      <c r="BZ681" s="10"/>
      <c r="CA681" s="17"/>
      <c r="CB681" s="10"/>
      <c r="CC681" s="10"/>
      <c r="CD681" s="18"/>
      <c r="CE681" s="10"/>
      <c r="CF681" s="15"/>
      <c r="CG681" s="10"/>
      <c r="CH681" s="19"/>
      <c r="CI681" s="10"/>
      <c r="CJ681" s="17"/>
      <c r="CK681" s="10"/>
      <c r="CL681" s="10"/>
      <c r="CM681" s="10"/>
      <c r="CN681" s="17"/>
      <c r="CO681" s="17"/>
      <c r="CP681" s="10"/>
      <c r="CQ681" s="10"/>
      <c r="CR681" s="10"/>
      <c r="CS681" s="10"/>
      <c r="CT681" s="10"/>
      <c r="CU681" s="10"/>
      <c r="CV681" s="10"/>
      <c r="CW681" s="10"/>
      <c r="CX681" s="10"/>
      <c r="CY681" s="10"/>
      <c r="CZ681" s="34"/>
      <c r="DA681" s="34"/>
      <c r="DB681" s="34"/>
      <c r="DC681" s="34"/>
      <c r="DD681" s="34"/>
      <c r="DE681" s="34"/>
      <c r="DF681" s="34"/>
      <c r="DG681" s="34"/>
      <c r="DH681" s="34"/>
      <c r="DI681" s="34"/>
      <c r="DJ681" s="34"/>
      <c r="DK681" s="34"/>
      <c r="DL681" s="34"/>
      <c r="DM681" s="34"/>
      <c r="DN681" s="34"/>
      <c r="DO681" s="34"/>
      <c r="DP681" s="34"/>
      <c r="DQ681" s="34"/>
      <c r="DR681" s="34"/>
      <c r="DS681" s="34"/>
      <c r="DT681" s="34"/>
      <c r="DU681" s="34"/>
      <c r="DV681" s="34"/>
      <c r="DW681" s="34"/>
      <c r="DX681" s="34"/>
      <c r="DY681" s="34"/>
      <c r="DZ681" s="34"/>
      <c r="EA681" s="34"/>
      <c r="EB681" s="34"/>
      <c r="EC681" s="34"/>
      <c r="ED681" s="34"/>
      <c r="EE681" s="34"/>
      <c r="EF681" s="34"/>
    </row>
    <row r="682" spans="1:136" customFormat="1">
      <c r="A682" s="71">
        <f>'Old Data'!$I678-'Old Data'!$S678</f>
        <v>185</v>
      </c>
      <c r="B682" s="72">
        <f>VLOOKUP('Old Data'!$F678,$R$6:$T$135,2,FALSE)+VLOOKUP('Old Data'!$P678,$R$6:$T$135,3,FALSE)+$B$2</f>
        <v>152.27510393120679</v>
      </c>
      <c r="C682" s="72">
        <f>VLOOKUP('Old Data'!$P678,$R$6:$T$135,2,FALSE)+VLOOKUP('Old Data'!$F678,$R$6:$T$135,3,FALSE)+$B$2</f>
        <v>104.75825349181463</v>
      </c>
      <c r="D682" s="74">
        <f>('Old Data'!$I678-$B682)^2+('Old Data'!$S678-$C682)^2</f>
        <v>10249.47446599021</v>
      </c>
      <c r="E682" s="75">
        <f>'Old Data'!$K678-'Old Data'!$U678</f>
        <v>-128</v>
      </c>
      <c r="F682" s="72">
        <f>VLOOKUP('Old Data'!$F678,$V$6:$X$135,2,FALSE)+VLOOKUP('Old Data'!$P678,$V$6:$X$135,3,FALSE)+$C$2</f>
        <v>152.34173944389039</v>
      </c>
      <c r="G682" s="72">
        <f>VLOOKUP('Old Data'!$P678,$V$6:$X$135,2,FALSE)+VLOOKUP('Old Data'!$F678,$V$6:$X$135,3,FALSE)+$C$2</f>
        <v>299.52460885876201</v>
      </c>
      <c r="H682" s="74">
        <f>('Old Data'!$K678-$F682)^2+('Old Data'!$U678-$G682)^2</f>
        <v>22205.933314439113</v>
      </c>
      <c r="I682" s="75">
        <f>('Old Data'!$L678+'Old Data'!$M678)-('Old Data'!$V678+'Old Data'!$W678)</f>
        <v>33</v>
      </c>
      <c r="J682" s="72">
        <f>VLOOKUP('Old Data'!$F678,$Z$6:$AB$135,2,FALSE)+VLOOKUP('Old Data'!$P678,$Z$6:$AB$135,3,FALSE)+$D$2</f>
        <v>126.8113708456538</v>
      </c>
      <c r="K682" s="72">
        <f>VLOOKUP('Old Data'!$P678,$Z$6:$AB$135,2,FALSE)+VLOOKUP('Old Data'!$F678,$Z$6:$AB$135,3,FALSE)+$D$2</f>
        <v>51.104841646089518</v>
      </c>
      <c r="L682" s="74">
        <f>('Old Data'!$L678+'Old Data'!$M678-$J682)^2+('Old Data'!$V678+'Old Data'!$W678-$K682)^2</f>
        <v>916.17596578511802</v>
      </c>
      <c r="M682" s="75">
        <f>'Old Data'!$N678-'Old Data'!$X678</f>
        <v>-2</v>
      </c>
      <c r="N682" s="72">
        <f>VLOOKUP('Old Data'!$F678,$AD$6:$AF$135,2,FALSE)+VLOOKUP('Old Data'!$P678,$AD$6:$AF$135,3,FALSE)+$E$2</f>
        <v>0.68171873138116512</v>
      </c>
      <c r="O682" s="72">
        <f>VLOOKUP('Old Data'!$P678,$AD$6:$AF$135,2,FALSE)+VLOOKUP('Old Data'!$F678,$AD$6:$AF$135,3,FALSE)+$E$2</f>
        <v>0.9193855109363791</v>
      </c>
      <c r="P682" s="73">
        <f>('Old Data'!$N678-$N682)^2+('Old Data'!$X678-$O682)^2</f>
        <v>1.6324681026901755</v>
      </c>
      <c r="Q682" s="62"/>
      <c r="R682" s="54"/>
      <c r="S682" s="3"/>
      <c r="T682" s="3"/>
      <c r="V682" s="54"/>
      <c r="W682" s="3"/>
      <c r="X682" s="3"/>
      <c r="Z682" s="54"/>
      <c r="AA682" s="3"/>
      <c r="AB682" s="3"/>
      <c r="AC682" s="3"/>
      <c r="AD682" s="54"/>
      <c r="AE682" s="3"/>
      <c r="AF682" s="3"/>
      <c r="AG682" s="3"/>
      <c r="AL682" s="10"/>
      <c r="AM682" s="10"/>
      <c r="AN682" s="10"/>
      <c r="AO682" s="11"/>
      <c r="AP682" s="11"/>
      <c r="AQ682" s="11"/>
      <c r="AR682" s="10"/>
      <c r="AS682" s="11"/>
      <c r="AT682" s="11"/>
      <c r="AU682" s="11"/>
      <c r="AV682" s="12"/>
      <c r="AW682" s="11"/>
      <c r="AX682" s="11"/>
      <c r="AY682" s="11"/>
      <c r="AZ682" s="11"/>
      <c r="BA682" s="11"/>
      <c r="BB682" s="11"/>
      <c r="BC682" s="11"/>
      <c r="BD682" s="11"/>
      <c r="BE682" s="11"/>
      <c r="BF682" s="12"/>
      <c r="BG682" s="12"/>
      <c r="BH682" s="12"/>
      <c r="BI682" s="10"/>
      <c r="BJ682" s="10"/>
      <c r="BK682" s="10"/>
      <c r="BL682" s="10"/>
      <c r="BM682" s="10"/>
      <c r="BN682" s="10"/>
      <c r="BO682" s="10"/>
      <c r="BP682" s="10"/>
      <c r="BQ682" s="10"/>
      <c r="BR682" s="10"/>
      <c r="BS682" s="10"/>
      <c r="BT682" s="10"/>
      <c r="BU682" s="10"/>
      <c r="BV682" s="10"/>
      <c r="BW682" s="10"/>
      <c r="BX682" s="10"/>
      <c r="BY682" s="10"/>
      <c r="BZ682" s="10"/>
      <c r="CA682" s="17"/>
      <c r="CB682" s="10"/>
      <c r="CC682" s="10"/>
      <c r="CD682" s="18"/>
      <c r="CE682" s="10"/>
      <c r="CF682" s="15"/>
      <c r="CG682" s="10"/>
      <c r="CH682" s="19"/>
      <c r="CI682" s="10"/>
      <c r="CJ682" s="17"/>
      <c r="CK682" s="10"/>
      <c r="CL682" s="10"/>
      <c r="CM682" s="10"/>
      <c r="CN682" s="17"/>
      <c r="CO682" s="17"/>
      <c r="CP682" s="10"/>
      <c r="CQ682" s="10"/>
      <c r="CR682" s="10"/>
      <c r="CS682" s="10"/>
      <c r="CT682" s="10"/>
      <c r="CU682" s="10"/>
      <c r="CV682" s="10"/>
      <c r="CW682" s="10"/>
      <c r="CX682" s="10"/>
      <c r="CY682" s="10"/>
      <c r="CZ682" s="34"/>
      <c r="DA682" s="34"/>
      <c r="DB682" s="34"/>
      <c r="DC682" s="34"/>
      <c r="DD682" s="34"/>
      <c r="DE682" s="34"/>
      <c r="DF682" s="34"/>
      <c r="DG682" s="34"/>
      <c r="DH682" s="34"/>
      <c r="DI682" s="34"/>
      <c r="DJ682" s="34"/>
      <c r="DK682" s="34"/>
      <c r="DL682" s="34"/>
      <c r="DM682" s="34"/>
      <c r="DN682" s="34"/>
      <c r="DO682" s="34"/>
      <c r="DP682" s="34"/>
      <c r="DQ682" s="34"/>
      <c r="DR682" s="34"/>
      <c r="DS682" s="34"/>
      <c r="DT682" s="34"/>
      <c r="DU682" s="34"/>
      <c r="DV682" s="34"/>
      <c r="DW682" s="34"/>
      <c r="DX682" s="34"/>
      <c r="DY682" s="34"/>
      <c r="DZ682" s="34"/>
      <c r="EA682" s="34"/>
      <c r="EB682" s="34"/>
      <c r="EC682" s="34"/>
      <c r="ED682" s="34"/>
      <c r="EE682" s="34"/>
      <c r="EF682" s="34"/>
    </row>
    <row r="683" spans="1:136" customFormat="1">
      <c r="A683" s="71">
        <f>'Old Data'!$I679-'Old Data'!$S679</f>
        <v>308</v>
      </c>
      <c r="B683" s="72">
        <f>VLOOKUP('Old Data'!$F679,$R$6:$T$135,2,FALSE)+VLOOKUP('Old Data'!$P679,$R$6:$T$135,3,FALSE)+$B$2</f>
        <v>300.10465557733312</v>
      </c>
      <c r="C683" s="72">
        <f>VLOOKUP('Old Data'!$P679,$R$6:$T$135,2,FALSE)+VLOOKUP('Old Data'!$F679,$R$6:$T$135,3,FALSE)+$B$2</f>
        <v>224.34690035987802</v>
      </c>
      <c r="D683" s="74">
        <f>('Old Data'!$I679-$B683)^2+('Old Data'!$S679-$C683)^2</f>
        <v>47279.117782883317</v>
      </c>
      <c r="E683" s="75">
        <f>'Old Data'!$K679-'Old Data'!$U679</f>
        <v>-105</v>
      </c>
      <c r="F683" s="72">
        <f>VLOOKUP('Old Data'!$F679,$V$6:$X$135,2,FALSE)+VLOOKUP('Old Data'!$P679,$V$6:$X$135,3,FALSE)+$C$2</f>
        <v>156.55595606641498</v>
      </c>
      <c r="G683" s="72">
        <f>VLOOKUP('Old Data'!$P679,$V$6:$X$135,2,FALSE)+VLOOKUP('Old Data'!$F679,$V$6:$X$135,3,FALSE)+$C$2</f>
        <v>174.47259405001259</v>
      </c>
      <c r="H683" s="74">
        <f>('Old Data'!$K679-$F683)^2+('Old Data'!$U679-$G683)^2</f>
        <v>27559.98030297568</v>
      </c>
      <c r="I683" s="75">
        <f>('Old Data'!$L679+'Old Data'!$M679)-('Old Data'!$V679+'Old Data'!$W679)</f>
        <v>-53</v>
      </c>
      <c r="J683" s="72">
        <f>VLOOKUP('Old Data'!$F679,$Z$6:$AB$135,2,FALSE)+VLOOKUP('Old Data'!$P679,$Z$6:$AB$135,3,FALSE)+$D$2</f>
        <v>90.774902855929327</v>
      </c>
      <c r="K683" s="72">
        <f>VLOOKUP('Old Data'!$P679,$Z$6:$AB$135,2,FALSE)+VLOOKUP('Old Data'!$F679,$Z$6:$AB$135,3,FALSE)+$D$2</f>
        <v>69.056254005924188</v>
      </c>
      <c r="L683" s="74">
        <f>('Old Data'!$L679+'Old Data'!$M679-$J683)^2+('Old Data'!$V679+'Old Data'!$W679-$K683)^2</f>
        <v>6389.6008302453856</v>
      </c>
      <c r="M683" s="75">
        <f>'Old Data'!$N679-'Old Data'!$X679</f>
        <v>2</v>
      </c>
      <c r="N683" s="72">
        <f>VLOOKUP('Old Data'!$F679,$AD$6:$AF$135,2,FALSE)+VLOOKUP('Old Data'!$P679,$AD$6:$AF$135,3,FALSE)+$E$2</f>
        <v>1.1361095145240059</v>
      </c>
      <c r="O683" s="72">
        <f>VLOOKUP('Old Data'!$P679,$AD$6:$AF$135,2,FALSE)+VLOOKUP('Old Data'!$F679,$AD$6:$AF$135,3,FALSE)+$E$2</f>
        <v>1.6413235486171016</v>
      </c>
      <c r="P683" s="73">
        <f>('Old Data'!$N679-$N683)^2+('Old Data'!$X679-$O683)^2</f>
        <v>3.4402497621409838</v>
      </c>
      <c r="Q683" s="62"/>
      <c r="R683" s="41"/>
      <c r="S683" s="41"/>
      <c r="T683" s="41"/>
      <c r="U683" s="41"/>
      <c r="V683" s="41"/>
      <c r="W683" s="41"/>
      <c r="X683" s="41"/>
      <c r="Y683" s="41"/>
      <c r="Z683" s="41"/>
      <c r="AA683" s="41"/>
      <c r="AB683" s="41"/>
      <c r="AC683" s="41"/>
      <c r="AD683" s="41"/>
      <c r="AE683" s="41"/>
      <c r="AF683" s="41"/>
      <c r="AG683" s="3"/>
      <c r="AL683" s="10"/>
      <c r="AM683" s="10"/>
      <c r="AN683" s="10"/>
      <c r="AO683" s="11"/>
      <c r="AP683" s="11"/>
      <c r="AQ683" s="11"/>
      <c r="AR683" s="10"/>
      <c r="AS683" s="11"/>
      <c r="AT683" s="11"/>
      <c r="AU683" s="11"/>
      <c r="AV683" s="12"/>
      <c r="AW683" s="11"/>
      <c r="AX683" s="11"/>
      <c r="AY683" s="11"/>
      <c r="AZ683" s="11"/>
      <c r="BA683" s="11"/>
      <c r="BB683" s="11"/>
      <c r="BC683" s="11"/>
      <c r="BD683" s="11"/>
      <c r="BE683" s="11"/>
      <c r="BF683" s="12"/>
      <c r="BG683" s="12"/>
      <c r="BH683" s="12"/>
      <c r="BI683" s="10"/>
      <c r="BJ683" s="10"/>
      <c r="BK683" s="10"/>
      <c r="BL683" s="10"/>
      <c r="BM683" s="10"/>
      <c r="BN683" s="10"/>
      <c r="BO683" s="10"/>
      <c r="BP683" s="10"/>
      <c r="BQ683" s="10"/>
      <c r="BR683" s="10"/>
      <c r="BS683" s="10"/>
      <c r="BT683" s="10"/>
      <c r="BU683" s="10"/>
      <c r="BV683" s="10"/>
      <c r="BW683" s="10"/>
      <c r="BX683" s="10"/>
      <c r="BY683" s="10"/>
      <c r="BZ683" s="10"/>
      <c r="CA683" s="17"/>
      <c r="CB683" s="10"/>
      <c r="CC683" s="10"/>
      <c r="CD683" s="18"/>
      <c r="CE683" s="10"/>
      <c r="CF683" s="15"/>
      <c r="CG683" s="10"/>
      <c r="CH683" s="19"/>
      <c r="CI683" s="10"/>
      <c r="CJ683" s="17"/>
      <c r="CK683" s="10"/>
      <c r="CL683" s="10"/>
      <c r="CM683" s="10"/>
      <c r="CN683" s="17"/>
      <c r="CO683" s="17"/>
      <c r="CP683" s="10"/>
      <c r="CQ683" s="10"/>
      <c r="CR683" s="10"/>
      <c r="CS683" s="10"/>
      <c r="CT683" s="10"/>
      <c r="CU683" s="10"/>
      <c r="CV683" s="10"/>
      <c r="CW683" s="10"/>
      <c r="CX683" s="10"/>
      <c r="CY683" s="10"/>
      <c r="CZ683" s="34"/>
      <c r="DA683" s="34"/>
      <c r="DB683" s="34"/>
      <c r="DC683" s="34"/>
      <c r="DD683" s="34"/>
      <c r="DE683" s="34"/>
      <c r="DF683" s="34"/>
      <c r="DG683" s="34"/>
      <c r="DH683" s="34"/>
      <c r="DI683" s="34"/>
      <c r="DJ683" s="34"/>
      <c r="DK683" s="34"/>
      <c r="DL683" s="34"/>
      <c r="DM683" s="34"/>
      <c r="DN683" s="34"/>
      <c r="DO683" s="34"/>
      <c r="DP683" s="34"/>
      <c r="DQ683" s="34"/>
      <c r="DR683" s="34"/>
      <c r="DS683" s="34"/>
      <c r="DT683" s="34"/>
      <c r="DU683" s="34"/>
      <c r="DV683" s="34"/>
      <c r="DW683" s="34"/>
      <c r="DX683" s="34"/>
      <c r="DY683" s="34"/>
      <c r="DZ683" s="34"/>
      <c r="EA683" s="34"/>
      <c r="EB683" s="34"/>
      <c r="EC683" s="34"/>
      <c r="ED683" s="34"/>
      <c r="EE683" s="34"/>
      <c r="EF683" s="34"/>
    </row>
    <row r="684" spans="1:136" customFormat="1">
      <c r="A684" s="71">
        <f>'Old Data'!$I680-'Old Data'!$S680</f>
        <v>13</v>
      </c>
      <c r="B684" s="72">
        <f>VLOOKUP('Old Data'!$F680,$R$6:$T$135,2,FALSE)+VLOOKUP('Old Data'!$P680,$R$6:$T$135,3,FALSE)+$B$2</f>
        <v>315.33213916663362</v>
      </c>
      <c r="C684" s="72">
        <f>VLOOKUP('Old Data'!$P680,$R$6:$T$135,2,FALSE)+VLOOKUP('Old Data'!$F680,$R$6:$T$135,3,FALSE)+$B$2</f>
        <v>220.62725991392909</v>
      </c>
      <c r="D684" s="74">
        <f>('Old Data'!$I680-$B684)^2+('Old Data'!$S680-$C684)^2</f>
        <v>4260.5986315310402</v>
      </c>
      <c r="E684" s="75">
        <f>'Old Data'!$K680-'Old Data'!$U680</f>
        <v>-60</v>
      </c>
      <c r="F684" s="72">
        <f>VLOOKUP('Old Data'!$F680,$V$6:$X$135,2,FALSE)+VLOOKUP('Old Data'!$P680,$V$6:$X$135,3,FALSE)+$C$2</f>
        <v>238.60058280958089</v>
      </c>
      <c r="G684" s="72">
        <f>VLOOKUP('Old Data'!$P680,$V$6:$X$135,2,FALSE)+VLOOKUP('Old Data'!$F680,$V$6:$X$135,3,FALSE)+$C$2</f>
        <v>238.93622777536851</v>
      </c>
      <c r="H684" s="74">
        <f>('Old Data'!$K680-$F684)^2+('Old Data'!$U680-$G684)^2</f>
        <v>9278.5340116775533</v>
      </c>
      <c r="I684" s="75">
        <f>('Old Data'!$L680+'Old Data'!$M680)-('Old Data'!$V680+'Old Data'!$W680)</f>
        <v>4</v>
      </c>
      <c r="J684" s="72">
        <f>VLOOKUP('Old Data'!$F680,$Z$6:$AB$135,2,FALSE)+VLOOKUP('Old Data'!$P680,$Z$6:$AB$135,3,FALSE)+$D$2</f>
        <v>67.256253061918471</v>
      </c>
      <c r="K684" s="72">
        <f>VLOOKUP('Old Data'!$P680,$Z$6:$AB$135,2,FALSE)+VLOOKUP('Old Data'!$F680,$Z$6:$AB$135,3,FALSE)+$D$2</f>
        <v>42.559730646069816</v>
      </c>
      <c r="L684" s="74">
        <f>('Old Data'!$L680+'Old Data'!$M680-$J684)^2+('Old Data'!$V680+'Old Data'!$W680-$K684)^2</f>
        <v>233.29404880479609</v>
      </c>
      <c r="M684" s="75">
        <f>'Old Data'!$N680-'Old Data'!$X680</f>
        <v>1</v>
      </c>
      <c r="N684" s="72">
        <f>VLOOKUP('Old Data'!$F680,$AD$6:$AF$135,2,FALSE)+VLOOKUP('Old Data'!$P680,$AD$6:$AF$135,3,FALSE)+$E$2</f>
        <v>1.540690696519917</v>
      </c>
      <c r="O684" s="72">
        <f>VLOOKUP('Old Data'!$P680,$AD$6:$AF$135,2,FALSE)+VLOOKUP('Old Data'!$F680,$AD$6:$AF$135,3,FALSE)+$E$2</f>
        <v>1.3425026075677591</v>
      </c>
      <c r="P684" s="73">
        <f>('Old Data'!$N680-$N684)^2+('Old Data'!$X680-$O684)^2</f>
        <v>2.0946596806294253</v>
      </c>
      <c r="Q684" s="62"/>
      <c r="R684" s="41"/>
      <c r="S684" s="41"/>
      <c r="T684" s="41"/>
      <c r="U684" s="41"/>
      <c r="V684" s="41"/>
      <c r="W684" s="41"/>
      <c r="X684" s="41"/>
      <c r="Y684" s="41"/>
      <c r="Z684" s="41"/>
      <c r="AA684" s="41"/>
      <c r="AB684" s="41"/>
      <c r="AC684" s="41"/>
      <c r="AD684" s="41"/>
      <c r="AE684" s="41"/>
      <c r="AF684" s="41"/>
      <c r="AG684" s="3"/>
      <c r="AL684" s="10"/>
      <c r="AM684" s="10"/>
      <c r="AN684" s="10"/>
      <c r="AO684" s="11"/>
      <c r="AP684" s="11"/>
      <c r="AQ684" s="11"/>
      <c r="AR684" s="10"/>
      <c r="AS684" s="11"/>
      <c r="AT684" s="11"/>
      <c r="AU684" s="11"/>
      <c r="AV684" s="12"/>
      <c r="AW684" s="11"/>
      <c r="AX684" s="11"/>
      <c r="AY684" s="11"/>
      <c r="AZ684" s="11"/>
      <c r="BA684" s="11"/>
      <c r="BB684" s="11"/>
      <c r="BC684" s="11"/>
      <c r="BD684" s="11"/>
      <c r="BE684" s="11"/>
      <c r="BF684" s="12"/>
      <c r="BG684" s="12"/>
      <c r="BH684" s="12"/>
      <c r="BI684" s="10"/>
      <c r="BJ684" s="10"/>
      <c r="BK684" s="10"/>
      <c r="BL684" s="10"/>
      <c r="BM684" s="10"/>
      <c r="BN684" s="10"/>
      <c r="BO684" s="10"/>
      <c r="BP684" s="10"/>
      <c r="BQ684" s="10"/>
      <c r="BR684" s="10"/>
      <c r="BS684" s="10"/>
      <c r="BT684" s="10"/>
      <c r="BU684" s="10"/>
      <c r="BV684" s="10"/>
      <c r="BW684" s="10"/>
      <c r="BX684" s="10"/>
      <c r="BY684" s="10"/>
      <c r="BZ684" s="10"/>
      <c r="CA684" s="17"/>
      <c r="CB684" s="10"/>
      <c r="CC684" s="10"/>
      <c r="CD684" s="18"/>
      <c r="CE684" s="10"/>
      <c r="CF684" s="15"/>
      <c r="CG684" s="10"/>
      <c r="CH684" s="19"/>
      <c r="CI684" s="10"/>
      <c r="CJ684" s="17"/>
      <c r="CK684" s="10"/>
      <c r="CL684" s="10"/>
      <c r="CM684" s="10"/>
      <c r="CN684" s="17"/>
      <c r="CO684" s="17"/>
      <c r="CP684" s="10"/>
      <c r="CQ684" s="10"/>
      <c r="CR684" s="10"/>
      <c r="CS684" s="10"/>
      <c r="CT684" s="10"/>
      <c r="CU684" s="10"/>
      <c r="CV684" s="10"/>
      <c r="CW684" s="10"/>
      <c r="CX684" s="10"/>
      <c r="CY684" s="10"/>
      <c r="CZ684" s="34"/>
      <c r="DA684" s="34"/>
      <c r="DB684" s="34"/>
      <c r="DC684" s="34"/>
      <c r="DD684" s="34"/>
      <c r="DE684" s="34"/>
      <c r="DF684" s="34"/>
      <c r="DG684" s="34"/>
      <c r="DH684" s="34"/>
      <c r="DI684" s="34"/>
      <c r="DJ684" s="34"/>
      <c r="DK684" s="34"/>
      <c r="DL684" s="34"/>
      <c r="DM684" s="34"/>
      <c r="DN684" s="34"/>
      <c r="DO684" s="34"/>
      <c r="DP684" s="34"/>
      <c r="DQ684" s="34"/>
      <c r="DR684" s="34"/>
      <c r="DS684" s="34"/>
      <c r="DT684" s="34"/>
      <c r="DU684" s="34"/>
      <c r="DV684" s="34"/>
      <c r="DW684" s="34"/>
      <c r="DX684" s="34"/>
      <c r="DY684" s="34"/>
      <c r="DZ684" s="34"/>
      <c r="EA684" s="34"/>
      <c r="EB684" s="34"/>
      <c r="EC684" s="34"/>
      <c r="ED684" s="34"/>
      <c r="EE684" s="34"/>
      <c r="EF684" s="34"/>
    </row>
    <row r="685" spans="1:136">
      <c r="A685" s="71">
        <f>'Old Data'!$I681-'Old Data'!$S681</f>
        <v>67</v>
      </c>
      <c r="B685" s="72">
        <f>VLOOKUP('Old Data'!$F681,$R$6:$T$135,2,FALSE)+VLOOKUP('Old Data'!$P681,$R$6:$T$135,3,FALSE)+$B$2</f>
        <v>138.8746683091729</v>
      </c>
      <c r="C685" s="72">
        <f>VLOOKUP('Old Data'!$P681,$R$6:$T$135,2,FALSE)+VLOOKUP('Old Data'!$F681,$R$6:$T$135,3,FALSE)+$B$2</f>
        <v>115.081319989045</v>
      </c>
      <c r="D685" s="74">
        <f>('Old Data'!$I681-$B685)^2+('Old Data'!$S681-$C685)^2</f>
        <v>1856.0158400312139</v>
      </c>
      <c r="E685" s="75">
        <f>'Old Data'!$K681-'Old Data'!$U681</f>
        <v>328</v>
      </c>
      <c r="F685" s="72">
        <f>VLOOKUP('Old Data'!$F681,$V$6:$X$135,2,FALSE)+VLOOKUP('Old Data'!$P681,$V$6:$X$135,3,FALSE)+$C$2</f>
        <v>374.21647779545549</v>
      </c>
      <c r="G685" s="72">
        <f>VLOOKUP('Old Data'!$P681,$V$6:$X$135,2,FALSE)+VLOOKUP('Old Data'!$F681,$V$6:$X$135,3,FALSE)+$C$2</f>
        <v>217.35765522061197</v>
      </c>
      <c r="H685" s="74">
        <f>('Old Data'!$K681-$F685)^2+('Old Data'!$U681-$G685)^2</f>
        <v>17064.93129770317</v>
      </c>
      <c r="I685" s="75">
        <f>('Old Data'!$L681+'Old Data'!$M681)-('Old Data'!$V681+'Old Data'!$W681)</f>
        <v>5</v>
      </c>
      <c r="J685" s="72">
        <f>VLOOKUP('Old Data'!$F681,$Z$6:$AB$135,2,FALSE)+VLOOKUP('Old Data'!$P681,$Z$6:$AB$135,3,FALSE)+$D$2</f>
        <v>60.233590825399702</v>
      </c>
      <c r="K685" s="72">
        <f>VLOOKUP('Old Data'!$P681,$Z$6:$AB$135,2,FALSE)+VLOOKUP('Old Data'!$F681,$Z$6:$AB$135,3,FALSE)+$D$2</f>
        <v>35.922181389789664</v>
      </c>
      <c r="L685" s="74">
        <f>('Old Data'!$L681+'Old Data'!$M681-$J685)^2+('Old Data'!$V681+'Old Data'!$W681-$K685)^2</f>
        <v>1394.6102382306756</v>
      </c>
      <c r="M685" s="75">
        <f>'Old Data'!$N681-'Old Data'!$X681</f>
        <v>3</v>
      </c>
      <c r="N685" s="72">
        <f>VLOOKUP('Old Data'!$F681,$AD$6:$AF$135,2,FALSE)+VLOOKUP('Old Data'!$P681,$AD$6:$AF$135,3,FALSE)+$E$2</f>
        <v>1.560331772235199</v>
      </c>
      <c r="O685" s="72">
        <f>VLOOKUP('Old Data'!$P681,$AD$6:$AF$135,2,FALSE)+VLOOKUP('Old Data'!$F681,$AD$6:$AF$135,3,FALSE)+$E$2</f>
        <v>0.37851576136759224</v>
      </c>
      <c r="P685" s="73">
        <f>('Old Data'!$N681-$N685)^2+('Old Data'!$X681-$O685)^2</f>
        <v>2.2159187876391306</v>
      </c>
    </row>
    <row r="686" spans="1:136">
      <c r="A686" s="71">
        <f>'Old Data'!$I682-'Old Data'!$S682</f>
        <v>-76</v>
      </c>
      <c r="B686" s="72">
        <f>VLOOKUP('Old Data'!$F682,$R$6:$T$135,2,FALSE)+VLOOKUP('Old Data'!$P682,$R$6:$T$135,3,FALSE)+$B$2</f>
        <v>169.47624605888259</v>
      </c>
      <c r="C686" s="72">
        <f>VLOOKUP('Old Data'!$P682,$R$6:$T$135,2,FALSE)+VLOOKUP('Old Data'!$F682,$R$6:$T$135,3,FALSE)+$B$2</f>
        <v>120.45880044849241</v>
      </c>
      <c r="D686" s="74">
        <f>('Old Data'!$I682-$B686)^2+('Old Data'!$S682-$C686)^2</f>
        <v>8534.2147302317862</v>
      </c>
      <c r="E686" s="75">
        <f>'Old Data'!$K682-'Old Data'!$U682</f>
        <v>190</v>
      </c>
      <c r="F686" s="72">
        <f>VLOOKUP('Old Data'!$F682,$V$6:$X$135,2,FALSE)+VLOOKUP('Old Data'!$P682,$V$6:$X$135,3,FALSE)+$C$2</f>
        <v>295.36558019509118</v>
      </c>
      <c r="G686" s="72">
        <f>VLOOKUP('Old Data'!$P682,$V$6:$X$135,2,FALSE)+VLOOKUP('Old Data'!$F682,$V$6:$X$135,3,FALSE)+$C$2</f>
        <v>150.9983216931615</v>
      </c>
      <c r="H686" s="74">
        <f>('Old Data'!$K682-$F686)^2+('Old Data'!$U682-$G686)^2</f>
        <v>2175.7724699708624</v>
      </c>
      <c r="I686" s="75">
        <f>('Old Data'!$L682+'Old Data'!$M682)-('Old Data'!$V682+'Old Data'!$W682)</f>
        <v>-74</v>
      </c>
      <c r="J686" s="72">
        <f>VLOOKUP('Old Data'!$F682,$Z$6:$AB$135,2,FALSE)+VLOOKUP('Old Data'!$P682,$Z$6:$AB$135,3,FALSE)+$D$2</f>
        <v>71.172391366452501</v>
      </c>
      <c r="K686" s="72">
        <f>VLOOKUP('Old Data'!$P682,$Z$6:$AB$135,2,FALSE)+VLOOKUP('Old Data'!$F682,$Z$6:$AB$135,3,FALSE)+$D$2</f>
        <v>126.35544059698509</v>
      </c>
      <c r="L686" s="74">
        <f>('Old Data'!$L682+'Old Data'!$M682-$J686)^2+('Old Data'!$V682+'Old Data'!$W682-$K686)^2</f>
        <v>1213.4305597757848</v>
      </c>
      <c r="M686" s="75">
        <f>'Old Data'!$N682-'Old Data'!$X682</f>
        <v>1</v>
      </c>
      <c r="N686" s="72">
        <f>VLOOKUP('Old Data'!$F682,$AD$6:$AF$135,2,FALSE)+VLOOKUP('Old Data'!$P682,$AD$6:$AF$135,3,FALSE)+$E$2</f>
        <v>2.042266949456808</v>
      </c>
      <c r="O686" s="72">
        <f>VLOOKUP('Old Data'!$P682,$AD$6:$AF$135,2,FALSE)+VLOOKUP('Old Data'!$F682,$AD$6:$AF$135,3,FALSE)+$E$2</f>
        <v>1.6426370811804043</v>
      </c>
      <c r="P686" s="73">
        <f>('Old Data'!$N682-$N686)^2+('Old Data'!$X682-$O686)^2</f>
        <v>1.0449608518500293</v>
      </c>
    </row>
    <row r="687" spans="1:136">
      <c r="A687" s="71">
        <f>'Old Data'!$I683-'Old Data'!$S683</f>
        <v>-174</v>
      </c>
      <c r="B687" s="72">
        <f>VLOOKUP('Old Data'!$F683,$R$6:$T$135,2,FALSE)+VLOOKUP('Old Data'!$P683,$R$6:$T$135,3,FALSE)+$B$2</f>
        <v>86.558342832605078</v>
      </c>
      <c r="C687" s="72">
        <f>VLOOKUP('Old Data'!$P683,$R$6:$T$135,2,FALSE)+VLOOKUP('Old Data'!$F683,$R$6:$T$135,3,FALSE)+$B$2</f>
        <v>236.34624641738941</v>
      </c>
      <c r="D687" s="74">
        <f>('Old Data'!$I683-$B687)^2+('Old Data'!$S683-$C687)^2</f>
        <v>840.76591276563988</v>
      </c>
      <c r="E687" s="75">
        <f>'Old Data'!$K683-'Old Data'!$U683</f>
        <v>-8</v>
      </c>
      <c r="F687" s="72">
        <f>VLOOKUP('Old Data'!$F683,$V$6:$X$135,2,FALSE)+VLOOKUP('Old Data'!$P683,$V$6:$X$135,3,FALSE)+$C$2</f>
        <v>209.56218172881671</v>
      </c>
      <c r="G687" s="72">
        <f>VLOOKUP('Old Data'!$P683,$V$6:$X$135,2,FALSE)+VLOOKUP('Old Data'!$F683,$V$6:$X$135,3,FALSE)+$C$2</f>
        <v>235.47768926235219</v>
      </c>
      <c r="H687" s="74">
        <f>('Old Data'!$K683-$F687)^2+('Old Data'!$U683-$G687)^2</f>
        <v>15118.085818467833</v>
      </c>
      <c r="I687" s="75">
        <f>('Old Data'!$L683+'Old Data'!$M683)-('Old Data'!$V683+'Old Data'!$W683)</f>
        <v>82</v>
      </c>
      <c r="J687" s="72">
        <f>VLOOKUP('Old Data'!$F683,$Z$6:$AB$135,2,FALSE)+VLOOKUP('Old Data'!$P683,$Z$6:$AB$135,3,FALSE)+$D$2</f>
        <v>72.640469852234119</v>
      </c>
      <c r="K687" s="72">
        <f>VLOOKUP('Old Data'!$P683,$Z$6:$AB$135,2,FALSE)+VLOOKUP('Old Data'!$F683,$Z$6:$AB$135,3,FALSE)+$D$2</f>
        <v>28.159048447265096</v>
      </c>
      <c r="L687" s="74">
        <f>('Old Data'!$L683+'Old Data'!$M683-$J687)^2+('Old Data'!$V683+'Old Data'!$W683-$K687)^2</f>
        <v>880.53281404236122</v>
      </c>
      <c r="M687" s="75">
        <f>'Old Data'!$N683-'Old Data'!$X683</f>
        <v>-1</v>
      </c>
      <c r="N687" s="72">
        <f>VLOOKUP('Old Data'!$F683,$AD$6:$AF$135,2,FALSE)+VLOOKUP('Old Data'!$P683,$AD$6:$AF$135,3,FALSE)+$E$2</f>
        <v>0.95783367093378313</v>
      </c>
      <c r="O687" s="72">
        <f>VLOOKUP('Old Data'!$P683,$AD$6:$AF$135,2,FALSE)+VLOOKUP('Old Data'!$F683,$AD$6:$AF$135,3,FALSE)+$E$2</f>
        <v>1.8000832714680675</v>
      </c>
      <c r="P687" s="73">
        <f>('Old Data'!$N683-$N687)^2+('Old Data'!$X683-$O687)^2</f>
        <v>4.1744697653830896E-2</v>
      </c>
    </row>
    <row r="688" spans="1:136">
      <c r="A688" s="71">
        <f>'Old Data'!$I684-'Old Data'!$S684</f>
        <v>-97</v>
      </c>
      <c r="B688" s="72">
        <f>VLOOKUP('Old Data'!$F684,$R$6:$T$135,2,FALSE)+VLOOKUP('Old Data'!$P684,$R$6:$T$135,3,FALSE)+$B$2</f>
        <v>110.685805068459</v>
      </c>
      <c r="C688" s="72">
        <f>VLOOKUP('Old Data'!$P684,$R$6:$T$135,2,FALSE)+VLOOKUP('Old Data'!$F684,$R$6:$T$135,3,FALSE)+$B$2</f>
        <v>190.52121994129192</v>
      </c>
      <c r="D688" s="74">
        <f>('Old Data'!$I684-$B688)^2+('Old Data'!$S684-$C688)^2</f>
        <v>1510.0982214782618</v>
      </c>
      <c r="E688" s="75">
        <f>'Old Data'!$K684-'Old Data'!$U684</f>
        <v>16</v>
      </c>
      <c r="F688" s="72">
        <f>VLOOKUP('Old Data'!$F684,$V$6:$X$135,2,FALSE)+VLOOKUP('Old Data'!$P684,$V$6:$X$135,3,FALSE)+$C$2</f>
        <v>214.74299656386421</v>
      </c>
      <c r="G688" s="72">
        <f>VLOOKUP('Old Data'!$P684,$V$6:$X$135,2,FALSE)+VLOOKUP('Old Data'!$F684,$V$6:$X$135,3,FALSE)+$C$2</f>
        <v>213.42793509760628</v>
      </c>
      <c r="H688" s="74">
        <f>('Old Data'!$K684-$F688)^2+('Old Data'!$U684-$G688)^2</f>
        <v>11034.540432788704</v>
      </c>
      <c r="I688" s="75">
        <f>('Old Data'!$L684+'Old Data'!$M684)-('Old Data'!$V684+'Old Data'!$W684)</f>
        <v>-37</v>
      </c>
      <c r="J688" s="72">
        <f>VLOOKUP('Old Data'!$F684,$Z$6:$AB$135,2,FALSE)+VLOOKUP('Old Data'!$P684,$Z$6:$AB$135,3,FALSE)+$D$2</f>
        <v>7.3287467567784006</v>
      </c>
      <c r="K688" s="72">
        <f>VLOOKUP('Old Data'!$P684,$Z$6:$AB$135,2,FALSE)+VLOOKUP('Old Data'!$F684,$Z$6:$AB$135,3,FALSE)+$D$2</f>
        <v>85.669065515146798</v>
      </c>
      <c r="L688" s="74">
        <f>('Old Data'!$L684+'Old Data'!$M684-$J688)^2+('Old Data'!$V684+'Old Data'!$W684-$K688)^2</f>
        <v>1054.5547344763261</v>
      </c>
      <c r="M688" s="75">
        <f>'Old Data'!$N684-'Old Data'!$X684</f>
        <v>-1</v>
      </c>
      <c r="N688" s="72">
        <f>VLOOKUP('Old Data'!$F684,$AD$6:$AF$135,2,FALSE)+VLOOKUP('Old Data'!$P684,$AD$6:$AF$135,3,FALSE)+$E$2</f>
        <v>1.4929521708480127</v>
      </c>
      <c r="O688" s="72">
        <f>VLOOKUP('Old Data'!$P684,$AD$6:$AF$135,2,FALSE)+VLOOKUP('Old Data'!$F684,$AD$6:$AF$135,3,FALSE)+$E$2</f>
        <v>1.1045857413536599</v>
      </c>
      <c r="P688" s="73">
        <f>('Old Data'!$N684-$N688)^2+('Old Data'!$X684-$O688)^2</f>
        <v>1.044768537330943</v>
      </c>
    </row>
    <row r="689" spans="1:16">
      <c r="A689" s="71">
        <f>'Old Data'!$I685-'Old Data'!$S685</f>
        <v>120</v>
      </c>
      <c r="B689" s="72">
        <f>VLOOKUP('Old Data'!$F685,$R$6:$T$135,2,FALSE)+VLOOKUP('Old Data'!$P685,$R$6:$T$135,3,FALSE)+$B$2</f>
        <v>252.6446029159637</v>
      </c>
      <c r="C689" s="72">
        <f>VLOOKUP('Old Data'!$P685,$R$6:$T$135,2,FALSE)+VLOOKUP('Old Data'!$F685,$R$6:$T$135,3,FALSE)+$B$2</f>
        <v>102.91002226997418</v>
      </c>
      <c r="D689" s="74">
        <f>('Old Data'!$I685-$B689)^2+('Old Data'!$S685-$C689)^2</f>
        <v>3002.104835846455</v>
      </c>
      <c r="E689" s="75">
        <f>'Old Data'!$K685-'Old Data'!$U685</f>
        <v>-150</v>
      </c>
      <c r="F689" s="72">
        <f>VLOOKUP('Old Data'!$F685,$V$6:$X$135,2,FALSE)+VLOOKUP('Old Data'!$P685,$V$6:$X$135,3,FALSE)+$C$2</f>
        <v>138.78594676587289</v>
      </c>
      <c r="G689" s="72">
        <f>VLOOKUP('Old Data'!$P685,$V$6:$X$135,2,FALSE)+VLOOKUP('Old Data'!$F685,$V$6:$X$135,3,FALSE)+$C$2</f>
        <v>205.26176699923576</v>
      </c>
      <c r="H689" s="74">
        <f>('Old Data'!$K685-$F689)^2+('Old Data'!$U685-$G689)^2</f>
        <v>3586.8134338579694</v>
      </c>
      <c r="I689" s="75">
        <f>('Old Data'!$L685+'Old Data'!$M685)-('Old Data'!$V685+'Old Data'!$W685)</f>
        <v>28</v>
      </c>
      <c r="J689" s="72">
        <f>VLOOKUP('Old Data'!$F685,$Z$6:$AB$135,2,FALSE)+VLOOKUP('Old Data'!$P685,$Z$6:$AB$135,3,FALSE)+$D$2</f>
        <v>23.3357768895319</v>
      </c>
      <c r="K689" s="72">
        <f>VLOOKUP('Old Data'!$P685,$Z$6:$AB$135,2,FALSE)+VLOOKUP('Old Data'!$F685,$Z$6:$AB$135,3,FALSE)+$D$2</f>
        <v>58.726425239891597</v>
      </c>
      <c r="L689" s="74">
        <f>('Old Data'!$L685+'Old Data'!$M685-$J689)^2+('Old Data'!$V685+'Old Data'!$W685-$K689)^2</f>
        <v>2009.1890836919329</v>
      </c>
      <c r="M689" s="75">
        <f>'Old Data'!$N685-'Old Data'!$X685</f>
        <v>0</v>
      </c>
      <c r="N689" s="72">
        <f>VLOOKUP('Old Data'!$F685,$AD$6:$AF$135,2,FALSE)+VLOOKUP('Old Data'!$P685,$AD$6:$AF$135,3,FALSE)+$E$2</f>
        <v>1.5801239682837105</v>
      </c>
      <c r="O689" s="72">
        <f>VLOOKUP('Old Data'!$P685,$AD$6:$AF$135,2,FALSE)+VLOOKUP('Old Data'!$F685,$AD$6:$AF$135,3,FALSE)+$E$2</f>
        <v>0.70614238896364312</v>
      </c>
      <c r="P689" s="73">
        <f>('Old Data'!$N685-$N689)^2+('Old Data'!$X685-$O689)^2</f>
        <v>0.42289611414123435</v>
      </c>
    </row>
    <row r="690" spans="1:16">
      <c r="A690" s="71">
        <f>'Old Data'!$I686-'Old Data'!$S686</f>
        <v>-48</v>
      </c>
      <c r="B690" s="72">
        <f>VLOOKUP('Old Data'!$F686,$R$6:$T$135,2,FALSE)+VLOOKUP('Old Data'!$P686,$R$6:$T$135,3,FALSE)+$B$2</f>
        <v>121.28103902059877</v>
      </c>
      <c r="C690" s="72">
        <f>VLOOKUP('Old Data'!$P686,$R$6:$T$135,2,FALSE)+VLOOKUP('Old Data'!$F686,$R$6:$T$135,3,FALSE)+$B$2</f>
        <v>168.46665566876669</v>
      </c>
      <c r="D690" s="74">
        <f>('Old Data'!$I686-$B690)^2+('Old Data'!$S686-$C690)^2</f>
        <v>247.91415594071771</v>
      </c>
      <c r="E690" s="75">
        <f>'Old Data'!$K686-'Old Data'!$U686</f>
        <v>-283</v>
      </c>
      <c r="F690" s="72">
        <f>VLOOKUP('Old Data'!$F686,$V$6:$X$135,2,FALSE)+VLOOKUP('Old Data'!$P686,$V$6:$X$135,3,FALSE)+$C$2</f>
        <v>209.77545811432356</v>
      </c>
      <c r="G690" s="72">
        <f>VLOOKUP('Old Data'!$P686,$V$6:$X$135,2,FALSE)+VLOOKUP('Old Data'!$F686,$V$6:$X$135,3,FALSE)+$C$2</f>
        <v>336.97323665689657</v>
      </c>
      <c r="H690" s="74">
        <f>('Old Data'!$K686-$F690)^2+('Old Data'!$U686-$G690)^2</f>
        <v>13399.762944132561</v>
      </c>
      <c r="I690" s="75">
        <f>('Old Data'!$L686+'Old Data'!$M686)-('Old Data'!$V686+'Old Data'!$W686)</f>
        <v>-8</v>
      </c>
      <c r="J690" s="72">
        <f>VLOOKUP('Old Data'!$F686,$Z$6:$AB$135,2,FALSE)+VLOOKUP('Old Data'!$P686,$Z$6:$AB$135,3,FALSE)+$D$2</f>
        <v>54.869948677702745</v>
      </c>
      <c r="K690" s="72">
        <f>VLOOKUP('Old Data'!$P686,$Z$6:$AB$135,2,FALSE)+VLOOKUP('Old Data'!$F686,$Z$6:$AB$135,3,FALSE)+$D$2</f>
        <v>42.452027814580475</v>
      </c>
      <c r="L690" s="74">
        <f>('Old Data'!$L686+'Old Data'!$M686-$J690)^2+('Old Data'!$V686+'Old Data'!$W686-$K690)^2</f>
        <v>395.11513397053449</v>
      </c>
      <c r="M690" s="75">
        <f>'Old Data'!$N686-'Old Data'!$X686</f>
        <v>-3</v>
      </c>
      <c r="N690" s="72">
        <f>VLOOKUP('Old Data'!$F686,$AD$6:$AF$135,2,FALSE)+VLOOKUP('Old Data'!$P686,$AD$6:$AF$135,3,FALSE)+$E$2</f>
        <v>0.234369081460303</v>
      </c>
      <c r="O690" s="72">
        <f>VLOOKUP('Old Data'!$P686,$AD$6:$AF$135,2,FALSE)+VLOOKUP('Old Data'!$F686,$AD$6:$AF$135,3,FALSE)+$E$2</f>
        <v>1.8296691864331212</v>
      </c>
      <c r="P690" s="73">
        <f>('Old Data'!$N686-$N690)^2+('Old Data'!$X686-$O690)^2</f>
        <v>5.296526543741809</v>
      </c>
    </row>
    <row r="691" spans="1:16">
      <c r="A691" s="71">
        <f>'Old Data'!$I687-'Old Data'!$S687</f>
        <v>-73</v>
      </c>
      <c r="B691" s="72">
        <f>VLOOKUP('Old Data'!$F687,$R$6:$T$135,2,FALSE)+VLOOKUP('Old Data'!$P687,$R$6:$T$135,3,FALSE)+$B$2</f>
        <v>159.5836550257809</v>
      </c>
      <c r="C691" s="72">
        <f>VLOOKUP('Old Data'!$P687,$R$6:$T$135,2,FALSE)+VLOOKUP('Old Data'!$F687,$R$6:$T$135,3,FALSE)+$B$2</f>
        <v>153.22290054244101</v>
      </c>
      <c r="D691" s="74">
        <f>('Old Data'!$I687-$B691)^2+('Old Data'!$S687-$C691)^2</f>
        <v>3345.2144978210072</v>
      </c>
      <c r="E691" s="75">
        <f>'Old Data'!$K687-'Old Data'!$U687</f>
        <v>122</v>
      </c>
      <c r="F691" s="72">
        <f>VLOOKUP('Old Data'!$F687,$V$6:$X$135,2,FALSE)+VLOOKUP('Old Data'!$P687,$V$6:$X$135,3,FALSE)+$C$2</f>
        <v>246.90183088041505</v>
      </c>
      <c r="G691" s="72">
        <f>VLOOKUP('Old Data'!$P687,$V$6:$X$135,2,FALSE)+VLOOKUP('Old Data'!$F687,$V$6:$X$135,3,FALSE)+$C$2</f>
        <v>219.45373069564039</v>
      </c>
      <c r="H691" s="74">
        <f>('Old Data'!$K687-$F691)^2+('Old Data'!$U687-$G691)^2</f>
        <v>10927.56007168107</v>
      </c>
      <c r="I691" s="75">
        <f>('Old Data'!$L687+'Old Data'!$M687)-('Old Data'!$V687+'Old Data'!$W687)</f>
        <v>106</v>
      </c>
      <c r="J691" s="72">
        <f>VLOOKUP('Old Data'!$F687,$Z$6:$AB$135,2,FALSE)+VLOOKUP('Old Data'!$P687,$Z$6:$AB$135,3,FALSE)+$D$2</f>
        <v>94.654150890018826</v>
      </c>
      <c r="K691" s="72">
        <f>VLOOKUP('Old Data'!$P687,$Z$6:$AB$135,2,FALSE)+VLOOKUP('Old Data'!$F687,$Z$6:$AB$135,3,FALSE)+$D$2</f>
        <v>36.568994425023305</v>
      </c>
      <c r="L691" s="74">
        <f>('Old Data'!$L687+'Old Data'!$M687-$J691)^2+('Old Data'!$V687+'Old Data'!$W687-$K691)^2</f>
        <v>1466.0196452838461</v>
      </c>
      <c r="M691" s="75">
        <f>'Old Data'!$N687-'Old Data'!$X687</f>
        <v>0</v>
      </c>
      <c r="N691" s="72">
        <f>VLOOKUP('Old Data'!$F687,$AD$6:$AF$135,2,FALSE)+VLOOKUP('Old Data'!$P687,$AD$6:$AF$135,3,FALSE)+$E$2</f>
        <v>1.2835599465987357</v>
      </c>
      <c r="O691" s="72">
        <f>VLOOKUP('Old Data'!$P687,$AD$6:$AF$135,2,FALSE)+VLOOKUP('Old Data'!$F687,$AD$6:$AF$135,3,FALSE)+$E$2</f>
        <v>1.5313943493635191</v>
      </c>
      <c r="P691" s="73">
        <f>('Old Data'!$N687-$N691)^2+('Old Data'!$X687-$O691)^2</f>
        <v>3.9926947897750655</v>
      </c>
    </row>
    <row r="692" spans="1:16">
      <c r="A692" s="71">
        <f>'Old Data'!$I688-'Old Data'!$S688</f>
        <v>82</v>
      </c>
      <c r="B692" s="72">
        <f>VLOOKUP('Old Data'!$F688,$R$6:$T$135,2,FALSE)+VLOOKUP('Old Data'!$P688,$R$6:$T$135,3,FALSE)+$B$2</f>
        <v>238.3628297986873</v>
      </c>
      <c r="C692" s="72">
        <f>VLOOKUP('Old Data'!$P688,$R$6:$T$135,2,FALSE)+VLOOKUP('Old Data'!$F688,$R$6:$T$135,3,FALSE)+$B$2</f>
        <v>174.67913878070291</v>
      </c>
      <c r="D692" s="74">
        <f>('Old Data'!$I688-$B692)^2+('Old Data'!$S688-$C692)^2</f>
        <v>3284.9289502713341</v>
      </c>
      <c r="E692" s="75">
        <f>'Old Data'!$K688-'Old Data'!$U688</f>
        <v>-65</v>
      </c>
      <c r="F692" s="72">
        <f>VLOOKUP('Old Data'!$F688,$V$6:$X$135,2,FALSE)+VLOOKUP('Old Data'!$P688,$V$6:$X$135,3,FALSE)+$C$2</f>
        <v>191.41691892272775</v>
      </c>
      <c r="G692" s="72">
        <f>VLOOKUP('Old Data'!$P688,$V$6:$X$135,2,FALSE)+VLOOKUP('Old Data'!$F688,$V$6:$X$135,3,FALSE)+$C$2</f>
        <v>326.89490927301881</v>
      </c>
      <c r="H692" s="74">
        <f>('Old Data'!$K688-$F692)^2+('Old Data'!$U688-$G692)^2</f>
        <v>31118.64911910312</v>
      </c>
      <c r="I692" s="75">
        <f>('Old Data'!$L688+'Old Data'!$M688)-('Old Data'!$V688+'Old Data'!$W688)</f>
        <v>-12</v>
      </c>
      <c r="J692" s="72">
        <f>VLOOKUP('Old Data'!$F688,$Z$6:$AB$135,2,FALSE)+VLOOKUP('Old Data'!$P688,$Z$6:$AB$135,3,FALSE)+$D$2</f>
        <v>75.65380853373162</v>
      </c>
      <c r="K692" s="72">
        <f>VLOOKUP('Old Data'!$P688,$Z$6:$AB$135,2,FALSE)+VLOOKUP('Old Data'!$F688,$Z$6:$AB$135,3,FALSE)+$D$2</f>
        <v>56.040642844348241</v>
      </c>
      <c r="L692" s="74">
        <f>('Old Data'!$L688+'Old Data'!$M688-$J692)^2+('Old Data'!$V688+'Old Data'!$W688-$K692)^2</f>
        <v>829.79853826245824</v>
      </c>
      <c r="M692" s="75">
        <f>'Old Data'!$N688-'Old Data'!$X688</f>
        <v>-2</v>
      </c>
      <c r="N692" s="72">
        <f>VLOOKUP('Old Data'!$F688,$AD$6:$AF$135,2,FALSE)+VLOOKUP('Old Data'!$P688,$AD$6:$AF$135,3,FALSE)+$E$2</f>
        <v>1.2130560669804891</v>
      </c>
      <c r="O692" s="72">
        <f>VLOOKUP('Old Data'!$P688,$AD$6:$AF$135,2,FALSE)+VLOOKUP('Old Data'!$F688,$AD$6:$AF$135,3,FALSE)+$E$2</f>
        <v>2.9200502823433894</v>
      </c>
      <c r="P692" s="73">
        <f>('Old Data'!$N688-$N692)^2+('Old Data'!$X688-$O692)^2</f>
        <v>5.17848450305664E-2</v>
      </c>
    </row>
    <row r="693" spans="1:16">
      <c r="A693" s="71">
        <f>'Old Data'!$I689-'Old Data'!$S689</f>
        <v>-182</v>
      </c>
      <c r="B693" s="72">
        <f>VLOOKUP('Old Data'!$F689,$R$6:$T$135,2,FALSE)+VLOOKUP('Old Data'!$P689,$R$6:$T$135,3,FALSE)+$B$2</f>
        <v>101.20346721598901</v>
      </c>
      <c r="C693" s="72">
        <f>VLOOKUP('Old Data'!$P689,$R$6:$T$135,2,FALSE)+VLOOKUP('Old Data'!$F689,$R$6:$T$135,3,FALSE)+$B$2</f>
        <v>196.31105099668582</v>
      </c>
      <c r="D693" s="74">
        <f>('Old Data'!$I689-$B693)^2+('Old Data'!$S689-$C693)^2</f>
        <v>6477.3381922351618</v>
      </c>
      <c r="E693" s="75">
        <f>'Old Data'!$K689-'Old Data'!$U689</f>
        <v>161</v>
      </c>
      <c r="F693" s="72">
        <f>VLOOKUP('Old Data'!$F689,$V$6:$X$135,2,FALSE)+VLOOKUP('Old Data'!$P689,$V$6:$X$135,3,FALSE)+$C$2</f>
        <v>243.4260768747493</v>
      </c>
      <c r="G693" s="72">
        <f>VLOOKUP('Old Data'!$P689,$V$6:$X$135,2,FALSE)+VLOOKUP('Old Data'!$F689,$V$6:$X$135,3,FALSE)+$C$2</f>
        <v>192.18386715216434</v>
      </c>
      <c r="H693" s="74">
        <f>('Old Data'!$K689-$F693)^2+('Old Data'!$U689-$G693)^2</f>
        <v>7860.1689207633135</v>
      </c>
      <c r="I693" s="75">
        <f>('Old Data'!$L689+'Old Data'!$M689)-('Old Data'!$V689+'Old Data'!$W689)</f>
        <v>21</v>
      </c>
      <c r="J693" s="72">
        <f>VLOOKUP('Old Data'!$F689,$Z$6:$AB$135,2,FALSE)+VLOOKUP('Old Data'!$P689,$Z$6:$AB$135,3,FALSE)+$D$2</f>
        <v>69.877585259027796</v>
      </c>
      <c r="K693" s="72">
        <f>VLOOKUP('Old Data'!$P689,$Z$6:$AB$135,2,FALSE)+VLOOKUP('Old Data'!$F689,$Z$6:$AB$135,3,FALSE)+$D$2</f>
        <v>48.822037433638599</v>
      </c>
      <c r="L693" s="74">
        <f>('Old Data'!$L689+'Old Data'!$M689-$J693)^2+('Old Data'!$V689+'Old Data'!$W689-$K693)^2</f>
        <v>3018.6172260718122</v>
      </c>
      <c r="M693" s="75">
        <f>'Old Data'!$N689-'Old Data'!$X689</f>
        <v>-1</v>
      </c>
      <c r="N693" s="72">
        <f>VLOOKUP('Old Data'!$F689,$AD$6:$AF$135,2,FALSE)+VLOOKUP('Old Data'!$P689,$AD$6:$AF$135,3,FALSE)+$E$2</f>
        <v>1.3815563344629391</v>
      </c>
      <c r="O693" s="72">
        <f>VLOOKUP('Old Data'!$P689,$AD$6:$AF$135,2,FALSE)+VLOOKUP('Old Data'!$F689,$AD$6:$AF$135,3,FALSE)+$E$2</f>
        <v>1.972021531521424</v>
      </c>
      <c r="P693" s="73">
        <f>('Old Data'!$N689-$N693)^2+('Old Data'!$X689-$O693)^2</f>
        <v>0.14636803106720095</v>
      </c>
    </row>
    <row r="694" spans="1:16">
      <c r="A694" s="71">
        <f>'Old Data'!$I690-'Old Data'!$S690</f>
        <v>-155</v>
      </c>
      <c r="B694" s="72">
        <f>VLOOKUP('Old Data'!$F690,$R$6:$T$135,2,FALSE)+VLOOKUP('Old Data'!$P690,$R$6:$T$135,3,FALSE)+$B$2</f>
        <v>225.4390068829041</v>
      </c>
      <c r="C694" s="72">
        <f>VLOOKUP('Old Data'!$P690,$R$6:$T$135,2,FALSE)+VLOOKUP('Old Data'!$F690,$R$6:$T$135,3,FALSE)+$B$2</f>
        <v>236.50185561750021</v>
      </c>
      <c r="D694" s="74">
        <f>('Old Data'!$I690-$B694)^2+('Old Data'!$S690-$C694)^2</f>
        <v>11656.43749334243</v>
      </c>
      <c r="E694" s="75">
        <f>'Old Data'!$K690-'Old Data'!$U690</f>
        <v>40</v>
      </c>
      <c r="F694" s="72">
        <f>VLOOKUP('Old Data'!$F690,$V$6:$X$135,2,FALSE)+VLOOKUP('Old Data'!$P690,$V$6:$X$135,3,FALSE)+$C$2</f>
        <v>174.0222041642748</v>
      </c>
      <c r="G694" s="72">
        <f>VLOOKUP('Old Data'!$P690,$V$6:$X$135,2,FALSE)+VLOOKUP('Old Data'!$F690,$V$6:$X$135,3,FALSE)+$C$2</f>
        <v>295.59143553511615</v>
      </c>
      <c r="H694" s="74">
        <f>('Old Data'!$K690-$F694)^2+('Old Data'!$U690-$G694)^2</f>
        <v>17623.292311164707</v>
      </c>
      <c r="I694" s="75">
        <f>('Old Data'!$L690+'Old Data'!$M690)-('Old Data'!$V690+'Old Data'!$W690)</f>
        <v>-9</v>
      </c>
      <c r="J694" s="72">
        <f>VLOOKUP('Old Data'!$F690,$Z$6:$AB$135,2,FALSE)+VLOOKUP('Old Data'!$P690,$Z$6:$AB$135,3,FALSE)+$D$2</f>
        <v>47.666441348535173</v>
      </c>
      <c r="K694" s="72">
        <f>VLOOKUP('Old Data'!$P690,$Z$6:$AB$135,2,FALSE)+VLOOKUP('Old Data'!$F690,$Z$6:$AB$135,3,FALSE)+$D$2</f>
        <v>59.99325156273278</v>
      </c>
      <c r="L694" s="74">
        <f>('Old Data'!$L690+'Old Data'!$M690-$J694)^2+('Old Data'!$V690+'Old Data'!$W690-$K694)^2</f>
        <v>360.90344616220011</v>
      </c>
      <c r="M694" s="75">
        <f>'Old Data'!$N690-'Old Data'!$X690</f>
        <v>-2</v>
      </c>
      <c r="N694" s="72">
        <f>VLOOKUP('Old Data'!$F690,$AD$6:$AF$135,2,FALSE)+VLOOKUP('Old Data'!$P690,$AD$6:$AF$135,3,FALSE)+$E$2</f>
        <v>1.4688129490778519</v>
      </c>
      <c r="O694" s="72">
        <f>VLOOKUP('Old Data'!$P690,$AD$6:$AF$135,2,FALSE)+VLOOKUP('Old Data'!$F690,$AD$6:$AF$135,3,FALSE)+$E$2</f>
        <v>0.78501937956616308</v>
      </c>
      <c r="P694" s="73">
        <f>('Old Data'!$N690-$N694)^2+('Old Data'!$X690-$O694)^2</f>
        <v>3.6335893874085676</v>
      </c>
    </row>
    <row r="695" spans="1:16">
      <c r="A695" s="71">
        <f>'Old Data'!$I691-'Old Data'!$S691</f>
        <v>-58</v>
      </c>
      <c r="B695" s="72">
        <f>VLOOKUP('Old Data'!$F691,$R$6:$T$135,2,FALSE)+VLOOKUP('Old Data'!$P691,$R$6:$T$135,3,FALSE)+$B$2</f>
        <v>129.26791785746371</v>
      </c>
      <c r="C695" s="72">
        <f>VLOOKUP('Old Data'!$P691,$R$6:$T$135,2,FALSE)+VLOOKUP('Old Data'!$F691,$R$6:$T$135,3,FALSE)+$B$2</f>
        <v>179.90325297926404</v>
      </c>
      <c r="D695" s="74">
        <f>('Old Data'!$I691-$B695)^2+('Old Data'!$S691-$C695)^2</f>
        <v>6619.9491478880755</v>
      </c>
      <c r="E695" s="75">
        <f>'Old Data'!$K691-'Old Data'!$U691</f>
        <v>7</v>
      </c>
      <c r="F695" s="72">
        <f>VLOOKUP('Old Data'!$F691,$V$6:$X$135,2,FALSE)+VLOOKUP('Old Data'!$P691,$V$6:$X$135,3,FALSE)+$C$2</f>
        <v>159.5399804932992</v>
      </c>
      <c r="G695" s="72">
        <f>VLOOKUP('Old Data'!$P691,$V$6:$X$135,2,FALSE)+VLOOKUP('Old Data'!$F691,$V$6:$X$135,3,FALSE)+$C$2</f>
        <v>211.7734907142048</v>
      </c>
      <c r="H695" s="74">
        <f>('Old Data'!$K691-$F695)^2+('Old Data'!$U691-$G695)^2</f>
        <v>2276.3845772841587</v>
      </c>
      <c r="I695" s="75">
        <f>('Old Data'!$L691+'Old Data'!$M691)-('Old Data'!$V691+'Old Data'!$W691)</f>
        <v>141</v>
      </c>
      <c r="J695" s="72">
        <f>VLOOKUP('Old Data'!$F691,$Z$6:$AB$135,2,FALSE)+VLOOKUP('Old Data'!$P691,$Z$6:$AB$135,3,FALSE)+$D$2</f>
        <v>69.155957871955579</v>
      </c>
      <c r="K695" s="72">
        <f>VLOOKUP('Old Data'!$P691,$Z$6:$AB$135,2,FALSE)+VLOOKUP('Old Data'!$F691,$Z$6:$AB$135,3,FALSE)+$D$2</f>
        <v>37.860534687197642</v>
      </c>
      <c r="L695" s="74">
        <f>('Old Data'!$L691+'Old Data'!$M691-$J695)^2+('Old Data'!$V691+'Old Data'!$W691-$K695)^2</f>
        <v>6738.9205058601046</v>
      </c>
      <c r="M695" s="75">
        <f>'Old Data'!$N691-'Old Data'!$X691</f>
        <v>-1</v>
      </c>
      <c r="N695" s="72">
        <f>VLOOKUP('Old Data'!$F691,$AD$6:$AF$135,2,FALSE)+VLOOKUP('Old Data'!$P691,$AD$6:$AF$135,3,FALSE)+$E$2</f>
        <v>1.1639733567726442</v>
      </c>
      <c r="O695" s="72">
        <f>VLOOKUP('Old Data'!$P691,$AD$6:$AF$135,2,FALSE)+VLOOKUP('Old Data'!$F691,$AD$6:$AF$135,3,FALSE)+$E$2</f>
        <v>1.3943989386813871</v>
      </c>
      <c r="P695" s="73">
        <f>('Old Data'!$N691-$N695)^2+('Old Data'!$X691-$O695)^2</f>
        <v>3.2768953162934569</v>
      </c>
    </row>
    <row r="696" spans="1:16">
      <c r="A696" s="71">
        <f>'Old Data'!$I692-'Old Data'!$S692</f>
        <v>54</v>
      </c>
      <c r="B696" s="72">
        <f>VLOOKUP('Old Data'!$F692,$R$6:$T$135,2,FALSE)+VLOOKUP('Old Data'!$P692,$R$6:$T$135,3,FALSE)+$B$2</f>
        <v>194.45778192230594</v>
      </c>
      <c r="C696" s="72">
        <f>VLOOKUP('Old Data'!$P692,$R$6:$T$135,2,FALSE)+VLOOKUP('Old Data'!$F692,$R$6:$T$135,3,FALSE)+$B$2</f>
        <v>127.51302873155507</v>
      </c>
      <c r="D696" s="74">
        <f>('Old Data'!$I692-$B696)^2+('Old Data'!$S692-$C696)^2</f>
        <v>101.95887967052542</v>
      </c>
      <c r="E696" s="75">
        <f>'Old Data'!$K692-'Old Data'!$U692</f>
        <v>-69</v>
      </c>
      <c r="F696" s="72">
        <f>VLOOKUP('Old Data'!$F692,$V$6:$X$135,2,FALSE)+VLOOKUP('Old Data'!$P692,$V$6:$X$135,3,FALSE)+$C$2</f>
        <v>281.58837027660201</v>
      </c>
      <c r="G696" s="72">
        <f>VLOOKUP('Old Data'!$P692,$V$6:$X$135,2,FALSE)+VLOOKUP('Old Data'!$F692,$V$6:$X$135,3,FALSE)+$C$2</f>
        <v>214.2816100491419</v>
      </c>
      <c r="H696" s="74">
        <f>('Old Data'!$K692-$F696)^2+('Old Data'!$U692-$G696)^2</f>
        <v>12400.003340144765</v>
      </c>
      <c r="I696" s="75">
        <f>('Old Data'!$L692+'Old Data'!$M692)-('Old Data'!$V692+'Old Data'!$W692)</f>
        <v>82</v>
      </c>
      <c r="J696" s="72">
        <f>VLOOKUP('Old Data'!$F692,$Z$6:$AB$135,2,FALSE)+VLOOKUP('Old Data'!$P692,$Z$6:$AB$135,3,FALSE)+$D$2</f>
        <v>111.2220521878145</v>
      </c>
      <c r="K696" s="72">
        <f>VLOOKUP('Old Data'!$P692,$Z$6:$AB$135,2,FALSE)+VLOOKUP('Old Data'!$F692,$Z$6:$AB$135,3,FALSE)+$D$2</f>
        <v>93.916678722757894</v>
      </c>
      <c r="L696" s="74">
        <f>('Old Data'!$L692+'Old Data'!$M692-$J696)^2+('Old Data'!$V692+'Old Data'!$W692-$K696)^2</f>
        <v>2116.2358580066684</v>
      </c>
      <c r="M696" s="75">
        <f>'Old Data'!$N692-'Old Data'!$X692</f>
        <v>0</v>
      </c>
      <c r="N696" s="72">
        <f>VLOOKUP('Old Data'!$F692,$AD$6:$AF$135,2,FALSE)+VLOOKUP('Old Data'!$P692,$AD$6:$AF$135,3,FALSE)+$E$2</f>
        <v>0.85457716431792008</v>
      </c>
      <c r="O696" s="72">
        <f>VLOOKUP('Old Data'!$P692,$AD$6:$AF$135,2,FALSE)+VLOOKUP('Old Data'!$F692,$AD$6:$AF$135,3,FALSE)+$E$2</f>
        <v>0.90824095831997032</v>
      </c>
      <c r="P696" s="73">
        <f>('Old Data'!$N692-$N696)^2+('Old Data'!$X692-$O696)^2</f>
        <v>2.9567522867854641E-2</v>
      </c>
    </row>
    <row r="697" spans="1:16">
      <c r="A697" s="71">
        <f>'Old Data'!$I693-'Old Data'!$S693</f>
        <v>-193</v>
      </c>
      <c r="B697" s="72">
        <f>VLOOKUP('Old Data'!$F693,$R$6:$T$135,2,FALSE)+VLOOKUP('Old Data'!$P693,$R$6:$T$135,3,FALSE)+$B$2</f>
        <v>129.71378147037069</v>
      </c>
      <c r="C697" s="72">
        <f>VLOOKUP('Old Data'!$P693,$R$6:$T$135,2,FALSE)+VLOOKUP('Old Data'!$F693,$R$6:$T$135,3,FALSE)+$B$2</f>
        <v>194.02767826721811</v>
      </c>
      <c r="D697" s="74">
        <f>('Old Data'!$I693-$B697)^2+('Old Data'!$S693-$C697)^2</f>
        <v>8343.433943226386</v>
      </c>
      <c r="E697" s="75">
        <f>'Old Data'!$K693-'Old Data'!$U693</f>
        <v>200</v>
      </c>
      <c r="F697" s="72">
        <f>VLOOKUP('Old Data'!$F693,$V$6:$X$135,2,FALSE)+VLOOKUP('Old Data'!$P693,$V$6:$X$135,3,FALSE)+$C$2</f>
        <v>320.51702455656221</v>
      </c>
      <c r="G697" s="72">
        <f>VLOOKUP('Old Data'!$P693,$V$6:$X$135,2,FALSE)+VLOOKUP('Old Data'!$F693,$V$6:$X$135,3,FALSE)+$C$2</f>
        <v>148.67321820255921</v>
      </c>
      <c r="H697" s="74">
        <f>('Old Data'!$K693-$F697)^2+('Old Data'!$U693-$G697)^2</f>
        <v>665.2792999289328</v>
      </c>
      <c r="I697" s="75">
        <f>('Old Data'!$L693+'Old Data'!$M693)-('Old Data'!$V693+'Old Data'!$W693)</f>
        <v>-71</v>
      </c>
      <c r="J697" s="72">
        <f>VLOOKUP('Old Data'!$F693,$Z$6:$AB$135,2,FALSE)+VLOOKUP('Old Data'!$P693,$Z$6:$AB$135,3,FALSE)+$D$2</f>
        <v>36.009382873510596</v>
      </c>
      <c r="K697" s="72">
        <f>VLOOKUP('Old Data'!$P693,$Z$6:$AB$135,2,FALSE)+VLOOKUP('Old Data'!$F693,$Z$6:$AB$135,3,FALSE)+$D$2</f>
        <v>83.172090635839723</v>
      </c>
      <c r="L697" s="74">
        <f>('Old Data'!$L693+'Old Data'!$M693-$J697)^2+('Old Data'!$V693+'Old Data'!$W693-$K697)^2</f>
        <v>1091.3836573033727</v>
      </c>
      <c r="M697" s="75">
        <f>'Old Data'!$N693-'Old Data'!$X693</f>
        <v>-4</v>
      </c>
      <c r="N697" s="72">
        <f>VLOOKUP('Old Data'!$F693,$AD$6:$AF$135,2,FALSE)+VLOOKUP('Old Data'!$P693,$AD$6:$AF$135,3,FALSE)+$E$2</f>
        <v>0.70571270774858907</v>
      </c>
      <c r="O697" s="72">
        <f>VLOOKUP('Old Data'!$P693,$AD$6:$AF$135,2,FALSE)+VLOOKUP('Old Data'!$F693,$AD$6:$AF$135,3,FALSE)+$E$2</f>
        <v>1.4585543424167582</v>
      </c>
      <c r="P697" s="73">
        <f>('Old Data'!$N693-$N697)^2+('Old Data'!$X693-$O697)^2</f>
        <v>6.9569764563265615</v>
      </c>
    </row>
    <row r="698" spans="1:16">
      <c r="A698" s="71">
        <f>'Old Data'!$I694-'Old Data'!$S694</f>
        <v>68</v>
      </c>
      <c r="B698" s="72">
        <f>VLOOKUP('Old Data'!$F694,$R$6:$T$135,2,FALSE)+VLOOKUP('Old Data'!$P694,$R$6:$T$135,3,FALSE)+$B$2</f>
        <v>241.51643049283061</v>
      </c>
      <c r="C698" s="72">
        <f>VLOOKUP('Old Data'!$P694,$R$6:$T$135,2,FALSE)+VLOOKUP('Old Data'!$F694,$R$6:$T$135,3,FALSE)+$B$2</f>
        <v>78.182650159713106</v>
      </c>
      <c r="D698" s="74">
        <f>('Old Data'!$I694-$B698)^2+('Old Data'!$S694-$C698)^2</f>
        <v>11307.216756833317</v>
      </c>
      <c r="E698" s="75">
        <f>'Old Data'!$K694-'Old Data'!$U694</f>
        <v>-118</v>
      </c>
      <c r="F698" s="72">
        <f>VLOOKUP('Old Data'!$F694,$V$6:$X$135,2,FALSE)+VLOOKUP('Old Data'!$P694,$V$6:$X$135,3,FALSE)+$C$2</f>
        <v>219.76290677332116</v>
      </c>
      <c r="G698" s="72">
        <f>VLOOKUP('Old Data'!$P694,$V$6:$X$135,2,FALSE)+VLOOKUP('Old Data'!$F694,$V$6:$X$135,3,FALSE)+$C$2</f>
        <v>155.95797175968198</v>
      </c>
      <c r="H698" s="74">
        <f>('Old Data'!$K694-$F698)^2+('Old Data'!$U694-$G698)^2</f>
        <v>21107.760491221754</v>
      </c>
      <c r="I698" s="75">
        <f>('Old Data'!$L694+'Old Data'!$M694)-('Old Data'!$V694+'Old Data'!$W694)</f>
        <v>101</v>
      </c>
      <c r="J698" s="72">
        <f>VLOOKUP('Old Data'!$F694,$Z$6:$AB$135,2,FALSE)+VLOOKUP('Old Data'!$P694,$Z$6:$AB$135,3,FALSE)+$D$2</f>
        <v>57.048976386151317</v>
      </c>
      <c r="K698" s="72">
        <f>VLOOKUP('Old Data'!$P694,$Z$6:$AB$135,2,FALSE)+VLOOKUP('Old Data'!$F694,$Z$6:$AB$135,3,FALSE)+$D$2</f>
        <v>31.031504243204907</v>
      </c>
      <c r="L698" s="74">
        <f>('Old Data'!$L694+'Old Data'!$M694-$J698)^2+('Old Data'!$V694+'Old Data'!$W694-$K698)^2</f>
        <v>2922.4857710424162</v>
      </c>
      <c r="M698" s="75">
        <f>'Old Data'!$N694-'Old Data'!$X694</f>
        <v>-1</v>
      </c>
      <c r="N698" s="72">
        <f>VLOOKUP('Old Data'!$F694,$AD$6:$AF$135,2,FALSE)+VLOOKUP('Old Data'!$P694,$AD$6:$AF$135,3,FALSE)+$E$2</f>
        <v>2.1500168314771324</v>
      </c>
      <c r="O698" s="72">
        <f>VLOOKUP('Old Data'!$P694,$AD$6:$AF$135,2,FALSE)+VLOOKUP('Old Data'!$F694,$AD$6:$AF$135,3,FALSE)+$E$2</f>
        <v>0.65543757401721203</v>
      </c>
      <c r="P698" s="73">
        <f>('Old Data'!$N694-$N698)^2+('Old Data'!$X694-$O698)^2</f>
        <v>4.7412956410341129</v>
      </c>
    </row>
    <row r="699" spans="1:16">
      <c r="A699" s="71">
        <f>'Old Data'!$I695-'Old Data'!$S695</f>
        <v>-4</v>
      </c>
      <c r="B699" s="72">
        <f>VLOOKUP('Old Data'!$F695,$R$6:$T$135,2,FALSE)+VLOOKUP('Old Data'!$P695,$R$6:$T$135,3,FALSE)+$B$2</f>
        <v>73.752951596630112</v>
      </c>
      <c r="C699" s="72">
        <f>VLOOKUP('Old Data'!$P695,$R$6:$T$135,2,FALSE)+VLOOKUP('Old Data'!$F695,$R$6:$T$135,3,FALSE)+$B$2</f>
        <v>159.99622911766872</v>
      </c>
      <c r="D699" s="74">
        <f>('Old Data'!$I695-$B699)^2+('Old Data'!$S695-$C699)^2</f>
        <v>12127.117949570882</v>
      </c>
      <c r="E699" s="75">
        <f>'Old Data'!$K695-'Old Data'!$U695</f>
        <v>71</v>
      </c>
      <c r="F699" s="72">
        <f>VLOOKUP('Old Data'!$F695,$V$6:$X$135,2,FALSE)+VLOOKUP('Old Data'!$P695,$V$6:$X$135,3,FALSE)+$C$2</f>
        <v>327.91666297373615</v>
      </c>
      <c r="G699" s="72">
        <f>VLOOKUP('Old Data'!$P695,$V$6:$X$135,2,FALSE)+VLOOKUP('Old Data'!$F695,$V$6:$X$135,3,FALSE)+$C$2</f>
        <v>326.43141862566017</v>
      </c>
      <c r="H699" s="74">
        <f>('Old Data'!$K695-$F699)^2+('Old Data'!$U695-$G699)^2</f>
        <v>6525.035781528205</v>
      </c>
      <c r="I699" s="75">
        <f>('Old Data'!$L695+'Old Data'!$M695)-('Old Data'!$V695+'Old Data'!$W695)</f>
        <v>-6</v>
      </c>
      <c r="J699" s="72">
        <f>VLOOKUP('Old Data'!$F695,$Z$6:$AB$135,2,FALSE)+VLOOKUP('Old Data'!$P695,$Z$6:$AB$135,3,FALSE)+$D$2</f>
        <v>42.006591561429175</v>
      </c>
      <c r="K699" s="72">
        <f>VLOOKUP('Old Data'!$P695,$Z$6:$AB$135,2,FALSE)+VLOOKUP('Old Data'!$F695,$Z$6:$AB$135,3,FALSE)+$D$2</f>
        <v>33.890397082780666</v>
      </c>
      <c r="L699" s="74">
        <f>('Old Data'!$L695+'Old Data'!$M695-$J699)^2+('Old Data'!$V695+'Old Data'!$W695-$K699)^2</f>
        <v>614.93514233450924</v>
      </c>
      <c r="M699" s="75">
        <f>'Old Data'!$N695-'Old Data'!$X695</f>
        <v>-2</v>
      </c>
      <c r="N699" s="72">
        <f>VLOOKUP('Old Data'!$F695,$AD$6:$AF$135,2,FALSE)+VLOOKUP('Old Data'!$P695,$AD$6:$AF$135,3,FALSE)+$E$2</f>
        <v>0.95897695575765407</v>
      </c>
      <c r="O699" s="72">
        <f>VLOOKUP('Old Data'!$P695,$AD$6:$AF$135,2,FALSE)+VLOOKUP('Old Data'!$F695,$AD$6:$AF$135,3,FALSE)+$E$2</f>
        <v>1.497468882584801</v>
      </c>
      <c r="P699" s="73">
        <f>('Old Data'!$N695-$N699)^2+('Old Data'!$X695-$O699)^2</f>
        <v>1.1721743256447861</v>
      </c>
    </row>
    <row r="700" spans="1:16">
      <c r="A700" s="71">
        <f>'Old Data'!$I696-'Old Data'!$S696</f>
        <v>-142</v>
      </c>
      <c r="B700" s="72">
        <f>VLOOKUP('Old Data'!$F696,$R$6:$T$135,2,FALSE)+VLOOKUP('Old Data'!$P696,$R$6:$T$135,3,FALSE)+$B$2</f>
        <v>76.956560992192408</v>
      </c>
      <c r="C700" s="72">
        <f>VLOOKUP('Old Data'!$P696,$R$6:$T$135,2,FALSE)+VLOOKUP('Old Data'!$F696,$R$6:$T$135,3,FALSE)+$B$2</f>
        <v>216.8686694454492</v>
      </c>
      <c r="D700" s="74">
        <f>('Old Data'!$I696-$B700)^2+('Old Data'!$S696-$C700)^2</f>
        <v>97.748143882426859</v>
      </c>
      <c r="E700" s="75">
        <f>'Old Data'!$K696-'Old Data'!$U696</f>
        <v>-211</v>
      </c>
      <c r="F700" s="72">
        <f>VLOOKUP('Old Data'!$F696,$V$6:$X$135,2,FALSE)+VLOOKUP('Old Data'!$P696,$V$6:$X$135,3,FALSE)+$C$2</f>
        <v>174.18885581312628</v>
      </c>
      <c r="G700" s="72">
        <f>VLOOKUP('Old Data'!$P696,$V$6:$X$135,2,FALSE)+VLOOKUP('Old Data'!$F696,$V$6:$X$135,3,FALSE)+$C$2</f>
        <v>274.059703307169</v>
      </c>
      <c r="H700" s="74">
        <f>('Old Data'!$K696-$F700)^2+('Old Data'!$U696-$G700)^2</f>
        <v>6546.0862554122687</v>
      </c>
      <c r="I700" s="75">
        <f>('Old Data'!$L696+'Old Data'!$M696)-('Old Data'!$V696+'Old Data'!$W696)</f>
        <v>-58</v>
      </c>
      <c r="J700" s="72">
        <f>VLOOKUP('Old Data'!$F696,$Z$6:$AB$135,2,FALSE)+VLOOKUP('Old Data'!$P696,$Z$6:$AB$135,3,FALSE)+$D$2</f>
        <v>31.761543493918559</v>
      </c>
      <c r="K700" s="72">
        <f>VLOOKUP('Old Data'!$P696,$Z$6:$AB$135,2,FALSE)+VLOOKUP('Old Data'!$F696,$Z$6:$AB$135,3,FALSE)+$D$2</f>
        <v>47.065264282197589</v>
      </c>
      <c r="L700" s="74">
        <f>('Old Data'!$L696+'Old Data'!$M696-$J700)^2+('Old Data'!$V696+'Old Data'!$W696-$K700)^2</f>
        <v>1128.3640903342641</v>
      </c>
      <c r="M700" s="75">
        <f>'Old Data'!$N696-'Old Data'!$X696</f>
        <v>-1</v>
      </c>
      <c r="N700" s="72">
        <f>VLOOKUP('Old Data'!$F696,$AD$6:$AF$135,2,FALSE)+VLOOKUP('Old Data'!$P696,$AD$6:$AF$135,3,FALSE)+$E$2</f>
        <v>1.0752985860293121</v>
      </c>
      <c r="O700" s="72">
        <f>VLOOKUP('Old Data'!$P696,$AD$6:$AF$135,2,FALSE)+VLOOKUP('Old Data'!$F696,$AD$6:$AF$135,3,FALSE)+$E$2</f>
        <v>1.8296275524223682</v>
      </c>
      <c r="P700" s="73">
        <f>('Old Data'!$N696-$N700)^2+('Old Data'!$X696-$O700)^2</f>
        <v>1.8445489248549669</v>
      </c>
    </row>
    <row r="701" spans="1:16">
      <c r="A701" s="71">
        <f>'Old Data'!$I697-'Old Data'!$S697</f>
        <v>19</v>
      </c>
      <c r="B701" s="72">
        <f>VLOOKUP('Old Data'!$F697,$R$6:$T$135,2,FALSE)+VLOOKUP('Old Data'!$P697,$R$6:$T$135,3,FALSE)+$B$2</f>
        <v>146.18808679687589</v>
      </c>
      <c r="C701" s="72">
        <f>VLOOKUP('Old Data'!$P697,$R$6:$T$135,2,FALSE)+VLOOKUP('Old Data'!$F697,$R$6:$T$135,3,FALSE)+$B$2</f>
        <v>71.578047067135998</v>
      </c>
      <c r="D701" s="74">
        <f>('Old Data'!$I697-$B701)^2+('Old Data'!$S697-$C701)^2</f>
        <v>2377.1770944808932</v>
      </c>
      <c r="E701" s="75">
        <f>'Old Data'!$K697-'Old Data'!$U697</f>
        <v>-166</v>
      </c>
      <c r="F701" s="72">
        <f>VLOOKUP('Old Data'!$F697,$V$6:$X$135,2,FALSE)+VLOOKUP('Old Data'!$P697,$V$6:$X$135,3,FALSE)+$C$2</f>
        <v>178.32312269561481</v>
      </c>
      <c r="G701" s="72">
        <f>VLOOKUP('Old Data'!$P697,$V$6:$X$135,2,FALSE)+VLOOKUP('Old Data'!$F697,$V$6:$X$135,3,FALSE)+$C$2</f>
        <v>272.52991380396202</v>
      </c>
      <c r="H701" s="74">
        <f>('Old Data'!$K697-$F701)^2+('Old Data'!$U697-$G701)^2</f>
        <v>4326.3140671404426</v>
      </c>
      <c r="I701" s="75">
        <f>('Old Data'!$L697+'Old Data'!$M697)-('Old Data'!$V697+'Old Data'!$W697)</f>
        <v>0</v>
      </c>
      <c r="J701" s="72">
        <f>VLOOKUP('Old Data'!$F697,$Z$6:$AB$135,2,FALSE)+VLOOKUP('Old Data'!$P697,$Z$6:$AB$135,3,FALSE)+$D$2</f>
        <v>65.6826199137289</v>
      </c>
      <c r="K701" s="72">
        <f>VLOOKUP('Old Data'!$P697,$Z$6:$AB$135,2,FALSE)+VLOOKUP('Old Data'!$F697,$Z$6:$AB$135,3,FALSE)+$D$2</f>
        <v>18.809539303367401</v>
      </c>
      <c r="L701" s="74">
        <f>('Old Data'!$L697+'Old Data'!$M697-$J701)^2+('Old Data'!$V697+'Old Data'!$W697-$K701)^2</f>
        <v>2274.2875957208325</v>
      </c>
      <c r="M701" s="75">
        <f>'Old Data'!$N697-'Old Data'!$X697</f>
        <v>3</v>
      </c>
      <c r="N701" s="72">
        <f>VLOOKUP('Old Data'!$F697,$AD$6:$AF$135,2,FALSE)+VLOOKUP('Old Data'!$P697,$AD$6:$AF$135,3,FALSE)+$E$2</f>
        <v>1.5132169773505761</v>
      </c>
      <c r="O701" s="72">
        <f>VLOOKUP('Old Data'!$P697,$AD$6:$AF$135,2,FALSE)+VLOOKUP('Old Data'!$F697,$AD$6:$AF$135,3,FALSE)+$E$2</f>
        <v>1.3063759181967531</v>
      </c>
      <c r="P701" s="73">
        <f>('Old Data'!$N697-$N701)^2+('Old Data'!$X697-$O701)^2</f>
        <v>3.9171417960829675</v>
      </c>
    </row>
    <row r="702" spans="1:16">
      <c r="A702" s="71">
        <f>'Old Data'!$I698-'Old Data'!$S698</f>
        <v>-76</v>
      </c>
      <c r="B702" s="72">
        <f>VLOOKUP('Old Data'!$F698,$R$6:$T$135,2,FALSE)+VLOOKUP('Old Data'!$P698,$R$6:$T$135,3,FALSE)+$B$2</f>
        <v>109.71788581014771</v>
      </c>
      <c r="C702" s="72">
        <f>VLOOKUP('Old Data'!$P698,$R$6:$T$135,2,FALSE)+VLOOKUP('Old Data'!$F698,$R$6:$T$135,3,FALSE)+$B$2</f>
        <v>222.39986433093441</v>
      </c>
      <c r="D702" s="74">
        <f>('Old Data'!$I698-$B702)^2+('Old Data'!$S698-$C702)^2</f>
        <v>1188.5587111622185</v>
      </c>
      <c r="E702" s="75">
        <f>'Old Data'!$K698-'Old Data'!$U698</f>
        <v>126</v>
      </c>
      <c r="F702" s="72">
        <f>VLOOKUP('Old Data'!$F698,$V$6:$X$135,2,FALSE)+VLOOKUP('Old Data'!$P698,$V$6:$X$135,3,FALSE)+$C$2</f>
        <v>361.38374890853044</v>
      </c>
      <c r="G702" s="72">
        <f>VLOOKUP('Old Data'!$P698,$V$6:$X$135,2,FALSE)+VLOOKUP('Old Data'!$F698,$V$6:$X$135,3,FALSE)+$C$2</f>
        <v>226.78674202638035</v>
      </c>
      <c r="H702" s="74">
        <f>('Old Data'!$K698-$F702)^2+('Old Data'!$U698-$G702)^2</f>
        <v>9037.8145825233569</v>
      </c>
      <c r="I702" s="75">
        <f>('Old Data'!$L698+'Old Data'!$M698)-('Old Data'!$V698+'Old Data'!$W698)</f>
        <v>-35</v>
      </c>
      <c r="J702" s="72">
        <f>VLOOKUP('Old Data'!$F698,$Z$6:$AB$135,2,FALSE)+VLOOKUP('Old Data'!$P698,$Z$6:$AB$135,3,FALSE)+$D$2</f>
        <v>64.690558836933491</v>
      </c>
      <c r="K702" s="72">
        <f>VLOOKUP('Old Data'!$P698,$Z$6:$AB$135,2,FALSE)+VLOOKUP('Old Data'!$F698,$Z$6:$AB$135,3,FALSE)+$D$2</f>
        <v>72.615042656608423</v>
      </c>
      <c r="L702" s="74">
        <f>('Old Data'!$L698+'Old Data'!$M698-$J702)^2+('Old Data'!$V698+'Old Data'!$W698-$K702)^2</f>
        <v>5599.7598366932252</v>
      </c>
      <c r="M702" s="75">
        <f>'Old Data'!$N698-'Old Data'!$X698</f>
        <v>1</v>
      </c>
      <c r="N702" s="72">
        <f>VLOOKUP('Old Data'!$F698,$AD$6:$AF$135,2,FALSE)+VLOOKUP('Old Data'!$P698,$AD$6:$AF$135,3,FALSE)+$E$2</f>
        <v>1.6341589457657362</v>
      </c>
      <c r="O702" s="72">
        <f>VLOOKUP('Old Data'!$P698,$AD$6:$AF$135,2,FALSE)+VLOOKUP('Old Data'!$F698,$AD$6:$AF$135,3,FALSE)+$E$2</f>
        <v>1.1249992508197422</v>
      </c>
      <c r="P702" s="73">
        <f>('Old Data'!$N698-$N702)^2+('Old Data'!$X698-$O702)^2</f>
        <v>1.6677808828396909</v>
      </c>
    </row>
    <row r="703" spans="1:16">
      <c r="A703" s="71">
        <f>'Old Data'!$I699-'Old Data'!$S699</f>
        <v>-26</v>
      </c>
      <c r="B703" s="72">
        <f>VLOOKUP('Old Data'!$F699,$R$6:$T$135,2,FALSE)+VLOOKUP('Old Data'!$P699,$R$6:$T$135,3,FALSE)+$B$2</f>
        <v>157.65600116058914</v>
      </c>
      <c r="C703" s="72">
        <f>VLOOKUP('Old Data'!$P699,$R$6:$T$135,2,FALSE)+VLOOKUP('Old Data'!$F699,$R$6:$T$135,3,FALSE)+$B$2</f>
        <v>232.88687489398797</v>
      </c>
      <c r="D703" s="74">
        <f>('Old Data'!$I699-$B703)^2+('Old Data'!$S699-$C703)^2</f>
        <v>1645.7005398449326</v>
      </c>
      <c r="E703" s="75">
        <f>'Old Data'!$K699-'Old Data'!$U699</f>
        <v>-62</v>
      </c>
      <c r="F703" s="72">
        <f>VLOOKUP('Old Data'!$F699,$V$6:$X$135,2,FALSE)+VLOOKUP('Old Data'!$P699,$V$6:$X$135,3,FALSE)+$C$2</f>
        <v>314.00046124885893</v>
      </c>
      <c r="G703" s="72">
        <f>VLOOKUP('Old Data'!$P699,$V$6:$X$135,2,FALSE)+VLOOKUP('Old Data'!$F699,$V$6:$X$135,3,FALSE)+$C$2</f>
        <v>263.70327416135041</v>
      </c>
      <c r="H703" s="74">
        <f>('Old Data'!$K699-$F703)^2+('Old Data'!$U699-$G703)^2</f>
        <v>18427.15572422968</v>
      </c>
      <c r="I703" s="75">
        <f>('Old Data'!$L699+'Old Data'!$M699)-('Old Data'!$V699+'Old Data'!$W699)</f>
        <v>-105</v>
      </c>
      <c r="J703" s="72">
        <f>VLOOKUP('Old Data'!$F699,$Z$6:$AB$135,2,FALSE)+VLOOKUP('Old Data'!$P699,$Z$6:$AB$135,3,FALSE)+$D$2</f>
        <v>91.760701976982787</v>
      </c>
      <c r="K703" s="72">
        <f>VLOOKUP('Old Data'!$P699,$Z$6:$AB$135,2,FALSE)+VLOOKUP('Old Data'!$F699,$Z$6:$AB$135,3,FALSE)+$D$2</f>
        <v>113.4350103509428</v>
      </c>
      <c r="L703" s="74">
        <f>('Old Data'!$L699+'Old Data'!$M699-$J703)^2+('Old Data'!$V699+'Old Data'!$W699-$K703)^2</f>
        <v>3473.2131694807549</v>
      </c>
      <c r="M703" s="75">
        <f>'Old Data'!$N699-'Old Data'!$X699</f>
        <v>1</v>
      </c>
      <c r="N703" s="72">
        <f>VLOOKUP('Old Data'!$F699,$AD$6:$AF$135,2,FALSE)+VLOOKUP('Old Data'!$P699,$AD$6:$AF$135,3,FALSE)+$E$2</f>
        <v>1.4632164869627597</v>
      </c>
      <c r="O703" s="72">
        <f>VLOOKUP('Old Data'!$P699,$AD$6:$AF$135,2,FALSE)+VLOOKUP('Old Data'!$F699,$AD$6:$AF$135,3,FALSE)+$E$2</f>
        <v>0.85030632180398436</v>
      </c>
      <c r="P703" s="73">
        <f>('Old Data'!$N699-$N703)^2+('Old Data'!$X699-$O703)^2</f>
        <v>0.31054473716045339</v>
      </c>
    </row>
    <row r="704" spans="1:16">
      <c r="A704" s="71">
        <f>'Old Data'!$I700-'Old Data'!$S700</f>
        <v>-72</v>
      </c>
      <c r="B704" s="72">
        <f>VLOOKUP('Old Data'!$F700,$R$6:$T$135,2,FALSE)+VLOOKUP('Old Data'!$P700,$R$6:$T$135,3,FALSE)+$B$2</f>
        <v>93.231636754680608</v>
      </c>
      <c r="C704" s="72">
        <f>VLOOKUP('Old Data'!$P700,$R$6:$T$135,2,FALSE)+VLOOKUP('Old Data'!$F700,$R$6:$T$135,3,FALSE)+$B$2</f>
        <v>162.06427599697599</v>
      </c>
      <c r="D704" s="74">
        <f>('Old Data'!$I700-$B704)^2+('Old Data'!$S700-$C704)^2</f>
        <v>1393.8764934252204</v>
      </c>
      <c r="E704" s="75">
        <f>'Old Data'!$K700-'Old Data'!$U700</f>
        <v>21</v>
      </c>
      <c r="F704" s="72">
        <f>VLOOKUP('Old Data'!$F700,$V$6:$X$135,2,FALSE)+VLOOKUP('Old Data'!$P700,$V$6:$X$135,3,FALSE)+$C$2</f>
        <v>199.55693241770678</v>
      </c>
      <c r="G704" s="72">
        <f>VLOOKUP('Old Data'!$P700,$V$6:$X$135,2,FALSE)+VLOOKUP('Old Data'!$F700,$V$6:$X$135,3,FALSE)+$C$2</f>
        <v>279.10217422789333</v>
      </c>
      <c r="H704" s="74">
        <f>('Old Data'!$K700-$F704)^2+('Old Data'!$U700-$G704)^2</f>
        <v>6424.4573839027753</v>
      </c>
      <c r="I704" s="75">
        <f>('Old Data'!$L700+'Old Data'!$M700)-('Old Data'!$V700+'Old Data'!$W700)</f>
        <v>8</v>
      </c>
      <c r="J704" s="72">
        <f>VLOOKUP('Old Data'!$F700,$Z$6:$AB$135,2,FALSE)+VLOOKUP('Old Data'!$P700,$Z$6:$AB$135,3,FALSE)+$D$2</f>
        <v>55.614222788986794</v>
      </c>
      <c r="K704" s="72">
        <f>VLOOKUP('Old Data'!$P700,$Z$6:$AB$135,2,FALSE)+VLOOKUP('Old Data'!$F700,$Z$6:$AB$135,3,FALSE)+$D$2</f>
        <v>50.598657287385436</v>
      </c>
      <c r="L704" s="74">
        <f>('Old Data'!$L700+'Old Data'!$M700-$J704)^2+('Old Data'!$V700+'Old Data'!$W700-$K704)^2</f>
        <v>5390.3365556583622</v>
      </c>
      <c r="M704" s="75">
        <f>'Old Data'!$N700-'Old Data'!$X700</f>
        <v>-2</v>
      </c>
      <c r="N704" s="72">
        <f>VLOOKUP('Old Data'!$F700,$AD$6:$AF$135,2,FALSE)+VLOOKUP('Old Data'!$P700,$AD$6:$AF$135,3,FALSE)+$E$2</f>
        <v>0.69645981889556807</v>
      </c>
      <c r="O704" s="72">
        <f>VLOOKUP('Old Data'!$P700,$AD$6:$AF$135,2,FALSE)+VLOOKUP('Old Data'!$F700,$AD$6:$AF$135,3,FALSE)+$E$2</f>
        <v>1.4660848809557581</v>
      </c>
      <c r="P704" s="73">
        <f>('Old Data'!$N700-$N704)^2+('Old Data'!$X700-$O704)^2</f>
        <v>0.77012163368007447</v>
      </c>
    </row>
    <row r="705" spans="1:16">
      <c r="A705" s="71">
        <f>'Old Data'!$I701-'Old Data'!$S701</f>
        <v>29</v>
      </c>
      <c r="B705" s="72">
        <f>VLOOKUP('Old Data'!$F701,$R$6:$T$135,2,FALSE)+VLOOKUP('Old Data'!$P701,$R$6:$T$135,3,FALSE)+$B$2</f>
        <v>152.09819874992695</v>
      </c>
      <c r="C705" s="72">
        <f>VLOOKUP('Old Data'!$P701,$R$6:$T$135,2,FALSE)+VLOOKUP('Old Data'!$F701,$R$6:$T$135,3,FALSE)+$B$2</f>
        <v>238.42436431242407</v>
      </c>
      <c r="D705" s="74">
        <f>('Old Data'!$I701-$B705)^2+('Old Data'!$S701-$C705)^2</f>
        <v>8421.5299884300257</v>
      </c>
      <c r="E705" s="75">
        <f>'Old Data'!$K701-'Old Data'!$U701</f>
        <v>-160</v>
      </c>
      <c r="F705" s="72">
        <f>VLOOKUP('Old Data'!$F701,$V$6:$X$135,2,FALSE)+VLOOKUP('Old Data'!$P701,$V$6:$X$135,3,FALSE)+$C$2</f>
        <v>268.45345036716429</v>
      </c>
      <c r="G705" s="72">
        <f>VLOOKUP('Old Data'!$P701,$V$6:$X$135,2,FALSE)+VLOOKUP('Old Data'!$F701,$V$6:$X$135,3,FALSE)+$C$2</f>
        <v>324.36484132585491</v>
      </c>
      <c r="H705" s="74">
        <f>('Old Data'!$K701-$F705)^2+('Old Data'!$U701-$G705)^2</f>
        <v>9393.9078143529805</v>
      </c>
      <c r="I705" s="75">
        <f>('Old Data'!$L701+'Old Data'!$M701)-('Old Data'!$V701+'Old Data'!$W701)</f>
        <v>89</v>
      </c>
      <c r="J705" s="72">
        <f>VLOOKUP('Old Data'!$F701,$Z$6:$AB$135,2,FALSE)+VLOOKUP('Old Data'!$P701,$Z$6:$AB$135,3,FALSE)+$D$2</f>
        <v>106.68434662854897</v>
      </c>
      <c r="K705" s="72">
        <f>VLOOKUP('Old Data'!$P701,$Z$6:$AB$135,2,FALSE)+VLOOKUP('Old Data'!$F701,$Z$6:$AB$135,3,FALSE)+$D$2</f>
        <v>16.097704682833097</v>
      </c>
      <c r="L705" s="74">
        <f>('Old Data'!$L701+'Old Data'!$M701-$J705)^2+('Old Data'!$V701+'Old Data'!$W701-$K705)^2</f>
        <v>571.87221173437774</v>
      </c>
      <c r="M705" s="75">
        <f>'Old Data'!$N701-'Old Data'!$X701</f>
        <v>2</v>
      </c>
      <c r="N705" s="72">
        <f>VLOOKUP('Old Data'!$F701,$AD$6:$AF$135,2,FALSE)+VLOOKUP('Old Data'!$P701,$AD$6:$AF$135,3,FALSE)+$E$2</f>
        <v>1.6890542649633582</v>
      </c>
      <c r="O705" s="72">
        <f>VLOOKUP('Old Data'!$P701,$AD$6:$AF$135,2,FALSE)+VLOOKUP('Old Data'!$F701,$AD$6:$AF$135,3,FALSE)+$E$2</f>
        <v>1.5027983978988091</v>
      </c>
      <c r="P705" s="73">
        <f>('Old Data'!$N701-$N705)^2+('Old Data'!$X701-$O705)^2</f>
        <v>13.203974297691701</v>
      </c>
    </row>
    <row r="706" spans="1:16">
      <c r="A706" s="71">
        <f>'Old Data'!$I702-'Old Data'!$S702</f>
        <v>186</v>
      </c>
      <c r="B706" s="72">
        <f>VLOOKUP('Old Data'!$F702,$R$6:$T$135,2,FALSE)+VLOOKUP('Old Data'!$P702,$R$6:$T$135,3,FALSE)+$B$2</f>
        <v>180.4286573401989</v>
      </c>
      <c r="C706" s="72">
        <f>VLOOKUP('Old Data'!$P702,$R$6:$T$135,2,FALSE)+VLOOKUP('Old Data'!$F702,$R$6:$T$135,3,FALSE)+$B$2</f>
        <v>92.704697664173125</v>
      </c>
      <c r="D706" s="74">
        <f>('Old Data'!$I702-$B706)^2+('Old Data'!$S702-$C706)^2</f>
        <v>6932.9308673741189</v>
      </c>
      <c r="E706" s="75">
        <f>'Old Data'!$K702-'Old Data'!$U702</f>
        <v>62</v>
      </c>
      <c r="F706" s="72">
        <f>VLOOKUP('Old Data'!$F702,$V$6:$X$135,2,FALSE)+VLOOKUP('Old Data'!$P702,$V$6:$X$135,3,FALSE)+$C$2</f>
        <v>269.89225069553561</v>
      </c>
      <c r="G706" s="72">
        <f>VLOOKUP('Old Data'!$P702,$V$6:$X$135,2,FALSE)+VLOOKUP('Old Data'!$F702,$V$6:$X$135,3,FALSE)+$C$2</f>
        <v>207.51785371280189</v>
      </c>
      <c r="H706" s="74">
        <f>('Old Data'!$K702-$F706)^2+('Old Data'!$U702-$G706)^2</f>
        <v>3577.7953046545213</v>
      </c>
      <c r="I706" s="75">
        <f>('Old Data'!$L702+'Old Data'!$M702)-('Old Data'!$V702+'Old Data'!$W702)</f>
        <v>55</v>
      </c>
      <c r="J706" s="72">
        <f>VLOOKUP('Old Data'!$F702,$Z$6:$AB$135,2,FALSE)+VLOOKUP('Old Data'!$P702,$Z$6:$AB$135,3,FALSE)+$D$2</f>
        <v>55.630084693497928</v>
      </c>
      <c r="K706" s="72">
        <f>VLOOKUP('Old Data'!$P702,$Z$6:$AB$135,2,FALSE)+VLOOKUP('Old Data'!$F702,$Z$6:$AB$135,3,FALSE)+$D$2</f>
        <v>44.193930295617697</v>
      </c>
      <c r="L706" s="74">
        <f>('Old Data'!$L702+'Old Data'!$M702-$J706)^2+('Old Data'!$V702+'Old Data'!$W702-$K706)^2</f>
        <v>1953.5004816948963</v>
      </c>
      <c r="M706" s="75">
        <f>'Old Data'!$N702-'Old Data'!$X702</f>
        <v>1</v>
      </c>
      <c r="N706" s="72">
        <f>VLOOKUP('Old Data'!$F702,$AD$6:$AF$135,2,FALSE)+VLOOKUP('Old Data'!$P702,$AD$6:$AF$135,3,FALSE)+$E$2</f>
        <v>1.9196333712122842</v>
      </c>
      <c r="O706" s="72">
        <f>VLOOKUP('Old Data'!$P702,$AD$6:$AF$135,2,FALSE)+VLOOKUP('Old Data'!$F702,$AD$6:$AF$135,3,FALSE)+$E$2</f>
        <v>1.3457164151980761</v>
      </c>
      <c r="P706" s="73">
        <f>('Old Data'!$N702-$N706)^2+('Old Data'!$X702-$O706)^2</f>
        <v>2.6566782075808315</v>
      </c>
    </row>
    <row r="707" spans="1:16">
      <c r="A707" s="71">
        <f>'Old Data'!$I703-'Old Data'!$S703</f>
        <v>187</v>
      </c>
      <c r="B707" s="72">
        <f>VLOOKUP('Old Data'!$F703,$R$6:$T$135,2,FALSE)+VLOOKUP('Old Data'!$P703,$R$6:$T$135,3,FALSE)+$B$2</f>
        <v>205.0444711839894</v>
      </c>
      <c r="C707" s="72">
        <f>VLOOKUP('Old Data'!$P703,$R$6:$T$135,2,FALSE)+VLOOKUP('Old Data'!$F703,$R$6:$T$135,3,FALSE)+$B$2</f>
        <v>99.755115124455898</v>
      </c>
      <c r="D707" s="74">
        <f>('Old Data'!$I703-$B707)^2+('Old Data'!$S703-$C707)^2</f>
        <v>8560.7769459453084</v>
      </c>
      <c r="E707" s="75">
        <f>'Old Data'!$K703-'Old Data'!$U703</f>
        <v>-49</v>
      </c>
      <c r="F707" s="72">
        <f>VLOOKUP('Old Data'!$F703,$V$6:$X$135,2,FALSE)+VLOOKUP('Old Data'!$P703,$V$6:$X$135,3,FALSE)+$C$2</f>
        <v>236.34501120551042</v>
      </c>
      <c r="G707" s="72">
        <f>VLOOKUP('Old Data'!$P703,$V$6:$X$135,2,FALSE)+VLOOKUP('Old Data'!$F703,$V$6:$X$135,3,FALSE)+$C$2</f>
        <v>150.19513871789098</v>
      </c>
      <c r="H707" s="74">
        <f>('Old Data'!$K703-$F707)^2+('Old Data'!$U703-$G707)^2</f>
        <v>13889.784440249708</v>
      </c>
      <c r="I707" s="75">
        <f>('Old Data'!$L703+'Old Data'!$M703)-('Old Data'!$V703+'Old Data'!$W703)</f>
        <v>-45</v>
      </c>
      <c r="J707" s="72">
        <f>VLOOKUP('Old Data'!$F703,$Z$6:$AB$135,2,FALSE)+VLOOKUP('Old Data'!$P703,$Z$6:$AB$135,3,FALSE)+$D$2</f>
        <v>45.26126492851175</v>
      </c>
      <c r="K707" s="72">
        <f>VLOOKUP('Old Data'!$P703,$Z$6:$AB$135,2,FALSE)+VLOOKUP('Old Data'!$F703,$Z$6:$AB$135,3,FALSE)+$D$2</f>
        <v>40.71347393840901</v>
      </c>
      <c r="L707" s="74">
        <f>('Old Data'!$L703+'Old Data'!$M703-$J707)^2+('Old Data'!$V703+'Old Data'!$W703-$K707)^2</f>
        <v>1707.2090199364191</v>
      </c>
      <c r="M707" s="75">
        <f>'Old Data'!$N703-'Old Data'!$X703</f>
        <v>-1</v>
      </c>
      <c r="N707" s="72">
        <f>VLOOKUP('Old Data'!$F703,$AD$6:$AF$135,2,FALSE)+VLOOKUP('Old Data'!$P703,$AD$6:$AF$135,3,FALSE)+$E$2</f>
        <v>1.0780234206423325</v>
      </c>
      <c r="O707" s="72">
        <f>VLOOKUP('Old Data'!$P703,$AD$6:$AF$135,2,FALSE)+VLOOKUP('Old Data'!$F703,$AD$6:$AF$135,3,FALSE)+$E$2</f>
        <v>1.2270540375919783</v>
      </c>
      <c r="P707" s="73">
        <f>('Old Data'!$N703-$N707)^2+('Old Data'!$X703-$O707)^2</f>
        <v>1.2136880314402148</v>
      </c>
    </row>
    <row r="708" spans="1:16">
      <c r="A708" s="71">
        <f>'Old Data'!$I704-'Old Data'!$S704</f>
        <v>-124</v>
      </c>
      <c r="B708" s="72">
        <f>VLOOKUP('Old Data'!$F704,$R$6:$T$135,2,FALSE)+VLOOKUP('Old Data'!$P704,$R$6:$T$135,3,FALSE)+$B$2</f>
        <v>139.41273527581541</v>
      </c>
      <c r="C708" s="72">
        <f>VLOOKUP('Old Data'!$P704,$R$6:$T$135,2,FALSE)+VLOOKUP('Old Data'!$F704,$R$6:$T$135,3,FALSE)+$B$2</f>
        <v>127.4483595858523</v>
      </c>
      <c r="D708" s="74">
        <f>('Old Data'!$I704-$B708)^2+('Old Data'!$S704-$C708)^2</f>
        <v>9603.9149369644711</v>
      </c>
      <c r="E708" s="75">
        <f>'Old Data'!$K704-'Old Data'!$U704</f>
        <v>113</v>
      </c>
      <c r="F708" s="72">
        <f>VLOOKUP('Old Data'!$F704,$V$6:$X$135,2,FALSE)+VLOOKUP('Old Data'!$P704,$V$6:$X$135,3,FALSE)+$C$2</f>
        <v>264.84136432072319</v>
      </c>
      <c r="G708" s="72">
        <f>VLOOKUP('Old Data'!$P704,$V$6:$X$135,2,FALSE)+VLOOKUP('Old Data'!$F704,$V$6:$X$135,3,FALSE)+$C$2</f>
        <v>244.8067224021849</v>
      </c>
      <c r="H708" s="74">
        <f>('Old Data'!$K704-$F708)^2+('Old Data'!$U704-$G708)^2</f>
        <v>6328.0113595412859</v>
      </c>
      <c r="I708" s="75">
        <f>('Old Data'!$L704+'Old Data'!$M704)-('Old Data'!$V704+'Old Data'!$W704)</f>
        <v>63</v>
      </c>
      <c r="J708" s="72">
        <f>VLOOKUP('Old Data'!$F704,$Z$6:$AB$135,2,FALSE)+VLOOKUP('Old Data'!$P704,$Z$6:$AB$135,3,FALSE)+$D$2</f>
        <v>40.649690782516778</v>
      </c>
      <c r="K708" s="72">
        <f>VLOOKUP('Old Data'!$P704,$Z$6:$AB$135,2,FALSE)+VLOOKUP('Old Data'!$F704,$Z$6:$AB$135,3,FALSE)+$D$2</f>
        <v>2.9631016734879978</v>
      </c>
      <c r="L708" s="74">
        <f>('Old Data'!$L704+'Old Data'!$M704-$J708)^2+('Old Data'!$V704+'Old Data'!$W704-$K708)^2</f>
        <v>642.63953890851417</v>
      </c>
      <c r="M708" s="75">
        <f>'Old Data'!$N704-'Old Data'!$X704</f>
        <v>0</v>
      </c>
      <c r="N708" s="72">
        <f>VLOOKUP('Old Data'!$F704,$AD$6:$AF$135,2,FALSE)+VLOOKUP('Old Data'!$P704,$AD$6:$AF$135,3,FALSE)+$E$2</f>
        <v>0.69882976910803496</v>
      </c>
      <c r="O708" s="72">
        <f>VLOOKUP('Old Data'!$P704,$AD$6:$AF$135,2,FALSE)+VLOOKUP('Old Data'!$F704,$AD$6:$AF$135,3,FALSE)+$E$2</f>
        <v>1.697822916602387</v>
      </c>
      <c r="P708" s="73">
        <f>('Old Data'!$N704-$N708)^2+('Old Data'!$X704-$O708)^2</f>
        <v>0.57766033091098157</v>
      </c>
    </row>
    <row r="709" spans="1:16">
      <c r="A709" s="71">
        <f>'Old Data'!$I705-'Old Data'!$S705</f>
        <v>147</v>
      </c>
      <c r="B709" s="72">
        <f>VLOOKUP('Old Data'!$F705,$R$6:$T$135,2,FALSE)+VLOOKUP('Old Data'!$P705,$R$6:$T$135,3,FALSE)+$B$2</f>
        <v>213.74048980399161</v>
      </c>
      <c r="C709" s="72">
        <f>VLOOKUP('Old Data'!$P705,$R$6:$T$135,2,FALSE)+VLOOKUP('Old Data'!$F705,$R$6:$T$135,3,FALSE)+$B$2</f>
        <v>79.308503976092169</v>
      </c>
      <c r="D709" s="74">
        <f>('Old Data'!$I705-$B709)^2+('Old Data'!$S705-$C709)^2</f>
        <v>418.25252859248189</v>
      </c>
      <c r="E709" s="75">
        <f>'Old Data'!$K705-'Old Data'!$U705</f>
        <v>8</v>
      </c>
      <c r="F709" s="72">
        <f>VLOOKUP('Old Data'!$F705,$V$6:$X$135,2,FALSE)+VLOOKUP('Old Data'!$P705,$V$6:$X$135,3,FALSE)+$C$2</f>
        <v>241.83925839198309</v>
      </c>
      <c r="G709" s="72">
        <f>VLOOKUP('Old Data'!$P705,$V$6:$X$135,2,FALSE)+VLOOKUP('Old Data'!$F705,$V$6:$X$135,3,FALSE)+$C$2</f>
        <v>162.30796500669533</v>
      </c>
      <c r="H709" s="74">
        <f>('Old Data'!$K705-$F709)^2+('Old Data'!$U705-$G709)^2</f>
        <v>5932.4461227422462</v>
      </c>
      <c r="I709" s="75">
        <f>('Old Data'!$L705+'Old Data'!$M705)-('Old Data'!$V705+'Old Data'!$W705)</f>
        <v>55</v>
      </c>
      <c r="J709" s="72">
        <f>VLOOKUP('Old Data'!$F705,$Z$6:$AB$135,2,FALSE)+VLOOKUP('Old Data'!$P705,$Z$6:$AB$135,3,FALSE)+$D$2</f>
        <v>14.824451613480392</v>
      </c>
      <c r="K709" s="72">
        <f>VLOOKUP('Old Data'!$P705,$Z$6:$AB$135,2,FALSE)+VLOOKUP('Old Data'!$F705,$Z$6:$AB$135,3,FALSE)+$D$2</f>
        <v>44.307300979188952</v>
      </c>
      <c r="L709" s="74">
        <f>('Old Data'!$L705+'Old Data'!$M705-$J709)^2+('Old Data'!$V705+'Old Data'!$W705-$K709)^2</f>
        <v>11240.34727635634</v>
      </c>
      <c r="M709" s="75">
        <f>'Old Data'!$N705-'Old Data'!$X705</f>
        <v>1</v>
      </c>
      <c r="N709" s="72">
        <f>VLOOKUP('Old Data'!$F705,$AD$6:$AF$135,2,FALSE)+VLOOKUP('Old Data'!$P705,$AD$6:$AF$135,3,FALSE)+$E$2</f>
        <v>1.376014332970108</v>
      </c>
      <c r="O709" s="72">
        <f>VLOOKUP('Old Data'!$P705,$AD$6:$AF$135,2,FALSE)+VLOOKUP('Old Data'!$F705,$AD$6:$AF$135,3,FALSE)+$E$2</f>
        <v>0.67686934965825551</v>
      </c>
      <c r="P709" s="73">
        <f>('Old Data'!$N705-$N709)^2+('Old Data'!$X705-$O709)^2</f>
        <v>0.59953889510574498</v>
      </c>
    </row>
    <row r="710" spans="1:16">
      <c r="A710" s="71">
        <f>'Old Data'!$I706-'Old Data'!$S706</f>
        <v>-157</v>
      </c>
      <c r="B710" s="72">
        <f>VLOOKUP('Old Data'!$F706,$R$6:$T$135,2,FALSE)+VLOOKUP('Old Data'!$P706,$R$6:$T$135,3,FALSE)+$B$2</f>
        <v>88.634508967491101</v>
      </c>
      <c r="C710" s="72">
        <f>VLOOKUP('Old Data'!$P706,$R$6:$T$135,2,FALSE)+VLOOKUP('Old Data'!$F706,$R$6:$T$135,3,FALSE)+$B$2</f>
        <v>201.7034162388486</v>
      </c>
      <c r="D710" s="74">
        <f>('Old Data'!$I706-$B710)^2+('Old Data'!$S706-$C710)^2</f>
        <v>3055.5624124767519</v>
      </c>
      <c r="E710" s="75">
        <f>'Old Data'!$K706-'Old Data'!$U706</f>
        <v>98</v>
      </c>
      <c r="F710" s="72">
        <f>VLOOKUP('Old Data'!$F706,$V$6:$X$135,2,FALSE)+VLOOKUP('Old Data'!$P706,$V$6:$X$135,3,FALSE)+$C$2</f>
        <v>188.55023314773291</v>
      </c>
      <c r="G710" s="72">
        <f>VLOOKUP('Old Data'!$P706,$V$6:$X$135,2,FALSE)+VLOOKUP('Old Data'!$F706,$V$6:$X$135,3,FALSE)+$C$2</f>
        <v>152.94143539996236</v>
      </c>
      <c r="H710" s="74">
        <f>('Old Data'!$K706-$F710)^2+('Old Data'!$U706-$G710)^2</f>
        <v>2037.3436193397354</v>
      </c>
      <c r="I710" s="75">
        <f>('Old Data'!$L706+'Old Data'!$M706)-('Old Data'!$V706+'Old Data'!$W706)</f>
        <v>-30</v>
      </c>
      <c r="J710" s="72">
        <f>VLOOKUP('Old Data'!$F706,$Z$6:$AB$135,2,FALSE)+VLOOKUP('Old Data'!$P706,$Z$6:$AB$135,3,FALSE)+$D$2</f>
        <v>55.056920073497963</v>
      </c>
      <c r="K710" s="72">
        <f>VLOOKUP('Old Data'!$P706,$Z$6:$AB$135,2,FALSE)+VLOOKUP('Old Data'!$F706,$Z$6:$AB$135,3,FALSE)+$D$2</f>
        <v>32.381391605670999</v>
      </c>
      <c r="L710" s="74">
        <f>('Old Data'!$L706+'Old Data'!$M706-$J710)^2+('Old Data'!$V706+'Old Data'!$W706-$K710)^2</f>
        <v>1763.7861235840344</v>
      </c>
      <c r="M710" s="75">
        <f>'Old Data'!$N706-'Old Data'!$X706</f>
        <v>2</v>
      </c>
      <c r="N710" s="72">
        <f>VLOOKUP('Old Data'!$F706,$AD$6:$AF$135,2,FALSE)+VLOOKUP('Old Data'!$P706,$AD$6:$AF$135,3,FALSE)+$E$2</f>
        <v>0.66143014906724806</v>
      </c>
      <c r="O710" s="72">
        <f>VLOOKUP('Old Data'!$P706,$AD$6:$AF$135,2,FALSE)+VLOOKUP('Old Data'!$F706,$AD$6:$AF$135,3,FALSE)+$E$2</f>
        <v>0.48473875728303417</v>
      </c>
      <c r="P710" s="73">
        <f>('Old Data'!$N706-$N710)^2+('Old Data'!$X706-$O710)^2</f>
        <v>2.02674090863843</v>
      </c>
    </row>
    <row r="711" spans="1:16">
      <c r="A711" s="71">
        <f>'Old Data'!$I707-'Old Data'!$S707</f>
        <v>15</v>
      </c>
      <c r="B711" s="72">
        <f>VLOOKUP('Old Data'!$F707,$R$6:$T$135,2,FALSE)+VLOOKUP('Old Data'!$P707,$R$6:$T$135,3,FALSE)+$B$2</f>
        <v>154.0829719494584</v>
      </c>
      <c r="C711" s="72">
        <f>VLOOKUP('Old Data'!$P707,$R$6:$T$135,2,FALSE)+VLOOKUP('Old Data'!$F707,$R$6:$T$135,3,FALSE)+$B$2</f>
        <v>141.35306408865404</v>
      </c>
      <c r="D711" s="74">
        <f>('Old Data'!$I707-$B711)^2+('Old Data'!$S707-$C711)^2</f>
        <v>1230.8699209678634</v>
      </c>
      <c r="E711" s="75">
        <f>'Old Data'!$K707-'Old Data'!$U707</f>
        <v>-7</v>
      </c>
      <c r="F711" s="72">
        <f>VLOOKUP('Old Data'!$F707,$V$6:$X$135,2,FALSE)+VLOOKUP('Old Data'!$P707,$V$6:$X$135,3,FALSE)+$C$2</f>
        <v>272.81066286902933</v>
      </c>
      <c r="G711" s="72">
        <f>VLOOKUP('Old Data'!$P707,$V$6:$X$135,2,FALSE)+VLOOKUP('Old Data'!$F707,$V$6:$X$135,3,FALSE)+$C$2</f>
        <v>223.42355618389558</v>
      </c>
      <c r="H711" s="74">
        <f>('Old Data'!$K707-$F711)^2+('Old Data'!$U707-$G711)^2</f>
        <v>6467.0926432031374</v>
      </c>
      <c r="I711" s="75">
        <f>('Old Data'!$L707+'Old Data'!$M707)-('Old Data'!$V707+'Old Data'!$W707)</f>
        <v>39</v>
      </c>
      <c r="J711" s="72">
        <f>VLOOKUP('Old Data'!$F707,$Z$6:$AB$135,2,FALSE)+VLOOKUP('Old Data'!$P707,$Z$6:$AB$135,3,FALSE)+$D$2</f>
        <v>62.010043120488085</v>
      </c>
      <c r="K711" s="72">
        <f>VLOOKUP('Old Data'!$P707,$Z$6:$AB$135,2,FALSE)+VLOOKUP('Old Data'!$F707,$Z$6:$AB$135,3,FALSE)+$D$2</f>
        <v>13.38648008604266</v>
      </c>
      <c r="L711" s="74">
        <f>('Old Data'!$L707+'Old Data'!$M707-$J711)^2+('Old Data'!$V707+'Old Data'!$W707-$K711)^2</f>
        <v>508.2807942615533</v>
      </c>
      <c r="M711" s="75">
        <f>'Old Data'!$N707-'Old Data'!$X707</f>
        <v>1</v>
      </c>
      <c r="N711" s="72">
        <f>VLOOKUP('Old Data'!$F707,$AD$6:$AF$135,2,FALSE)+VLOOKUP('Old Data'!$P707,$AD$6:$AF$135,3,FALSE)+$E$2</f>
        <v>0.93653243300388611</v>
      </c>
      <c r="O711" s="72">
        <f>VLOOKUP('Old Data'!$P707,$AD$6:$AF$135,2,FALSE)+VLOOKUP('Old Data'!$F707,$AD$6:$AF$135,3,FALSE)+$E$2</f>
        <v>1.2879644775332706</v>
      </c>
      <c r="P711" s="73">
        <f>('Old Data'!$N707-$N711)^2+('Old Data'!$X707-$O711)^2</f>
        <v>1.2138868063736432</v>
      </c>
    </row>
    <row r="712" spans="1:16">
      <c r="A712" s="71">
        <f>'Old Data'!$I708-'Old Data'!$S708</f>
        <v>-40</v>
      </c>
      <c r="B712" s="72">
        <f>VLOOKUP('Old Data'!$F708,$R$6:$T$135,2,FALSE)+VLOOKUP('Old Data'!$P708,$R$6:$T$135,3,FALSE)+$B$2</f>
        <v>163.68354049484117</v>
      </c>
      <c r="C712" s="72">
        <f>VLOOKUP('Old Data'!$P708,$R$6:$T$135,2,FALSE)+VLOOKUP('Old Data'!$F708,$R$6:$T$135,3,FALSE)+$B$2</f>
        <v>201.09600991836029</v>
      </c>
      <c r="D712" s="74">
        <f>('Old Data'!$I708-$B712)^2+('Old Data'!$S708-$C712)^2</f>
        <v>2368.6609347631725</v>
      </c>
      <c r="E712" s="75">
        <f>'Old Data'!$K708-'Old Data'!$U708</f>
        <v>-51</v>
      </c>
      <c r="F712" s="72">
        <f>VLOOKUP('Old Data'!$F708,$V$6:$X$135,2,FALSE)+VLOOKUP('Old Data'!$P708,$V$6:$X$135,3,FALSE)+$C$2</f>
        <v>219.18514923571649</v>
      </c>
      <c r="G712" s="72">
        <f>VLOOKUP('Old Data'!$P708,$V$6:$X$135,2,FALSE)+VLOOKUP('Old Data'!$F708,$V$6:$X$135,3,FALSE)+$C$2</f>
        <v>286.3925733220093</v>
      </c>
      <c r="H712" s="74">
        <f>('Old Data'!$K708-$F712)^2+('Old Data'!$U708-$G712)^2</f>
        <v>5688.2685883143904</v>
      </c>
      <c r="I712" s="75">
        <f>('Old Data'!$L708+'Old Data'!$M708)-('Old Data'!$V708+'Old Data'!$W708)</f>
        <v>-48</v>
      </c>
      <c r="J712" s="72">
        <f>VLOOKUP('Old Data'!$F708,$Z$6:$AB$135,2,FALSE)+VLOOKUP('Old Data'!$P708,$Z$6:$AB$135,3,FALSE)+$D$2</f>
        <v>95.888452897059352</v>
      </c>
      <c r="K712" s="72">
        <f>VLOOKUP('Old Data'!$P708,$Z$6:$AB$135,2,FALSE)+VLOOKUP('Old Data'!$F708,$Z$6:$AB$135,3,FALSE)+$D$2</f>
        <v>58.939488484445889</v>
      </c>
      <c r="L712" s="74">
        <f>('Old Data'!$L708+'Old Data'!$M708-$J712)^2+('Old Data'!$V708+'Old Data'!$W708-$K712)^2</f>
        <v>3977.3236621711922</v>
      </c>
      <c r="M712" s="75">
        <f>'Old Data'!$N708-'Old Data'!$X708</f>
        <v>0</v>
      </c>
      <c r="N712" s="72">
        <f>VLOOKUP('Old Data'!$F708,$AD$6:$AF$135,2,FALSE)+VLOOKUP('Old Data'!$P708,$AD$6:$AF$135,3,FALSE)+$E$2</f>
        <v>1.7440713580011691</v>
      </c>
      <c r="O712" s="72">
        <f>VLOOKUP('Old Data'!$P708,$AD$6:$AF$135,2,FALSE)+VLOOKUP('Old Data'!$F708,$AD$6:$AF$135,3,FALSE)+$E$2</f>
        <v>2.2022909439641842</v>
      </c>
      <c r="P712" s="73">
        <f>('Old Data'!$N708-$N712)^2+('Old Data'!$X708-$O712)^2</f>
        <v>0.1064210958052865</v>
      </c>
    </row>
    <row r="713" spans="1:16">
      <c r="A713" s="71">
        <f>'Old Data'!$I709-'Old Data'!$S709</f>
        <v>162</v>
      </c>
      <c r="B713" s="72">
        <f>VLOOKUP('Old Data'!$F709,$R$6:$T$135,2,FALSE)+VLOOKUP('Old Data'!$P709,$R$6:$T$135,3,FALSE)+$B$2</f>
        <v>231.93663428407001</v>
      </c>
      <c r="C713" s="72">
        <f>VLOOKUP('Old Data'!$P709,$R$6:$T$135,2,FALSE)+VLOOKUP('Old Data'!$F709,$R$6:$T$135,3,FALSE)+$B$2</f>
        <v>170.17185101417851</v>
      </c>
      <c r="D713" s="74">
        <f>('Old Data'!$I709-$B713)^2+('Old Data'!$S709-$C713)^2</f>
        <v>7465.9612501184838</v>
      </c>
      <c r="E713" s="75">
        <f>'Old Data'!$K709-'Old Data'!$U709</f>
        <v>-4</v>
      </c>
      <c r="F713" s="72">
        <f>VLOOKUP('Old Data'!$F709,$V$6:$X$135,2,FALSE)+VLOOKUP('Old Data'!$P709,$V$6:$X$135,3,FALSE)+$C$2</f>
        <v>276.70982097629746</v>
      </c>
      <c r="G713" s="72">
        <f>VLOOKUP('Old Data'!$P709,$V$6:$X$135,2,FALSE)+VLOOKUP('Old Data'!$F709,$V$6:$X$135,3,FALSE)+$C$2</f>
        <v>181.25545202818932</v>
      </c>
      <c r="H713" s="74">
        <f>('Old Data'!$K709-$F713)^2+('Old Data'!$U709-$G713)^2</f>
        <v>11669.558022935784</v>
      </c>
      <c r="I713" s="75">
        <f>('Old Data'!$L709+'Old Data'!$M709)-('Old Data'!$V709+'Old Data'!$W709)</f>
        <v>7</v>
      </c>
      <c r="J713" s="72">
        <f>VLOOKUP('Old Data'!$F709,$Z$6:$AB$135,2,FALSE)+VLOOKUP('Old Data'!$P709,$Z$6:$AB$135,3,FALSE)+$D$2</f>
        <v>58.730483081515189</v>
      </c>
      <c r="K713" s="72">
        <f>VLOOKUP('Old Data'!$P709,$Z$6:$AB$135,2,FALSE)+VLOOKUP('Old Data'!$F709,$Z$6:$AB$135,3,FALSE)+$D$2</f>
        <v>45.577873616216095</v>
      </c>
      <c r="L713" s="74">
        <f>('Old Data'!$L709+'Old Data'!$M709-$J713)^2+('Old Data'!$V709+'Old Data'!$W709-$K713)^2</f>
        <v>6596.0138233036641</v>
      </c>
      <c r="M713" s="75">
        <f>'Old Data'!$N709-'Old Data'!$X709</f>
        <v>2</v>
      </c>
      <c r="N713" s="72">
        <f>VLOOKUP('Old Data'!$F709,$AD$6:$AF$135,2,FALSE)+VLOOKUP('Old Data'!$P709,$AD$6:$AF$135,3,FALSE)+$E$2</f>
        <v>1.6477092630826302</v>
      </c>
      <c r="O713" s="72">
        <f>VLOOKUP('Old Data'!$P709,$AD$6:$AF$135,2,FALSE)+VLOOKUP('Old Data'!$F709,$AD$6:$AF$135,3,FALSE)+$E$2</f>
        <v>0.72015478971190516</v>
      </c>
      <c r="P713" s="73">
        <f>('Old Data'!$N709-$N713)^2+('Old Data'!$X709-$O713)^2</f>
        <v>0.64273168446278173</v>
      </c>
    </row>
    <row r="714" spans="1:16">
      <c r="A714" s="71">
        <f>'Old Data'!$I710-'Old Data'!$S710</f>
        <v>108</v>
      </c>
      <c r="B714" s="72">
        <f>VLOOKUP('Old Data'!$F710,$R$6:$T$135,2,FALSE)+VLOOKUP('Old Data'!$P710,$R$6:$T$135,3,FALSE)+$B$2</f>
        <v>217.47561568201252</v>
      </c>
      <c r="C714" s="72">
        <f>VLOOKUP('Old Data'!$P710,$R$6:$T$135,2,FALSE)+VLOOKUP('Old Data'!$F710,$R$6:$T$135,3,FALSE)+$B$2</f>
        <v>203.368602098113</v>
      </c>
      <c r="D714" s="74">
        <f>('Old Data'!$I710-$B714)^2+('Old Data'!$S710-$C714)^2</f>
        <v>4421.2374942164024</v>
      </c>
      <c r="E714" s="75">
        <f>'Old Data'!$K710-'Old Data'!$U710</f>
        <v>-205</v>
      </c>
      <c r="F714" s="72">
        <f>VLOOKUP('Old Data'!$F710,$V$6:$X$135,2,FALSE)+VLOOKUP('Old Data'!$P710,$V$6:$X$135,3,FALSE)+$C$2</f>
        <v>196.4592262450588</v>
      </c>
      <c r="G714" s="72">
        <f>VLOOKUP('Old Data'!$P710,$V$6:$X$135,2,FALSE)+VLOOKUP('Old Data'!$F710,$V$6:$X$135,3,FALSE)+$C$2</f>
        <v>203.56730880283641</v>
      </c>
      <c r="H714" s="74">
        <f>('Old Data'!$K710-$F714)^2+('Old Data'!$U710-$G714)^2</f>
        <v>24882.372736600861</v>
      </c>
      <c r="I714" s="75">
        <f>('Old Data'!$L710+'Old Data'!$M710)-('Old Data'!$V710+'Old Data'!$W710)</f>
        <v>-122</v>
      </c>
      <c r="J714" s="72">
        <f>VLOOKUP('Old Data'!$F710,$Z$6:$AB$135,2,FALSE)+VLOOKUP('Old Data'!$P710,$Z$6:$AB$135,3,FALSE)+$D$2</f>
        <v>50.498551687817276</v>
      </c>
      <c r="K714" s="72">
        <f>VLOOKUP('Old Data'!$P710,$Z$6:$AB$135,2,FALSE)+VLOOKUP('Old Data'!$F710,$Z$6:$AB$135,3,FALSE)+$D$2</f>
        <v>90.438615795561802</v>
      </c>
      <c r="L714" s="74">
        <f>('Old Data'!$L710+'Old Data'!$M710-$J714)^2+('Old Data'!$V710+'Old Data'!$W710-$K714)^2</f>
        <v>3913.4919863316022</v>
      </c>
      <c r="M714" s="75">
        <f>'Old Data'!$N710-'Old Data'!$X710</f>
        <v>2</v>
      </c>
      <c r="N714" s="72">
        <f>VLOOKUP('Old Data'!$F710,$AD$6:$AF$135,2,FALSE)+VLOOKUP('Old Data'!$P710,$AD$6:$AF$135,3,FALSE)+$E$2</f>
        <v>1.348072969463042</v>
      </c>
      <c r="O714" s="72">
        <f>VLOOKUP('Old Data'!$P710,$AD$6:$AF$135,2,FALSE)+VLOOKUP('Old Data'!$F710,$AD$6:$AF$135,3,FALSE)+$E$2</f>
        <v>0.90477915139808296</v>
      </c>
      <c r="P714" s="73">
        <f>('Old Data'!$N710-$N714)^2+('Old Data'!$X710-$O714)^2</f>
        <v>2.7379299242271209</v>
      </c>
    </row>
    <row r="715" spans="1:16">
      <c r="A715" s="71">
        <f>'Old Data'!$I711-'Old Data'!$S711</f>
        <v>65</v>
      </c>
      <c r="B715" s="72">
        <f>VLOOKUP('Old Data'!$F711,$R$6:$T$135,2,FALSE)+VLOOKUP('Old Data'!$P711,$R$6:$T$135,3,FALSE)+$B$2</f>
        <v>183.5398893425544</v>
      </c>
      <c r="C715" s="72">
        <f>VLOOKUP('Old Data'!$P711,$R$6:$T$135,2,FALSE)+VLOOKUP('Old Data'!$F711,$R$6:$T$135,3,FALSE)+$B$2</f>
        <v>107.61996672009501</v>
      </c>
      <c r="D715" s="74">
        <f>('Old Data'!$I711-$B715)^2+('Old Data'!$S711-$C715)^2</f>
        <v>2382.505344280793</v>
      </c>
      <c r="E715" s="75">
        <f>'Old Data'!$K711-'Old Data'!$U711</f>
        <v>-21</v>
      </c>
      <c r="F715" s="72">
        <f>VLOOKUP('Old Data'!$F711,$V$6:$X$135,2,FALSE)+VLOOKUP('Old Data'!$P711,$V$6:$X$135,3,FALSE)+$C$2</f>
        <v>268.91479492183072</v>
      </c>
      <c r="G715" s="72">
        <f>VLOOKUP('Old Data'!$P711,$V$6:$X$135,2,FALSE)+VLOOKUP('Old Data'!$F711,$V$6:$X$135,3,FALSE)+$C$2</f>
        <v>313.02772337258773</v>
      </c>
      <c r="H715" s="74">
        <f>('Old Data'!$K711-$F715)^2+('Old Data'!$U711-$G715)^2</f>
        <v>7580.6500964827774</v>
      </c>
      <c r="I715" s="75">
        <f>('Old Data'!$L711+'Old Data'!$M711)-('Old Data'!$V711+'Old Data'!$W711)</f>
        <v>-46</v>
      </c>
      <c r="J715" s="72">
        <f>VLOOKUP('Old Data'!$F711,$Z$6:$AB$135,2,FALSE)+VLOOKUP('Old Data'!$P711,$Z$6:$AB$135,3,FALSE)+$D$2</f>
        <v>72.868678392047983</v>
      </c>
      <c r="K715" s="72">
        <f>VLOOKUP('Old Data'!$P711,$Z$6:$AB$135,2,FALSE)+VLOOKUP('Old Data'!$F711,$Z$6:$AB$135,3,FALSE)+$D$2</f>
        <v>76.868006246037268</v>
      </c>
      <c r="L715" s="74">
        <f>('Old Data'!$L711+'Old Data'!$M711-$J715)^2+('Old Data'!$V711+'Old Data'!$W711-$K715)^2</f>
        <v>4557.4177767235815</v>
      </c>
      <c r="M715" s="75">
        <f>'Old Data'!$N711-'Old Data'!$X711</f>
        <v>1</v>
      </c>
      <c r="N715" s="72">
        <f>VLOOKUP('Old Data'!$F711,$AD$6:$AF$135,2,FALSE)+VLOOKUP('Old Data'!$P711,$AD$6:$AF$135,3,FALSE)+$E$2</f>
        <v>2.078484804685552</v>
      </c>
      <c r="O715" s="72">
        <f>VLOOKUP('Old Data'!$P711,$AD$6:$AF$135,2,FALSE)+VLOOKUP('Old Data'!$F711,$AD$6:$AF$135,3,FALSE)+$E$2</f>
        <v>0.97357203081362309</v>
      </c>
      <c r="P715" s="73">
        <f>('Old Data'!$N711-$N715)^2+('Old Data'!$X711-$O715)^2</f>
        <v>6.8583021218453274E-3</v>
      </c>
    </row>
    <row r="716" spans="1:16">
      <c r="A716" s="71">
        <f>'Old Data'!$I712-'Old Data'!$S712</f>
        <v>147</v>
      </c>
      <c r="B716" s="72">
        <f>VLOOKUP('Old Data'!$F712,$R$6:$T$135,2,FALSE)+VLOOKUP('Old Data'!$P712,$R$6:$T$135,3,FALSE)+$B$2</f>
        <v>146.21067682412669</v>
      </c>
      <c r="C716" s="72">
        <f>VLOOKUP('Old Data'!$P712,$R$6:$T$135,2,FALSE)+VLOOKUP('Old Data'!$F712,$R$6:$T$135,3,FALSE)+$B$2</f>
        <v>138.52356629668171</v>
      </c>
      <c r="D716" s="74">
        <f>('Old Data'!$I712-$B716)^2+('Old Data'!$S712-$C716)^2</f>
        <v>19541.281863042408</v>
      </c>
      <c r="E716" s="75">
        <f>'Old Data'!$K712-'Old Data'!$U712</f>
        <v>215</v>
      </c>
      <c r="F716" s="72">
        <f>VLOOKUP('Old Data'!$F712,$V$6:$X$135,2,FALSE)+VLOOKUP('Old Data'!$P712,$V$6:$X$135,3,FALSE)+$C$2</f>
        <v>263.09478599622491</v>
      </c>
      <c r="G716" s="72">
        <f>VLOOKUP('Old Data'!$P712,$V$6:$X$135,2,FALSE)+VLOOKUP('Old Data'!$F712,$V$6:$X$135,3,FALSE)+$C$2</f>
        <v>203.84312005716552</v>
      </c>
      <c r="H716" s="74">
        <f>('Old Data'!$K712-$F716)^2+('Old Data'!$U712-$G716)^2</f>
        <v>15651.557817693076</v>
      </c>
      <c r="I716" s="75">
        <f>('Old Data'!$L712+'Old Data'!$M712)-('Old Data'!$V712+'Old Data'!$W712)</f>
        <v>17</v>
      </c>
      <c r="J716" s="72">
        <f>VLOOKUP('Old Data'!$F712,$Z$6:$AB$135,2,FALSE)+VLOOKUP('Old Data'!$P712,$Z$6:$AB$135,3,FALSE)+$D$2</f>
        <v>5.3385326873143981</v>
      </c>
      <c r="K716" s="72">
        <f>VLOOKUP('Old Data'!$P712,$Z$6:$AB$135,2,FALSE)+VLOOKUP('Old Data'!$F712,$Z$6:$AB$135,3,FALSE)+$D$2</f>
        <v>44.264023242251696</v>
      </c>
      <c r="L716" s="74">
        <f>('Old Data'!$L712+'Old Data'!$M712-$J716)^2+('Old Data'!$V712+'Old Data'!$W712-$K716)^2</f>
        <v>1569.6015600110536</v>
      </c>
      <c r="M716" s="75">
        <f>'Old Data'!$N712-'Old Data'!$X712</f>
        <v>1</v>
      </c>
      <c r="N716" s="72">
        <f>VLOOKUP('Old Data'!$F712,$AD$6:$AF$135,2,FALSE)+VLOOKUP('Old Data'!$P712,$AD$6:$AF$135,3,FALSE)+$E$2</f>
        <v>2.8490327186757094</v>
      </c>
      <c r="O716" s="72">
        <f>VLOOKUP('Old Data'!$P712,$AD$6:$AF$135,2,FALSE)+VLOOKUP('Old Data'!$F712,$AD$6:$AF$135,3,FALSE)+$E$2</f>
        <v>1.0830356412250561</v>
      </c>
      <c r="P716" s="73">
        <f>('Old Data'!$N712-$N716)^2+('Old Data'!$X712-$O716)^2</f>
        <v>0.72775147509552252</v>
      </c>
    </row>
    <row r="717" spans="1:16">
      <c r="A717" s="71">
        <f>'Old Data'!$I713-'Old Data'!$S713</f>
        <v>-25</v>
      </c>
      <c r="B717" s="72">
        <f>VLOOKUP('Old Data'!$F713,$R$6:$T$135,2,FALSE)+VLOOKUP('Old Data'!$P713,$R$6:$T$135,3,FALSE)+$B$2</f>
        <v>158.98683243953801</v>
      </c>
      <c r="C717" s="72">
        <f>VLOOKUP('Old Data'!$P713,$R$6:$T$135,2,FALSE)+VLOOKUP('Old Data'!$F713,$R$6:$T$135,3,FALSE)+$B$2</f>
        <v>197.07519023895949</v>
      </c>
      <c r="D717" s="74">
        <f>('Old Data'!$I713-$B717)^2+('Old Data'!$S713-$C717)^2</f>
        <v>1942.3710949608153</v>
      </c>
      <c r="E717" s="75">
        <f>'Old Data'!$K713-'Old Data'!$U713</f>
        <v>20</v>
      </c>
      <c r="F717" s="72">
        <f>VLOOKUP('Old Data'!$F713,$V$6:$X$135,2,FALSE)+VLOOKUP('Old Data'!$P713,$V$6:$X$135,3,FALSE)+$C$2</f>
        <v>272.30537425045213</v>
      </c>
      <c r="G717" s="72">
        <f>VLOOKUP('Old Data'!$P713,$V$6:$X$135,2,FALSE)+VLOOKUP('Old Data'!$F713,$V$6:$X$135,3,FALSE)+$C$2</f>
        <v>172.57656540950853</v>
      </c>
      <c r="H717" s="74">
        <f>('Old Data'!$K713-$F717)^2+('Old Data'!$U713-$G717)^2</f>
        <v>4023.6889226614212</v>
      </c>
      <c r="I717" s="75">
        <f>('Old Data'!$L713+'Old Data'!$M713)-('Old Data'!$V713+'Old Data'!$W713)</f>
        <v>16</v>
      </c>
      <c r="J717" s="72">
        <f>VLOOKUP('Old Data'!$F713,$Z$6:$AB$135,2,FALSE)+VLOOKUP('Old Data'!$P713,$Z$6:$AB$135,3,FALSE)+$D$2</f>
        <v>108.8266210604248</v>
      </c>
      <c r="K717" s="72">
        <f>VLOOKUP('Old Data'!$P713,$Z$6:$AB$135,2,FALSE)+VLOOKUP('Old Data'!$F713,$Z$6:$AB$135,3,FALSE)+$D$2</f>
        <v>56.219171330451459</v>
      </c>
      <c r="L717" s="74">
        <f>('Old Data'!$L713+'Old Data'!$M713-$J717)^2+('Old Data'!$V713+'Old Data'!$W713-$K717)^2</f>
        <v>1356.2480548002152</v>
      </c>
      <c r="M717" s="75">
        <f>'Old Data'!$N713-'Old Data'!$X713</f>
        <v>1</v>
      </c>
      <c r="N717" s="72">
        <f>VLOOKUP('Old Data'!$F713,$AD$6:$AF$135,2,FALSE)+VLOOKUP('Old Data'!$P713,$AD$6:$AF$135,3,FALSE)+$E$2</f>
        <v>1.4133828236738717</v>
      </c>
      <c r="O717" s="72">
        <f>VLOOKUP('Old Data'!$P713,$AD$6:$AF$135,2,FALSE)+VLOOKUP('Old Data'!$F713,$AD$6:$AF$135,3,FALSE)+$E$2</f>
        <v>1.8475698844502391</v>
      </c>
      <c r="P717" s="73">
        <f>('Old Data'!$N713-$N717)^2+('Old Data'!$X713-$O717)^2</f>
        <v>1.0624944205878315</v>
      </c>
    </row>
    <row r="718" spans="1:16">
      <c r="A718" s="71">
        <f>'Old Data'!$I714-'Old Data'!$S714</f>
        <v>123</v>
      </c>
      <c r="B718" s="72">
        <f>VLOOKUP('Old Data'!$F714,$R$6:$T$135,2,FALSE)+VLOOKUP('Old Data'!$P714,$R$6:$T$135,3,FALSE)+$B$2</f>
        <v>185.2499487760914</v>
      </c>
      <c r="C718" s="72">
        <f>VLOOKUP('Old Data'!$P714,$R$6:$T$135,2,FALSE)+VLOOKUP('Old Data'!$F714,$R$6:$T$135,3,FALSE)+$B$2</f>
        <v>109.20795962831231</v>
      </c>
      <c r="D718" s="74">
        <f>('Old Data'!$I714-$B718)^2+('Old Data'!$S714-$C718)^2</f>
        <v>2935.1998189834339</v>
      </c>
      <c r="E718" s="75">
        <f>'Old Data'!$K714-'Old Data'!$U714</f>
        <v>0</v>
      </c>
      <c r="F718" s="72">
        <f>VLOOKUP('Old Data'!$F714,$V$6:$X$135,2,FALSE)+VLOOKUP('Old Data'!$P714,$V$6:$X$135,3,FALSE)+$C$2</f>
        <v>180.71881612651589</v>
      </c>
      <c r="G718" s="72">
        <f>VLOOKUP('Old Data'!$P714,$V$6:$X$135,2,FALSE)+VLOOKUP('Old Data'!$F714,$V$6:$X$135,3,FALSE)+$C$2</f>
        <v>168.3332887905564</v>
      </c>
      <c r="H718" s="74">
        <f>('Old Data'!$K714-$F718)^2+('Old Data'!$U714-$G718)^2</f>
        <v>759.27411922441695</v>
      </c>
      <c r="I718" s="75">
        <f>('Old Data'!$L714+'Old Data'!$M714)-('Old Data'!$V714+'Old Data'!$W714)</f>
        <v>4</v>
      </c>
      <c r="J718" s="72">
        <f>VLOOKUP('Old Data'!$F714,$Z$6:$AB$135,2,FALSE)+VLOOKUP('Old Data'!$P714,$Z$6:$AB$135,3,FALSE)+$D$2</f>
        <v>59.966599055621394</v>
      </c>
      <c r="K718" s="72">
        <f>VLOOKUP('Old Data'!$P714,$Z$6:$AB$135,2,FALSE)+VLOOKUP('Old Data'!$F714,$Z$6:$AB$135,3,FALSE)+$D$2</f>
        <v>80.832239282649255</v>
      </c>
      <c r="L718" s="74">
        <f>('Old Data'!$L714+'Old Data'!$M714-$J718)^2+('Old Data'!$V714+'Old Data'!$W714-$K718)^2</f>
        <v>783.43425344345803</v>
      </c>
      <c r="M718" s="75">
        <f>'Old Data'!$N714-'Old Data'!$X714</f>
        <v>2</v>
      </c>
      <c r="N718" s="72">
        <f>VLOOKUP('Old Data'!$F714,$AD$6:$AF$135,2,FALSE)+VLOOKUP('Old Data'!$P714,$AD$6:$AF$135,3,FALSE)+$E$2</f>
        <v>1.3060729001135871</v>
      </c>
      <c r="O718" s="72">
        <f>VLOOKUP('Old Data'!$P714,$AD$6:$AF$135,2,FALSE)+VLOOKUP('Old Data'!$F714,$AD$6:$AF$135,3,FALSE)+$E$2</f>
        <v>1.2550281308235021</v>
      </c>
      <c r="P718" s="73">
        <f>('Old Data'!$N714-$N718)^2+('Old Data'!$X714-$O718)^2</f>
        <v>2.056630429115101</v>
      </c>
    </row>
    <row r="719" spans="1:16">
      <c r="A719" s="71">
        <f>'Old Data'!$I715-'Old Data'!$S715</f>
        <v>107</v>
      </c>
      <c r="B719" s="72">
        <f>VLOOKUP('Old Data'!$F715,$R$6:$T$135,2,FALSE)+VLOOKUP('Old Data'!$P715,$R$6:$T$135,3,FALSE)+$B$2</f>
        <v>208.74186950111221</v>
      </c>
      <c r="C719" s="72">
        <f>VLOOKUP('Old Data'!$P715,$R$6:$T$135,2,FALSE)+VLOOKUP('Old Data'!$F715,$R$6:$T$135,3,FALSE)+$B$2</f>
        <v>68.426226365613616</v>
      </c>
      <c r="D719" s="74">
        <f>('Old Data'!$I715-$B719)^2+('Old Data'!$S715-$C719)^2</f>
        <v>1270.5925239405713</v>
      </c>
      <c r="E719" s="75">
        <f>'Old Data'!$K715-'Old Data'!$U715</f>
        <v>125</v>
      </c>
      <c r="F719" s="72">
        <f>VLOOKUP('Old Data'!$F715,$V$6:$X$135,2,FALSE)+VLOOKUP('Old Data'!$P715,$V$6:$X$135,3,FALSE)+$C$2</f>
        <v>277.64483601892618</v>
      </c>
      <c r="G719" s="72">
        <f>VLOOKUP('Old Data'!$P715,$V$6:$X$135,2,FALSE)+VLOOKUP('Old Data'!$F715,$V$6:$X$135,3,FALSE)+$C$2</f>
        <v>207.69846347378871</v>
      </c>
      <c r="H719" s="74">
        <f>('Old Data'!$K715-$F719)^2+('Old Data'!$U715-$G719)^2</f>
        <v>22662.79017974098</v>
      </c>
      <c r="I719" s="75">
        <f>('Old Data'!$L715+'Old Data'!$M715)-('Old Data'!$V715+'Old Data'!$W715)</f>
        <v>-40</v>
      </c>
      <c r="J719" s="72">
        <f>VLOOKUP('Old Data'!$F715,$Z$6:$AB$135,2,FALSE)+VLOOKUP('Old Data'!$P715,$Z$6:$AB$135,3,FALSE)+$D$2</f>
        <v>25.804049145545896</v>
      </c>
      <c r="K719" s="72">
        <f>VLOOKUP('Old Data'!$P715,$Z$6:$AB$135,2,FALSE)+VLOOKUP('Old Data'!$F715,$Z$6:$AB$135,3,FALSE)+$D$2</f>
        <v>65.464887286292395</v>
      </c>
      <c r="L719" s="74">
        <f>('Old Data'!$L715+'Old Data'!$M715-$J719)^2+('Old Data'!$V715+'Old Data'!$W715-$K719)^2</f>
        <v>214.946013716967</v>
      </c>
      <c r="M719" s="75">
        <f>'Old Data'!$N715-'Old Data'!$X715</f>
        <v>3</v>
      </c>
      <c r="N719" s="72">
        <f>VLOOKUP('Old Data'!$F715,$AD$6:$AF$135,2,FALSE)+VLOOKUP('Old Data'!$P715,$AD$6:$AF$135,3,FALSE)+$E$2</f>
        <v>1.9693056729743041</v>
      </c>
      <c r="O719" s="72">
        <f>VLOOKUP('Old Data'!$P715,$AD$6:$AF$135,2,FALSE)+VLOOKUP('Old Data'!$F715,$AD$6:$AF$135,3,FALSE)+$E$2</f>
        <v>0.89831842969389386</v>
      </c>
      <c r="P719" s="73">
        <f>('Old Data'!$N715-$N719)^2+('Old Data'!$X715-$O719)^2</f>
        <v>1.8693067968906552</v>
      </c>
    </row>
    <row r="720" spans="1:16">
      <c r="A720" s="71">
        <f>'Old Data'!$I716-'Old Data'!$S716</f>
        <v>23</v>
      </c>
      <c r="B720" s="72">
        <f>VLOOKUP('Old Data'!$F716,$R$6:$T$135,2,FALSE)+VLOOKUP('Old Data'!$P716,$R$6:$T$135,3,FALSE)+$B$2</f>
        <v>163.52013562374015</v>
      </c>
      <c r="C720" s="72">
        <f>VLOOKUP('Old Data'!$P716,$R$6:$T$135,2,FALSE)+VLOOKUP('Old Data'!$F716,$R$6:$T$135,3,FALSE)+$B$2</f>
        <v>103.7427961294951</v>
      </c>
      <c r="D720" s="74">
        <f>('Old Data'!$I716-$B720)^2+('Old Data'!$S716-$C720)^2</f>
        <v>4932.5106379885501</v>
      </c>
      <c r="E720" s="75">
        <f>'Old Data'!$K716-'Old Data'!$U716</f>
        <v>60</v>
      </c>
      <c r="F720" s="72">
        <f>VLOOKUP('Old Data'!$F716,$V$6:$X$135,2,FALSE)+VLOOKUP('Old Data'!$P716,$V$6:$X$135,3,FALSE)+$C$2</f>
        <v>255.68705742207663</v>
      </c>
      <c r="G720" s="72">
        <f>VLOOKUP('Old Data'!$P716,$V$6:$X$135,2,FALSE)+VLOOKUP('Old Data'!$F716,$V$6:$X$135,3,FALSE)+$C$2</f>
        <v>219.22831384147099</v>
      </c>
      <c r="H720" s="74">
        <f>('Old Data'!$K716-$F720)^2+('Old Data'!$U716-$G720)^2</f>
        <v>539.65249697495017</v>
      </c>
      <c r="I720" s="75">
        <f>('Old Data'!$L716+'Old Data'!$M716)-('Old Data'!$V716+'Old Data'!$W716)</f>
        <v>-84</v>
      </c>
      <c r="J720" s="72">
        <f>VLOOKUP('Old Data'!$F716,$Z$6:$AB$135,2,FALSE)+VLOOKUP('Old Data'!$P716,$Z$6:$AB$135,3,FALSE)+$D$2</f>
        <v>59.512465619381601</v>
      </c>
      <c r="K720" s="72">
        <f>VLOOKUP('Old Data'!$P716,$Z$6:$AB$135,2,FALSE)+VLOOKUP('Old Data'!$F716,$Z$6:$AB$135,3,FALSE)+$D$2</f>
        <v>100.1587463983626</v>
      </c>
      <c r="L720" s="74">
        <f>('Old Data'!$L716+'Old Data'!$M716-$J720)^2+('Old Data'!$V716+'Old Data'!$W716-$K720)^2</f>
        <v>5202.0750302836486</v>
      </c>
      <c r="M720" s="75">
        <f>'Old Data'!$N716-'Old Data'!$X716</f>
        <v>-1</v>
      </c>
      <c r="N720" s="72">
        <f>VLOOKUP('Old Data'!$F716,$AD$6:$AF$135,2,FALSE)+VLOOKUP('Old Data'!$P716,$AD$6:$AF$135,3,FALSE)+$E$2</f>
        <v>1.1365609409666262</v>
      </c>
      <c r="O720" s="72">
        <f>VLOOKUP('Old Data'!$P716,$AD$6:$AF$135,2,FALSE)+VLOOKUP('Old Data'!$F716,$AD$6:$AF$135,3,FALSE)+$E$2</f>
        <v>1.9829931869753161</v>
      </c>
      <c r="P720" s="73">
        <f>('Old Data'!$N716-$N720)^2+('Old Data'!$X716-$O720)^2</f>
        <v>2.2580463781708313</v>
      </c>
    </row>
    <row r="721" spans="1:16">
      <c r="A721" s="71">
        <f>'Old Data'!$I717-'Old Data'!$S717</f>
        <v>71</v>
      </c>
      <c r="B721" s="72">
        <f>VLOOKUP('Old Data'!$F717,$R$6:$T$135,2,FALSE)+VLOOKUP('Old Data'!$P717,$R$6:$T$135,3,FALSE)+$B$2</f>
        <v>105.3028124528585</v>
      </c>
      <c r="C721" s="72">
        <f>VLOOKUP('Old Data'!$P717,$R$6:$T$135,2,FALSE)+VLOOKUP('Old Data'!$F717,$R$6:$T$135,3,FALSE)+$B$2</f>
        <v>130.1255804036511</v>
      </c>
      <c r="D721" s="74">
        <f>('Old Data'!$I717-$B721)^2+('Old Data'!$S717-$C721)^2</f>
        <v>5491.0856890688792</v>
      </c>
      <c r="E721" s="75">
        <f>'Old Data'!$K717-'Old Data'!$U717</f>
        <v>124</v>
      </c>
      <c r="F721" s="72">
        <f>VLOOKUP('Old Data'!$F717,$V$6:$X$135,2,FALSE)+VLOOKUP('Old Data'!$P717,$V$6:$X$135,3,FALSE)+$C$2</f>
        <v>363.31605616548518</v>
      </c>
      <c r="G721" s="72">
        <f>VLOOKUP('Old Data'!$P717,$V$6:$X$135,2,FALSE)+VLOOKUP('Old Data'!$F717,$V$6:$X$135,3,FALSE)+$C$2</f>
        <v>219.34329981507906</v>
      </c>
      <c r="H721" s="74">
        <f>('Old Data'!$K717-$F721)^2+('Old Data'!$U717-$G721)^2</f>
        <v>236.94772111541076</v>
      </c>
      <c r="I721" s="75">
        <f>('Old Data'!$L717+'Old Data'!$M717)-('Old Data'!$V717+'Old Data'!$W717)</f>
        <v>0</v>
      </c>
      <c r="J721" s="72">
        <f>VLOOKUP('Old Data'!$F717,$Z$6:$AB$135,2,FALSE)+VLOOKUP('Old Data'!$P717,$Z$6:$AB$135,3,FALSE)+$D$2</f>
        <v>5.0450482665427927</v>
      </c>
      <c r="K721" s="72">
        <f>VLOOKUP('Old Data'!$P717,$Z$6:$AB$135,2,FALSE)+VLOOKUP('Old Data'!$F717,$Z$6:$AB$135,3,FALSE)+$D$2</f>
        <v>15.458464756411502</v>
      </c>
      <c r="L721" s="74">
        <f>('Old Data'!$L717+'Old Data'!$M717-$J721)^2+('Old Data'!$V717+'Old Data'!$W717-$K721)^2</f>
        <v>264.41664463696293</v>
      </c>
      <c r="M721" s="75">
        <f>'Old Data'!$N717-'Old Data'!$X717</f>
        <v>2</v>
      </c>
      <c r="N721" s="72">
        <f>VLOOKUP('Old Data'!$F717,$AD$6:$AF$135,2,FALSE)+VLOOKUP('Old Data'!$P717,$AD$6:$AF$135,3,FALSE)+$E$2</f>
        <v>1.0335886602771611</v>
      </c>
      <c r="O721" s="72">
        <f>VLOOKUP('Old Data'!$P717,$AD$6:$AF$135,2,FALSE)+VLOOKUP('Old Data'!$F717,$AD$6:$AF$135,3,FALSE)+$E$2</f>
        <v>0.47160239387148917</v>
      </c>
      <c r="P721" s="73">
        <f>('Old Data'!$N717-$N721)^2+('Old Data'!$X717-$O721)^2</f>
        <v>1.1563596954502113</v>
      </c>
    </row>
    <row r="722" spans="1:16">
      <c r="A722" s="71">
        <f>'Old Data'!$I718-'Old Data'!$S718</f>
        <v>28</v>
      </c>
      <c r="B722" s="72">
        <f>VLOOKUP('Old Data'!$F718,$R$6:$T$135,2,FALSE)+VLOOKUP('Old Data'!$P718,$R$6:$T$135,3,FALSE)+$B$2</f>
        <v>218.41742378403052</v>
      </c>
      <c r="C722" s="72">
        <f>VLOOKUP('Old Data'!$P718,$R$6:$T$135,2,FALSE)+VLOOKUP('Old Data'!$F718,$R$6:$T$135,3,FALSE)+$B$2</f>
        <v>166.406785920207</v>
      </c>
      <c r="D722" s="74">
        <f>('Old Data'!$I718-$B722)^2+('Old Data'!$S718-$C722)^2</f>
        <v>370.4855425829677</v>
      </c>
      <c r="E722" s="75">
        <f>'Old Data'!$K718-'Old Data'!$U718</f>
        <v>-88</v>
      </c>
      <c r="F722" s="72">
        <f>VLOOKUP('Old Data'!$F718,$V$6:$X$135,2,FALSE)+VLOOKUP('Old Data'!$P718,$V$6:$X$135,3,FALSE)+$C$2</f>
        <v>219.8884848759069</v>
      </c>
      <c r="G722" s="72">
        <f>VLOOKUP('Old Data'!$P718,$V$6:$X$135,2,FALSE)+VLOOKUP('Old Data'!$F718,$V$6:$X$135,3,FALSE)+$C$2</f>
        <v>170.93001818636688</v>
      </c>
      <c r="H722" s="74">
        <f>('Old Data'!$K718-$F722)^2+('Old Data'!$U718-$G722)^2</f>
        <v>22368.548276518046</v>
      </c>
      <c r="I722" s="75">
        <f>('Old Data'!$L718+'Old Data'!$M718)-('Old Data'!$V718+'Old Data'!$W718)</f>
        <v>-27</v>
      </c>
      <c r="J722" s="72">
        <f>VLOOKUP('Old Data'!$F718,$Z$6:$AB$135,2,FALSE)+VLOOKUP('Old Data'!$P718,$Z$6:$AB$135,3,FALSE)+$D$2</f>
        <v>9.8569149996851024</v>
      </c>
      <c r="K722" s="72">
        <f>VLOOKUP('Old Data'!$P718,$Z$6:$AB$135,2,FALSE)+VLOOKUP('Old Data'!$F718,$Z$6:$AB$135,3,FALSE)+$D$2</f>
        <v>65.448180711813023</v>
      </c>
      <c r="L722" s="74">
        <f>('Old Data'!$L718+'Old Data'!$M718-$J722)^2+('Old Data'!$V718+'Old Data'!$W718-$K722)^2</f>
        <v>1480.8111819362518</v>
      </c>
      <c r="M722" s="75">
        <f>'Old Data'!$N718-'Old Data'!$X718</f>
        <v>1</v>
      </c>
      <c r="N722" s="72">
        <f>VLOOKUP('Old Data'!$F718,$AD$6:$AF$135,2,FALSE)+VLOOKUP('Old Data'!$P718,$AD$6:$AF$135,3,FALSE)+$E$2</f>
        <v>1.9283651188190651</v>
      </c>
      <c r="O722" s="72">
        <f>VLOOKUP('Old Data'!$P718,$AD$6:$AF$135,2,FALSE)+VLOOKUP('Old Data'!$F718,$AD$6:$AF$135,3,FALSE)+$E$2</f>
        <v>1.0113615120515931</v>
      </c>
      <c r="P722" s="73">
        <f>('Old Data'!$N718-$N722)^2+('Old Data'!$X718-$O722)^2</f>
        <v>1.8847139018992216</v>
      </c>
    </row>
    <row r="723" spans="1:16">
      <c r="A723" s="71">
        <f>'Old Data'!$I719-'Old Data'!$S719</f>
        <v>111</v>
      </c>
      <c r="B723" s="72">
        <f>VLOOKUP('Old Data'!$F719,$R$6:$T$135,2,FALSE)+VLOOKUP('Old Data'!$P719,$R$6:$T$135,3,FALSE)+$B$2</f>
        <v>214.18354412819872</v>
      </c>
      <c r="C723" s="72">
        <f>VLOOKUP('Old Data'!$P719,$R$6:$T$135,2,FALSE)+VLOOKUP('Old Data'!$F719,$R$6:$T$135,3,FALSE)+$B$2</f>
        <v>142.18636122450292</v>
      </c>
      <c r="D723" s="74">
        <f>('Old Data'!$I719-$B723)^2+('Old Data'!$S719-$C723)^2</f>
        <v>16137.911722431645</v>
      </c>
      <c r="E723" s="75">
        <f>'Old Data'!$K719-'Old Data'!$U719</f>
        <v>57</v>
      </c>
      <c r="F723" s="72">
        <f>VLOOKUP('Old Data'!$F719,$V$6:$X$135,2,FALSE)+VLOOKUP('Old Data'!$P719,$V$6:$X$135,3,FALSE)+$C$2</f>
        <v>269.12516911007481</v>
      </c>
      <c r="G723" s="72">
        <f>VLOOKUP('Old Data'!$P719,$V$6:$X$135,2,FALSE)+VLOOKUP('Old Data'!$F719,$V$6:$X$135,3,FALSE)+$C$2</f>
        <v>220.17658421790671</v>
      </c>
      <c r="H723" s="74">
        <f>('Old Data'!$K719-$F723)^2+('Old Data'!$U719-$G723)^2</f>
        <v>416.00907697130344</v>
      </c>
      <c r="I723" s="75">
        <f>('Old Data'!$L719+'Old Data'!$M719)-('Old Data'!$V719+'Old Data'!$W719)</f>
        <v>-16</v>
      </c>
      <c r="J723" s="72">
        <f>VLOOKUP('Old Data'!$F719,$Z$6:$AB$135,2,FALSE)+VLOOKUP('Old Data'!$P719,$Z$6:$AB$135,3,FALSE)+$D$2</f>
        <v>62.746425558952716</v>
      </c>
      <c r="K723" s="72">
        <f>VLOOKUP('Old Data'!$P719,$Z$6:$AB$135,2,FALSE)+VLOOKUP('Old Data'!$F719,$Z$6:$AB$135,3,FALSE)+$D$2</f>
        <v>47.793831775869329</v>
      </c>
      <c r="L723" s="74">
        <f>('Old Data'!$L719+'Old Data'!$M719-$J723)^2+('Old Data'!$V719+'Old Data'!$W719-$K723)^2</f>
        <v>500.41901395313289</v>
      </c>
      <c r="M723" s="75">
        <f>'Old Data'!$N719-'Old Data'!$X719</f>
        <v>-2</v>
      </c>
      <c r="N723" s="72">
        <f>VLOOKUP('Old Data'!$F719,$AD$6:$AF$135,2,FALSE)+VLOOKUP('Old Data'!$P719,$AD$6:$AF$135,3,FALSE)+$E$2</f>
        <v>0.8456869738904691</v>
      </c>
      <c r="O723" s="72">
        <f>VLOOKUP('Old Data'!$P719,$AD$6:$AF$135,2,FALSE)+VLOOKUP('Old Data'!$F719,$AD$6:$AF$135,3,FALSE)+$E$2</f>
        <v>2.1928067813430943</v>
      </c>
      <c r="P723" s="73">
        <f>('Old Data'!$N719-$N723)^2+('Old Data'!$X719-$O723)^2</f>
        <v>0.75236091273990269</v>
      </c>
    </row>
    <row r="724" spans="1:16">
      <c r="A724" s="71">
        <f>'Old Data'!$I720-'Old Data'!$S720</f>
        <v>272</v>
      </c>
      <c r="B724" s="72">
        <f>VLOOKUP('Old Data'!$F720,$R$6:$T$135,2,FALSE)+VLOOKUP('Old Data'!$P720,$R$6:$T$135,3,FALSE)+$B$2</f>
        <v>338.92804662943678</v>
      </c>
      <c r="C724" s="72">
        <f>VLOOKUP('Old Data'!$P720,$R$6:$T$135,2,FALSE)+VLOOKUP('Old Data'!$F720,$R$6:$T$135,3,FALSE)+$B$2</f>
        <v>192.6670620948349</v>
      </c>
      <c r="D724" s="74">
        <f>('Old Data'!$I720-$B724)^2+('Old Data'!$S720-$C724)^2</f>
        <v>7997.5634957161983</v>
      </c>
      <c r="E724" s="75">
        <f>'Old Data'!$K720-'Old Data'!$U720</f>
        <v>-24</v>
      </c>
      <c r="F724" s="72">
        <f>VLOOKUP('Old Data'!$F720,$V$6:$X$135,2,FALSE)+VLOOKUP('Old Data'!$P720,$V$6:$X$135,3,FALSE)+$C$2</f>
        <v>59.119988320880395</v>
      </c>
      <c r="G724" s="72">
        <f>VLOOKUP('Old Data'!$P720,$V$6:$X$135,2,FALSE)+VLOOKUP('Old Data'!$F720,$V$6:$X$135,3,FALSE)+$C$2</f>
        <v>69.437156670276636</v>
      </c>
      <c r="H724" s="74">
        <f>('Old Data'!$K720-$F724)^2+('Old Data'!$U720-$G724)^2</f>
        <v>5352.5939353579852</v>
      </c>
      <c r="I724" s="75">
        <f>('Old Data'!$L720+'Old Data'!$M720)-('Old Data'!$V720+'Old Data'!$W720)</f>
        <v>-45</v>
      </c>
      <c r="J724" s="72">
        <f>VLOOKUP('Old Data'!$F720,$Z$6:$AB$135,2,FALSE)+VLOOKUP('Old Data'!$P720,$Z$6:$AB$135,3,FALSE)+$D$2</f>
        <v>33.672387586512492</v>
      </c>
      <c r="K724" s="72">
        <f>VLOOKUP('Old Data'!$P720,$Z$6:$AB$135,2,FALSE)+VLOOKUP('Old Data'!$F720,$Z$6:$AB$135,3,FALSE)+$D$2</f>
        <v>42.595960231641499</v>
      </c>
      <c r="L724" s="74">
        <f>('Old Data'!$L720+'Old Data'!$M720-$J724)^2+('Old Data'!$V720+'Old Data'!$W720-$K724)^2</f>
        <v>799.85222353001382</v>
      </c>
      <c r="M724" s="75">
        <f>'Old Data'!$N720-'Old Data'!$X720</f>
        <v>2</v>
      </c>
      <c r="N724" s="72">
        <f>VLOOKUP('Old Data'!$F720,$AD$6:$AF$135,2,FALSE)+VLOOKUP('Old Data'!$P720,$AD$6:$AF$135,3,FALSE)+$E$2</f>
        <v>1.6460208943275996</v>
      </c>
      <c r="O724" s="72">
        <f>VLOOKUP('Old Data'!$P720,$AD$6:$AF$135,2,FALSE)+VLOOKUP('Old Data'!$F720,$AD$6:$AF$135,3,FALSE)+$E$2</f>
        <v>0.98331974564869051</v>
      </c>
      <c r="P724" s="73">
        <f>('Old Data'!$N720-$N724)^2+('Old Data'!$X720-$O724)^2</f>
        <v>1.0922189294352378</v>
      </c>
    </row>
    <row r="725" spans="1:16">
      <c r="A725" s="71">
        <f>'Old Data'!$I721-'Old Data'!$S721</f>
        <v>-125</v>
      </c>
      <c r="B725" s="72">
        <f>VLOOKUP('Old Data'!$F721,$R$6:$T$135,2,FALSE)+VLOOKUP('Old Data'!$P721,$R$6:$T$135,3,FALSE)+$B$2</f>
        <v>122.82817342488107</v>
      </c>
      <c r="C725" s="72">
        <f>VLOOKUP('Old Data'!$P721,$R$6:$T$135,2,FALSE)+VLOOKUP('Old Data'!$F721,$R$6:$T$135,3,FALSE)+$B$2</f>
        <v>263.79756395964989</v>
      </c>
      <c r="D725" s="74">
        <f>('Old Data'!$I721-$B725)^2+('Old Data'!$S721-$C725)^2</f>
        <v>5291.4059665008099</v>
      </c>
      <c r="E725" s="75">
        <f>'Old Data'!$K721-'Old Data'!$U721</f>
        <v>121</v>
      </c>
      <c r="F725" s="72">
        <f>VLOOKUP('Old Data'!$F721,$V$6:$X$135,2,FALSE)+VLOOKUP('Old Data'!$P721,$V$6:$X$135,3,FALSE)+$C$2</f>
        <v>209.3155388724478</v>
      </c>
      <c r="G725" s="72">
        <f>VLOOKUP('Old Data'!$P721,$V$6:$X$135,2,FALSE)+VLOOKUP('Old Data'!$F721,$V$6:$X$135,3,FALSE)+$C$2</f>
        <v>111.4529501807508</v>
      </c>
      <c r="H725" s="74">
        <f>('Old Data'!$K721-$F725)^2+('Old Data'!$U721-$G725)^2</f>
        <v>1315.0471961311741</v>
      </c>
      <c r="I725" s="75">
        <f>('Old Data'!$L721+'Old Data'!$M721)-('Old Data'!$V721+'Old Data'!$W721)</f>
        <v>27</v>
      </c>
      <c r="J725" s="72">
        <f>VLOOKUP('Old Data'!$F721,$Z$6:$AB$135,2,FALSE)+VLOOKUP('Old Data'!$P721,$Z$6:$AB$135,3,FALSE)+$D$2</f>
        <v>39.495540036806986</v>
      </c>
      <c r="K725" s="72">
        <f>VLOOKUP('Old Data'!$P721,$Z$6:$AB$135,2,FALSE)+VLOOKUP('Old Data'!$F721,$Z$6:$AB$135,3,FALSE)+$D$2</f>
        <v>28.749453688670677</v>
      </c>
      <c r="L725" s="74">
        <f>('Old Data'!$L721+'Old Data'!$M721-$J725)^2+('Old Data'!$V721+'Old Data'!$W721-$K725)^2</f>
        <v>684.7096584046451</v>
      </c>
      <c r="M725" s="75">
        <f>'Old Data'!$N721-'Old Data'!$X721</f>
        <v>0</v>
      </c>
      <c r="N725" s="72">
        <f>VLOOKUP('Old Data'!$F721,$AD$6:$AF$135,2,FALSE)+VLOOKUP('Old Data'!$P721,$AD$6:$AF$135,3,FALSE)+$E$2</f>
        <v>1.2317769309248536</v>
      </c>
      <c r="O725" s="72">
        <f>VLOOKUP('Old Data'!$P721,$AD$6:$AF$135,2,FALSE)+VLOOKUP('Old Data'!$F721,$AD$6:$AF$135,3,FALSE)+$E$2</f>
        <v>1.3144590319905392</v>
      </c>
      <c r="P725" s="73">
        <f>('Old Data'!$N721-$N725)^2+('Old Data'!$X721-$O725)^2</f>
        <v>0.1526050285093713</v>
      </c>
    </row>
    <row r="726" spans="1:16">
      <c r="A726" s="71">
        <f>'Old Data'!$I722-'Old Data'!$S722</f>
        <v>63</v>
      </c>
      <c r="B726" s="72">
        <f>VLOOKUP('Old Data'!$F722,$R$6:$T$135,2,FALSE)+VLOOKUP('Old Data'!$P722,$R$6:$T$135,3,FALSE)+$B$2</f>
        <v>233.7347890013227</v>
      </c>
      <c r="C726" s="72">
        <f>VLOOKUP('Old Data'!$P722,$R$6:$T$135,2,FALSE)+VLOOKUP('Old Data'!$F722,$R$6:$T$135,3,FALSE)+$B$2</f>
        <v>228.00458441686749</v>
      </c>
      <c r="D726" s="74">
        <f>('Old Data'!$I722-$B726)^2+('Old Data'!$S722-$C726)^2</f>
        <v>1854.9755383587444</v>
      </c>
      <c r="E726" s="75">
        <f>'Old Data'!$K722-'Old Data'!$U722</f>
        <v>-19</v>
      </c>
      <c r="F726" s="72">
        <f>VLOOKUP('Old Data'!$F722,$V$6:$X$135,2,FALSE)+VLOOKUP('Old Data'!$P722,$V$6:$X$135,3,FALSE)+$C$2</f>
        <v>292.42101526013022</v>
      </c>
      <c r="G726" s="72">
        <f>VLOOKUP('Old Data'!$P722,$V$6:$X$135,2,FALSE)+VLOOKUP('Old Data'!$F722,$V$6:$X$135,3,FALSE)+$C$2</f>
        <v>223.49913631049623</v>
      </c>
      <c r="H726" s="74">
        <f>('Old Data'!$K722-$F726)^2+('Old Data'!$U722-$G726)^2</f>
        <v>8773.5365814108645</v>
      </c>
      <c r="I726" s="75">
        <f>('Old Data'!$L722+'Old Data'!$M722)-('Old Data'!$V722+'Old Data'!$W722)</f>
        <v>-127</v>
      </c>
      <c r="J726" s="72">
        <f>VLOOKUP('Old Data'!$F722,$Z$6:$AB$135,2,FALSE)+VLOOKUP('Old Data'!$P722,$Z$6:$AB$135,3,FALSE)+$D$2</f>
        <v>44.549745316270489</v>
      </c>
      <c r="K726" s="72">
        <f>VLOOKUP('Old Data'!$P722,$Z$6:$AB$135,2,FALSE)+VLOOKUP('Old Data'!$F722,$Z$6:$AB$135,3,FALSE)+$D$2</f>
        <v>117.33341690361679</v>
      </c>
      <c r="L726" s="74">
        <f>('Old Data'!$L722+'Old Data'!$M722-$J726)^2+('Old Data'!$V722+'Old Data'!$W722-$K726)^2</f>
        <v>5805.0778723582744</v>
      </c>
      <c r="M726" s="75">
        <f>'Old Data'!$N722-'Old Data'!$X722</f>
        <v>2</v>
      </c>
      <c r="N726" s="72">
        <f>VLOOKUP('Old Data'!$F722,$AD$6:$AF$135,2,FALSE)+VLOOKUP('Old Data'!$P722,$AD$6:$AF$135,3,FALSE)+$E$2</f>
        <v>1.471545188593498</v>
      </c>
      <c r="O726" s="72">
        <f>VLOOKUP('Old Data'!$P722,$AD$6:$AF$135,2,FALSE)+VLOOKUP('Old Data'!$F722,$AD$6:$AF$135,3,FALSE)+$E$2</f>
        <v>1.4500025674207082</v>
      </c>
      <c r="P726" s="73">
        <f>('Old Data'!$N722-$N726)^2+('Old Data'!$X722-$O726)^2</f>
        <v>2.5386764211969144</v>
      </c>
    </row>
    <row r="727" spans="1:16">
      <c r="A727" s="71">
        <f>'Old Data'!$I723-'Old Data'!$S723</f>
        <v>20</v>
      </c>
      <c r="B727" s="72">
        <f>VLOOKUP('Old Data'!$F723,$R$6:$T$135,2,FALSE)+VLOOKUP('Old Data'!$P723,$R$6:$T$135,3,FALSE)+$B$2</f>
        <v>160.96584876585001</v>
      </c>
      <c r="C727" s="72">
        <f>VLOOKUP('Old Data'!$P723,$R$6:$T$135,2,FALSE)+VLOOKUP('Old Data'!$F723,$R$6:$T$135,3,FALSE)+$B$2</f>
        <v>168.3396340111604</v>
      </c>
      <c r="D727" s="74">
        <f>('Old Data'!$I723-$B727)^2+('Old Data'!$S723-$C727)^2</f>
        <v>1400.95544415718</v>
      </c>
      <c r="E727" s="75">
        <f>'Old Data'!$K723-'Old Data'!$U723</f>
        <v>81</v>
      </c>
      <c r="F727" s="72">
        <f>VLOOKUP('Old Data'!$F723,$V$6:$X$135,2,FALSE)+VLOOKUP('Old Data'!$P723,$V$6:$X$135,3,FALSE)+$C$2</f>
        <v>244.68387711079768</v>
      </c>
      <c r="G727" s="72">
        <f>VLOOKUP('Old Data'!$P723,$V$6:$X$135,2,FALSE)+VLOOKUP('Old Data'!$F723,$V$6:$X$135,3,FALSE)+$C$2</f>
        <v>251.01655986794378</v>
      </c>
      <c r="H727" s="74">
        <f>('Old Data'!$K723-$F727)^2+('Old Data'!$U723-$G727)^2</f>
        <v>25716.652279225051</v>
      </c>
      <c r="I727" s="75">
        <f>('Old Data'!$L723+'Old Data'!$M723)-('Old Data'!$V723+'Old Data'!$W723)</f>
        <v>32</v>
      </c>
      <c r="J727" s="72">
        <f>VLOOKUP('Old Data'!$F723,$Z$6:$AB$135,2,FALSE)+VLOOKUP('Old Data'!$P723,$Z$6:$AB$135,3,FALSE)+$D$2</f>
        <v>62.025250414802699</v>
      </c>
      <c r="K727" s="72">
        <f>VLOOKUP('Old Data'!$P723,$Z$6:$AB$135,2,FALSE)+VLOOKUP('Old Data'!$F723,$Z$6:$AB$135,3,FALSE)+$D$2</f>
        <v>58.520917124726793</v>
      </c>
      <c r="L727" s="74">
        <f>('Old Data'!$L723+'Old Data'!$M723-$J727)^2+('Old Data'!$V723+'Old Data'!$W723-$K727)^2</f>
        <v>872.53568629804067</v>
      </c>
      <c r="M727" s="75">
        <f>'Old Data'!$N723-'Old Data'!$X723</f>
        <v>0</v>
      </c>
      <c r="N727" s="72">
        <f>VLOOKUP('Old Data'!$F723,$AD$6:$AF$135,2,FALSE)+VLOOKUP('Old Data'!$P723,$AD$6:$AF$135,3,FALSE)+$E$2</f>
        <v>1.3304286226832058</v>
      </c>
      <c r="O727" s="72">
        <f>VLOOKUP('Old Data'!$P723,$AD$6:$AF$135,2,FALSE)+VLOOKUP('Old Data'!$F723,$AD$6:$AF$135,3,FALSE)+$E$2</f>
        <v>1.7032988723909972</v>
      </c>
      <c r="P727" s="73">
        <f>('Old Data'!$N723-$N727)^2+('Old Data'!$X723-$O727)^2</f>
        <v>0.53635738844636249</v>
      </c>
    </row>
    <row r="728" spans="1:16">
      <c r="A728" s="71">
        <f>'Old Data'!$I724-'Old Data'!$S724</f>
        <v>-221</v>
      </c>
      <c r="B728" s="72">
        <f>VLOOKUP('Old Data'!$F724,$R$6:$T$135,2,FALSE)+VLOOKUP('Old Data'!$P724,$R$6:$T$135,3,FALSE)+$B$2</f>
        <v>165.8087049726459</v>
      </c>
      <c r="C728" s="72">
        <f>VLOOKUP('Old Data'!$P724,$R$6:$T$135,2,FALSE)+VLOOKUP('Old Data'!$F724,$R$6:$T$135,3,FALSE)+$B$2</f>
        <v>137.83555491904252</v>
      </c>
      <c r="D728" s="74">
        <f>('Old Data'!$I724-$B728)^2+('Old Data'!$S724-$C728)^2</f>
        <v>30997.310778994448</v>
      </c>
      <c r="E728" s="75">
        <f>'Old Data'!$K724-'Old Data'!$U724</f>
        <v>156</v>
      </c>
      <c r="F728" s="72">
        <f>VLOOKUP('Old Data'!$F724,$V$6:$X$135,2,FALSE)+VLOOKUP('Old Data'!$P724,$V$6:$X$135,3,FALSE)+$C$2</f>
        <v>199.67163075109829</v>
      </c>
      <c r="G728" s="72">
        <f>VLOOKUP('Old Data'!$P724,$V$6:$X$135,2,FALSE)+VLOOKUP('Old Data'!$F724,$V$6:$X$135,3,FALSE)+$C$2</f>
        <v>179.5461140017471</v>
      </c>
      <c r="H728" s="74">
        <f>('Old Data'!$K724-$F728)^2+('Old Data'!$U724-$G728)^2</f>
        <v>11078.17887578055</v>
      </c>
      <c r="I728" s="75">
        <f>('Old Data'!$L724+'Old Data'!$M724)-('Old Data'!$V724+'Old Data'!$W724)</f>
        <v>-17</v>
      </c>
      <c r="J728" s="72">
        <f>VLOOKUP('Old Data'!$F724,$Z$6:$AB$135,2,FALSE)+VLOOKUP('Old Data'!$P724,$Z$6:$AB$135,3,FALSE)+$D$2</f>
        <v>30.815667168045358</v>
      </c>
      <c r="K728" s="72">
        <f>VLOOKUP('Old Data'!$P724,$Z$6:$AB$135,2,FALSE)+VLOOKUP('Old Data'!$F724,$Z$6:$AB$135,3,FALSE)+$D$2</f>
        <v>48.911181093688398</v>
      </c>
      <c r="L728" s="74">
        <f>('Old Data'!$L724+'Old Data'!$M724-$J728)^2+('Old Data'!$V724+'Old Data'!$W724-$K728)^2</f>
        <v>1498.1140357120544</v>
      </c>
      <c r="M728" s="75">
        <f>'Old Data'!$N724-'Old Data'!$X724</f>
        <v>-3</v>
      </c>
      <c r="N728" s="72">
        <f>VLOOKUP('Old Data'!$F724,$AD$6:$AF$135,2,FALSE)+VLOOKUP('Old Data'!$P724,$AD$6:$AF$135,3,FALSE)+$E$2</f>
        <v>1.9346606073732941</v>
      </c>
      <c r="O728" s="72">
        <f>VLOOKUP('Old Data'!$P724,$AD$6:$AF$135,2,FALSE)+VLOOKUP('Old Data'!$F724,$AD$6:$AF$135,3,FALSE)+$E$2</f>
        <v>1.178688086097881</v>
      </c>
      <c r="P728" s="73">
        <f>('Old Data'!$N724-$N728)^2+('Old Data'!$X724-$O728)^2</f>
        <v>7.0600887534438037</v>
      </c>
    </row>
    <row r="729" spans="1:16">
      <c r="A729" s="71">
        <f>'Old Data'!$I725-'Old Data'!$S725</f>
        <v>40</v>
      </c>
      <c r="B729" s="72">
        <f>VLOOKUP('Old Data'!$F725,$R$6:$T$135,2,FALSE)+VLOOKUP('Old Data'!$P725,$R$6:$T$135,3,FALSE)+$B$2</f>
        <v>125.686056494415</v>
      </c>
      <c r="C729" s="72">
        <f>VLOOKUP('Old Data'!$P725,$R$6:$T$135,2,FALSE)+VLOOKUP('Old Data'!$F725,$R$6:$T$135,3,FALSE)+$B$2</f>
        <v>120.7461845325917</v>
      </c>
      <c r="D729" s="74">
        <f>('Old Data'!$I725-$B729)^2+('Old Data'!$S725-$C729)^2</f>
        <v>1886.3117565297207</v>
      </c>
      <c r="E729" s="75">
        <f>'Old Data'!$K725-'Old Data'!$U725</f>
        <v>35</v>
      </c>
      <c r="F729" s="72">
        <f>VLOOKUP('Old Data'!$F725,$V$6:$X$135,2,FALSE)+VLOOKUP('Old Data'!$P725,$V$6:$X$135,3,FALSE)+$C$2</f>
        <v>196.6470619403384</v>
      </c>
      <c r="G729" s="72">
        <f>VLOOKUP('Old Data'!$P725,$V$6:$X$135,2,FALSE)+VLOOKUP('Old Data'!$F725,$V$6:$X$135,3,FALSE)+$C$2</f>
        <v>206.38160871593311</v>
      </c>
      <c r="H729" s="74">
        <f>('Old Data'!$K725-$F729)^2+('Old Data'!$U725-$G729)^2</f>
        <v>1032.360883362029</v>
      </c>
      <c r="I729" s="75">
        <f>('Old Data'!$L725+'Old Data'!$M725)-('Old Data'!$V725+'Old Data'!$W725)</f>
        <v>130</v>
      </c>
      <c r="J729" s="72">
        <f>VLOOKUP('Old Data'!$F725,$Z$6:$AB$135,2,FALSE)+VLOOKUP('Old Data'!$P725,$Z$6:$AB$135,3,FALSE)+$D$2</f>
        <v>59.062654626578265</v>
      </c>
      <c r="K729" s="72">
        <f>VLOOKUP('Old Data'!$P725,$Z$6:$AB$135,2,FALSE)+VLOOKUP('Old Data'!$F725,$Z$6:$AB$135,3,FALSE)+$D$2</f>
        <v>44.114703078274665</v>
      </c>
      <c r="L729" s="74">
        <f>('Old Data'!$L725+'Old Data'!$M725-$J729)^2+('Old Data'!$V725+'Old Data'!$W725-$K729)^2</f>
        <v>8986.76497270863</v>
      </c>
      <c r="M729" s="75">
        <f>'Old Data'!$N725-'Old Data'!$X725</f>
        <v>3</v>
      </c>
      <c r="N729" s="72">
        <f>VLOOKUP('Old Data'!$F725,$AD$6:$AF$135,2,FALSE)+VLOOKUP('Old Data'!$P725,$AD$6:$AF$135,3,FALSE)+$E$2</f>
        <v>1.2898291858674171</v>
      </c>
      <c r="O729" s="72">
        <f>VLOOKUP('Old Data'!$P725,$AD$6:$AF$135,2,FALSE)+VLOOKUP('Old Data'!$F725,$AD$6:$AF$135,3,FALSE)+$E$2</f>
        <v>1.3953724366338762</v>
      </c>
      <c r="P729" s="73">
        <f>('Old Data'!$N725-$N729)^2+('Old Data'!$X725-$O729)^2</f>
        <v>4.8717484504284627</v>
      </c>
    </row>
    <row r="730" spans="1:16">
      <c r="A730" s="71">
        <f>'Old Data'!$I726-'Old Data'!$S726</f>
        <v>68</v>
      </c>
      <c r="B730" s="72">
        <f>VLOOKUP('Old Data'!$F726,$R$6:$T$135,2,FALSE)+VLOOKUP('Old Data'!$P726,$R$6:$T$135,3,FALSE)+$B$2</f>
        <v>155.96746461546803</v>
      </c>
      <c r="C730" s="72">
        <f>VLOOKUP('Old Data'!$P726,$R$6:$T$135,2,FALSE)+VLOOKUP('Old Data'!$F726,$R$6:$T$135,3,FALSE)+$B$2</f>
        <v>153.45096004670643</v>
      </c>
      <c r="D730" s="74">
        <f>('Old Data'!$I726-$B730)^2+('Old Data'!$S726-$C730)^2</f>
        <v>2145.0500512076424</v>
      </c>
      <c r="E730" s="75">
        <f>'Old Data'!$K726-'Old Data'!$U726</f>
        <v>28</v>
      </c>
      <c r="F730" s="72">
        <f>VLOOKUP('Old Data'!$F726,$V$6:$X$135,2,FALSE)+VLOOKUP('Old Data'!$P726,$V$6:$X$135,3,FALSE)+$C$2</f>
        <v>332.20715565406891</v>
      </c>
      <c r="G730" s="72">
        <f>VLOOKUP('Old Data'!$P726,$V$6:$X$135,2,FALSE)+VLOOKUP('Old Data'!$F726,$V$6:$X$135,3,FALSE)+$C$2</f>
        <v>319.16996867450348</v>
      </c>
      <c r="H730" s="74">
        <f>('Old Data'!$K726-$F730)^2+('Old Data'!$U726-$G730)^2</f>
        <v>201.41661439328482</v>
      </c>
      <c r="I730" s="75">
        <f>('Old Data'!$L726+'Old Data'!$M726)-('Old Data'!$V726+'Old Data'!$W726)</f>
        <v>-114</v>
      </c>
      <c r="J730" s="72">
        <f>VLOOKUP('Old Data'!$F726,$Z$6:$AB$135,2,FALSE)+VLOOKUP('Old Data'!$P726,$Z$6:$AB$135,3,FALSE)+$D$2</f>
        <v>60.225027761248001</v>
      </c>
      <c r="K730" s="72">
        <f>VLOOKUP('Old Data'!$P726,$Z$6:$AB$135,2,FALSE)+VLOOKUP('Old Data'!$F726,$Z$6:$AB$135,3,FALSE)+$D$2</f>
        <v>111.1326765799943</v>
      </c>
      <c r="L730" s="74">
        <f>('Old Data'!$L726+'Old Data'!$M726-$J730)^2+('Old Data'!$V726+'Old Data'!$W726-$K730)^2</f>
        <v>1990.5286606459522</v>
      </c>
      <c r="M730" s="75">
        <f>'Old Data'!$N726-'Old Data'!$X726</f>
        <v>1</v>
      </c>
      <c r="N730" s="72">
        <f>VLOOKUP('Old Data'!$F726,$AD$6:$AF$135,2,FALSE)+VLOOKUP('Old Data'!$P726,$AD$6:$AF$135,3,FALSE)+$E$2</f>
        <v>2.3811188073566285</v>
      </c>
      <c r="O730" s="72">
        <f>VLOOKUP('Old Data'!$P726,$AD$6:$AF$135,2,FALSE)+VLOOKUP('Old Data'!$F726,$AD$6:$AF$135,3,FALSE)+$E$2</f>
        <v>0.84040488786129575</v>
      </c>
      <c r="P730" s="73">
        <f>('Old Data'!$N726-$N730)^2+('Old Data'!$X726-$O730)^2</f>
        <v>0.17072214513950451</v>
      </c>
    </row>
    <row r="731" spans="1:16">
      <c r="A731" s="71">
        <f>'Old Data'!$I727-'Old Data'!$S727</f>
        <v>22</v>
      </c>
      <c r="B731" s="72">
        <f>VLOOKUP('Old Data'!$F727,$R$6:$T$135,2,FALSE)+VLOOKUP('Old Data'!$P727,$R$6:$T$135,3,FALSE)+$B$2</f>
        <v>255.59096090372842</v>
      </c>
      <c r="C731" s="72">
        <f>VLOOKUP('Old Data'!$P727,$R$6:$T$135,2,FALSE)+VLOOKUP('Old Data'!$F727,$R$6:$T$135,3,FALSE)+$B$2</f>
        <v>92.993816345194602</v>
      </c>
      <c r="D731" s="74">
        <f>('Old Data'!$I727-$B731)^2+('Old Data'!$S727-$C731)^2</f>
        <v>11842.205700655282</v>
      </c>
      <c r="E731" s="75">
        <f>'Old Data'!$K727-'Old Data'!$U727</f>
        <v>-175</v>
      </c>
      <c r="F731" s="72">
        <f>VLOOKUP('Old Data'!$F727,$V$6:$X$135,2,FALSE)+VLOOKUP('Old Data'!$P727,$V$6:$X$135,3,FALSE)+$C$2</f>
        <v>66.718678259911826</v>
      </c>
      <c r="G731" s="72">
        <f>VLOOKUP('Old Data'!$P727,$V$6:$X$135,2,FALSE)+VLOOKUP('Old Data'!$F727,$V$6:$X$135,3,FALSE)+$C$2</f>
        <v>283.85517196363202</v>
      </c>
      <c r="H731" s="74">
        <f>('Old Data'!$K727-$F731)^2+('Old Data'!$U727-$G731)^2</f>
        <v>991.79894950819858</v>
      </c>
      <c r="I731" s="75">
        <f>('Old Data'!$L727+'Old Data'!$M727)-('Old Data'!$V727+'Old Data'!$W727)</f>
        <v>9</v>
      </c>
      <c r="J731" s="72">
        <f>VLOOKUP('Old Data'!$F727,$Z$6:$AB$135,2,FALSE)+VLOOKUP('Old Data'!$P727,$Z$6:$AB$135,3,FALSE)+$D$2</f>
        <v>24.631096976958595</v>
      </c>
      <c r="K731" s="72">
        <f>VLOOKUP('Old Data'!$P727,$Z$6:$AB$135,2,FALSE)+VLOOKUP('Old Data'!$F727,$Z$6:$AB$135,3,FALSE)+$D$2</f>
        <v>41.571264315685788</v>
      </c>
      <c r="L731" s="74">
        <f>('Old Data'!$L727+'Old Data'!$M727-$J731)^2+('Old Data'!$V727+'Old Data'!$W727-$K731)^2</f>
        <v>1028.453983654807</v>
      </c>
      <c r="M731" s="75">
        <f>'Old Data'!$N727-'Old Data'!$X727</f>
        <v>1</v>
      </c>
      <c r="N731" s="72">
        <f>VLOOKUP('Old Data'!$F727,$AD$6:$AF$135,2,FALSE)+VLOOKUP('Old Data'!$P727,$AD$6:$AF$135,3,FALSE)+$E$2</f>
        <v>1.2597002608152088</v>
      </c>
      <c r="O731" s="72">
        <f>VLOOKUP('Old Data'!$P727,$AD$6:$AF$135,2,FALSE)+VLOOKUP('Old Data'!$F727,$AD$6:$AF$135,3,FALSE)+$E$2</f>
        <v>0.39656348505865213</v>
      </c>
      <c r="P731" s="73">
        <f>('Old Data'!$N727-$N731)^2+('Old Data'!$X727-$O731)^2</f>
        <v>0.91217933140162943</v>
      </c>
    </row>
    <row r="732" spans="1:16">
      <c r="A732" s="71">
        <f>'Old Data'!$I728-'Old Data'!$S728</f>
        <v>111</v>
      </c>
      <c r="B732" s="72">
        <f>VLOOKUP('Old Data'!$F728,$R$6:$T$135,2,FALSE)+VLOOKUP('Old Data'!$P728,$R$6:$T$135,3,FALSE)+$B$2</f>
        <v>89.780338054583211</v>
      </c>
      <c r="C732" s="72">
        <f>VLOOKUP('Old Data'!$P728,$R$6:$T$135,2,FALSE)+VLOOKUP('Old Data'!$F728,$R$6:$T$135,3,FALSE)+$B$2</f>
        <v>107.28513887176447</v>
      </c>
      <c r="D732" s="74">
        <f>('Old Data'!$I728-$B732)^2+('Old Data'!$S728-$C732)^2</f>
        <v>17769.708244309677</v>
      </c>
      <c r="E732" s="75">
        <f>'Old Data'!$K728-'Old Data'!$U728</f>
        <v>122</v>
      </c>
      <c r="F732" s="72">
        <f>VLOOKUP('Old Data'!$F728,$V$6:$X$135,2,FALSE)+VLOOKUP('Old Data'!$P728,$V$6:$X$135,3,FALSE)+$C$2</f>
        <v>244.2335545709519</v>
      </c>
      <c r="G732" s="72">
        <f>VLOOKUP('Old Data'!$P728,$V$6:$X$135,2,FALSE)+VLOOKUP('Old Data'!$F728,$V$6:$X$135,3,FALSE)+$C$2</f>
        <v>206.81210472584209</v>
      </c>
      <c r="H732" s="74">
        <f>('Old Data'!$K728-$F732)^2+('Old Data'!$U728-$G732)^2</f>
        <v>3577.220956240536</v>
      </c>
      <c r="I732" s="75">
        <f>('Old Data'!$L728+'Old Data'!$M728)-('Old Data'!$V728+'Old Data'!$W728)</f>
        <v>48</v>
      </c>
      <c r="J732" s="72">
        <f>VLOOKUP('Old Data'!$F728,$Z$6:$AB$135,2,FALSE)+VLOOKUP('Old Data'!$P728,$Z$6:$AB$135,3,FALSE)+$D$2</f>
        <v>64.5991060476385</v>
      </c>
      <c r="K732" s="72">
        <f>VLOOKUP('Old Data'!$P728,$Z$6:$AB$135,2,FALSE)+VLOOKUP('Old Data'!$F728,$Z$6:$AB$135,3,FALSE)+$D$2</f>
        <v>50.1795824731511</v>
      </c>
      <c r="L732" s="74">
        <f>('Old Data'!$L728+'Old Data'!$M728-$J732)^2+('Old Data'!$V728+'Old Data'!$W728-$K732)^2</f>
        <v>2175.7339335526262</v>
      </c>
      <c r="M732" s="75">
        <f>'Old Data'!$N728-'Old Data'!$X728</f>
        <v>4</v>
      </c>
      <c r="N732" s="72">
        <f>VLOOKUP('Old Data'!$F728,$AD$6:$AF$135,2,FALSE)+VLOOKUP('Old Data'!$P728,$AD$6:$AF$135,3,FALSE)+$E$2</f>
        <v>2.3426979418437042</v>
      </c>
      <c r="O732" s="72">
        <f>VLOOKUP('Old Data'!$P728,$AD$6:$AF$135,2,FALSE)+VLOOKUP('Old Data'!$F728,$AD$6:$AF$135,3,FALSE)+$E$2</f>
        <v>0.67929739884113616</v>
      </c>
      <c r="P732" s="73">
        <f>('Old Data'!$N728-$N732)^2+('Old Data'!$X728-$O732)^2</f>
        <v>7.1641043866717471</v>
      </c>
    </row>
    <row r="733" spans="1:16">
      <c r="A733" s="71">
        <f>'Old Data'!$I729-'Old Data'!$S729</f>
        <v>-157</v>
      </c>
      <c r="B733" s="72">
        <f>VLOOKUP('Old Data'!$F729,$R$6:$T$135,2,FALSE)+VLOOKUP('Old Data'!$P729,$R$6:$T$135,3,FALSE)+$B$2</f>
        <v>195.15198638573318</v>
      </c>
      <c r="C733" s="72">
        <f>VLOOKUP('Old Data'!$P729,$R$6:$T$135,2,FALSE)+VLOOKUP('Old Data'!$F729,$R$6:$T$135,3,FALSE)+$B$2</f>
        <v>210.589629834184</v>
      </c>
      <c r="D733" s="74">
        <f>('Old Data'!$I729-$B733)^2+('Old Data'!$S729-$C733)^2</f>
        <v>13654.446398609914</v>
      </c>
      <c r="E733" s="75">
        <f>'Old Data'!$K729-'Old Data'!$U729</f>
        <v>-83</v>
      </c>
      <c r="F733" s="72">
        <f>VLOOKUP('Old Data'!$F729,$V$6:$X$135,2,FALSE)+VLOOKUP('Old Data'!$P729,$V$6:$X$135,3,FALSE)+$C$2</f>
        <v>304.51575750908353</v>
      </c>
      <c r="G733" s="72">
        <f>VLOOKUP('Old Data'!$P729,$V$6:$X$135,2,FALSE)+VLOOKUP('Old Data'!$F729,$V$6:$X$135,3,FALSE)+$C$2</f>
        <v>181.8305631034072</v>
      </c>
      <c r="H733" s="74">
        <f>('Old Data'!$K729-$F733)^2+('Old Data'!$U729-$G733)^2</f>
        <v>21270.954377021109</v>
      </c>
      <c r="I733" s="75">
        <f>('Old Data'!$L729+'Old Data'!$M729)-('Old Data'!$V729+'Old Data'!$W729)</f>
        <v>-136</v>
      </c>
      <c r="J733" s="72">
        <f>VLOOKUP('Old Data'!$F729,$Z$6:$AB$135,2,FALSE)+VLOOKUP('Old Data'!$P729,$Z$6:$AB$135,3,FALSE)+$D$2</f>
        <v>54.872408627014494</v>
      </c>
      <c r="K733" s="72">
        <f>VLOOKUP('Old Data'!$P729,$Z$6:$AB$135,2,FALSE)+VLOOKUP('Old Data'!$F729,$Z$6:$AB$135,3,FALSE)+$D$2</f>
        <v>58.184092221435364</v>
      </c>
      <c r="L733" s="74">
        <f>('Old Data'!$L729+'Old Data'!$M729-$J733)^2+('Old Data'!$V729+'Old Data'!$W729-$K733)^2</f>
        <v>11319.584691206539</v>
      </c>
      <c r="M733" s="75">
        <f>'Old Data'!$N729-'Old Data'!$X729</f>
        <v>-4</v>
      </c>
      <c r="N733" s="72">
        <f>VLOOKUP('Old Data'!$F729,$AD$6:$AF$135,2,FALSE)+VLOOKUP('Old Data'!$P729,$AD$6:$AF$135,3,FALSE)+$E$2</f>
        <v>0.95303282528515831</v>
      </c>
      <c r="O733" s="72">
        <f>VLOOKUP('Old Data'!$P729,$AD$6:$AF$135,2,FALSE)+VLOOKUP('Old Data'!$F729,$AD$6:$AF$135,3,FALSE)+$E$2</f>
        <v>1.8249209148753691</v>
      </c>
      <c r="P733" s="73">
        <f>('Old Data'!$N729-$N733)^2+('Old Data'!$X729-$O733)^2</f>
        <v>10.083333112296559</v>
      </c>
    </row>
    <row r="734" spans="1:16">
      <c r="A734" s="71">
        <f>'Old Data'!$I730-'Old Data'!$S730</f>
        <v>229</v>
      </c>
      <c r="B734" s="72">
        <f>VLOOKUP('Old Data'!$F730,$R$6:$T$135,2,FALSE)+VLOOKUP('Old Data'!$P730,$R$6:$T$135,3,FALSE)+$B$2</f>
        <v>184.45451521335471</v>
      </c>
      <c r="C734" s="72">
        <f>VLOOKUP('Old Data'!$P730,$R$6:$T$135,2,FALSE)+VLOOKUP('Old Data'!$F730,$R$6:$T$135,3,FALSE)+$B$2</f>
        <v>163.45058587853561</v>
      </c>
      <c r="D734" s="74">
        <f>('Old Data'!$I730-$B734)^2+('Old Data'!$S730-$C734)^2</f>
        <v>28232.773834546228</v>
      </c>
      <c r="E734" s="75">
        <f>'Old Data'!$K730-'Old Data'!$U730</f>
        <v>-219</v>
      </c>
      <c r="F734" s="72">
        <f>VLOOKUP('Old Data'!$F730,$V$6:$X$135,2,FALSE)+VLOOKUP('Old Data'!$P730,$V$6:$X$135,3,FALSE)+$C$2</f>
        <v>303.49207590062588</v>
      </c>
      <c r="G734" s="72">
        <f>VLOOKUP('Old Data'!$P730,$V$6:$X$135,2,FALSE)+VLOOKUP('Old Data'!$F730,$V$6:$X$135,3,FALSE)+$C$2</f>
        <v>340.2273512870463</v>
      </c>
      <c r="H734" s="74">
        <f>('Old Data'!$K730-$F734)^2+('Old Data'!$U730-$G734)^2</f>
        <v>24209.264735699831</v>
      </c>
      <c r="I734" s="75">
        <f>('Old Data'!$L730+'Old Data'!$M730)-('Old Data'!$V730+'Old Data'!$W730)</f>
        <v>14</v>
      </c>
      <c r="J734" s="72">
        <f>VLOOKUP('Old Data'!$F730,$Z$6:$AB$135,2,FALSE)+VLOOKUP('Old Data'!$P730,$Z$6:$AB$135,3,FALSE)+$D$2</f>
        <v>93.006884679946793</v>
      </c>
      <c r="K734" s="72">
        <f>VLOOKUP('Old Data'!$P730,$Z$6:$AB$135,2,FALSE)+VLOOKUP('Old Data'!$F730,$Z$6:$AB$135,3,FALSE)+$D$2</f>
        <v>52.225159086252795</v>
      </c>
      <c r="L734" s="74">
        <f>('Old Data'!$L730+'Old Data'!$M730-$J734)^2+('Old Data'!$V730+'Old Data'!$W730-$K734)^2</f>
        <v>7176.008214397325</v>
      </c>
      <c r="M734" s="75">
        <f>'Old Data'!$N730-'Old Data'!$X730</f>
        <v>-3</v>
      </c>
      <c r="N734" s="72">
        <f>VLOOKUP('Old Data'!$F730,$AD$6:$AF$135,2,FALSE)+VLOOKUP('Old Data'!$P730,$AD$6:$AF$135,3,FALSE)+$E$2</f>
        <v>1.208049443318514</v>
      </c>
      <c r="O734" s="72">
        <f>VLOOKUP('Old Data'!$P730,$AD$6:$AF$135,2,FALSE)+VLOOKUP('Old Data'!$F730,$AD$6:$AF$135,3,FALSE)+$E$2</f>
        <v>2.5266749646336559</v>
      </c>
      <c r="P734" s="73">
        <f>('Old Data'!$N730-$N734)^2+('Old Data'!$X730-$O734)^2</f>
        <v>1.6834200466067224</v>
      </c>
    </row>
    <row r="735" spans="1:16">
      <c r="A735" s="71">
        <f>'Old Data'!$I731-'Old Data'!$S731</f>
        <v>31</v>
      </c>
      <c r="B735" s="72">
        <f>VLOOKUP('Old Data'!$F731,$R$6:$T$135,2,FALSE)+VLOOKUP('Old Data'!$P731,$R$6:$T$135,3,FALSE)+$B$2</f>
        <v>47.270438110800711</v>
      </c>
      <c r="C735" s="72">
        <f>VLOOKUP('Old Data'!$P731,$R$6:$T$135,2,FALSE)+VLOOKUP('Old Data'!$F731,$R$6:$T$135,3,FALSE)+$B$2</f>
        <v>151.27495743522729</v>
      </c>
      <c r="D735" s="74">
        <f>('Old Data'!$I731-$B735)^2+('Old Data'!$S731-$C735)^2</f>
        <v>9412.1239585098483</v>
      </c>
      <c r="E735" s="75">
        <f>'Old Data'!$K731-'Old Data'!$U731</f>
        <v>-50</v>
      </c>
      <c r="F735" s="72">
        <f>VLOOKUP('Old Data'!$F731,$V$6:$X$135,2,FALSE)+VLOOKUP('Old Data'!$P731,$V$6:$X$135,3,FALSE)+$C$2</f>
        <v>250.19305869054159</v>
      </c>
      <c r="G735" s="72">
        <f>VLOOKUP('Old Data'!$P731,$V$6:$X$135,2,FALSE)+VLOOKUP('Old Data'!$F731,$V$6:$X$135,3,FALSE)+$C$2</f>
        <v>296.32746518809847</v>
      </c>
      <c r="H735" s="74">
        <f>('Old Data'!$K731-$F735)^2+('Old Data'!$U731-$G735)^2</f>
        <v>7880.0208704085344</v>
      </c>
      <c r="I735" s="75">
        <f>('Old Data'!$L731+'Old Data'!$M731)-('Old Data'!$V731+'Old Data'!$W731)</f>
        <v>-20</v>
      </c>
      <c r="J735" s="72">
        <f>VLOOKUP('Old Data'!$F731,$Z$6:$AB$135,2,FALSE)+VLOOKUP('Old Data'!$P731,$Z$6:$AB$135,3,FALSE)+$D$2</f>
        <v>18.128236982064131</v>
      </c>
      <c r="K735" s="72">
        <f>VLOOKUP('Old Data'!$P731,$Z$6:$AB$135,2,FALSE)+VLOOKUP('Old Data'!$F731,$Z$6:$AB$135,3,FALSE)+$D$2</f>
        <v>41.244045216931127</v>
      </c>
      <c r="L735" s="74">
        <f>('Old Data'!$L731+'Old Data'!$M731-$J735)^2+('Old Data'!$V731+'Old Data'!$W731-$K735)^2</f>
        <v>69.518531685024698</v>
      </c>
      <c r="M735" s="75">
        <f>'Old Data'!$N731-'Old Data'!$X731</f>
        <v>0</v>
      </c>
      <c r="N735" s="72">
        <f>VLOOKUP('Old Data'!$F731,$AD$6:$AF$135,2,FALSE)+VLOOKUP('Old Data'!$P731,$AD$6:$AF$135,3,FALSE)+$E$2</f>
        <v>1.6654266186539342</v>
      </c>
      <c r="O735" s="72">
        <f>VLOOKUP('Old Data'!$P731,$AD$6:$AF$135,2,FALSE)+VLOOKUP('Old Data'!$F731,$AD$6:$AF$135,3,FALSE)+$E$2</f>
        <v>1.1871202150851572</v>
      </c>
      <c r="P735" s="73">
        <f>('Old Data'!$N731-$N735)^2+('Old Data'!$X731-$O735)^2</f>
        <v>0.47780655970672381</v>
      </c>
    </row>
    <row r="736" spans="1:16">
      <c r="A736" s="71">
        <f>'Old Data'!$I732-'Old Data'!$S732</f>
        <v>-100</v>
      </c>
      <c r="B736" s="72">
        <f>VLOOKUP('Old Data'!$F732,$R$6:$T$135,2,FALSE)+VLOOKUP('Old Data'!$P732,$R$6:$T$135,3,FALSE)+$B$2</f>
        <v>90.307047680431808</v>
      </c>
      <c r="C736" s="72">
        <f>VLOOKUP('Old Data'!$P732,$R$6:$T$135,2,FALSE)+VLOOKUP('Old Data'!$F732,$R$6:$T$135,3,FALSE)+$B$2</f>
        <v>116.96047108570674</v>
      </c>
      <c r="D736" s="74">
        <f>('Old Data'!$I732-$B736)^2+('Old Data'!$S732-$C736)^2</f>
        <v>3519.427662816373</v>
      </c>
      <c r="E736" s="75">
        <f>'Old Data'!$K732-'Old Data'!$U732</f>
        <v>-10</v>
      </c>
      <c r="F736" s="72">
        <f>VLOOKUP('Old Data'!$F732,$V$6:$X$135,2,FALSE)+VLOOKUP('Old Data'!$P732,$V$6:$X$135,3,FALSE)+$C$2</f>
        <v>213.3258203431393</v>
      </c>
      <c r="G736" s="72">
        <f>VLOOKUP('Old Data'!$P732,$V$6:$X$135,2,FALSE)+VLOOKUP('Old Data'!$F732,$V$6:$X$135,3,FALSE)+$C$2</f>
        <v>283.93235304187272</v>
      </c>
      <c r="H736" s="74">
        <f>('Old Data'!$K732-$F736)^2+('Old Data'!$U732-$G736)^2</f>
        <v>18263.83861231686</v>
      </c>
      <c r="I736" s="75">
        <f>('Old Data'!$L732+'Old Data'!$M732)-('Old Data'!$V732+'Old Data'!$W732)</f>
        <v>-25</v>
      </c>
      <c r="J736" s="72">
        <f>VLOOKUP('Old Data'!$F732,$Z$6:$AB$135,2,FALSE)+VLOOKUP('Old Data'!$P732,$Z$6:$AB$135,3,FALSE)+$D$2</f>
        <v>52.553470528809335</v>
      </c>
      <c r="K736" s="72">
        <f>VLOOKUP('Old Data'!$P732,$Z$6:$AB$135,2,FALSE)+VLOOKUP('Old Data'!$F732,$Z$6:$AB$135,3,FALSE)+$D$2</f>
        <v>101.55681793241722</v>
      </c>
      <c r="L736" s="74">
        <f>('Old Data'!$L732+'Old Data'!$M732-$J736)^2+('Old Data'!$V732+'Old Data'!$W732-$K736)^2</f>
        <v>1698.4317135064919</v>
      </c>
      <c r="M736" s="75">
        <f>'Old Data'!$N732-'Old Data'!$X732</f>
        <v>-2</v>
      </c>
      <c r="N736" s="72">
        <f>VLOOKUP('Old Data'!$F732,$AD$6:$AF$135,2,FALSE)+VLOOKUP('Old Data'!$P732,$AD$6:$AF$135,3,FALSE)+$E$2</f>
        <v>1.3384545840991231</v>
      </c>
      <c r="O736" s="72">
        <f>VLOOKUP('Old Data'!$P732,$AD$6:$AF$135,2,FALSE)+VLOOKUP('Old Data'!$F732,$AD$6:$AF$135,3,FALSE)+$E$2</f>
        <v>2.0775776381589952</v>
      </c>
      <c r="P736" s="73">
        <f>('Old Data'!$N732-$N736)^2+('Old Data'!$X732-$O736)^2</f>
        <v>0.96541451912204801</v>
      </c>
    </row>
    <row r="737" spans="1:16">
      <c r="A737" s="71">
        <f>'Old Data'!$I733-'Old Data'!$S733</f>
        <v>-356</v>
      </c>
      <c r="B737" s="72">
        <f>VLOOKUP('Old Data'!$F733,$R$6:$T$135,2,FALSE)+VLOOKUP('Old Data'!$P733,$R$6:$T$135,3,FALSE)+$B$2</f>
        <v>226.69149920942561</v>
      </c>
      <c r="C737" s="72">
        <f>VLOOKUP('Old Data'!$P733,$R$6:$T$135,2,FALSE)+VLOOKUP('Old Data'!$F733,$R$6:$T$135,3,FALSE)+$B$2</f>
        <v>83.68707930448511</v>
      </c>
      <c r="D737" s="74">
        <f>('Old Data'!$I733-$B737)^2+('Old Data'!$S733-$C737)^2</f>
        <v>127362.00523612148</v>
      </c>
      <c r="E737" s="75">
        <f>'Old Data'!$K733-'Old Data'!$U733</f>
        <v>321</v>
      </c>
      <c r="F737" s="72">
        <f>VLOOKUP('Old Data'!$F733,$V$6:$X$135,2,FALSE)+VLOOKUP('Old Data'!$P733,$V$6:$X$135,3,FALSE)+$C$2</f>
        <v>241.1614279699761</v>
      </c>
      <c r="G737" s="72">
        <f>VLOOKUP('Old Data'!$P733,$V$6:$X$135,2,FALSE)+VLOOKUP('Old Data'!$F733,$V$6:$X$135,3,FALSE)+$C$2</f>
        <v>369.21541196111332</v>
      </c>
      <c r="H737" s="74">
        <f>('Old Data'!$K733-$F737)^2+('Old Data'!$U733-$G737)^2</f>
        <v>127131.60761754257</v>
      </c>
      <c r="I737" s="75">
        <f>('Old Data'!$L733+'Old Data'!$M733)-('Old Data'!$V733+'Old Data'!$W733)</f>
        <v>-109</v>
      </c>
      <c r="J737" s="72">
        <f>VLOOKUP('Old Data'!$F733,$Z$6:$AB$135,2,FALSE)+VLOOKUP('Old Data'!$P733,$Z$6:$AB$135,3,FALSE)+$D$2</f>
        <v>5.3123403058071474</v>
      </c>
      <c r="K737" s="72">
        <f>VLOOKUP('Old Data'!$P733,$Z$6:$AB$135,2,FALSE)+VLOOKUP('Old Data'!$F733,$Z$6:$AB$135,3,FALSE)+$D$2</f>
        <v>84.800084123393191</v>
      </c>
      <c r="L737" s="74">
        <f>('Old Data'!$L733+'Old Data'!$M733-$J737)^2+('Old Data'!$V733+'Old Data'!$W733-$K737)^2</f>
        <v>2053.5847596499366</v>
      </c>
      <c r="M737" s="75">
        <f>'Old Data'!$N733-'Old Data'!$X733</f>
        <v>0</v>
      </c>
      <c r="N737" s="72">
        <f>VLOOKUP('Old Data'!$F733,$AD$6:$AF$135,2,FALSE)+VLOOKUP('Old Data'!$P733,$AD$6:$AF$135,3,FALSE)+$E$2</f>
        <v>1.4324709528685262</v>
      </c>
      <c r="O737" s="72">
        <f>VLOOKUP('Old Data'!$P733,$AD$6:$AF$135,2,FALSE)+VLOOKUP('Old Data'!$F733,$AD$6:$AF$135,3,FALSE)+$E$2</f>
        <v>1.5943079306830625</v>
      </c>
      <c r="P737" s="73">
        <f>('Old Data'!$N733-$N737)^2+('Old Data'!$X733-$O737)^2</f>
        <v>0.54023304154779495</v>
      </c>
    </row>
    <row r="738" spans="1:16">
      <c r="A738" s="71">
        <f>'Old Data'!$I734-'Old Data'!$S734</f>
        <v>93</v>
      </c>
      <c r="B738" s="72">
        <f>VLOOKUP('Old Data'!$F734,$R$6:$T$135,2,FALSE)+VLOOKUP('Old Data'!$P734,$R$6:$T$135,3,FALSE)+$B$2</f>
        <v>158.83687342746572</v>
      </c>
      <c r="C738" s="72">
        <f>VLOOKUP('Old Data'!$P734,$R$6:$T$135,2,FALSE)+VLOOKUP('Old Data'!$F734,$R$6:$T$135,3,FALSE)+$B$2</f>
        <v>79.31194051747481</v>
      </c>
      <c r="D738" s="74">
        <f>('Old Data'!$I734-$B738)^2+('Old Data'!$S734-$C738)^2</f>
        <v>5206.3299977742208</v>
      </c>
      <c r="E738" s="75">
        <f>'Old Data'!$K734-'Old Data'!$U734</f>
        <v>-121</v>
      </c>
      <c r="F738" s="72">
        <f>VLOOKUP('Old Data'!$F734,$V$6:$X$135,2,FALSE)+VLOOKUP('Old Data'!$P734,$V$6:$X$135,3,FALSE)+$C$2</f>
        <v>241.44072136161299</v>
      </c>
      <c r="G738" s="72">
        <f>VLOOKUP('Old Data'!$P734,$V$6:$X$135,2,FALSE)+VLOOKUP('Old Data'!$F734,$V$6:$X$135,3,FALSE)+$C$2</f>
        <v>303.53144339699236</v>
      </c>
      <c r="H738" s="74">
        <f>('Old Data'!$K734-$F738)^2+('Old Data'!$U734-$G738)^2</f>
        <v>1737.20757303959</v>
      </c>
      <c r="I738" s="75">
        <f>('Old Data'!$L734+'Old Data'!$M734)-('Old Data'!$V734+'Old Data'!$W734)</f>
        <v>124</v>
      </c>
      <c r="J738" s="72">
        <f>VLOOKUP('Old Data'!$F734,$Z$6:$AB$135,2,FALSE)+VLOOKUP('Old Data'!$P734,$Z$6:$AB$135,3,FALSE)+$D$2</f>
        <v>91.856191775352428</v>
      </c>
      <c r="K738" s="72">
        <f>VLOOKUP('Old Data'!$P734,$Z$6:$AB$135,2,FALSE)+VLOOKUP('Old Data'!$F734,$Z$6:$AB$135,3,FALSE)+$D$2</f>
        <v>58.114947080914298</v>
      </c>
      <c r="L738" s="74">
        <f>('Old Data'!$L734+'Old Data'!$M734-$J738)^2+('Old Data'!$V734+'Old Data'!$W734-$K738)^2</f>
        <v>4145.6682048622552</v>
      </c>
      <c r="M738" s="75">
        <f>'Old Data'!$N734-'Old Data'!$X734</f>
        <v>3</v>
      </c>
      <c r="N738" s="72">
        <f>VLOOKUP('Old Data'!$F734,$AD$6:$AF$135,2,FALSE)+VLOOKUP('Old Data'!$P734,$AD$6:$AF$135,3,FALSE)+$E$2</f>
        <v>1.8177975062076621</v>
      </c>
      <c r="O738" s="72">
        <f>VLOOKUP('Old Data'!$P734,$AD$6:$AF$135,2,FALSE)+VLOOKUP('Old Data'!$F734,$AD$6:$AF$135,3,FALSE)+$E$2</f>
        <v>0.79009154111237045</v>
      </c>
      <c r="P738" s="73">
        <f>('Old Data'!$N734-$N738)^2+('Old Data'!$X734-$O738)^2</f>
        <v>2.0218473796661431</v>
      </c>
    </row>
    <row r="739" spans="1:16">
      <c r="A739" s="71">
        <f>'Old Data'!$I735-'Old Data'!$S735</f>
        <v>-160</v>
      </c>
      <c r="B739" s="72">
        <f>VLOOKUP('Old Data'!$F735,$R$6:$T$135,2,FALSE)+VLOOKUP('Old Data'!$P735,$R$6:$T$135,3,FALSE)+$B$2</f>
        <v>118.73121963954416</v>
      </c>
      <c r="C739" s="72">
        <f>VLOOKUP('Old Data'!$P735,$R$6:$T$135,2,FALSE)+VLOOKUP('Old Data'!$F735,$R$6:$T$135,3,FALSE)+$B$2</f>
        <v>183.17344901040923</v>
      </c>
      <c r="D739" s="74">
        <f>('Old Data'!$I735-$B739)^2+('Old Data'!$S735-$C739)^2</f>
        <v>4664.9829467389854</v>
      </c>
      <c r="E739" s="75">
        <f>'Old Data'!$K735-'Old Data'!$U735</f>
        <v>-102</v>
      </c>
      <c r="F739" s="72">
        <f>VLOOKUP('Old Data'!$F735,$V$6:$X$135,2,FALSE)+VLOOKUP('Old Data'!$P735,$V$6:$X$135,3,FALSE)+$C$2</f>
        <v>223.61132384613197</v>
      </c>
      <c r="G739" s="72">
        <f>VLOOKUP('Old Data'!$P735,$V$6:$X$135,2,FALSE)+VLOOKUP('Old Data'!$F735,$V$6:$X$135,3,FALSE)+$C$2</f>
        <v>309.15465183314666</v>
      </c>
      <c r="H739" s="74">
        <f>('Old Data'!$K735-$F739)^2+('Old Data'!$U735-$G739)^2</f>
        <v>1049.8753647718124</v>
      </c>
      <c r="I739" s="75">
        <f>('Old Data'!$L735+'Old Data'!$M735)-('Old Data'!$V735+'Old Data'!$W735)</f>
        <v>38</v>
      </c>
      <c r="J739" s="72">
        <f>VLOOKUP('Old Data'!$F735,$Z$6:$AB$135,2,FALSE)+VLOOKUP('Old Data'!$P735,$Z$6:$AB$135,3,FALSE)+$D$2</f>
        <v>56.138341464262524</v>
      </c>
      <c r="K739" s="72">
        <f>VLOOKUP('Old Data'!$P735,$Z$6:$AB$135,2,FALSE)+VLOOKUP('Old Data'!$F735,$Z$6:$AB$135,3,FALSE)+$D$2</f>
        <v>17.839789128399126</v>
      </c>
      <c r="L739" s="74">
        <f>('Old Data'!$L735+'Old Data'!$M735-$J739)^2+('Old Data'!$V735+'Old Data'!$W735-$K739)^2</f>
        <v>2593.6194032124745</v>
      </c>
      <c r="M739" s="75">
        <f>'Old Data'!$N735-'Old Data'!$X735</f>
        <v>-1</v>
      </c>
      <c r="N739" s="72">
        <f>VLOOKUP('Old Data'!$F735,$AD$6:$AF$135,2,FALSE)+VLOOKUP('Old Data'!$P735,$AD$6:$AF$135,3,FALSE)+$E$2</f>
        <v>1.000621880304057</v>
      </c>
      <c r="O739" s="72">
        <f>VLOOKUP('Old Data'!$P735,$AD$6:$AF$135,2,FALSE)+VLOOKUP('Old Data'!$F735,$AD$6:$AF$135,3,FALSE)+$E$2</f>
        <v>1.731710850241952</v>
      </c>
      <c r="P739" s="73">
        <f>('Old Data'!$N735-$N739)^2+('Old Data'!$X735-$O739)^2</f>
        <v>7.1979454613008864E-2</v>
      </c>
    </row>
    <row r="740" spans="1:16">
      <c r="A740" s="71">
        <f>'Old Data'!$I736-'Old Data'!$S736</f>
        <v>102</v>
      </c>
      <c r="B740" s="72">
        <f>VLOOKUP('Old Data'!$F736,$R$6:$T$135,2,FALSE)+VLOOKUP('Old Data'!$P736,$R$6:$T$135,3,FALSE)+$B$2</f>
        <v>151.92205217797459</v>
      </c>
      <c r="C740" s="72">
        <f>VLOOKUP('Old Data'!$P736,$R$6:$T$135,2,FALSE)+VLOOKUP('Old Data'!$F736,$R$6:$T$135,3,FALSE)+$B$2</f>
        <v>222.45680023102571</v>
      </c>
      <c r="D740" s="74">
        <f>('Old Data'!$I736-$B740)^2+('Old Data'!$S736-$C740)^2</f>
        <v>15265.583539986808</v>
      </c>
      <c r="E740" s="75">
        <f>'Old Data'!$K736-'Old Data'!$U736</f>
        <v>-89</v>
      </c>
      <c r="F740" s="72">
        <f>VLOOKUP('Old Data'!$F736,$V$6:$X$135,2,FALSE)+VLOOKUP('Old Data'!$P736,$V$6:$X$135,3,FALSE)+$C$2</f>
        <v>245.4883907795477</v>
      </c>
      <c r="G740" s="72">
        <f>VLOOKUP('Old Data'!$P736,$V$6:$X$135,2,FALSE)+VLOOKUP('Old Data'!$F736,$V$6:$X$135,3,FALSE)+$C$2</f>
        <v>168.7396782786746</v>
      </c>
      <c r="H740" s="74">
        <f>('Old Data'!$K736-$F740)^2+('Old Data'!$U736-$G740)^2</f>
        <v>22879.633178456213</v>
      </c>
      <c r="I740" s="75">
        <f>('Old Data'!$L736+'Old Data'!$M736)-('Old Data'!$V736+'Old Data'!$W736)</f>
        <v>-4</v>
      </c>
      <c r="J740" s="72">
        <f>VLOOKUP('Old Data'!$F736,$Z$6:$AB$135,2,FALSE)+VLOOKUP('Old Data'!$P736,$Z$6:$AB$135,3,FALSE)+$D$2</f>
        <v>50.55255024609589</v>
      </c>
      <c r="K740" s="72">
        <f>VLOOKUP('Old Data'!$P736,$Z$6:$AB$135,2,FALSE)+VLOOKUP('Old Data'!$F736,$Z$6:$AB$135,3,FALSE)+$D$2</f>
        <v>76.002714636385718</v>
      </c>
      <c r="L740" s="74">
        <f>('Old Data'!$L736+'Old Data'!$M736-$J740)^2+('Old Data'!$V736+'Old Data'!$W736-$K740)^2</f>
        <v>1222.6405905592785</v>
      </c>
      <c r="M740" s="75">
        <f>'Old Data'!$N736-'Old Data'!$X736</f>
        <v>-2</v>
      </c>
      <c r="N740" s="72">
        <f>VLOOKUP('Old Data'!$F736,$AD$6:$AF$135,2,FALSE)+VLOOKUP('Old Data'!$P736,$AD$6:$AF$135,3,FALSE)+$E$2</f>
        <v>1.4308313396667041</v>
      </c>
      <c r="O740" s="72">
        <f>VLOOKUP('Old Data'!$P736,$AD$6:$AF$135,2,FALSE)+VLOOKUP('Old Data'!$F736,$AD$6:$AF$135,3,FALSE)+$E$2</f>
        <v>1.3198027275441957</v>
      </c>
      <c r="P740" s="73">
        <f>('Old Data'!$N736-$N740)^2+('Old Data'!$X736-$O740)^2</f>
        <v>2.5099466520287308</v>
      </c>
    </row>
    <row r="741" spans="1:16">
      <c r="A741" s="71">
        <f>'Old Data'!$I737-'Old Data'!$S737</f>
        <v>-1</v>
      </c>
      <c r="B741" s="72">
        <f>VLOOKUP('Old Data'!$F737,$R$6:$T$135,2,FALSE)+VLOOKUP('Old Data'!$P737,$R$6:$T$135,3,FALSE)+$B$2</f>
        <v>112.33871704055858</v>
      </c>
      <c r="C741" s="72">
        <f>VLOOKUP('Old Data'!$P737,$R$6:$T$135,2,FALSE)+VLOOKUP('Old Data'!$F737,$R$6:$T$135,3,FALSE)+$B$2</f>
        <v>150.43783348741164</v>
      </c>
      <c r="D741" s="74">
        <f>('Old Data'!$I737-$B741)^2+('Old Data'!$S737-$C741)^2</f>
        <v>4758.3076378845381</v>
      </c>
      <c r="E741" s="75">
        <f>'Old Data'!$K737-'Old Data'!$U737</f>
        <v>-145</v>
      </c>
      <c r="F741" s="72">
        <f>VLOOKUP('Old Data'!$F737,$V$6:$X$135,2,FALSE)+VLOOKUP('Old Data'!$P737,$V$6:$X$135,3,FALSE)+$C$2</f>
        <v>260.83434919076609</v>
      </c>
      <c r="G741" s="72">
        <f>VLOOKUP('Old Data'!$P737,$V$6:$X$135,2,FALSE)+VLOOKUP('Old Data'!$F737,$V$6:$X$135,3,FALSE)+$C$2</f>
        <v>282.93076513071611</v>
      </c>
      <c r="H741" s="74">
        <f>('Old Data'!$K737-$F741)^2+('Old Data'!$U737-$G741)^2</f>
        <v>8741.6636747965003</v>
      </c>
      <c r="I741" s="75">
        <f>('Old Data'!$L737+'Old Data'!$M737)-('Old Data'!$V737+'Old Data'!$W737)</f>
        <v>25</v>
      </c>
      <c r="J741" s="72">
        <f>VLOOKUP('Old Data'!$F737,$Z$6:$AB$135,2,FALSE)+VLOOKUP('Old Data'!$P737,$Z$6:$AB$135,3,FALSE)+$D$2</f>
        <v>69.505105028662896</v>
      </c>
      <c r="K741" s="72">
        <f>VLOOKUP('Old Data'!$P737,$Z$6:$AB$135,2,FALSE)+VLOOKUP('Old Data'!$F737,$Z$6:$AB$135,3,FALSE)+$D$2</f>
        <v>91.791370292467292</v>
      </c>
      <c r="L741" s="74">
        <f>('Old Data'!$L737+'Old Data'!$M737-$J741)^2+('Old Data'!$V737+'Old Data'!$W737-$K741)^2</f>
        <v>3834.1002163438225</v>
      </c>
      <c r="M741" s="75">
        <f>'Old Data'!$N737-'Old Data'!$X737</f>
        <v>1</v>
      </c>
      <c r="N741" s="72">
        <f>VLOOKUP('Old Data'!$F737,$AD$6:$AF$135,2,FALSE)+VLOOKUP('Old Data'!$P737,$AD$6:$AF$135,3,FALSE)+$E$2</f>
        <v>2.3444045161297851</v>
      </c>
      <c r="O741" s="72">
        <f>VLOOKUP('Old Data'!$P737,$AD$6:$AF$135,2,FALSE)+VLOOKUP('Old Data'!$F737,$AD$6:$AF$135,3,FALSE)+$E$2</f>
        <v>1.4324539267338621</v>
      </c>
      <c r="P741" s="73">
        <f>('Old Data'!$N737-$N741)^2+('Old Data'!$X737-$O741)^2</f>
        <v>0.3056308694781279</v>
      </c>
    </row>
    <row r="742" spans="1:16">
      <c r="A742" s="71">
        <f>'Old Data'!$I738-'Old Data'!$S738</f>
        <v>63</v>
      </c>
      <c r="B742" s="72">
        <f>VLOOKUP('Old Data'!$F738,$R$6:$T$135,2,FALSE)+VLOOKUP('Old Data'!$P738,$R$6:$T$135,3,FALSE)+$B$2</f>
        <v>141.85687496105132</v>
      </c>
      <c r="C742" s="72">
        <f>VLOOKUP('Old Data'!$P738,$R$6:$T$135,2,FALSE)+VLOOKUP('Old Data'!$F738,$R$6:$T$135,3,FALSE)+$B$2</f>
        <v>199.66112342857059</v>
      </c>
      <c r="D742" s="74">
        <f>('Old Data'!$I738-$B742)^2+('Old Data'!$S738-$C742)^2</f>
        <v>10868.479249795131</v>
      </c>
      <c r="E742" s="75">
        <f>'Old Data'!$K738-'Old Data'!$U738</f>
        <v>307</v>
      </c>
      <c r="F742" s="72">
        <f>VLOOKUP('Old Data'!$F738,$V$6:$X$135,2,FALSE)+VLOOKUP('Old Data'!$P738,$V$6:$X$135,3,FALSE)+$C$2</f>
        <v>379.49900368105568</v>
      </c>
      <c r="G742" s="72">
        <f>VLOOKUP('Old Data'!$P738,$V$6:$X$135,2,FALSE)+VLOOKUP('Old Data'!$F738,$V$6:$X$135,3,FALSE)+$C$2</f>
        <v>267.46069997618042</v>
      </c>
      <c r="H742" s="74">
        <f>('Old Data'!$K738-$F742)^2+('Old Data'!$U738-$G742)^2</f>
        <v>25059.464920737875</v>
      </c>
      <c r="I742" s="75">
        <f>('Old Data'!$L738+'Old Data'!$M738)-('Old Data'!$V738+'Old Data'!$W738)</f>
        <v>-13</v>
      </c>
      <c r="J742" s="72">
        <f>VLOOKUP('Old Data'!$F738,$Z$6:$AB$135,2,FALSE)+VLOOKUP('Old Data'!$P738,$Z$6:$AB$135,3,FALSE)+$D$2</f>
        <v>31.897317537549156</v>
      </c>
      <c r="K742" s="72">
        <f>VLOOKUP('Old Data'!$P738,$Z$6:$AB$135,2,FALSE)+VLOOKUP('Old Data'!$F738,$Z$6:$AB$135,3,FALSE)+$D$2</f>
        <v>45.362882706426547</v>
      </c>
      <c r="L742" s="74">
        <f>('Old Data'!$L738+'Old Data'!$M738-$J742)^2+('Old Data'!$V738+'Old Data'!$W738-$K742)^2</f>
        <v>294.38703340213533</v>
      </c>
      <c r="M742" s="75">
        <f>'Old Data'!$N738-'Old Data'!$X738</f>
        <v>1</v>
      </c>
      <c r="N742" s="72">
        <f>VLOOKUP('Old Data'!$F738,$AD$6:$AF$135,2,FALSE)+VLOOKUP('Old Data'!$P738,$AD$6:$AF$135,3,FALSE)+$E$2</f>
        <v>1.709341993768855</v>
      </c>
      <c r="O742" s="72">
        <f>VLOOKUP('Old Data'!$P738,$AD$6:$AF$135,2,FALSE)+VLOOKUP('Old Data'!$F738,$AD$6:$AF$135,3,FALSE)+$E$2</f>
        <v>-0.26729619873294874</v>
      </c>
      <c r="P742" s="73">
        <f>('Old Data'!$N738-$N742)^2+('Old Data'!$X738-$O742)^2</f>
        <v>0.57461332198105841</v>
      </c>
    </row>
    <row r="743" spans="1:16">
      <c r="A743" s="71">
        <f>'Old Data'!$I739-'Old Data'!$S739</f>
        <v>-163</v>
      </c>
      <c r="B743" s="72">
        <f>VLOOKUP('Old Data'!$F739,$R$6:$T$135,2,FALSE)+VLOOKUP('Old Data'!$P739,$R$6:$T$135,3,FALSE)+$B$2</f>
        <v>111.97831689876909</v>
      </c>
      <c r="C743" s="72">
        <f>VLOOKUP('Old Data'!$P739,$R$6:$T$135,2,FALSE)+VLOOKUP('Old Data'!$F739,$R$6:$T$135,3,FALSE)+$B$2</f>
        <v>148.40086951101694</v>
      </c>
      <c r="D743" s="74">
        <f>('Old Data'!$I739-$B743)^2+('Old Data'!$S739-$C743)^2</f>
        <v>8038.1512896347685</v>
      </c>
      <c r="E743" s="75">
        <f>'Old Data'!$K739-'Old Data'!$U739</f>
        <v>-20</v>
      </c>
      <c r="F743" s="72">
        <f>VLOOKUP('Old Data'!$F739,$V$6:$X$135,2,FALSE)+VLOOKUP('Old Data'!$P739,$V$6:$X$135,3,FALSE)+$C$2</f>
        <v>239.6453951897071</v>
      </c>
      <c r="G743" s="72">
        <f>VLOOKUP('Old Data'!$P739,$V$6:$X$135,2,FALSE)+VLOOKUP('Old Data'!$F739,$V$6:$X$135,3,FALSE)+$C$2</f>
        <v>263.43072801628801</v>
      </c>
      <c r="H743" s="74">
        <f>('Old Data'!$K739-$F743)^2+('Old Data'!$U739-$G743)^2</f>
        <v>429.87484264909938</v>
      </c>
      <c r="I743" s="75">
        <f>('Old Data'!$L739+'Old Data'!$M739)-('Old Data'!$V739+'Old Data'!$W739)</f>
        <v>24</v>
      </c>
      <c r="J743" s="72">
        <f>VLOOKUP('Old Data'!$F739,$Z$6:$AB$135,2,FALSE)+VLOOKUP('Old Data'!$P739,$Z$6:$AB$135,3,FALSE)+$D$2</f>
        <v>87.68688461360037</v>
      </c>
      <c r="K743" s="72">
        <f>VLOOKUP('Old Data'!$P739,$Z$6:$AB$135,2,FALSE)+VLOOKUP('Old Data'!$F739,$Z$6:$AB$135,3,FALSE)+$D$2</f>
        <v>37.58576121394718</v>
      </c>
      <c r="L743" s="74">
        <f>('Old Data'!$L739+'Old Data'!$M739-$J743)^2+('Old Data'!$V739+'Old Data'!$W739-$K743)^2</f>
        <v>354.53471837333893</v>
      </c>
      <c r="M743" s="75">
        <f>'Old Data'!$N739-'Old Data'!$X739</f>
        <v>-2</v>
      </c>
      <c r="N743" s="72">
        <f>VLOOKUP('Old Data'!$F739,$AD$6:$AF$135,2,FALSE)+VLOOKUP('Old Data'!$P739,$AD$6:$AF$135,3,FALSE)+$E$2</f>
        <v>1.6149342802854991</v>
      </c>
      <c r="O743" s="72">
        <f>VLOOKUP('Old Data'!$P739,$AD$6:$AF$135,2,FALSE)+VLOOKUP('Old Data'!$F739,$AD$6:$AF$135,3,FALSE)+$E$2</f>
        <v>0.86379675891921615</v>
      </c>
      <c r="P743" s="73">
        <f>('Old Data'!$N739-$N743)^2+('Old Data'!$X739-$O743)^2</f>
        <v>3.8989705346837207</v>
      </c>
    </row>
    <row r="744" spans="1:16">
      <c r="A744" s="71">
        <f>'Old Data'!$I740-'Old Data'!$S740</f>
        <v>38</v>
      </c>
      <c r="B744" s="72">
        <f>VLOOKUP('Old Data'!$F740,$R$6:$T$135,2,FALSE)+VLOOKUP('Old Data'!$P740,$R$6:$T$135,3,FALSE)+$B$2</f>
        <v>236.45035296299619</v>
      </c>
      <c r="C744" s="72">
        <f>VLOOKUP('Old Data'!$P740,$R$6:$T$135,2,FALSE)+VLOOKUP('Old Data'!$F740,$R$6:$T$135,3,FALSE)+$B$2</f>
        <v>143.393039564162</v>
      </c>
      <c r="D744" s="74">
        <f>('Old Data'!$I740-$B744)^2+('Old Data'!$S740-$C744)^2</f>
        <v>1849.5943480051114</v>
      </c>
      <c r="E744" s="75">
        <f>'Old Data'!$K740-'Old Data'!$U740</f>
        <v>61</v>
      </c>
      <c r="F744" s="72">
        <f>VLOOKUP('Old Data'!$F740,$V$6:$X$135,2,FALSE)+VLOOKUP('Old Data'!$P740,$V$6:$X$135,3,FALSE)+$C$2</f>
        <v>195.05349946581549</v>
      </c>
      <c r="G744" s="72">
        <f>VLOOKUP('Old Data'!$P740,$V$6:$X$135,2,FALSE)+VLOOKUP('Old Data'!$F740,$V$6:$X$135,3,FALSE)+$C$2</f>
        <v>230.51058606280699</v>
      </c>
      <c r="H744" s="74">
        <f>('Old Data'!$K740-$F744)^2+('Old Data'!$U740-$G744)^2</f>
        <v>16423.274702223694</v>
      </c>
      <c r="I744" s="75">
        <f>('Old Data'!$L740+'Old Data'!$M740)-('Old Data'!$V740+'Old Data'!$W740)</f>
        <v>-17</v>
      </c>
      <c r="J744" s="72">
        <f>VLOOKUP('Old Data'!$F740,$Z$6:$AB$135,2,FALSE)+VLOOKUP('Old Data'!$P740,$Z$6:$AB$135,3,FALSE)+$D$2</f>
        <v>13.239545649993296</v>
      </c>
      <c r="K744" s="72">
        <f>VLOOKUP('Old Data'!$P740,$Z$6:$AB$135,2,FALSE)+VLOOKUP('Old Data'!$F740,$Z$6:$AB$135,3,FALSE)+$D$2</f>
        <v>38.964532918168814</v>
      </c>
      <c r="L744" s="74">
        <f>('Old Data'!$L740+'Old Data'!$M740-$J744)^2+('Old Data'!$V740+'Old Data'!$W740-$K744)^2</f>
        <v>464.50180392260518</v>
      </c>
      <c r="M744" s="75">
        <f>'Old Data'!$N740-'Old Data'!$X740</f>
        <v>-2</v>
      </c>
      <c r="N744" s="72">
        <f>VLOOKUP('Old Data'!$F740,$AD$6:$AF$135,2,FALSE)+VLOOKUP('Old Data'!$P740,$AD$6:$AF$135,3,FALSE)+$E$2</f>
        <v>1.3586320515986601</v>
      </c>
      <c r="O744" s="72">
        <f>VLOOKUP('Old Data'!$P740,$AD$6:$AF$135,2,FALSE)+VLOOKUP('Old Data'!$F740,$AD$6:$AF$135,3,FALSE)+$E$2</f>
        <v>1.7550842497596231</v>
      </c>
      <c r="P744" s="73">
        <f>('Old Data'!$N740-$N744)^2+('Old Data'!$X740-$O744)^2</f>
        <v>1.9058647763469907</v>
      </c>
    </row>
    <row r="745" spans="1:16">
      <c r="A745" s="71">
        <f>'Old Data'!$I741-'Old Data'!$S741</f>
        <v>333</v>
      </c>
      <c r="B745" s="72">
        <f>VLOOKUP('Old Data'!$F741,$R$6:$T$135,2,FALSE)+VLOOKUP('Old Data'!$P741,$R$6:$T$135,3,FALSE)+$B$2</f>
        <v>210.91555928919797</v>
      </c>
      <c r="C745" s="72">
        <f>VLOOKUP('Old Data'!$P741,$R$6:$T$135,2,FALSE)+VLOOKUP('Old Data'!$F741,$R$6:$T$135,3,FALSE)+$B$2</f>
        <v>128.52221390335441</v>
      </c>
      <c r="D745" s="74">
        <f>('Old Data'!$I741-$B745)^2+('Old Data'!$S741-$C745)^2</f>
        <v>38549.410708027324</v>
      </c>
      <c r="E745" s="75">
        <f>'Old Data'!$K741-'Old Data'!$U741</f>
        <v>-346</v>
      </c>
      <c r="F745" s="72">
        <f>VLOOKUP('Old Data'!$F741,$V$6:$X$135,2,FALSE)+VLOOKUP('Old Data'!$P741,$V$6:$X$135,3,FALSE)+$C$2</f>
        <v>220.41944566755063</v>
      </c>
      <c r="G745" s="72">
        <f>VLOOKUP('Old Data'!$P741,$V$6:$X$135,2,FALSE)+VLOOKUP('Old Data'!$F741,$V$6:$X$135,3,FALSE)+$C$2</f>
        <v>308.15014006730911</v>
      </c>
      <c r="H745" s="74">
        <f>('Old Data'!$K741-$F745)^2+('Old Data'!$U741-$G745)^2</f>
        <v>36831.834119841937</v>
      </c>
      <c r="I745" s="75">
        <f>('Old Data'!$L741+'Old Data'!$M741)-('Old Data'!$V741+'Old Data'!$W741)</f>
        <v>18</v>
      </c>
      <c r="J745" s="72">
        <f>VLOOKUP('Old Data'!$F741,$Z$6:$AB$135,2,FALSE)+VLOOKUP('Old Data'!$P741,$Z$6:$AB$135,3,FALSE)+$D$2</f>
        <v>60.616665821436889</v>
      </c>
      <c r="K745" s="72">
        <f>VLOOKUP('Old Data'!$P741,$Z$6:$AB$135,2,FALSE)+VLOOKUP('Old Data'!$F741,$Z$6:$AB$135,3,FALSE)+$D$2</f>
        <v>58.116279649316802</v>
      </c>
      <c r="L745" s="74">
        <f>('Old Data'!$L741+'Old Data'!$M741-$J745)^2+('Old Data'!$V741+'Old Data'!$W741-$K745)^2</f>
        <v>2912.6255837740255</v>
      </c>
      <c r="M745" s="75">
        <f>'Old Data'!$N741-'Old Data'!$X741</f>
        <v>1</v>
      </c>
      <c r="N745" s="72">
        <f>VLOOKUP('Old Data'!$F741,$AD$6:$AF$135,2,FALSE)+VLOOKUP('Old Data'!$P741,$AD$6:$AF$135,3,FALSE)+$E$2</f>
        <v>1.8439011452835021</v>
      </c>
      <c r="O745" s="72">
        <f>VLOOKUP('Old Data'!$P741,$AD$6:$AF$135,2,FALSE)+VLOOKUP('Old Data'!$F741,$AD$6:$AF$135,3,FALSE)+$E$2</f>
        <v>1.0091818127972942</v>
      </c>
      <c r="P745" s="73">
        <f>('Old Data'!$N741-$N745)^2+('Old Data'!$X741-$O745)^2</f>
        <v>2.4451158130046866E-2</v>
      </c>
    </row>
    <row r="746" spans="1:16">
      <c r="A746" s="71">
        <f>'Old Data'!$I742-'Old Data'!$S742</f>
        <v>42</v>
      </c>
      <c r="B746" s="72">
        <f>VLOOKUP('Old Data'!$F742,$R$6:$T$135,2,FALSE)+VLOOKUP('Old Data'!$P742,$R$6:$T$135,3,FALSE)+$B$2</f>
        <v>189.90899238254931</v>
      </c>
      <c r="C746" s="72">
        <f>VLOOKUP('Old Data'!$P742,$R$6:$T$135,2,FALSE)+VLOOKUP('Old Data'!$F742,$R$6:$T$135,3,FALSE)+$B$2</f>
        <v>117.27873813612979</v>
      </c>
      <c r="D746" s="74">
        <f>('Old Data'!$I742-$B746)^2+('Old Data'!$S742-$C746)^2</f>
        <v>653.1907388288754</v>
      </c>
      <c r="E746" s="75">
        <f>'Old Data'!$K742-'Old Data'!$U742</f>
        <v>13</v>
      </c>
      <c r="F746" s="72">
        <f>VLOOKUP('Old Data'!$F742,$V$6:$X$135,2,FALSE)+VLOOKUP('Old Data'!$P742,$V$6:$X$135,3,FALSE)+$C$2</f>
        <v>177.45583791583499</v>
      </c>
      <c r="G746" s="72">
        <f>VLOOKUP('Old Data'!$P742,$V$6:$X$135,2,FALSE)+VLOOKUP('Old Data'!$F742,$V$6:$X$135,3,FALSE)+$C$2</f>
        <v>208.1408894636582</v>
      </c>
      <c r="H746" s="74">
        <f>('Old Data'!$K742-$F746)^2+('Old Data'!$U742-$G746)^2</f>
        <v>15643.732796877875</v>
      </c>
      <c r="I746" s="75">
        <f>('Old Data'!$L742+'Old Data'!$M742)-('Old Data'!$V742+'Old Data'!$W742)</f>
        <v>8</v>
      </c>
      <c r="J746" s="72">
        <f>VLOOKUP('Old Data'!$F742,$Z$6:$AB$135,2,FALSE)+VLOOKUP('Old Data'!$P742,$Z$6:$AB$135,3,FALSE)+$D$2</f>
        <v>16.580450656956799</v>
      </c>
      <c r="K746" s="72">
        <f>VLOOKUP('Old Data'!$P742,$Z$6:$AB$135,2,FALSE)+VLOOKUP('Old Data'!$F742,$Z$6:$AB$135,3,FALSE)+$D$2</f>
        <v>69.686347905363377</v>
      </c>
      <c r="L746" s="74">
        <f>('Old Data'!$L742+'Old Data'!$M742-$J746)^2+('Old Data'!$V742+'Old Data'!$W742-$K746)^2</f>
        <v>2823.2617932607513</v>
      </c>
      <c r="M746" s="75">
        <f>'Old Data'!$N742-'Old Data'!$X742</f>
        <v>-1</v>
      </c>
      <c r="N746" s="72">
        <f>VLOOKUP('Old Data'!$F742,$AD$6:$AF$135,2,FALSE)+VLOOKUP('Old Data'!$P742,$AD$6:$AF$135,3,FALSE)+$E$2</f>
        <v>1.055334852583619</v>
      </c>
      <c r="O746" s="72">
        <f>VLOOKUP('Old Data'!$P742,$AD$6:$AF$135,2,FALSE)+VLOOKUP('Old Data'!$F742,$AD$6:$AF$135,3,FALSE)+$E$2</f>
        <v>1.4442419924588132</v>
      </c>
      <c r="P746" s="73">
        <f>('Old Data'!$N742-$N746)^2+('Old Data'!$X742-$O746)^2</f>
        <v>1.3110825989414652</v>
      </c>
    </row>
    <row r="747" spans="1:16">
      <c r="A747" s="71">
        <f>'Old Data'!$I743-'Old Data'!$S743</f>
        <v>-192</v>
      </c>
      <c r="B747" s="72">
        <f>VLOOKUP('Old Data'!$F743,$R$6:$T$135,2,FALSE)+VLOOKUP('Old Data'!$P743,$R$6:$T$135,3,FALSE)+$B$2</f>
        <v>111.2938177766688</v>
      </c>
      <c r="C747" s="72">
        <f>VLOOKUP('Old Data'!$P743,$R$6:$T$135,2,FALSE)+VLOOKUP('Old Data'!$F743,$R$6:$T$135,3,FALSE)+$B$2</f>
        <v>99.582404142890596</v>
      </c>
      <c r="D747" s="74">
        <f>('Old Data'!$I743-$B747)^2+('Old Data'!$S743-$C747)^2</f>
        <v>24372.198819680187</v>
      </c>
      <c r="E747" s="75">
        <f>'Old Data'!$K743-'Old Data'!$U743</f>
        <v>18</v>
      </c>
      <c r="F747" s="72">
        <f>VLOOKUP('Old Data'!$F743,$V$6:$X$135,2,FALSE)+VLOOKUP('Old Data'!$P743,$V$6:$X$135,3,FALSE)+$C$2</f>
        <v>323.23884041713376</v>
      </c>
      <c r="G747" s="72">
        <f>VLOOKUP('Old Data'!$P743,$V$6:$X$135,2,FALSE)+VLOOKUP('Old Data'!$F743,$V$6:$X$135,3,FALSE)+$C$2</f>
        <v>243.42944249134291</v>
      </c>
      <c r="H747" s="74">
        <f>('Old Data'!$K743-$F747)^2+('Old Data'!$U743-$G747)^2</f>
        <v>3790.9905966717065</v>
      </c>
      <c r="I747" s="75">
        <f>('Old Data'!$L743+'Old Data'!$M743)-('Old Data'!$V743+'Old Data'!$W743)</f>
        <v>-9</v>
      </c>
      <c r="J747" s="72">
        <f>VLOOKUP('Old Data'!$F743,$Z$6:$AB$135,2,FALSE)+VLOOKUP('Old Data'!$P743,$Z$6:$AB$135,3,FALSE)+$D$2</f>
        <v>17.310865698345495</v>
      </c>
      <c r="K747" s="72">
        <f>VLOOKUP('Old Data'!$P743,$Z$6:$AB$135,2,FALSE)+VLOOKUP('Old Data'!$F743,$Z$6:$AB$135,3,FALSE)+$D$2</f>
        <v>74.339302923606098</v>
      </c>
      <c r="L747" s="74">
        <f>('Old Data'!$L743+'Old Data'!$M743-$J747)^2+('Old Data'!$V743+'Old Data'!$W743-$K747)^2</f>
        <v>1824.9828211591418</v>
      </c>
      <c r="M747" s="75">
        <f>'Old Data'!$N743-'Old Data'!$X743</f>
        <v>0</v>
      </c>
      <c r="N747" s="72">
        <f>VLOOKUP('Old Data'!$F743,$AD$6:$AF$135,2,FALSE)+VLOOKUP('Old Data'!$P743,$AD$6:$AF$135,3,FALSE)+$E$2</f>
        <v>2.1044473316432555</v>
      </c>
      <c r="O747" s="72">
        <f>VLOOKUP('Old Data'!$P743,$AD$6:$AF$135,2,FALSE)+VLOOKUP('Old Data'!$F743,$AD$6:$AF$135,3,FALSE)+$E$2</f>
        <v>1.3446875413104369</v>
      </c>
      <c r="P747" s="73">
        <f>('Old Data'!$N743-$N747)^2+('Old Data'!$X743-$O747)^2</f>
        <v>1.3386134095085414</v>
      </c>
    </row>
    <row r="748" spans="1:16">
      <c r="A748" s="71">
        <f>'Old Data'!$I744-'Old Data'!$S744</f>
        <v>53</v>
      </c>
      <c r="B748" s="72">
        <f>VLOOKUP('Old Data'!$F744,$R$6:$T$135,2,FALSE)+VLOOKUP('Old Data'!$P744,$R$6:$T$135,3,FALSE)+$B$2</f>
        <v>177.04330485112979</v>
      </c>
      <c r="C748" s="72">
        <f>VLOOKUP('Old Data'!$P744,$R$6:$T$135,2,FALSE)+VLOOKUP('Old Data'!$F744,$R$6:$T$135,3,FALSE)+$B$2</f>
        <v>271.22782275410981</v>
      </c>
      <c r="D748" s="74">
        <f>('Old Data'!$I744-$B748)^2+('Old Data'!$S744-$C748)^2</f>
        <v>16372.646308805643</v>
      </c>
      <c r="E748" s="75">
        <f>'Old Data'!$K744-'Old Data'!$U744</f>
        <v>91</v>
      </c>
      <c r="F748" s="72">
        <f>VLOOKUP('Old Data'!$F744,$V$6:$X$135,2,FALSE)+VLOOKUP('Old Data'!$P744,$V$6:$X$135,3,FALSE)+$C$2</f>
        <v>253.40235386111624</v>
      </c>
      <c r="G748" s="72">
        <f>VLOOKUP('Old Data'!$P744,$V$6:$X$135,2,FALSE)+VLOOKUP('Old Data'!$F744,$V$6:$X$135,3,FALSE)+$C$2</f>
        <v>220.53218809852279</v>
      </c>
      <c r="H748" s="74">
        <f>('Old Data'!$K744-$F748)^2+('Old Data'!$U744-$G748)^2</f>
        <v>3433.9029809930025</v>
      </c>
      <c r="I748" s="75">
        <f>('Old Data'!$L744+'Old Data'!$M744)-('Old Data'!$V744+'Old Data'!$W744)</f>
        <v>21</v>
      </c>
      <c r="J748" s="72">
        <f>VLOOKUP('Old Data'!$F744,$Z$6:$AB$135,2,FALSE)+VLOOKUP('Old Data'!$P744,$Z$6:$AB$135,3,FALSE)+$D$2</f>
        <v>116.49347223098873</v>
      </c>
      <c r="K748" s="72">
        <f>VLOOKUP('Old Data'!$P744,$Z$6:$AB$135,2,FALSE)+VLOOKUP('Old Data'!$F744,$Z$6:$AB$135,3,FALSE)+$D$2</f>
        <v>79.117398806046594</v>
      </c>
      <c r="L748" s="74">
        <f>('Old Data'!$L744+'Old Data'!$M744-$J748)^2+('Old Data'!$V744+'Old Data'!$W744-$K748)^2</f>
        <v>3884.8093813065302</v>
      </c>
      <c r="M748" s="75">
        <f>'Old Data'!$N744-'Old Data'!$X744</f>
        <v>1</v>
      </c>
      <c r="N748" s="72">
        <f>VLOOKUP('Old Data'!$F744,$AD$6:$AF$135,2,FALSE)+VLOOKUP('Old Data'!$P744,$AD$6:$AF$135,3,FALSE)+$E$2</f>
        <v>2.2653353286197984</v>
      </c>
      <c r="O748" s="72">
        <f>VLOOKUP('Old Data'!$P744,$AD$6:$AF$135,2,FALSE)+VLOOKUP('Old Data'!$F744,$AD$6:$AF$135,3,FALSE)+$E$2</f>
        <v>1.7330714506387022</v>
      </c>
      <c r="P748" s="73">
        <f>('Old Data'!$N744-$N748)^2+('Old Data'!$X744-$O748)^2</f>
        <v>0.60779658835530759</v>
      </c>
    </row>
    <row r="749" spans="1:16">
      <c r="A749" s="71">
        <f>'Old Data'!$I745-'Old Data'!$S745</f>
        <v>-9</v>
      </c>
      <c r="B749" s="72">
        <f>VLOOKUP('Old Data'!$F745,$R$6:$T$135,2,FALSE)+VLOOKUP('Old Data'!$P745,$R$6:$T$135,3,FALSE)+$B$2</f>
        <v>130.24091588597011</v>
      </c>
      <c r="C749" s="72">
        <f>VLOOKUP('Old Data'!$P745,$R$6:$T$135,2,FALSE)+VLOOKUP('Old Data'!$F745,$R$6:$T$135,3,FALSE)+$B$2</f>
        <v>143.09294284154177</v>
      </c>
      <c r="D749" s="74">
        <f>('Old Data'!$I745-$B749)^2+('Old Data'!$S745-$C749)^2</f>
        <v>667.49370084862096</v>
      </c>
      <c r="E749" s="75">
        <f>'Old Data'!$K745-'Old Data'!$U745</f>
        <v>-165</v>
      </c>
      <c r="F749" s="72">
        <f>VLOOKUP('Old Data'!$F745,$V$6:$X$135,2,FALSE)+VLOOKUP('Old Data'!$P745,$V$6:$X$135,3,FALSE)+$C$2</f>
        <v>247.36682670708194</v>
      </c>
      <c r="G749" s="72">
        <f>VLOOKUP('Old Data'!$P745,$V$6:$X$135,2,FALSE)+VLOOKUP('Old Data'!$F745,$V$6:$X$135,3,FALSE)+$C$2</f>
        <v>211.53486933713569</v>
      </c>
      <c r="H749" s="74">
        <f>('Old Data'!$K745-$F749)^2+('Old Data'!$U745-$G749)^2</f>
        <v>24407.786346287794</v>
      </c>
      <c r="I749" s="75">
        <f>('Old Data'!$L745+'Old Data'!$M745)-('Old Data'!$V745+'Old Data'!$W745)</f>
        <v>-43</v>
      </c>
      <c r="J749" s="72">
        <f>VLOOKUP('Old Data'!$F745,$Z$6:$AB$135,2,FALSE)+VLOOKUP('Old Data'!$P745,$Z$6:$AB$135,3,FALSE)+$D$2</f>
        <v>59.980892348431389</v>
      </c>
      <c r="K749" s="72">
        <f>VLOOKUP('Old Data'!$P745,$Z$6:$AB$135,2,FALSE)+VLOOKUP('Old Data'!$F745,$Z$6:$AB$135,3,FALSE)+$D$2</f>
        <v>68.08341010461919</v>
      </c>
      <c r="L749" s="74">
        <f>('Old Data'!$L745+'Old Data'!$M745-$J749)^2+('Old Data'!$V745+'Old Data'!$W745-$K749)^2</f>
        <v>2010.0111708696472</v>
      </c>
      <c r="M749" s="75">
        <f>'Old Data'!$N745-'Old Data'!$X745</f>
        <v>1</v>
      </c>
      <c r="N749" s="72">
        <f>VLOOKUP('Old Data'!$F745,$AD$6:$AF$135,2,FALSE)+VLOOKUP('Old Data'!$P745,$AD$6:$AF$135,3,FALSE)+$E$2</f>
        <v>1.35488514768881</v>
      </c>
      <c r="O749" s="72">
        <f>VLOOKUP('Old Data'!$P745,$AD$6:$AF$135,2,FALSE)+VLOOKUP('Old Data'!$F745,$AD$6:$AF$135,3,FALSE)+$E$2</f>
        <v>1.6409916668273681</v>
      </c>
      <c r="P749" s="73">
        <f>('Old Data'!$N745-$N749)^2+('Old Data'!$X745-$O749)^2</f>
        <v>0.82704348961461616</v>
      </c>
    </row>
    <row r="750" spans="1:16">
      <c r="A750" s="71">
        <f>'Old Data'!$I746-'Old Data'!$S746</f>
        <v>137</v>
      </c>
      <c r="B750" s="72">
        <f>VLOOKUP('Old Data'!$F746,$R$6:$T$135,2,FALSE)+VLOOKUP('Old Data'!$P746,$R$6:$T$135,3,FALSE)+$B$2</f>
        <v>140.4478181193449</v>
      </c>
      <c r="C750" s="72">
        <f>VLOOKUP('Old Data'!$P746,$R$6:$T$135,2,FALSE)+VLOOKUP('Old Data'!$F746,$R$6:$T$135,3,FALSE)+$B$2</f>
        <v>95.184696706768008</v>
      </c>
      <c r="D750" s="74">
        <f>('Old Data'!$I746-$B750)^2+('Old Data'!$S746-$C750)^2</f>
        <v>7047.9563571998497</v>
      </c>
      <c r="E750" s="75">
        <f>'Old Data'!$K746-'Old Data'!$U746</f>
        <v>51</v>
      </c>
      <c r="F750" s="72">
        <f>VLOOKUP('Old Data'!$F746,$V$6:$X$135,2,FALSE)+VLOOKUP('Old Data'!$P746,$V$6:$X$135,3,FALSE)+$C$2</f>
        <v>252.88902343166103</v>
      </c>
      <c r="G750" s="72">
        <f>VLOOKUP('Old Data'!$P746,$V$6:$X$135,2,FALSE)+VLOOKUP('Old Data'!$F746,$V$6:$X$135,3,FALSE)+$C$2</f>
        <v>269.64052206669157</v>
      </c>
      <c r="H750" s="74">
        <f>('Old Data'!$K746-$F750)^2+('Old Data'!$U746-$G750)^2</f>
        <v>5618.6661782302463</v>
      </c>
      <c r="I750" s="75">
        <f>('Old Data'!$L746+'Old Data'!$M746)-('Old Data'!$V746+'Old Data'!$W746)</f>
        <v>5</v>
      </c>
      <c r="J750" s="72">
        <f>VLOOKUP('Old Data'!$F746,$Z$6:$AB$135,2,FALSE)+VLOOKUP('Old Data'!$P746,$Z$6:$AB$135,3,FALSE)+$D$2</f>
        <v>33.667445420521801</v>
      </c>
      <c r="K750" s="72">
        <f>VLOOKUP('Old Data'!$P746,$Z$6:$AB$135,2,FALSE)+VLOOKUP('Old Data'!$F746,$Z$6:$AB$135,3,FALSE)+$D$2</f>
        <v>68.029541052877079</v>
      </c>
      <c r="L750" s="74">
        <f>('Old Data'!$L746+'Old Data'!$M746-$J750)^2+('Old Data'!$V746+'Old Data'!$W746-$K750)^2</f>
        <v>2616.7493697613245</v>
      </c>
      <c r="M750" s="75">
        <f>'Old Data'!$N746-'Old Data'!$X746</f>
        <v>-4</v>
      </c>
      <c r="N750" s="72">
        <f>VLOOKUP('Old Data'!$F746,$AD$6:$AF$135,2,FALSE)+VLOOKUP('Old Data'!$P746,$AD$6:$AF$135,3,FALSE)+$E$2</f>
        <v>1.6705898215758301</v>
      </c>
      <c r="O750" s="72">
        <f>VLOOKUP('Old Data'!$P746,$AD$6:$AF$135,2,FALSE)+VLOOKUP('Old Data'!$F746,$AD$6:$AF$135,3,FALSE)+$E$2</f>
        <v>1.7563970852506419</v>
      </c>
      <c r="P750" s="73">
        <f>('Old Data'!$N746-$N750)^2+('Old Data'!$X746-$O750)^2</f>
        <v>18.116676763718694</v>
      </c>
    </row>
    <row r="751" spans="1:16">
      <c r="A751" s="71">
        <f>'Old Data'!$I747-'Old Data'!$S747</f>
        <v>-277</v>
      </c>
      <c r="B751" s="72">
        <f>VLOOKUP('Old Data'!$F747,$R$6:$T$135,2,FALSE)+VLOOKUP('Old Data'!$P747,$R$6:$T$135,3,FALSE)+$B$2</f>
        <v>262.92610756971408</v>
      </c>
      <c r="C751" s="72">
        <f>VLOOKUP('Old Data'!$P747,$R$6:$T$135,2,FALSE)+VLOOKUP('Old Data'!$F747,$R$6:$T$135,3,FALSE)+$B$2</f>
        <v>165.9036817243076</v>
      </c>
      <c r="D751" s="74">
        <f>('Old Data'!$I747-$B751)^2+('Old Data'!$S747-$C751)^2</f>
        <v>71736.189361124809</v>
      </c>
      <c r="E751" s="75">
        <f>'Old Data'!$K747-'Old Data'!$U747</f>
        <v>26</v>
      </c>
      <c r="F751" s="72">
        <f>VLOOKUP('Old Data'!$F747,$V$6:$X$135,2,FALSE)+VLOOKUP('Old Data'!$P747,$V$6:$X$135,3,FALSE)+$C$2</f>
        <v>81.065325306318812</v>
      </c>
      <c r="G751" s="72">
        <f>VLOOKUP('Old Data'!$P747,$V$6:$X$135,2,FALSE)+VLOOKUP('Old Data'!$F747,$V$6:$X$135,3,FALSE)+$C$2</f>
        <v>160.20757026486683</v>
      </c>
      <c r="H751" s="74">
        <f>('Old Data'!$K747-$F751)^2+('Old Data'!$U747-$G751)^2</f>
        <v>5713.1680893105713</v>
      </c>
      <c r="I751" s="75">
        <f>('Old Data'!$L747+'Old Data'!$M747)-('Old Data'!$V747+'Old Data'!$W747)</f>
        <v>-145</v>
      </c>
      <c r="J751" s="72">
        <f>VLOOKUP('Old Data'!$F747,$Z$6:$AB$135,2,FALSE)+VLOOKUP('Old Data'!$P747,$Z$6:$AB$135,3,FALSE)+$D$2</f>
        <v>20.839248997527733</v>
      </c>
      <c r="K751" s="72">
        <f>VLOOKUP('Old Data'!$P747,$Z$6:$AB$135,2,FALSE)+VLOOKUP('Old Data'!$F747,$Z$6:$AB$135,3,FALSE)+$D$2</f>
        <v>112.7886700233086</v>
      </c>
      <c r="L751" s="74">
        <f>('Old Data'!$L747+'Old Data'!$M747-$J751)^2+('Old Data'!$V747+'Old Data'!$W747-$K751)^2</f>
        <v>1471.8440776482587</v>
      </c>
      <c r="M751" s="75">
        <f>'Old Data'!$N747-'Old Data'!$X747</f>
        <v>-1</v>
      </c>
      <c r="N751" s="72">
        <f>VLOOKUP('Old Data'!$F747,$AD$6:$AF$135,2,FALSE)+VLOOKUP('Old Data'!$P747,$AD$6:$AF$135,3,FALSE)+$E$2</f>
        <v>1.3266250540122551</v>
      </c>
      <c r="O751" s="72">
        <f>VLOOKUP('Old Data'!$P747,$AD$6:$AF$135,2,FALSE)+VLOOKUP('Old Data'!$F747,$AD$6:$AF$135,3,FALSE)+$E$2</f>
        <v>0.97838720574102145</v>
      </c>
      <c r="P751" s="73">
        <f>('Old Data'!$N747-$N751)^2+('Old Data'!$X747-$O751)^2</f>
        <v>1.7604011468086997</v>
      </c>
    </row>
    <row r="752" spans="1:16">
      <c r="A752" s="71">
        <f>'Old Data'!$I748-'Old Data'!$S748</f>
        <v>103</v>
      </c>
      <c r="B752" s="72">
        <f>VLOOKUP('Old Data'!$F748,$R$6:$T$135,2,FALSE)+VLOOKUP('Old Data'!$P748,$R$6:$T$135,3,FALSE)+$B$2</f>
        <v>172.93314683128699</v>
      </c>
      <c r="C752" s="72">
        <f>VLOOKUP('Old Data'!$P748,$R$6:$T$135,2,FALSE)+VLOOKUP('Old Data'!$F748,$R$6:$T$135,3,FALSE)+$B$2</f>
        <v>131.08011316150171</v>
      </c>
      <c r="D752" s="74">
        <f>('Old Data'!$I748-$B752)^2+('Old Data'!$S748-$C752)^2</f>
        <v>3381.2465340045319</v>
      </c>
      <c r="E752" s="75">
        <f>'Old Data'!$K748-'Old Data'!$U748</f>
        <v>81</v>
      </c>
      <c r="F752" s="72">
        <f>VLOOKUP('Old Data'!$F748,$V$6:$X$135,2,FALSE)+VLOOKUP('Old Data'!$P748,$V$6:$X$135,3,FALSE)+$C$2</f>
        <v>269.67098297790182</v>
      </c>
      <c r="G752" s="72">
        <f>VLOOKUP('Old Data'!$P748,$V$6:$X$135,2,FALSE)+VLOOKUP('Old Data'!$F748,$V$6:$X$135,3,FALSE)+$C$2</f>
        <v>212.1280967238992</v>
      </c>
      <c r="H752" s="74">
        <f>('Old Data'!$K748-$F752)^2+('Old Data'!$U748-$G752)^2</f>
        <v>11345.701152697797</v>
      </c>
      <c r="I752" s="75">
        <f>('Old Data'!$L748+'Old Data'!$M748)-('Old Data'!$V748+'Old Data'!$W748)</f>
        <v>-123</v>
      </c>
      <c r="J752" s="72">
        <f>VLOOKUP('Old Data'!$F748,$Z$6:$AB$135,2,FALSE)+VLOOKUP('Old Data'!$P748,$Z$6:$AB$135,3,FALSE)+$D$2</f>
        <v>8.2376815749089971</v>
      </c>
      <c r="K752" s="72">
        <f>VLOOKUP('Old Data'!$P748,$Z$6:$AB$135,2,FALSE)+VLOOKUP('Old Data'!$F748,$Z$6:$AB$135,3,FALSE)+$D$2</f>
        <v>41.613519616347943</v>
      </c>
      <c r="L752" s="74">
        <f>('Old Data'!$L748+'Old Data'!$M748-$J752)^2+('Old Data'!$V748+'Old Data'!$W748-$K752)^2</f>
        <v>6839.9161845856624</v>
      </c>
      <c r="M752" s="75">
        <f>'Old Data'!$N748-'Old Data'!$X748</f>
        <v>-1</v>
      </c>
      <c r="N752" s="72">
        <f>VLOOKUP('Old Data'!$F748,$AD$6:$AF$135,2,FALSE)+VLOOKUP('Old Data'!$P748,$AD$6:$AF$135,3,FALSE)+$E$2</f>
        <v>1.5391213587513732</v>
      </c>
      <c r="O752" s="72">
        <f>VLOOKUP('Old Data'!$P748,$AD$6:$AF$135,2,FALSE)+VLOOKUP('Old Data'!$F748,$AD$6:$AF$135,3,FALSE)+$E$2</f>
        <v>0.91156030549671607</v>
      </c>
      <c r="P752" s="73">
        <f>('Old Data'!$N748-$N752)^2+('Old Data'!$X748-$O752)^2</f>
        <v>2.3767161365285077</v>
      </c>
    </row>
    <row r="753" spans="1:16">
      <c r="A753" s="71">
        <f>'Old Data'!$I749-'Old Data'!$S749</f>
        <v>112</v>
      </c>
      <c r="B753" s="72">
        <f>VLOOKUP('Old Data'!$F749,$R$6:$T$135,2,FALSE)+VLOOKUP('Old Data'!$P749,$R$6:$T$135,3,FALSE)+$B$2</f>
        <v>197.33390741336882</v>
      </c>
      <c r="C753" s="72">
        <f>VLOOKUP('Old Data'!$P749,$R$6:$T$135,2,FALSE)+VLOOKUP('Old Data'!$F749,$R$6:$T$135,3,FALSE)+$B$2</f>
        <v>226.2214123958411</v>
      </c>
      <c r="D753" s="74">
        <f>('Old Data'!$I749-$B753)^2+('Old Data'!$S749-$C753)^2</f>
        <v>17918.773104368669</v>
      </c>
      <c r="E753" s="75">
        <f>'Old Data'!$K749-'Old Data'!$U749</f>
        <v>-37</v>
      </c>
      <c r="F753" s="72">
        <f>VLOOKUP('Old Data'!$F749,$V$6:$X$135,2,FALSE)+VLOOKUP('Old Data'!$P749,$V$6:$X$135,3,FALSE)+$C$2</f>
        <v>152.5150472609929</v>
      </c>
      <c r="G753" s="72">
        <f>VLOOKUP('Old Data'!$P749,$V$6:$X$135,2,FALSE)+VLOOKUP('Old Data'!$F749,$V$6:$X$135,3,FALSE)+$C$2</f>
        <v>142.9189137705705</v>
      </c>
      <c r="H753" s="74">
        <f>('Old Data'!$K749-$F753)^2+('Old Data'!$U749-$G753)^2</f>
        <v>7406.297624752191</v>
      </c>
      <c r="I753" s="75">
        <f>('Old Data'!$L749+'Old Data'!$M749)-('Old Data'!$V749+'Old Data'!$W749)</f>
        <v>-37</v>
      </c>
      <c r="J753" s="72">
        <f>VLOOKUP('Old Data'!$F749,$Z$6:$AB$135,2,FALSE)+VLOOKUP('Old Data'!$P749,$Z$6:$AB$135,3,FALSE)+$D$2</f>
        <v>31.073264221520795</v>
      </c>
      <c r="K753" s="72">
        <f>VLOOKUP('Old Data'!$P749,$Z$6:$AB$135,2,FALSE)+VLOOKUP('Old Data'!$F749,$Z$6:$AB$135,3,FALSE)+$D$2</f>
        <v>30.151721131226434</v>
      </c>
      <c r="L753" s="74">
        <f>('Old Data'!$L749+'Old Data'!$M749-$J753)^2+('Old Data'!$V749+'Old Data'!$W749-$K753)^2</f>
        <v>1510.0476102691118</v>
      </c>
      <c r="M753" s="75">
        <f>'Old Data'!$N749-'Old Data'!$X749</f>
        <v>-1</v>
      </c>
      <c r="N753" s="72">
        <f>VLOOKUP('Old Data'!$F749,$AD$6:$AF$135,2,FALSE)+VLOOKUP('Old Data'!$P749,$AD$6:$AF$135,3,FALSE)+$E$2</f>
        <v>1.5001311640280497</v>
      </c>
      <c r="O753" s="72">
        <f>VLOOKUP('Old Data'!$P749,$AD$6:$AF$135,2,FALSE)+VLOOKUP('Old Data'!$F749,$AD$6:$AF$135,3,FALSE)+$E$2</f>
        <v>1.8485115222792829</v>
      </c>
      <c r="P753" s="73">
        <f>('Old Data'!$N749-$N753)^2+('Old Data'!$X749-$O753)^2</f>
        <v>0.27307994011419218</v>
      </c>
    </row>
    <row r="754" spans="1:16">
      <c r="A754" s="71">
        <f>'Old Data'!$I750-'Old Data'!$S750</f>
        <v>91</v>
      </c>
      <c r="B754" s="72">
        <f>VLOOKUP('Old Data'!$F750,$R$6:$T$135,2,FALSE)+VLOOKUP('Old Data'!$P750,$R$6:$T$135,3,FALSE)+$B$2</f>
        <v>253.13307221014992</v>
      </c>
      <c r="C754" s="72">
        <f>VLOOKUP('Old Data'!$P750,$R$6:$T$135,2,FALSE)+VLOOKUP('Old Data'!$F750,$R$6:$T$135,3,FALSE)+$B$2</f>
        <v>198.0468678373866</v>
      </c>
      <c r="D754" s="74">
        <f>('Old Data'!$I750-$B754)^2+('Old Data'!$S750-$C754)^2</f>
        <v>1360.0788255814282</v>
      </c>
      <c r="E754" s="75">
        <f>'Old Data'!$K750-'Old Data'!$U750</f>
        <v>78</v>
      </c>
      <c r="F754" s="72">
        <f>VLOOKUP('Old Data'!$F750,$V$6:$X$135,2,FALSE)+VLOOKUP('Old Data'!$P750,$V$6:$X$135,3,FALSE)+$C$2</f>
        <v>188.82256628248811</v>
      </c>
      <c r="G754" s="72">
        <f>VLOOKUP('Old Data'!$P750,$V$6:$X$135,2,FALSE)+VLOOKUP('Old Data'!$F750,$V$6:$X$135,3,FALSE)+$C$2</f>
        <v>210.33948094649861</v>
      </c>
      <c r="H754" s="74">
        <f>('Old Data'!$K750-$F754)^2+('Old Data'!$U750-$G754)^2</f>
        <v>4993.7797068350656</v>
      </c>
      <c r="I754" s="75">
        <f>('Old Data'!$L750+'Old Data'!$M750)-('Old Data'!$V750+'Old Data'!$W750)</f>
        <v>49</v>
      </c>
      <c r="J754" s="72">
        <f>VLOOKUP('Old Data'!$F750,$Z$6:$AB$135,2,FALSE)+VLOOKUP('Old Data'!$P750,$Z$6:$AB$135,3,FALSE)+$D$2</f>
        <v>58.960531130574999</v>
      </c>
      <c r="K754" s="72">
        <f>VLOOKUP('Old Data'!$P750,$Z$6:$AB$135,2,FALSE)+VLOOKUP('Old Data'!$F750,$Z$6:$AB$135,3,FALSE)+$D$2</f>
        <v>-4.1115719279195133</v>
      </c>
      <c r="L754" s="74">
        <f>('Old Data'!$L750+'Old Data'!$M750-$J754)^2+('Old Data'!$V750+'Old Data'!$W750-$K754)^2</f>
        <v>101.32553050036557</v>
      </c>
      <c r="M754" s="75">
        <f>'Old Data'!$N750-'Old Data'!$X750</f>
        <v>-2</v>
      </c>
      <c r="N754" s="72">
        <f>VLOOKUP('Old Data'!$F750,$AD$6:$AF$135,2,FALSE)+VLOOKUP('Old Data'!$P750,$AD$6:$AF$135,3,FALSE)+$E$2</f>
        <v>1.3108561957805032</v>
      </c>
      <c r="O754" s="72">
        <f>VLOOKUP('Old Data'!$P750,$AD$6:$AF$135,2,FALSE)+VLOOKUP('Old Data'!$F750,$AD$6:$AF$135,3,FALSE)+$E$2</f>
        <v>1.2550534669271307</v>
      </c>
      <c r="P754" s="73">
        <f>('Old Data'!$N750-$N754)^2+('Old Data'!$X750-$O754)^2</f>
        <v>3.1414699777381525</v>
      </c>
    </row>
    <row r="755" spans="1:16">
      <c r="A755" s="71">
        <f>'Old Data'!$I751-'Old Data'!$S751</f>
        <v>-9</v>
      </c>
      <c r="B755" s="72">
        <f>VLOOKUP('Old Data'!$F751,$R$6:$T$135,2,FALSE)+VLOOKUP('Old Data'!$P751,$R$6:$T$135,3,FALSE)+$B$2</f>
        <v>105.08062697764522</v>
      </c>
      <c r="C755" s="72">
        <f>VLOOKUP('Old Data'!$P751,$R$6:$T$135,2,FALSE)+VLOOKUP('Old Data'!$F751,$R$6:$T$135,3,FALSE)+$B$2</f>
        <v>147.44136526503678</v>
      </c>
      <c r="D755" s="74">
        <f>('Old Data'!$I751-$B755)^2+('Old Data'!$S751-$C755)^2</f>
        <v>2508.2201562016603</v>
      </c>
      <c r="E755" s="75">
        <f>'Old Data'!$K751-'Old Data'!$U751</f>
        <v>94</v>
      </c>
      <c r="F755" s="72">
        <f>VLOOKUP('Old Data'!$F751,$V$6:$X$135,2,FALSE)+VLOOKUP('Old Data'!$P751,$V$6:$X$135,3,FALSE)+$C$2</f>
        <v>304.58905922601178</v>
      </c>
      <c r="G755" s="72">
        <f>VLOOKUP('Old Data'!$P751,$V$6:$X$135,2,FALSE)+VLOOKUP('Old Data'!$F751,$V$6:$X$135,3,FALSE)+$C$2</f>
        <v>239.10000873001479</v>
      </c>
      <c r="H755" s="74">
        <f>('Old Data'!$K751-$F755)^2+('Old Data'!$U751-$G755)^2</f>
        <v>539.4603728814642</v>
      </c>
      <c r="I755" s="75">
        <f>('Old Data'!$L751+'Old Data'!$M751)-('Old Data'!$V751+'Old Data'!$W751)</f>
        <v>-88</v>
      </c>
      <c r="J755" s="72">
        <f>VLOOKUP('Old Data'!$F751,$Z$6:$AB$135,2,FALSE)+VLOOKUP('Old Data'!$P751,$Z$6:$AB$135,3,FALSE)+$D$2</f>
        <v>77.431049478466093</v>
      </c>
      <c r="K755" s="72">
        <f>VLOOKUP('Old Data'!$P751,$Z$6:$AB$135,2,FALSE)+VLOOKUP('Old Data'!$F751,$Z$6:$AB$135,3,FALSE)+$D$2</f>
        <v>67.243307161635698</v>
      </c>
      <c r="L755" s="74">
        <f>('Old Data'!$L751+'Old Data'!$M751-$J755)^2+('Old Data'!$V751+'Old Data'!$W751-$K755)^2</f>
        <v>4937.8540428355391</v>
      </c>
      <c r="M755" s="75">
        <f>'Old Data'!$N751-'Old Data'!$X751</f>
        <v>2</v>
      </c>
      <c r="N755" s="72">
        <f>VLOOKUP('Old Data'!$F751,$AD$6:$AF$135,2,FALSE)+VLOOKUP('Old Data'!$P751,$AD$6:$AF$135,3,FALSE)+$E$2</f>
        <v>1.5962146678960365</v>
      </c>
      <c r="O755" s="72">
        <f>VLOOKUP('Old Data'!$P751,$AD$6:$AF$135,2,FALSE)+VLOOKUP('Old Data'!$F751,$AD$6:$AF$135,3,FALSE)+$E$2</f>
        <v>1.0146155278200661</v>
      </c>
      <c r="P755" s="73">
        <f>('Old Data'!$N751-$N755)^2+('Old Data'!$X751-$O755)^2</f>
        <v>1.1924872637158996</v>
      </c>
    </row>
    <row r="756" spans="1:16">
      <c r="A756" s="71">
        <f>'Old Data'!$I752-'Old Data'!$S752</f>
        <v>-162</v>
      </c>
      <c r="B756" s="72">
        <f>VLOOKUP('Old Data'!$F752,$R$6:$T$135,2,FALSE)+VLOOKUP('Old Data'!$P752,$R$6:$T$135,3,FALSE)+$B$2</f>
        <v>142.39411428877011</v>
      </c>
      <c r="C756" s="72">
        <f>VLOOKUP('Old Data'!$P752,$R$6:$T$135,2,FALSE)+VLOOKUP('Old Data'!$F752,$R$6:$T$135,3,FALSE)+$B$2</f>
        <v>141.6892209794577</v>
      </c>
      <c r="D756" s="74">
        <f>('Old Data'!$I752-$B756)^2+('Old Data'!$S752-$C756)^2</f>
        <v>13287.277978463109</v>
      </c>
      <c r="E756" s="75">
        <f>'Old Data'!$K752-'Old Data'!$U752</f>
        <v>-103</v>
      </c>
      <c r="F756" s="72">
        <f>VLOOKUP('Old Data'!$F752,$V$6:$X$135,2,FALSE)+VLOOKUP('Old Data'!$P752,$V$6:$X$135,3,FALSE)+$C$2</f>
        <v>211.08964524299842</v>
      </c>
      <c r="G756" s="72">
        <f>VLOOKUP('Old Data'!$P752,$V$6:$X$135,2,FALSE)+VLOOKUP('Old Data'!$F752,$V$6:$X$135,3,FALSE)+$C$2</f>
        <v>231.34062191020678</v>
      </c>
      <c r="H756" s="74">
        <f>('Old Data'!$K752-$F756)^2+('Old Data'!$U752-$G756)^2</f>
        <v>3502.6995231853434</v>
      </c>
      <c r="I756" s="75">
        <f>('Old Data'!$L752+'Old Data'!$M752)-('Old Data'!$V752+'Old Data'!$W752)</f>
        <v>121</v>
      </c>
      <c r="J756" s="72">
        <f>VLOOKUP('Old Data'!$F752,$Z$6:$AB$135,2,FALSE)+VLOOKUP('Old Data'!$P752,$Z$6:$AB$135,3,FALSE)+$D$2</f>
        <v>79.93615920702365</v>
      </c>
      <c r="K756" s="72">
        <f>VLOOKUP('Old Data'!$P752,$Z$6:$AB$135,2,FALSE)+VLOOKUP('Old Data'!$F752,$Z$6:$AB$135,3,FALSE)+$D$2</f>
        <v>36.061279346869448</v>
      </c>
      <c r="L756" s="74">
        <f>('Old Data'!$L752+'Old Data'!$M752-$J756)^2+('Old Data'!$V752+'Old Data'!$W752-$K756)^2</f>
        <v>2998.6600116960753</v>
      </c>
      <c r="M756" s="75">
        <f>'Old Data'!$N752-'Old Data'!$X752</f>
        <v>0</v>
      </c>
      <c r="N756" s="72">
        <f>VLOOKUP('Old Data'!$F752,$AD$6:$AF$135,2,FALSE)+VLOOKUP('Old Data'!$P752,$AD$6:$AF$135,3,FALSE)+$E$2</f>
        <v>1.3992417923949592</v>
      </c>
      <c r="O756" s="72">
        <f>VLOOKUP('Old Data'!$P752,$AD$6:$AF$135,2,FALSE)+VLOOKUP('Old Data'!$F752,$AD$6:$AF$135,3,FALSE)+$E$2</f>
        <v>1.2661841276487105</v>
      </c>
      <c r="P756" s="73">
        <f>('Old Data'!$N752-$N756)^2+('Old Data'!$X752-$O756)^2</f>
        <v>0.23024799860684464</v>
      </c>
    </row>
    <row r="757" spans="1:16">
      <c r="A757" s="71">
        <f>'Old Data'!$I753-'Old Data'!$S753</f>
        <v>69</v>
      </c>
      <c r="B757" s="72">
        <f>VLOOKUP('Old Data'!$F753,$R$6:$T$135,2,FALSE)+VLOOKUP('Old Data'!$P753,$R$6:$T$135,3,FALSE)+$B$2</f>
        <v>144.6480011032792</v>
      </c>
      <c r="C757" s="72">
        <f>VLOOKUP('Old Data'!$P753,$R$6:$T$135,2,FALSE)+VLOOKUP('Old Data'!$F753,$R$6:$T$135,3,FALSE)+$B$2</f>
        <v>105.6322987163101</v>
      </c>
      <c r="D757" s="74">
        <f>('Old Data'!$I753-$B757)^2+('Old Data'!$S753-$C757)^2</f>
        <v>2206.6060250236051</v>
      </c>
      <c r="E757" s="75">
        <f>'Old Data'!$K753-'Old Data'!$U753</f>
        <v>16</v>
      </c>
      <c r="F757" s="72">
        <f>VLOOKUP('Old Data'!$F753,$V$6:$X$135,2,FALSE)+VLOOKUP('Old Data'!$P753,$V$6:$X$135,3,FALSE)+$C$2</f>
        <v>221.00776894897348</v>
      </c>
      <c r="G757" s="72">
        <f>VLOOKUP('Old Data'!$P753,$V$6:$X$135,2,FALSE)+VLOOKUP('Old Data'!$F753,$V$6:$X$135,3,FALSE)+$C$2</f>
        <v>203.9936367023362</v>
      </c>
      <c r="H757" s="74">
        <f>('Old Data'!$K753-$F757)^2+('Old Data'!$U753-$G757)^2</f>
        <v>1740.9312996674912</v>
      </c>
      <c r="I757" s="75">
        <f>('Old Data'!$L753+'Old Data'!$M753)-('Old Data'!$V753+'Old Data'!$W753)</f>
        <v>-6</v>
      </c>
      <c r="J757" s="72">
        <f>VLOOKUP('Old Data'!$F753,$Z$6:$AB$135,2,FALSE)+VLOOKUP('Old Data'!$P753,$Z$6:$AB$135,3,FALSE)+$D$2</f>
        <v>32.842007608937664</v>
      </c>
      <c r="K757" s="72">
        <f>VLOOKUP('Old Data'!$P753,$Z$6:$AB$135,2,FALSE)+VLOOKUP('Old Data'!$F753,$Z$6:$AB$135,3,FALSE)+$D$2</f>
        <v>20.941562504862965</v>
      </c>
      <c r="L757" s="74">
        <f>('Old Data'!$L753+'Old Data'!$M753-$J757)^2+('Old Data'!$V753+'Old Data'!$W753-$K757)^2</f>
        <v>326.13212636140474</v>
      </c>
      <c r="M757" s="75">
        <f>'Old Data'!$N753-'Old Data'!$X753</f>
        <v>3</v>
      </c>
      <c r="N757" s="72">
        <f>VLOOKUP('Old Data'!$F753,$AD$6:$AF$135,2,FALSE)+VLOOKUP('Old Data'!$P753,$AD$6:$AF$135,3,FALSE)+$E$2</f>
        <v>1.5845855664949071</v>
      </c>
      <c r="O757" s="72">
        <f>VLOOKUP('Old Data'!$P753,$AD$6:$AF$135,2,FALSE)+VLOOKUP('Old Data'!$F753,$AD$6:$AF$135,3,FALSE)+$E$2</f>
        <v>1.5170534478514002</v>
      </c>
      <c r="P757" s="73">
        <f>('Old Data'!$N753-$N757)^2+('Old Data'!$X753-$O757)^2</f>
        <v>4.3048491822123633</v>
      </c>
    </row>
    <row r="758" spans="1:16">
      <c r="A758" s="71">
        <f>'Old Data'!$I754-'Old Data'!$S754</f>
        <v>-70</v>
      </c>
      <c r="B758" s="72">
        <f>VLOOKUP('Old Data'!$F754,$R$6:$T$135,2,FALSE)+VLOOKUP('Old Data'!$P754,$R$6:$T$135,3,FALSE)+$B$2</f>
        <v>110.334027628794</v>
      </c>
      <c r="C758" s="72">
        <f>VLOOKUP('Old Data'!$P754,$R$6:$T$135,2,FALSE)+VLOOKUP('Old Data'!$F754,$R$6:$T$135,3,FALSE)+$B$2</f>
        <v>213.1100331834532</v>
      </c>
      <c r="D758" s="74">
        <f>('Old Data'!$I754-$B758)^2+('Old Data'!$S754-$C758)^2</f>
        <v>7911.4632233439233</v>
      </c>
      <c r="E758" s="75">
        <f>'Old Data'!$K754-'Old Data'!$U754</f>
        <v>-48</v>
      </c>
      <c r="F758" s="72">
        <f>VLOOKUP('Old Data'!$F754,$V$6:$X$135,2,FALSE)+VLOOKUP('Old Data'!$P754,$V$6:$X$135,3,FALSE)+$C$2</f>
        <v>189.62649669371751</v>
      </c>
      <c r="G758" s="72">
        <f>VLOOKUP('Old Data'!$P754,$V$6:$X$135,2,FALSE)+VLOOKUP('Old Data'!$F754,$V$6:$X$135,3,FALSE)+$C$2</f>
        <v>198.4378649884041</v>
      </c>
      <c r="H758" s="74">
        <f>('Old Data'!$K754-$F758)^2+('Old Data'!$U754-$G758)^2</f>
        <v>2819.9956463361937</v>
      </c>
      <c r="I758" s="75">
        <f>('Old Data'!$L754+'Old Data'!$M754)-('Old Data'!$V754+'Old Data'!$W754)</f>
        <v>-178</v>
      </c>
      <c r="J758" s="72">
        <f>VLOOKUP('Old Data'!$F754,$Z$6:$AB$135,2,FALSE)+VLOOKUP('Old Data'!$P754,$Z$6:$AB$135,3,FALSE)+$D$2</f>
        <v>41.6449994749902</v>
      </c>
      <c r="K758" s="72">
        <f>VLOOKUP('Old Data'!$P754,$Z$6:$AB$135,2,FALSE)+VLOOKUP('Old Data'!$F754,$Z$6:$AB$135,3,FALSE)+$D$2</f>
        <v>104.79261749176639</v>
      </c>
      <c r="L758" s="74">
        <f>('Old Data'!$L754+'Old Data'!$M754-$J758)^2+('Old Data'!$V754+'Old Data'!$W754-$K758)^2</f>
        <v>11958.118413372287</v>
      </c>
      <c r="M758" s="75">
        <f>'Old Data'!$N754-'Old Data'!$X754</f>
        <v>3</v>
      </c>
      <c r="N758" s="72">
        <f>VLOOKUP('Old Data'!$F754,$AD$6:$AF$135,2,FALSE)+VLOOKUP('Old Data'!$P754,$AD$6:$AF$135,3,FALSE)+$E$2</f>
        <v>2.0114334538074563</v>
      </c>
      <c r="O758" s="72">
        <f>VLOOKUP('Old Data'!$P754,$AD$6:$AF$135,2,FALSE)+VLOOKUP('Old Data'!$F754,$AD$6:$AF$135,3,FALSE)+$E$2</f>
        <v>1.1546533799175631</v>
      </c>
      <c r="P758" s="73">
        <f>('Old Data'!$N754-$N758)^2+('Old Data'!$X754-$O758)^2</f>
        <v>3.9783145765560679</v>
      </c>
    </row>
    <row r="759" spans="1:16">
      <c r="A759" s="71">
        <f>'Old Data'!$I755-'Old Data'!$S755</f>
        <v>266</v>
      </c>
      <c r="B759" s="72">
        <f>VLOOKUP('Old Data'!$F755,$R$6:$T$135,2,FALSE)+VLOOKUP('Old Data'!$P755,$R$6:$T$135,3,FALSE)+$B$2</f>
        <v>226.80630299628351</v>
      </c>
      <c r="C759" s="72">
        <f>VLOOKUP('Old Data'!$P755,$R$6:$T$135,2,FALSE)+VLOOKUP('Old Data'!$F755,$R$6:$T$135,3,FALSE)+$B$2</f>
        <v>215.6118655788932</v>
      </c>
      <c r="D759" s="74">
        <f>('Old Data'!$I755-$B759)^2+('Old Data'!$S755-$C759)^2</f>
        <v>32714.224502652636</v>
      </c>
      <c r="E759" s="75">
        <f>'Old Data'!$K755-'Old Data'!$U755</f>
        <v>29</v>
      </c>
      <c r="F759" s="72">
        <f>VLOOKUP('Old Data'!$F755,$V$6:$X$135,2,FALSE)+VLOOKUP('Old Data'!$P755,$V$6:$X$135,3,FALSE)+$C$2</f>
        <v>237.42387877898199</v>
      </c>
      <c r="G759" s="72">
        <f>VLOOKUP('Old Data'!$P755,$V$6:$X$135,2,FALSE)+VLOOKUP('Old Data'!$F755,$V$6:$X$135,3,FALSE)+$C$2</f>
        <v>161.27411776707942</v>
      </c>
      <c r="H759" s="74">
        <f>('Old Data'!$K755-$F759)^2+('Old Data'!$U755-$G759)^2</f>
        <v>20260.402907810894</v>
      </c>
      <c r="I759" s="75">
        <f>('Old Data'!$L755+'Old Data'!$M755)-('Old Data'!$V755+'Old Data'!$W755)</f>
        <v>15</v>
      </c>
      <c r="J759" s="72">
        <f>VLOOKUP('Old Data'!$F755,$Z$6:$AB$135,2,FALSE)+VLOOKUP('Old Data'!$P755,$Z$6:$AB$135,3,FALSE)+$D$2</f>
        <v>51.841792067123187</v>
      </c>
      <c r="K759" s="72">
        <f>VLOOKUP('Old Data'!$P755,$Z$6:$AB$135,2,FALSE)+VLOOKUP('Old Data'!$F755,$Z$6:$AB$135,3,FALSE)+$D$2</f>
        <v>107.71766111619149</v>
      </c>
      <c r="L759" s="74">
        <f>('Old Data'!$L755+'Old Data'!$M755-$J759)^2+('Old Data'!$V755+'Old Data'!$W755-$K759)^2</f>
        <v>8404.2718444604852</v>
      </c>
      <c r="M759" s="75">
        <f>'Old Data'!$N755-'Old Data'!$X755</f>
        <v>1</v>
      </c>
      <c r="N759" s="72">
        <f>VLOOKUP('Old Data'!$F755,$AD$6:$AF$135,2,FALSE)+VLOOKUP('Old Data'!$P755,$AD$6:$AF$135,3,FALSE)+$E$2</f>
        <v>1.2289194978630371</v>
      </c>
      <c r="O759" s="72">
        <f>VLOOKUP('Old Data'!$P755,$AD$6:$AF$135,2,FALSE)+VLOOKUP('Old Data'!$F755,$AD$6:$AF$135,3,FALSE)+$E$2</f>
        <v>1.3487249366116068</v>
      </c>
      <c r="P759" s="73">
        <f>('Old Data'!$N755-$N759)^2+('Old Data'!$X755-$O759)^2</f>
        <v>1.8714630911398478</v>
      </c>
    </row>
    <row r="760" spans="1:16">
      <c r="A760" s="71">
        <f>'Old Data'!$I756-'Old Data'!$S756</f>
        <v>-60</v>
      </c>
      <c r="B760" s="72">
        <f>VLOOKUP('Old Data'!$F756,$R$6:$T$135,2,FALSE)+VLOOKUP('Old Data'!$P756,$R$6:$T$135,3,FALSE)+$B$2</f>
        <v>115.553325409031</v>
      </c>
      <c r="C760" s="72">
        <f>VLOOKUP('Old Data'!$P756,$R$6:$T$135,2,FALSE)+VLOOKUP('Old Data'!$F756,$R$6:$T$135,3,FALSE)+$B$2</f>
        <v>116.22113636158331</v>
      </c>
      <c r="D760" s="74">
        <f>('Old Data'!$I756-$B760)^2+('Old Data'!$S756-$C760)^2</f>
        <v>1955.6689977397796</v>
      </c>
      <c r="E760" s="75">
        <f>'Old Data'!$K756-'Old Data'!$U756</f>
        <v>-11</v>
      </c>
      <c r="F760" s="72">
        <f>VLOOKUP('Old Data'!$F756,$V$6:$X$135,2,FALSE)+VLOOKUP('Old Data'!$P756,$V$6:$X$135,3,FALSE)+$C$2</f>
        <v>258.23486168680529</v>
      </c>
      <c r="G760" s="72">
        <f>VLOOKUP('Old Data'!$P756,$V$6:$X$135,2,FALSE)+VLOOKUP('Old Data'!$F756,$V$6:$X$135,3,FALSE)+$C$2</f>
        <v>250.28448238355946</v>
      </c>
      <c r="H760" s="74">
        <f>('Old Data'!$K756-$F760)^2+('Old Data'!$U756-$G760)^2</f>
        <v>1126.5250920258397</v>
      </c>
      <c r="I760" s="75">
        <f>('Old Data'!$L756+'Old Data'!$M756)-('Old Data'!$V756+'Old Data'!$W756)</f>
        <v>4</v>
      </c>
      <c r="J760" s="72">
        <f>VLOOKUP('Old Data'!$F756,$Z$6:$AB$135,2,FALSE)+VLOOKUP('Old Data'!$P756,$Z$6:$AB$135,3,FALSE)+$D$2</f>
        <v>38.538481267354271</v>
      </c>
      <c r="K760" s="72">
        <f>VLOOKUP('Old Data'!$P756,$Z$6:$AB$135,2,FALSE)+VLOOKUP('Old Data'!$F756,$Z$6:$AB$135,3,FALSE)+$D$2</f>
        <v>32.981760070430994</v>
      </c>
      <c r="L760" s="74">
        <f>('Old Data'!$L756+'Old Data'!$M756-$J760)^2+('Old Data'!$V756+'Old Data'!$W756-$K760)^2</f>
        <v>595.63856914476116</v>
      </c>
      <c r="M760" s="75">
        <f>'Old Data'!$N756-'Old Data'!$X756</f>
        <v>1</v>
      </c>
      <c r="N760" s="72">
        <f>VLOOKUP('Old Data'!$F756,$AD$6:$AF$135,2,FALSE)+VLOOKUP('Old Data'!$P756,$AD$6:$AF$135,3,FALSE)+$E$2</f>
        <v>1.3499789840109142</v>
      </c>
      <c r="O760" s="72">
        <f>VLOOKUP('Old Data'!$P756,$AD$6:$AF$135,2,FALSE)+VLOOKUP('Old Data'!$F756,$AD$6:$AF$135,3,FALSE)+$E$2</f>
        <v>1.0244879819779256</v>
      </c>
      <c r="P760" s="73">
        <f>('Old Data'!$N756-$N760)^2+('Old Data'!$X756-$O760)^2</f>
        <v>0.42312698248883451</v>
      </c>
    </row>
    <row r="761" spans="1:16">
      <c r="A761" s="71">
        <f>'Old Data'!$I757-'Old Data'!$S757</f>
        <v>-256</v>
      </c>
      <c r="B761" s="72">
        <f>VLOOKUP('Old Data'!$F757,$R$6:$T$135,2,FALSE)+VLOOKUP('Old Data'!$P757,$R$6:$T$135,3,FALSE)+$B$2</f>
        <v>114.10265456264909</v>
      </c>
      <c r="C761" s="72">
        <f>VLOOKUP('Old Data'!$P757,$R$6:$T$135,2,FALSE)+VLOOKUP('Old Data'!$F757,$R$6:$T$135,3,FALSE)+$B$2</f>
        <v>207.2111676670514</v>
      </c>
      <c r="D761" s="74">
        <f>('Old Data'!$I757-$B761)^2+('Old Data'!$S757-$C761)^2</f>
        <v>13293.564249333169</v>
      </c>
      <c r="E761" s="75">
        <f>'Old Data'!$K757-'Old Data'!$U757</f>
        <v>257</v>
      </c>
      <c r="F761" s="72">
        <f>VLOOKUP('Old Data'!$F757,$V$6:$X$135,2,FALSE)+VLOOKUP('Old Data'!$P757,$V$6:$X$135,3,FALSE)+$C$2</f>
        <v>267.51666590528873</v>
      </c>
      <c r="G761" s="72">
        <f>VLOOKUP('Old Data'!$P757,$V$6:$X$135,2,FALSE)+VLOOKUP('Old Data'!$F757,$V$6:$X$135,3,FALSE)+$C$2</f>
        <v>245.5557545005797</v>
      </c>
      <c r="H761" s="74">
        <f>('Old Data'!$K757-$F761)^2+('Old Data'!$U757-$G761)^2</f>
        <v>28131.37175322232</v>
      </c>
      <c r="I761" s="75">
        <f>('Old Data'!$L757+'Old Data'!$M757)-('Old Data'!$V757+'Old Data'!$W757)</f>
        <v>-27</v>
      </c>
      <c r="J761" s="72">
        <f>VLOOKUP('Old Data'!$F757,$Z$6:$AB$135,2,FALSE)+VLOOKUP('Old Data'!$P757,$Z$6:$AB$135,3,FALSE)+$D$2</f>
        <v>49.26683872406052</v>
      </c>
      <c r="K761" s="72">
        <f>VLOOKUP('Old Data'!$P757,$Z$6:$AB$135,2,FALSE)+VLOOKUP('Old Data'!$F757,$Z$6:$AB$135,3,FALSE)+$D$2</f>
        <v>73.751958119659903</v>
      </c>
      <c r="L761" s="74">
        <f>('Old Data'!$L757+'Old Data'!$M757-$J761)^2+('Old Data'!$V757+'Old Data'!$W757-$K761)^2</f>
        <v>1252.2226467018409</v>
      </c>
      <c r="M761" s="75">
        <f>'Old Data'!$N757-'Old Data'!$X757</f>
        <v>0</v>
      </c>
      <c r="N761" s="72">
        <f>VLOOKUP('Old Data'!$F757,$AD$6:$AF$135,2,FALSE)+VLOOKUP('Old Data'!$P757,$AD$6:$AF$135,3,FALSE)+$E$2</f>
        <v>1.3140663474758207</v>
      </c>
      <c r="O761" s="72">
        <f>VLOOKUP('Old Data'!$P757,$AD$6:$AF$135,2,FALSE)+VLOOKUP('Old Data'!$F757,$AD$6:$AF$135,3,FALSE)+$E$2</f>
        <v>1.5708513903529862</v>
      </c>
      <c r="P761" s="73">
        <f>('Old Data'!$N757-$N761)^2+('Old Data'!$X757-$O761)^2</f>
        <v>0.65467350482712661</v>
      </c>
    </row>
    <row r="762" spans="1:16">
      <c r="A762" s="71">
        <f>'Old Data'!$I758-'Old Data'!$S758</f>
        <v>-106</v>
      </c>
      <c r="B762" s="72">
        <f>VLOOKUP('Old Data'!$F758,$R$6:$T$135,2,FALSE)+VLOOKUP('Old Data'!$P758,$R$6:$T$135,3,FALSE)+$B$2</f>
        <v>101.86361206524221</v>
      </c>
      <c r="C762" s="72">
        <f>VLOOKUP('Old Data'!$P758,$R$6:$T$135,2,FALSE)+VLOOKUP('Old Data'!$F758,$R$6:$T$135,3,FALSE)+$B$2</f>
        <v>207.73606599870038</v>
      </c>
      <c r="D762" s="74">
        <f>('Old Data'!$I758-$B762)^2+('Old Data'!$S758-$C762)^2</f>
        <v>3836.8599324527377</v>
      </c>
      <c r="E762" s="75">
        <f>'Old Data'!$K758-'Old Data'!$U758</f>
        <v>86</v>
      </c>
      <c r="F762" s="72">
        <f>VLOOKUP('Old Data'!$F758,$V$6:$X$135,2,FALSE)+VLOOKUP('Old Data'!$P758,$V$6:$X$135,3,FALSE)+$C$2</f>
        <v>283.00450633312926</v>
      </c>
      <c r="G762" s="72">
        <f>VLOOKUP('Old Data'!$P758,$V$6:$X$135,2,FALSE)+VLOOKUP('Old Data'!$F758,$V$6:$X$135,3,FALSE)+$C$2</f>
        <v>217.8936167001772</v>
      </c>
      <c r="H762" s="74">
        <f>('Old Data'!$K758-$F762)^2+('Old Data'!$U758-$G762)^2</f>
        <v>332.21080992192941</v>
      </c>
      <c r="I762" s="75">
        <f>('Old Data'!$L758+'Old Data'!$M758)-('Old Data'!$V758+'Old Data'!$W758)</f>
        <v>18</v>
      </c>
      <c r="J762" s="72">
        <f>VLOOKUP('Old Data'!$F758,$Z$6:$AB$135,2,FALSE)+VLOOKUP('Old Data'!$P758,$Z$6:$AB$135,3,FALSE)+$D$2</f>
        <v>57.419591940790419</v>
      </c>
      <c r="K762" s="72">
        <f>VLOOKUP('Old Data'!$P758,$Z$6:$AB$135,2,FALSE)+VLOOKUP('Old Data'!$F758,$Z$6:$AB$135,3,FALSE)+$D$2</f>
        <v>95.236849851351707</v>
      </c>
      <c r="L762" s="74">
        <f>('Old Data'!$L758+'Old Data'!$M758-$J762)^2+('Old Data'!$V758+'Old Data'!$W758-$K762)^2</f>
        <v>1830.2439952288826</v>
      </c>
      <c r="M762" s="75">
        <f>'Old Data'!$N758-'Old Data'!$X758</f>
        <v>-2</v>
      </c>
      <c r="N762" s="72">
        <f>VLOOKUP('Old Data'!$F758,$AD$6:$AF$135,2,FALSE)+VLOOKUP('Old Data'!$P758,$AD$6:$AF$135,3,FALSE)+$E$2</f>
        <v>1.054317562410207</v>
      </c>
      <c r="O762" s="72">
        <f>VLOOKUP('Old Data'!$P758,$AD$6:$AF$135,2,FALSE)+VLOOKUP('Old Data'!$F758,$AD$6:$AF$135,3,FALSE)+$E$2</f>
        <v>1.5024926094762951</v>
      </c>
      <c r="P762" s="73">
        <f>('Old Data'!$N758-$N762)^2+('Old Data'!$X758-$O762)^2</f>
        <v>1.3590991260323069</v>
      </c>
    </row>
    <row r="763" spans="1:16">
      <c r="A763" s="71">
        <f>'Old Data'!$I759-'Old Data'!$S759</f>
        <v>52</v>
      </c>
      <c r="B763" s="72">
        <f>VLOOKUP('Old Data'!$F759,$R$6:$T$135,2,FALSE)+VLOOKUP('Old Data'!$P759,$R$6:$T$135,3,FALSE)+$B$2</f>
        <v>225.86253161849095</v>
      </c>
      <c r="C763" s="72">
        <f>VLOOKUP('Old Data'!$P759,$R$6:$T$135,2,FALSE)+VLOOKUP('Old Data'!$F759,$R$6:$T$135,3,FALSE)+$B$2</f>
        <v>150.44780395225831</v>
      </c>
      <c r="D763" s="74">
        <f>('Old Data'!$I759-$B763)^2+('Old Data'!$S759-$C763)^2</f>
        <v>7272.7924872735684</v>
      </c>
      <c r="E763" s="75">
        <f>'Old Data'!$K759-'Old Data'!$U759</f>
        <v>-2</v>
      </c>
      <c r="F763" s="72">
        <f>VLOOKUP('Old Data'!$F759,$V$6:$X$135,2,FALSE)+VLOOKUP('Old Data'!$P759,$V$6:$X$135,3,FALSE)+$C$2</f>
        <v>224.69889629153192</v>
      </c>
      <c r="G763" s="72">
        <f>VLOOKUP('Old Data'!$P759,$V$6:$X$135,2,FALSE)+VLOOKUP('Old Data'!$F759,$V$6:$X$135,3,FALSE)+$C$2</f>
        <v>160.66832634594431</v>
      </c>
      <c r="H763" s="74">
        <f>('Old Data'!$K759-$F763)^2+('Old Data'!$U759-$G763)^2</f>
        <v>8080.5582424173972</v>
      </c>
      <c r="I763" s="75">
        <f>('Old Data'!$L759+'Old Data'!$M759)-('Old Data'!$V759+'Old Data'!$W759)</f>
        <v>-75</v>
      </c>
      <c r="J763" s="72">
        <f>VLOOKUP('Old Data'!$F759,$Z$6:$AB$135,2,FALSE)+VLOOKUP('Old Data'!$P759,$Z$6:$AB$135,3,FALSE)+$D$2</f>
        <v>51.729739420475894</v>
      </c>
      <c r="K763" s="72">
        <f>VLOOKUP('Old Data'!$P759,$Z$6:$AB$135,2,FALSE)+VLOOKUP('Old Data'!$F759,$Z$6:$AB$135,3,FALSE)+$D$2</f>
        <v>78.15833527670361</v>
      </c>
      <c r="L763" s="74">
        <f>('Old Data'!$L759+'Old Data'!$M759-$J763)^2+('Old Data'!$V759+'Old Data'!$W759-$K763)^2</f>
        <v>1293.7757934278429</v>
      </c>
      <c r="M763" s="75">
        <f>'Old Data'!$N759-'Old Data'!$X759</f>
        <v>1</v>
      </c>
      <c r="N763" s="72">
        <f>VLOOKUP('Old Data'!$F759,$AD$6:$AF$135,2,FALSE)+VLOOKUP('Old Data'!$P759,$AD$6:$AF$135,3,FALSE)+$E$2</f>
        <v>1.2376228009647299</v>
      </c>
      <c r="O763" s="72">
        <f>VLOOKUP('Old Data'!$P759,$AD$6:$AF$135,2,FALSE)+VLOOKUP('Old Data'!$F759,$AD$6:$AF$135,3,FALSE)+$E$2</f>
        <v>1.053584974648484</v>
      </c>
      <c r="P763" s="73">
        <f>('Old Data'!$N759-$N763)^2+('Old Data'!$X759-$O763)^2</f>
        <v>1.1665058943433704</v>
      </c>
    </row>
    <row r="764" spans="1:16">
      <c r="A764" s="71">
        <f>'Old Data'!$I760-'Old Data'!$S760</f>
        <v>5</v>
      </c>
      <c r="B764" s="72">
        <f>VLOOKUP('Old Data'!$F760,$R$6:$T$135,2,FALSE)+VLOOKUP('Old Data'!$P760,$R$6:$T$135,3,FALSE)+$B$2</f>
        <v>125.72467971713041</v>
      </c>
      <c r="C764" s="72">
        <f>VLOOKUP('Old Data'!$P760,$R$6:$T$135,2,FALSE)+VLOOKUP('Old Data'!$F760,$R$6:$T$135,3,FALSE)+$B$2</f>
        <v>161.76305437945211</v>
      </c>
      <c r="D764" s="74">
        <f>('Old Data'!$I760-$B764)^2+('Old Data'!$S760-$C764)^2</f>
        <v>1545.6591440668924</v>
      </c>
      <c r="E764" s="75">
        <f>'Old Data'!$K760-'Old Data'!$U760</f>
        <v>229</v>
      </c>
      <c r="F764" s="72">
        <f>VLOOKUP('Old Data'!$F760,$V$6:$X$135,2,FALSE)+VLOOKUP('Old Data'!$P760,$V$6:$X$135,3,FALSE)+$C$2</f>
        <v>333.82294026292413</v>
      </c>
      <c r="G764" s="72">
        <f>VLOOKUP('Old Data'!$P760,$V$6:$X$135,2,FALSE)+VLOOKUP('Old Data'!$F760,$V$6:$X$135,3,FALSE)+$C$2</f>
        <v>267.78241467969792</v>
      </c>
      <c r="H764" s="74">
        <f>('Old Data'!$K760-$F764)^2+('Old Data'!$U760-$G764)^2</f>
        <v>17827.964303907138</v>
      </c>
      <c r="I764" s="75">
        <f>('Old Data'!$L760+'Old Data'!$M760)-('Old Data'!$V760+'Old Data'!$W760)</f>
        <v>-13</v>
      </c>
      <c r="J764" s="72">
        <f>VLOOKUP('Old Data'!$F760,$Z$6:$AB$135,2,FALSE)+VLOOKUP('Old Data'!$P760,$Z$6:$AB$135,3,FALSE)+$D$2</f>
        <v>4.778819508122794</v>
      </c>
      <c r="K764" s="72">
        <f>VLOOKUP('Old Data'!$P760,$Z$6:$AB$135,2,FALSE)+VLOOKUP('Old Data'!$F760,$Z$6:$AB$135,3,FALSE)+$D$2</f>
        <v>22.8814316428589</v>
      </c>
      <c r="L764" s="74">
        <f>('Old Data'!$L760+'Old Data'!$M760-$J764)^2+('Old Data'!$V760+'Old Data'!$W760-$K764)^2</f>
        <v>200.03126807033053</v>
      </c>
      <c r="M764" s="75">
        <f>'Old Data'!$N760-'Old Data'!$X760</f>
        <v>1</v>
      </c>
      <c r="N764" s="72">
        <f>VLOOKUP('Old Data'!$F760,$AD$6:$AF$135,2,FALSE)+VLOOKUP('Old Data'!$P760,$AD$6:$AF$135,3,FALSE)+$E$2</f>
        <v>1.177478553778575</v>
      </c>
      <c r="O764" s="72">
        <f>VLOOKUP('Old Data'!$P760,$AD$6:$AF$135,2,FALSE)+VLOOKUP('Old Data'!$F760,$AD$6:$AF$135,3,FALSE)+$E$2</f>
        <v>1.5470889919311921</v>
      </c>
      <c r="P764" s="73">
        <f>('Old Data'!$N760-$N764)^2+('Old Data'!$X760-$O764)^2</f>
        <v>2.4249829860060066</v>
      </c>
    </row>
  </sheetData>
  <autoFilter ref="A5:P725" xr:uid="{00000000-0009-0000-0000-000001000000}"/>
  <mergeCells count="4">
    <mergeCell ref="R4:T4"/>
    <mergeCell ref="V4:X4"/>
    <mergeCell ref="Z4:AB4"/>
    <mergeCell ref="AD4:AF4"/>
  </mergeCells>
  <conditionalFormatting sqref="S6:S13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:AQ2 AY4:BE4 BA3:BG3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6:S13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6:U23 Y6:Y2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8:AG13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:T13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:U6 U7:U35 Y6:Y35 T7:T13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6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7:AC13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6:W13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6:X13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7:W13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6:AA13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6:AB13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7:AA13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7:AE13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6:AF13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9" tint="0.59999389629810485"/>
  </sheetPr>
  <dimension ref="A1:Z957"/>
  <sheetViews>
    <sheetView topLeftCell="D1" zoomScaleNormal="100" workbookViewId="0">
      <pane ySplit="1" topLeftCell="A736" activePane="bottomLeft" state="frozen"/>
      <selection activeCell="C1" sqref="C1"/>
      <selection pane="bottomLeft" activeCell="I759" sqref="I759"/>
    </sheetView>
  </sheetViews>
  <sheetFormatPr baseColWidth="10" defaultColWidth="10.5" defaultRowHeight="15"/>
  <cols>
    <col min="1" max="1" width="14.5" style="3" bestFit="1" customWidth="1"/>
    <col min="2" max="26" width="10.5" style="3"/>
  </cols>
  <sheetData>
    <row r="1" spans="1:26" s="21" customFormat="1" ht="32">
      <c r="A1" s="91" t="s">
        <v>204</v>
      </c>
      <c r="B1" s="91" t="s">
        <v>134</v>
      </c>
      <c r="C1" s="91" t="s">
        <v>173</v>
      </c>
      <c r="D1" s="91" t="s">
        <v>0</v>
      </c>
      <c r="E1" s="91" t="s">
        <v>135</v>
      </c>
      <c r="F1" s="91" t="s">
        <v>1</v>
      </c>
      <c r="G1" s="91" t="s">
        <v>136</v>
      </c>
      <c r="H1" s="91" t="s">
        <v>137</v>
      </c>
      <c r="I1" s="91" t="s">
        <v>2</v>
      </c>
      <c r="J1" s="91" t="s">
        <v>138</v>
      </c>
      <c r="K1" s="91" t="s">
        <v>3</v>
      </c>
      <c r="L1" s="91" t="s">
        <v>160</v>
      </c>
      <c r="M1" s="91" t="s">
        <v>161</v>
      </c>
      <c r="N1" s="91" t="s">
        <v>172</v>
      </c>
      <c r="O1" s="91" t="s">
        <v>139</v>
      </c>
      <c r="P1" s="91" t="s">
        <v>4</v>
      </c>
      <c r="Q1" s="91" t="s">
        <v>140</v>
      </c>
      <c r="R1" s="91" t="s">
        <v>141</v>
      </c>
      <c r="S1" s="91" t="s">
        <v>5</v>
      </c>
      <c r="T1" s="91" t="s">
        <v>142</v>
      </c>
      <c r="U1" s="91" t="s">
        <v>6</v>
      </c>
      <c r="V1" s="91" t="s">
        <v>162</v>
      </c>
      <c r="W1" s="91" t="s">
        <v>163</v>
      </c>
      <c r="X1" s="91" t="s">
        <v>208</v>
      </c>
      <c r="Y1" s="91" t="s">
        <v>143</v>
      </c>
      <c r="Z1" s="91" t="s">
        <v>202</v>
      </c>
    </row>
    <row r="2" spans="1:26">
      <c r="A2" s="94" t="str">
        <f t="shared" ref="A2:A65" si="0">D2&amp;F2</f>
        <v>20190824HAW</v>
      </c>
      <c r="B2" s="94">
        <v>2019</v>
      </c>
      <c r="C2" s="94">
        <v>1</v>
      </c>
      <c r="D2" s="94">
        <v>20190824</v>
      </c>
      <c r="E2" s="94" t="s">
        <v>144</v>
      </c>
      <c r="F2" s="94" t="s">
        <v>8</v>
      </c>
      <c r="G2" s="94" t="s">
        <v>148</v>
      </c>
      <c r="H2" s="94">
        <v>30</v>
      </c>
      <c r="I2" s="94">
        <v>159</v>
      </c>
      <c r="J2" s="94">
        <v>48</v>
      </c>
      <c r="K2" s="94">
        <v>436</v>
      </c>
      <c r="L2" s="94">
        <v>9</v>
      </c>
      <c r="M2" s="94">
        <v>65</v>
      </c>
      <c r="N2" s="94">
        <v>2</v>
      </c>
      <c r="O2" s="94">
        <v>45</v>
      </c>
      <c r="P2" s="94" t="s">
        <v>42</v>
      </c>
      <c r="Q2" s="94" t="s">
        <v>151</v>
      </c>
      <c r="R2" s="94">
        <v>32</v>
      </c>
      <c r="S2" s="94">
        <v>178</v>
      </c>
      <c r="T2" s="94">
        <v>39</v>
      </c>
      <c r="U2" s="94">
        <v>361</v>
      </c>
      <c r="V2" s="94">
        <v>0</v>
      </c>
      <c r="W2" s="94">
        <v>44</v>
      </c>
      <c r="X2" s="94">
        <v>6</v>
      </c>
      <c r="Y2" s="94">
        <v>38</v>
      </c>
      <c r="Z2" s="94">
        <v>10.5</v>
      </c>
    </row>
    <row r="3" spans="1:26">
      <c r="A3" s="94" t="str">
        <f t="shared" si="0"/>
        <v>20190829AZST</v>
      </c>
      <c r="B3" s="94">
        <v>2019</v>
      </c>
      <c r="C3" s="94">
        <v>1</v>
      </c>
      <c r="D3" s="94">
        <v>20190829</v>
      </c>
      <c r="E3" s="94" t="s">
        <v>144</v>
      </c>
      <c r="F3" s="94" t="s">
        <v>44</v>
      </c>
      <c r="G3" s="94" t="s">
        <v>151</v>
      </c>
      <c r="H3" s="94">
        <v>46</v>
      </c>
      <c r="I3" s="94">
        <v>171</v>
      </c>
      <c r="J3" s="94">
        <v>24</v>
      </c>
      <c r="K3" s="94">
        <v>284</v>
      </c>
      <c r="L3" s="94">
        <v>1</v>
      </c>
      <c r="M3" s="94">
        <v>0</v>
      </c>
      <c r="N3" s="94">
        <v>2</v>
      </c>
      <c r="O3" s="94">
        <v>30</v>
      </c>
      <c r="P3" s="94" t="s">
        <v>61</v>
      </c>
      <c r="Q3" s="94" t="s">
        <v>149</v>
      </c>
      <c r="R3" s="94">
        <v>40</v>
      </c>
      <c r="S3" s="94">
        <v>120</v>
      </c>
      <c r="T3" s="94">
        <v>24</v>
      </c>
      <c r="U3" s="94">
        <v>80</v>
      </c>
      <c r="V3" s="94">
        <v>25</v>
      </c>
      <c r="W3" s="94">
        <v>143</v>
      </c>
      <c r="X3" s="94">
        <v>1</v>
      </c>
      <c r="Y3" s="94">
        <v>7</v>
      </c>
      <c r="Z3" s="94">
        <v>24.5</v>
      </c>
    </row>
    <row r="4" spans="1:26">
      <c r="A4" s="94" t="str">
        <f t="shared" si="0"/>
        <v>20190829BYU</v>
      </c>
      <c r="B4" s="94">
        <v>2019</v>
      </c>
      <c r="C4" s="94">
        <v>1</v>
      </c>
      <c r="D4" s="94">
        <v>20190829</v>
      </c>
      <c r="E4" s="94" t="s">
        <v>144</v>
      </c>
      <c r="F4" s="94" t="s">
        <v>43</v>
      </c>
      <c r="G4" s="94" t="s">
        <v>53</v>
      </c>
      <c r="H4" s="94">
        <v>22</v>
      </c>
      <c r="I4" s="94">
        <v>92</v>
      </c>
      <c r="J4" s="94">
        <v>33</v>
      </c>
      <c r="K4" s="94">
        <v>208</v>
      </c>
      <c r="L4" s="94">
        <v>0</v>
      </c>
      <c r="M4" s="94">
        <v>32</v>
      </c>
      <c r="N4" s="94">
        <v>0</v>
      </c>
      <c r="O4" s="94">
        <v>12</v>
      </c>
      <c r="P4" s="94" t="s">
        <v>24</v>
      </c>
      <c r="Q4" s="94" t="s">
        <v>151</v>
      </c>
      <c r="R4" s="94">
        <v>45</v>
      </c>
      <c r="S4" s="94">
        <v>260</v>
      </c>
      <c r="T4" s="94">
        <v>16</v>
      </c>
      <c r="U4" s="94">
        <v>106</v>
      </c>
      <c r="V4" s="94">
        <v>46</v>
      </c>
      <c r="W4" s="94">
        <v>0</v>
      </c>
      <c r="X4" s="94">
        <v>3</v>
      </c>
      <c r="Y4" s="94">
        <v>30</v>
      </c>
      <c r="Z4" s="94">
        <v>6.5</v>
      </c>
    </row>
    <row r="5" spans="1:26">
      <c r="A5" s="94" t="str">
        <f t="shared" si="0"/>
        <v>20190829CIN</v>
      </c>
      <c r="B5" s="94">
        <v>2019</v>
      </c>
      <c r="C5" s="94">
        <v>1</v>
      </c>
      <c r="D5" s="94">
        <v>20190829</v>
      </c>
      <c r="E5" s="94" t="s">
        <v>144</v>
      </c>
      <c r="F5" s="94" t="s">
        <v>107</v>
      </c>
      <c r="G5" s="94" t="s">
        <v>150</v>
      </c>
      <c r="H5" s="94">
        <v>46</v>
      </c>
      <c r="I5" s="94">
        <v>181</v>
      </c>
      <c r="J5" s="94">
        <v>26</v>
      </c>
      <c r="K5" s="94">
        <v>242</v>
      </c>
      <c r="L5" s="94">
        <v>25</v>
      </c>
      <c r="M5" s="94">
        <v>28</v>
      </c>
      <c r="N5" s="94">
        <v>4</v>
      </c>
      <c r="O5" s="94">
        <v>24</v>
      </c>
      <c r="P5" s="94" t="s">
        <v>106</v>
      </c>
      <c r="Q5" s="94" t="s">
        <v>151</v>
      </c>
      <c r="R5" s="94">
        <v>36</v>
      </c>
      <c r="S5" s="94">
        <v>62</v>
      </c>
      <c r="T5" s="94">
        <v>26</v>
      </c>
      <c r="U5" s="94">
        <v>156</v>
      </c>
      <c r="V5" s="94">
        <v>0</v>
      </c>
      <c r="W5" s="94">
        <v>12</v>
      </c>
      <c r="X5" s="94">
        <v>2</v>
      </c>
      <c r="Y5" s="94">
        <v>14</v>
      </c>
      <c r="Z5" s="94">
        <v>2.5</v>
      </c>
    </row>
    <row r="6" spans="1:26">
      <c r="A6" s="94" t="str">
        <f t="shared" si="0"/>
        <v>20190829CLEM</v>
      </c>
      <c r="B6" s="94">
        <v>2019</v>
      </c>
      <c r="C6" s="94">
        <v>1</v>
      </c>
      <c r="D6" s="94">
        <v>20190829</v>
      </c>
      <c r="E6" s="94" t="s">
        <v>144</v>
      </c>
      <c r="F6" s="94" t="s">
        <v>51</v>
      </c>
      <c r="G6" s="94" t="s">
        <v>146</v>
      </c>
      <c r="H6" s="94">
        <v>49</v>
      </c>
      <c r="I6" s="94">
        <v>411</v>
      </c>
      <c r="J6" s="94">
        <v>30</v>
      </c>
      <c r="K6" s="94">
        <v>221</v>
      </c>
      <c r="L6" s="94">
        <v>8</v>
      </c>
      <c r="M6" s="94">
        <v>58</v>
      </c>
      <c r="N6" s="94">
        <v>4</v>
      </c>
      <c r="O6" s="94">
        <v>52</v>
      </c>
      <c r="P6" s="94" t="s">
        <v>58</v>
      </c>
      <c r="Q6" s="94" t="s">
        <v>146</v>
      </c>
      <c r="R6" s="94">
        <v>45</v>
      </c>
      <c r="S6" s="94">
        <v>157</v>
      </c>
      <c r="T6" s="94">
        <v>18</v>
      </c>
      <c r="U6" s="94">
        <v>137</v>
      </c>
      <c r="V6" s="94">
        <v>0</v>
      </c>
      <c r="W6" s="94">
        <v>40</v>
      </c>
      <c r="X6" s="94">
        <v>3</v>
      </c>
      <c r="Y6" s="94">
        <v>14</v>
      </c>
      <c r="Z6" s="94">
        <v>37</v>
      </c>
    </row>
    <row r="7" spans="1:26">
      <c r="A7" s="94" t="str">
        <f t="shared" si="0"/>
        <v>20190829TLN</v>
      </c>
      <c r="B7" s="94">
        <v>2019</v>
      </c>
      <c r="C7" s="94">
        <v>1</v>
      </c>
      <c r="D7" s="94">
        <v>20190829</v>
      </c>
      <c r="E7" s="94" t="s">
        <v>144</v>
      </c>
      <c r="F7" s="94" t="s">
        <v>20</v>
      </c>
      <c r="G7" s="94" t="s">
        <v>150</v>
      </c>
      <c r="H7" s="94">
        <v>49</v>
      </c>
      <c r="I7" s="94">
        <v>350</v>
      </c>
      <c r="J7" s="94">
        <v>19</v>
      </c>
      <c r="K7" s="94">
        <v>195</v>
      </c>
      <c r="L7" s="94">
        <v>0</v>
      </c>
      <c r="M7" s="94">
        <v>29</v>
      </c>
      <c r="N7" s="94">
        <v>2</v>
      </c>
      <c r="O7" s="94">
        <v>42</v>
      </c>
      <c r="P7" s="94" t="s">
        <v>52</v>
      </c>
      <c r="Q7" s="94" t="s">
        <v>153</v>
      </c>
      <c r="R7" s="94">
        <v>26</v>
      </c>
      <c r="S7" s="94">
        <v>59</v>
      </c>
      <c r="T7" s="94">
        <v>34</v>
      </c>
      <c r="U7" s="94">
        <v>208</v>
      </c>
      <c r="V7" s="94">
        <v>0</v>
      </c>
      <c r="W7" s="94">
        <v>25</v>
      </c>
      <c r="X7" s="94">
        <v>1</v>
      </c>
      <c r="Y7" s="94">
        <v>14</v>
      </c>
      <c r="Z7" s="94">
        <v>3</v>
      </c>
    </row>
    <row r="8" spans="1:26">
      <c r="A8" s="94" t="str">
        <f t="shared" si="0"/>
        <v>20190829TXAM</v>
      </c>
      <c r="B8" s="94">
        <v>2019</v>
      </c>
      <c r="C8" s="94">
        <v>1</v>
      </c>
      <c r="D8" s="94">
        <v>20190829</v>
      </c>
      <c r="E8" s="94" t="s">
        <v>144</v>
      </c>
      <c r="F8" s="94" t="s">
        <v>22</v>
      </c>
      <c r="G8" s="94" t="s">
        <v>147</v>
      </c>
      <c r="H8" s="94">
        <v>34</v>
      </c>
      <c r="I8" s="94">
        <v>234</v>
      </c>
      <c r="J8" s="94">
        <v>36</v>
      </c>
      <c r="K8" s="94">
        <v>232</v>
      </c>
      <c r="L8" s="94">
        <v>13</v>
      </c>
      <c r="M8" s="94">
        <v>19</v>
      </c>
      <c r="N8" s="94">
        <v>4</v>
      </c>
      <c r="O8" s="94">
        <v>41</v>
      </c>
      <c r="P8" s="94" t="s">
        <v>93</v>
      </c>
      <c r="Q8" s="94" t="s">
        <v>145</v>
      </c>
      <c r="R8" s="94">
        <v>15</v>
      </c>
      <c r="S8" s="94">
        <v>8</v>
      </c>
      <c r="T8" s="94">
        <v>46</v>
      </c>
      <c r="U8" s="94">
        <v>211</v>
      </c>
      <c r="V8" s="94">
        <v>5</v>
      </c>
      <c r="W8" s="94">
        <v>61</v>
      </c>
      <c r="X8" s="94">
        <v>2</v>
      </c>
      <c r="Y8" s="94">
        <v>7</v>
      </c>
      <c r="Z8" s="94">
        <v>34</v>
      </c>
    </row>
    <row r="9" spans="1:26">
      <c r="A9" s="94" t="str">
        <f t="shared" si="0"/>
        <v>20190830ARMY</v>
      </c>
      <c r="B9" s="94">
        <v>2019</v>
      </c>
      <c r="C9" s="94">
        <v>1</v>
      </c>
      <c r="D9" s="94">
        <v>20190830</v>
      </c>
      <c r="E9" s="94" t="s">
        <v>144</v>
      </c>
      <c r="F9" s="94" t="s">
        <v>28</v>
      </c>
      <c r="G9" s="94" t="s">
        <v>53</v>
      </c>
      <c r="H9" s="94">
        <v>56</v>
      </c>
      <c r="I9" s="94">
        <v>231</v>
      </c>
      <c r="J9" s="94">
        <v>8</v>
      </c>
      <c r="K9" s="94">
        <v>53</v>
      </c>
      <c r="L9" s="94">
        <v>0</v>
      </c>
      <c r="M9" s="94">
        <v>14</v>
      </c>
      <c r="N9" s="94">
        <v>0</v>
      </c>
      <c r="O9" s="94">
        <v>14</v>
      </c>
      <c r="P9" s="94" t="s">
        <v>11</v>
      </c>
      <c r="Q9" s="94" t="s">
        <v>153</v>
      </c>
      <c r="R9" s="94">
        <v>30</v>
      </c>
      <c r="S9" s="94">
        <v>181</v>
      </c>
      <c r="T9" s="94">
        <v>14</v>
      </c>
      <c r="U9" s="94">
        <v>62</v>
      </c>
      <c r="V9" s="94">
        <v>23</v>
      </c>
      <c r="W9" s="94">
        <v>33</v>
      </c>
      <c r="X9" s="94">
        <v>1</v>
      </c>
      <c r="Y9" s="94">
        <v>7</v>
      </c>
      <c r="Z9" s="94">
        <v>22.5</v>
      </c>
    </row>
    <row r="10" spans="1:26">
      <c r="A10" s="94" t="str">
        <f t="shared" si="0"/>
        <v>20190830MCST</v>
      </c>
      <c r="B10" s="94">
        <v>2019</v>
      </c>
      <c r="C10" s="94">
        <v>1</v>
      </c>
      <c r="D10" s="94">
        <v>20190830</v>
      </c>
      <c r="E10" s="94" t="s">
        <v>144</v>
      </c>
      <c r="F10" s="94" t="s">
        <v>30</v>
      </c>
      <c r="G10" s="94" t="s">
        <v>152</v>
      </c>
      <c r="H10" s="94">
        <v>40</v>
      </c>
      <c r="I10" s="94">
        <v>108</v>
      </c>
      <c r="J10" s="94">
        <v>38</v>
      </c>
      <c r="K10" s="94">
        <v>195</v>
      </c>
      <c r="L10" s="94">
        <v>39</v>
      </c>
      <c r="M10" s="94">
        <v>51</v>
      </c>
      <c r="N10" s="94">
        <v>3</v>
      </c>
      <c r="O10" s="94">
        <v>28</v>
      </c>
      <c r="P10" s="94" t="s">
        <v>102</v>
      </c>
      <c r="Q10" s="94" t="s">
        <v>150</v>
      </c>
      <c r="R10" s="94">
        <v>25</v>
      </c>
      <c r="S10" s="94">
        <v>73</v>
      </c>
      <c r="T10" s="94">
        <v>27</v>
      </c>
      <c r="U10" s="94">
        <v>153</v>
      </c>
      <c r="V10" s="94">
        <v>22</v>
      </c>
      <c r="W10" s="94">
        <v>87</v>
      </c>
      <c r="X10" s="94">
        <v>0</v>
      </c>
      <c r="Y10" s="94">
        <v>7</v>
      </c>
      <c r="Z10" s="94">
        <v>23.5</v>
      </c>
    </row>
    <row r="11" spans="1:26">
      <c r="A11" s="94" t="str">
        <f t="shared" si="0"/>
        <v>20190830NEV</v>
      </c>
      <c r="B11" s="94">
        <v>2019</v>
      </c>
      <c r="C11" s="94">
        <v>1</v>
      </c>
      <c r="D11" s="94">
        <v>20190830</v>
      </c>
      <c r="E11" s="94" t="s">
        <v>144</v>
      </c>
      <c r="F11" s="94" t="s">
        <v>32</v>
      </c>
      <c r="G11" s="94" t="s">
        <v>148</v>
      </c>
      <c r="H11" s="94">
        <v>25</v>
      </c>
      <c r="I11" s="94">
        <v>109</v>
      </c>
      <c r="J11" s="94">
        <v>51</v>
      </c>
      <c r="K11" s="94">
        <v>295</v>
      </c>
      <c r="L11" s="94">
        <v>6</v>
      </c>
      <c r="M11" s="94">
        <v>24</v>
      </c>
      <c r="N11" s="94">
        <v>3</v>
      </c>
      <c r="O11" s="94">
        <v>34</v>
      </c>
      <c r="P11" s="94" t="s">
        <v>17</v>
      </c>
      <c r="Q11" s="94" t="s">
        <v>152</v>
      </c>
      <c r="R11" s="94">
        <v>29</v>
      </c>
      <c r="S11" s="94">
        <v>96</v>
      </c>
      <c r="T11" s="94">
        <v>52</v>
      </c>
      <c r="U11" s="94">
        <v>423</v>
      </c>
      <c r="V11" s="94">
        <v>26</v>
      </c>
      <c r="W11" s="94">
        <v>36</v>
      </c>
      <c r="X11" s="94">
        <v>0</v>
      </c>
      <c r="Y11" s="94">
        <v>31</v>
      </c>
      <c r="Z11" s="94">
        <v>9</v>
      </c>
    </row>
    <row r="12" spans="1:26">
      <c r="A12" s="94" t="str">
        <f t="shared" si="0"/>
        <v>20190830ORST</v>
      </c>
      <c r="B12" s="94">
        <v>2019</v>
      </c>
      <c r="C12" s="94">
        <v>1</v>
      </c>
      <c r="D12" s="94">
        <v>20190830</v>
      </c>
      <c r="E12" s="94" t="s">
        <v>144</v>
      </c>
      <c r="F12" s="94" t="s">
        <v>82</v>
      </c>
      <c r="G12" s="94" t="s">
        <v>151</v>
      </c>
      <c r="H12" s="94">
        <v>37</v>
      </c>
      <c r="I12" s="94">
        <v>167</v>
      </c>
      <c r="J12" s="94">
        <v>49</v>
      </c>
      <c r="K12" s="94">
        <v>281</v>
      </c>
      <c r="L12" s="94">
        <v>0</v>
      </c>
      <c r="M12" s="94">
        <v>132</v>
      </c>
      <c r="N12" s="94">
        <v>0</v>
      </c>
      <c r="O12" s="94">
        <v>36</v>
      </c>
      <c r="P12" s="94" t="s">
        <v>26</v>
      </c>
      <c r="Q12" s="94" t="s">
        <v>209</v>
      </c>
      <c r="R12" s="94">
        <v>52</v>
      </c>
      <c r="S12" s="94">
        <v>352</v>
      </c>
      <c r="T12" s="94">
        <v>24</v>
      </c>
      <c r="U12" s="94">
        <v>203</v>
      </c>
      <c r="V12" s="94">
        <v>4</v>
      </c>
      <c r="W12" s="94">
        <v>64</v>
      </c>
      <c r="X12" s="94">
        <v>0</v>
      </c>
      <c r="Y12" s="94">
        <v>52</v>
      </c>
      <c r="Z12" s="94">
        <v>15.5</v>
      </c>
    </row>
    <row r="13" spans="1:26">
      <c r="A13" s="94" t="str">
        <f t="shared" si="0"/>
        <v>20190830SFL</v>
      </c>
      <c r="B13" s="94">
        <v>2019</v>
      </c>
      <c r="C13" s="94">
        <v>1</v>
      </c>
      <c r="D13" s="94">
        <v>20190830</v>
      </c>
      <c r="E13" s="94" t="s">
        <v>144</v>
      </c>
      <c r="F13" s="94" t="s">
        <v>98</v>
      </c>
      <c r="G13" s="94" t="s">
        <v>150</v>
      </c>
      <c r="H13" s="94">
        <v>23</v>
      </c>
      <c r="I13" s="94">
        <v>26</v>
      </c>
      <c r="J13" s="94">
        <v>33</v>
      </c>
      <c r="K13" s="94">
        <v>131</v>
      </c>
      <c r="L13" s="94">
        <v>17</v>
      </c>
      <c r="M13" s="94">
        <v>68</v>
      </c>
      <c r="N13" s="94">
        <v>1</v>
      </c>
      <c r="O13" s="94">
        <v>0</v>
      </c>
      <c r="P13" s="94" t="s">
        <v>35</v>
      </c>
      <c r="Q13" s="94" t="s">
        <v>152</v>
      </c>
      <c r="R13" s="94">
        <v>43</v>
      </c>
      <c r="S13" s="94">
        <v>234</v>
      </c>
      <c r="T13" s="94">
        <v>26</v>
      </c>
      <c r="U13" s="94">
        <v>199</v>
      </c>
      <c r="V13" s="94">
        <v>62</v>
      </c>
      <c r="W13" s="94">
        <v>23</v>
      </c>
      <c r="X13" s="94">
        <v>3</v>
      </c>
      <c r="Y13" s="94">
        <v>49</v>
      </c>
      <c r="Z13" s="94">
        <v>13.5</v>
      </c>
    </row>
    <row r="14" spans="1:26">
      <c r="A14" s="94" t="str">
        <f t="shared" si="0"/>
        <v>20190830WAKE</v>
      </c>
      <c r="B14" s="94">
        <v>2019</v>
      </c>
      <c r="C14" s="94">
        <v>1</v>
      </c>
      <c r="D14" s="94">
        <v>20190830</v>
      </c>
      <c r="E14" s="94" t="s">
        <v>144</v>
      </c>
      <c r="F14" s="94" t="s">
        <v>21</v>
      </c>
      <c r="G14" s="94" t="s">
        <v>146</v>
      </c>
      <c r="H14" s="94">
        <v>58</v>
      </c>
      <c r="I14" s="94">
        <v>178</v>
      </c>
      <c r="J14" s="94">
        <v>47</v>
      </c>
      <c r="K14" s="94">
        <v>401</v>
      </c>
      <c r="L14" s="94">
        <v>1</v>
      </c>
      <c r="M14" s="94">
        <v>46</v>
      </c>
      <c r="N14" s="94">
        <v>3</v>
      </c>
      <c r="O14" s="94">
        <v>38</v>
      </c>
      <c r="P14" s="94" t="s">
        <v>31</v>
      </c>
      <c r="Q14" s="94" t="s">
        <v>148</v>
      </c>
      <c r="R14" s="94">
        <v>31</v>
      </c>
      <c r="S14" s="94">
        <v>180</v>
      </c>
      <c r="T14" s="94">
        <v>48</v>
      </c>
      <c r="U14" s="94">
        <v>416</v>
      </c>
      <c r="V14" s="94">
        <v>0</v>
      </c>
      <c r="W14" s="94">
        <v>18</v>
      </c>
      <c r="X14" s="94">
        <v>1</v>
      </c>
      <c r="Y14" s="94">
        <v>35</v>
      </c>
      <c r="Z14" s="94">
        <v>3.5</v>
      </c>
    </row>
    <row r="15" spans="1:26">
      <c r="A15" s="94" t="str">
        <f t="shared" si="0"/>
        <v>20190831AKST</v>
      </c>
      <c r="B15" s="94">
        <v>2019</v>
      </c>
      <c r="C15" s="94">
        <v>1</v>
      </c>
      <c r="D15" s="94">
        <v>20190831</v>
      </c>
      <c r="E15" s="94" t="s">
        <v>144</v>
      </c>
      <c r="F15" s="94" t="s">
        <v>40</v>
      </c>
      <c r="G15" s="94" t="s">
        <v>145</v>
      </c>
      <c r="H15" s="94">
        <v>24</v>
      </c>
      <c r="I15" s="94">
        <v>90</v>
      </c>
      <c r="J15" s="94">
        <v>50</v>
      </c>
      <c r="K15" s="94">
        <v>324</v>
      </c>
      <c r="L15" s="94">
        <v>13</v>
      </c>
      <c r="M15" s="94">
        <v>121</v>
      </c>
      <c r="N15" s="94">
        <v>1</v>
      </c>
      <c r="O15" s="94">
        <v>30</v>
      </c>
      <c r="P15" s="94" t="s">
        <v>80</v>
      </c>
      <c r="Q15" s="94" t="s">
        <v>150</v>
      </c>
      <c r="R15" s="94">
        <v>45</v>
      </c>
      <c r="S15" s="94">
        <v>148</v>
      </c>
      <c r="T15" s="94">
        <v>49</v>
      </c>
      <c r="U15" s="94">
        <v>360</v>
      </c>
      <c r="V15" s="94">
        <v>1</v>
      </c>
      <c r="W15" s="94">
        <v>146</v>
      </c>
      <c r="X15" s="94">
        <v>3</v>
      </c>
      <c r="Y15" s="94">
        <v>37</v>
      </c>
      <c r="Z15" s="94">
        <v>1.5</v>
      </c>
    </row>
    <row r="16" spans="1:26">
      <c r="A16" s="94" t="str">
        <f t="shared" si="0"/>
        <v>20190831BCOL</v>
      </c>
      <c r="B16" s="94">
        <v>2019</v>
      </c>
      <c r="C16" s="94">
        <v>1</v>
      </c>
      <c r="D16" s="94">
        <v>20190831</v>
      </c>
      <c r="E16" s="94" t="s">
        <v>144</v>
      </c>
      <c r="F16" s="94" t="s">
        <v>46</v>
      </c>
      <c r="G16" s="94" t="s">
        <v>146</v>
      </c>
      <c r="H16" s="94">
        <v>44</v>
      </c>
      <c r="I16" s="94">
        <v>161</v>
      </c>
      <c r="J16" s="94">
        <v>27</v>
      </c>
      <c r="K16" s="94">
        <v>275</v>
      </c>
      <c r="L16" s="94">
        <v>23</v>
      </c>
      <c r="M16" s="94">
        <v>55</v>
      </c>
      <c r="N16" s="94">
        <v>5</v>
      </c>
      <c r="O16" s="94">
        <v>35</v>
      </c>
      <c r="P16" s="94" t="s">
        <v>117</v>
      </c>
      <c r="Q16" s="94" t="s">
        <v>146</v>
      </c>
      <c r="R16" s="94">
        <v>42</v>
      </c>
      <c r="S16" s="94">
        <v>98</v>
      </c>
      <c r="T16" s="94">
        <v>47</v>
      </c>
      <c r="U16" s="94">
        <v>344</v>
      </c>
      <c r="V16" s="94">
        <v>9</v>
      </c>
      <c r="W16" s="94">
        <v>63</v>
      </c>
      <c r="X16" s="94">
        <v>1</v>
      </c>
      <c r="Y16" s="94">
        <v>28</v>
      </c>
      <c r="Z16" s="94">
        <v>2.5</v>
      </c>
    </row>
    <row r="17" spans="1:26">
      <c r="A17" s="94" t="str">
        <f t="shared" si="0"/>
        <v>20190831CSTC</v>
      </c>
      <c r="B17" s="94">
        <v>2019</v>
      </c>
      <c r="C17" s="94">
        <v>1</v>
      </c>
      <c r="D17" s="94">
        <v>20190831</v>
      </c>
      <c r="E17" s="94" t="s">
        <v>144</v>
      </c>
      <c r="F17" s="94" t="s">
        <v>97</v>
      </c>
      <c r="G17" s="94" t="s">
        <v>145</v>
      </c>
      <c r="H17" s="94">
        <v>30</v>
      </c>
      <c r="I17" s="94">
        <v>74</v>
      </c>
      <c r="J17" s="94">
        <v>43</v>
      </c>
      <c r="K17" s="94">
        <v>304</v>
      </c>
      <c r="L17" s="94">
        <v>42</v>
      </c>
      <c r="M17" s="94">
        <v>16</v>
      </c>
      <c r="N17" s="94">
        <v>1</v>
      </c>
      <c r="O17" s="94">
        <v>23</v>
      </c>
      <c r="P17" s="94" t="s">
        <v>29</v>
      </c>
      <c r="Q17" s="94" t="s">
        <v>149</v>
      </c>
      <c r="R17" s="94">
        <v>33</v>
      </c>
      <c r="S17" s="94">
        <v>129</v>
      </c>
      <c r="T17" s="94">
        <v>22</v>
      </c>
      <c r="U17" s="94">
        <v>188</v>
      </c>
      <c r="V17" s="94">
        <v>0</v>
      </c>
      <c r="W17" s="94">
        <v>2</v>
      </c>
      <c r="X17" s="94">
        <v>4</v>
      </c>
      <c r="Y17" s="94">
        <v>30</v>
      </c>
      <c r="Z17" s="94">
        <v>4.5</v>
      </c>
    </row>
    <row r="18" spans="1:26">
      <c r="A18" s="94" t="str">
        <f t="shared" si="0"/>
        <v>20190831ILL</v>
      </c>
      <c r="B18" s="94">
        <v>2019</v>
      </c>
      <c r="C18" s="94">
        <v>1</v>
      </c>
      <c r="D18" s="94">
        <v>20190831</v>
      </c>
      <c r="E18" s="94" t="s">
        <v>144</v>
      </c>
      <c r="F18" s="94" t="s">
        <v>60</v>
      </c>
      <c r="G18" s="94" t="s">
        <v>152</v>
      </c>
      <c r="H18" s="94">
        <v>46</v>
      </c>
      <c r="I18" s="94">
        <v>207</v>
      </c>
      <c r="J18" s="94">
        <v>25</v>
      </c>
      <c r="K18" s="94">
        <v>194</v>
      </c>
      <c r="L18" s="94">
        <v>24</v>
      </c>
      <c r="M18" s="94">
        <v>10</v>
      </c>
      <c r="N18" s="94">
        <v>2</v>
      </c>
      <c r="O18" s="94">
        <v>42</v>
      </c>
      <c r="P18" s="94" t="s">
        <v>118</v>
      </c>
      <c r="Q18" s="94" t="s">
        <v>149</v>
      </c>
      <c r="R18" s="94">
        <v>38</v>
      </c>
      <c r="S18" s="94">
        <v>64</v>
      </c>
      <c r="T18" s="94">
        <v>28</v>
      </c>
      <c r="U18" s="94">
        <v>128</v>
      </c>
      <c r="V18" s="94">
        <v>23</v>
      </c>
      <c r="W18" s="94">
        <v>43</v>
      </c>
      <c r="X18" s="94">
        <v>0</v>
      </c>
      <c r="Y18" s="94">
        <v>3</v>
      </c>
      <c r="Z18" s="94">
        <v>18</v>
      </c>
    </row>
    <row r="19" spans="1:26">
      <c r="A19" s="94" t="str">
        <f t="shared" si="0"/>
        <v>20190831IOWA</v>
      </c>
      <c r="B19" s="94">
        <v>2019</v>
      </c>
      <c r="C19" s="94">
        <v>1</v>
      </c>
      <c r="D19" s="94">
        <v>20190831</v>
      </c>
      <c r="E19" s="94" t="s">
        <v>144</v>
      </c>
      <c r="F19" s="94" t="s">
        <v>62</v>
      </c>
      <c r="G19" s="94" t="s">
        <v>152</v>
      </c>
      <c r="H19" s="94">
        <v>41</v>
      </c>
      <c r="I19" s="94">
        <v>213</v>
      </c>
      <c r="J19" s="94">
        <v>30</v>
      </c>
      <c r="K19" s="94">
        <v>252</v>
      </c>
      <c r="L19" s="94">
        <v>16</v>
      </c>
      <c r="M19" s="94">
        <v>19</v>
      </c>
      <c r="N19" s="94">
        <v>1</v>
      </c>
      <c r="O19" s="94">
        <v>38</v>
      </c>
      <c r="P19" s="94" t="s">
        <v>71</v>
      </c>
      <c r="Q19" s="94" t="s">
        <v>149</v>
      </c>
      <c r="R19" s="94">
        <v>25</v>
      </c>
      <c r="S19" s="94">
        <v>59</v>
      </c>
      <c r="T19" s="94">
        <v>27</v>
      </c>
      <c r="U19" s="94">
        <v>186</v>
      </c>
      <c r="V19" s="94">
        <v>0</v>
      </c>
      <c r="W19" s="94">
        <v>36</v>
      </c>
      <c r="X19" s="94">
        <v>1</v>
      </c>
      <c r="Y19" s="94">
        <v>14</v>
      </c>
      <c r="Z19" s="94">
        <v>22</v>
      </c>
    </row>
    <row r="20" spans="1:26">
      <c r="A20" s="94" t="str">
        <f t="shared" si="0"/>
        <v>20190831KTKY</v>
      </c>
      <c r="B20" s="94">
        <v>2019</v>
      </c>
      <c r="C20" s="94">
        <v>1</v>
      </c>
      <c r="D20" s="94">
        <v>20190831</v>
      </c>
      <c r="E20" s="94" t="s">
        <v>144</v>
      </c>
      <c r="F20" s="94" t="s">
        <v>66</v>
      </c>
      <c r="G20" s="94" t="s">
        <v>147</v>
      </c>
      <c r="H20" s="94">
        <v>39</v>
      </c>
      <c r="I20" s="94">
        <v>176</v>
      </c>
      <c r="J20" s="94">
        <v>26</v>
      </c>
      <c r="K20" s="94">
        <v>246</v>
      </c>
      <c r="L20" s="94">
        <v>5</v>
      </c>
      <c r="M20" s="94">
        <v>62</v>
      </c>
      <c r="N20" s="94">
        <v>2</v>
      </c>
      <c r="O20" s="94">
        <v>38</v>
      </c>
      <c r="P20" s="94" t="s">
        <v>103</v>
      </c>
      <c r="Q20" s="94" t="s">
        <v>149</v>
      </c>
      <c r="R20" s="94">
        <v>39</v>
      </c>
      <c r="S20" s="94">
        <v>181</v>
      </c>
      <c r="T20" s="94">
        <v>25</v>
      </c>
      <c r="U20" s="94">
        <v>166</v>
      </c>
      <c r="V20" s="94">
        <v>6</v>
      </c>
      <c r="W20" s="94">
        <v>59</v>
      </c>
      <c r="X20" s="94">
        <v>2</v>
      </c>
      <c r="Y20" s="94">
        <v>24</v>
      </c>
      <c r="Z20" s="94">
        <v>12</v>
      </c>
    </row>
    <row r="21" spans="1:26">
      <c r="A21" s="94" t="str">
        <f t="shared" si="0"/>
        <v>20190831LSU</v>
      </c>
      <c r="B21" s="94">
        <v>2019</v>
      </c>
      <c r="C21" s="94">
        <v>1</v>
      </c>
      <c r="D21" s="94">
        <v>20190831</v>
      </c>
      <c r="E21" s="94" t="s">
        <v>144</v>
      </c>
      <c r="F21" s="94" t="s">
        <v>124</v>
      </c>
      <c r="G21" s="94" t="s">
        <v>147</v>
      </c>
      <c r="H21" s="94">
        <v>32</v>
      </c>
      <c r="I21" s="94">
        <v>123</v>
      </c>
      <c r="J21" s="94">
        <v>39</v>
      </c>
      <c r="K21" s="94">
        <v>350</v>
      </c>
      <c r="L21" s="94">
        <v>52</v>
      </c>
      <c r="M21" s="94">
        <v>0</v>
      </c>
      <c r="N21" s="94">
        <v>2</v>
      </c>
      <c r="O21" s="94">
        <v>55</v>
      </c>
      <c r="P21" s="94" t="s">
        <v>57</v>
      </c>
      <c r="Q21" s="94" t="s">
        <v>145</v>
      </c>
      <c r="R21" s="94">
        <v>39</v>
      </c>
      <c r="S21" s="94">
        <v>74</v>
      </c>
      <c r="T21" s="94">
        <v>11</v>
      </c>
      <c r="U21" s="94">
        <v>24</v>
      </c>
      <c r="V21" s="94">
        <v>0</v>
      </c>
      <c r="W21" s="94">
        <v>13</v>
      </c>
      <c r="X21" s="94">
        <v>0</v>
      </c>
      <c r="Y21" s="94">
        <v>3</v>
      </c>
      <c r="Z21" s="94">
        <v>28</v>
      </c>
    </row>
    <row r="22" spans="1:26">
      <c r="A22" s="94" t="str">
        <f t="shared" si="0"/>
        <v>20190831MEM</v>
      </c>
      <c r="B22" s="94">
        <v>2019</v>
      </c>
      <c r="C22" s="94">
        <v>1</v>
      </c>
      <c r="D22" s="94">
        <v>20190831</v>
      </c>
      <c r="E22" s="94" t="s">
        <v>144</v>
      </c>
      <c r="F22" s="94" t="s">
        <v>70</v>
      </c>
      <c r="G22" s="94" t="s">
        <v>150</v>
      </c>
      <c r="H22" s="94">
        <v>51</v>
      </c>
      <c r="I22" s="94">
        <v>192</v>
      </c>
      <c r="J22" s="94">
        <v>31</v>
      </c>
      <c r="K22" s="94">
        <v>172</v>
      </c>
      <c r="L22" s="94">
        <v>27</v>
      </c>
      <c r="M22" s="94">
        <v>51</v>
      </c>
      <c r="N22" s="94">
        <v>1</v>
      </c>
      <c r="O22" s="94">
        <v>15</v>
      </c>
      <c r="P22" s="94" t="s">
        <v>126</v>
      </c>
      <c r="Q22" s="94" t="s">
        <v>147</v>
      </c>
      <c r="R22" s="94">
        <v>33</v>
      </c>
      <c r="S22" s="94">
        <v>80</v>
      </c>
      <c r="T22" s="94">
        <v>19</v>
      </c>
      <c r="U22" s="94">
        <v>93</v>
      </c>
      <c r="V22" s="94">
        <v>2</v>
      </c>
      <c r="W22" s="94">
        <v>25</v>
      </c>
      <c r="X22" s="94">
        <v>1</v>
      </c>
      <c r="Y22" s="94">
        <v>10</v>
      </c>
      <c r="Z22" s="94">
        <v>5</v>
      </c>
    </row>
    <row r="23" spans="1:26">
      <c r="A23" s="94" t="str">
        <f t="shared" si="0"/>
        <v>20190831MICH</v>
      </c>
      <c r="B23" s="94">
        <v>2019</v>
      </c>
      <c r="C23" s="94">
        <v>1</v>
      </c>
      <c r="D23" s="94">
        <v>20190831</v>
      </c>
      <c r="E23" s="94" t="s">
        <v>144</v>
      </c>
      <c r="F23" s="94" t="s">
        <v>78</v>
      </c>
      <c r="G23" s="94" t="s">
        <v>152</v>
      </c>
      <c r="H23" s="94">
        <v>45</v>
      </c>
      <c r="I23" s="94">
        <v>233</v>
      </c>
      <c r="J23" s="94">
        <v>32</v>
      </c>
      <c r="K23" s="94">
        <v>220</v>
      </c>
      <c r="L23" s="94">
        <v>40</v>
      </c>
      <c r="M23" s="94">
        <v>76</v>
      </c>
      <c r="N23" s="94">
        <v>2</v>
      </c>
      <c r="O23" s="94">
        <v>40</v>
      </c>
      <c r="P23" s="94" t="s">
        <v>112</v>
      </c>
      <c r="Q23" s="94" t="s">
        <v>153</v>
      </c>
      <c r="R23" s="94">
        <v>28</v>
      </c>
      <c r="S23" s="94">
        <v>67</v>
      </c>
      <c r="T23" s="94">
        <v>41</v>
      </c>
      <c r="U23" s="94">
        <v>234</v>
      </c>
      <c r="V23" s="94">
        <v>7</v>
      </c>
      <c r="W23" s="94">
        <v>0</v>
      </c>
      <c r="X23" s="94">
        <v>2</v>
      </c>
      <c r="Y23" s="94">
        <v>21</v>
      </c>
      <c r="Z23" s="94">
        <v>33</v>
      </c>
    </row>
    <row r="24" spans="1:26">
      <c r="A24" s="94" t="str">
        <f t="shared" si="0"/>
        <v>20190831NCST</v>
      </c>
      <c r="B24" s="94">
        <v>2019</v>
      </c>
      <c r="C24" s="94">
        <v>1</v>
      </c>
      <c r="D24" s="94">
        <v>20190831</v>
      </c>
      <c r="E24" s="94" t="s">
        <v>144</v>
      </c>
      <c r="F24" s="94" t="s">
        <v>75</v>
      </c>
      <c r="G24" s="94" t="s">
        <v>146</v>
      </c>
      <c r="H24" s="94">
        <v>31</v>
      </c>
      <c r="I24" s="94">
        <v>191</v>
      </c>
      <c r="J24" s="94">
        <v>39</v>
      </c>
      <c r="K24" s="94">
        <v>314</v>
      </c>
      <c r="L24" s="94">
        <v>26</v>
      </c>
      <c r="M24" s="94">
        <v>0</v>
      </c>
      <c r="N24" s="94">
        <v>2</v>
      </c>
      <c r="O24" s="94">
        <v>34</v>
      </c>
      <c r="P24" s="94" t="s">
        <v>115</v>
      </c>
      <c r="Q24" s="94" t="s">
        <v>150</v>
      </c>
      <c r="R24" s="94">
        <v>29</v>
      </c>
      <c r="S24" s="94">
        <v>41</v>
      </c>
      <c r="T24" s="94">
        <v>45</v>
      </c>
      <c r="U24" s="94">
        <v>228</v>
      </c>
      <c r="V24" s="94">
        <v>12</v>
      </c>
      <c r="W24" s="94">
        <v>72</v>
      </c>
      <c r="X24" s="94">
        <v>0</v>
      </c>
      <c r="Y24" s="94">
        <v>6</v>
      </c>
      <c r="Z24" s="94">
        <v>17.5</v>
      </c>
    </row>
    <row r="25" spans="1:26">
      <c r="A25" s="94" t="str">
        <f t="shared" si="0"/>
        <v>20190831NEB</v>
      </c>
      <c r="B25" s="94">
        <v>2019</v>
      </c>
      <c r="C25" s="94">
        <v>1</v>
      </c>
      <c r="D25" s="94">
        <v>20190831</v>
      </c>
      <c r="E25" s="94" t="s">
        <v>144</v>
      </c>
      <c r="F25" s="94" t="s">
        <v>127</v>
      </c>
      <c r="G25" s="94" t="s">
        <v>152</v>
      </c>
      <c r="H25" s="94">
        <v>42</v>
      </c>
      <c r="I25" s="94">
        <v>122</v>
      </c>
      <c r="J25" s="94">
        <v>22</v>
      </c>
      <c r="K25" s="94">
        <v>178</v>
      </c>
      <c r="L25" s="94">
        <v>80</v>
      </c>
      <c r="M25" s="94">
        <v>77</v>
      </c>
      <c r="N25" s="94">
        <v>5</v>
      </c>
      <c r="O25" s="94">
        <v>35</v>
      </c>
      <c r="P25" s="94" t="s">
        <v>94</v>
      </c>
      <c r="Q25" s="94" t="s">
        <v>145</v>
      </c>
      <c r="R25" s="94">
        <v>43</v>
      </c>
      <c r="S25" s="94">
        <v>85</v>
      </c>
      <c r="T25" s="94">
        <v>35</v>
      </c>
      <c r="U25" s="94">
        <v>231</v>
      </c>
      <c r="V25" s="94">
        <v>0</v>
      </c>
      <c r="W25" s="94">
        <v>74</v>
      </c>
      <c r="X25" s="94">
        <v>3</v>
      </c>
      <c r="Y25" s="94">
        <v>21</v>
      </c>
      <c r="Z25" s="94">
        <v>35</v>
      </c>
    </row>
    <row r="26" spans="1:26">
      <c r="A26" s="94" t="str">
        <f t="shared" si="0"/>
        <v>20190831OHST</v>
      </c>
      <c r="B26" s="94">
        <v>2019</v>
      </c>
      <c r="C26" s="94">
        <v>1</v>
      </c>
      <c r="D26" s="94">
        <v>20190831</v>
      </c>
      <c r="E26" s="94" t="s">
        <v>144</v>
      </c>
      <c r="F26" s="94" t="s">
        <v>81</v>
      </c>
      <c r="G26" s="94" t="s">
        <v>152</v>
      </c>
      <c r="H26" s="94">
        <v>48</v>
      </c>
      <c r="I26" s="94">
        <v>237</v>
      </c>
      <c r="J26" s="94">
        <v>26</v>
      </c>
      <c r="K26" s="94">
        <v>232</v>
      </c>
      <c r="L26" s="94">
        <v>53</v>
      </c>
      <c r="M26" s="94">
        <v>67</v>
      </c>
      <c r="N26" s="94">
        <v>1</v>
      </c>
      <c r="O26" s="94">
        <v>45</v>
      </c>
      <c r="P26" s="94" t="s">
        <v>85</v>
      </c>
      <c r="Q26" s="94" t="s">
        <v>153</v>
      </c>
      <c r="R26" s="94">
        <v>33</v>
      </c>
      <c r="S26" s="94">
        <v>22</v>
      </c>
      <c r="T26" s="94">
        <v>40</v>
      </c>
      <c r="U26" s="94">
        <v>206</v>
      </c>
      <c r="V26" s="94">
        <v>5</v>
      </c>
      <c r="W26" s="94">
        <v>30</v>
      </c>
      <c r="X26" s="94">
        <v>2</v>
      </c>
      <c r="Y26" s="94">
        <v>21</v>
      </c>
      <c r="Z26" s="94">
        <v>27.5</v>
      </c>
    </row>
    <row r="27" spans="1:26">
      <c r="A27" s="94" t="str">
        <f t="shared" si="0"/>
        <v>20190831PIT</v>
      </c>
      <c r="B27" s="94">
        <v>2019</v>
      </c>
      <c r="C27" s="94">
        <v>1</v>
      </c>
      <c r="D27" s="94">
        <v>20190831</v>
      </c>
      <c r="E27" s="94" t="s">
        <v>144</v>
      </c>
      <c r="F27" s="94" t="s">
        <v>88</v>
      </c>
      <c r="G27" s="94" t="s">
        <v>146</v>
      </c>
      <c r="H27" s="94">
        <v>30</v>
      </c>
      <c r="I27" s="94">
        <v>78</v>
      </c>
      <c r="J27" s="94">
        <v>41</v>
      </c>
      <c r="K27" s="94">
        <v>185</v>
      </c>
      <c r="L27" s="94">
        <v>0</v>
      </c>
      <c r="M27" s="94">
        <v>26</v>
      </c>
      <c r="N27" s="94">
        <v>0</v>
      </c>
      <c r="O27" s="94">
        <v>14</v>
      </c>
      <c r="P27" s="94" t="s">
        <v>113</v>
      </c>
      <c r="Q27" s="94" t="s">
        <v>146</v>
      </c>
      <c r="R27" s="94">
        <v>33</v>
      </c>
      <c r="S27" s="94">
        <v>129</v>
      </c>
      <c r="T27" s="94">
        <v>34</v>
      </c>
      <c r="U27" s="94">
        <v>181</v>
      </c>
      <c r="V27" s="94">
        <v>21</v>
      </c>
      <c r="W27" s="94">
        <v>48</v>
      </c>
      <c r="X27" s="94">
        <v>2</v>
      </c>
      <c r="Y27" s="94">
        <v>30</v>
      </c>
      <c r="Z27" s="94">
        <v>2.5</v>
      </c>
    </row>
    <row r="28" spans="1:26">
      <c r="A28" s="94" t="str">
        <f t="shared" si="0"/>
        <v>20190831STAN</v>
      </c>
      <c r="B28" s="94">
        <v>2019</v>
      </c>
      <c r="C28" s="94">
        <v>1</v>
      </c>
      <c r="D28" s="94">
        <v>20190831</v>
      </c>
      <c r="E28" s="94" t="s">
        <v>144</v>
      </c>
      <c r="F28" s="94" t="s">
        <v>33</v>
      </c>
      <c r="G28" s="94" t="s">
        <v>151</v>
      </c>
      <c r="H28" s="94">
        <v>39</v>
      </c>
      <c r="I28" s="94">
        <v>132</v>
      </c>
      <c r="J28" s="94">
        <v>34</v>
      </c>
      <c r="K28" s="94">
        <v>233</v>
      </c>
      <c r="L28" s="94">
        <v>1</v>
      </c>
      <c r="M28" s="94">
        <v>41</v>
      </c>
      <c r="N28" s="94">
        <v>4</v>
      </c>
      <c r="O28" s="94">
        <v>17</v>
      </c>
      <c r="P28" s="94" t="s">
        <v>18</v>
      </c>
      <c r="Q28" s="94" t="s">
        <v>152</v>
      </c>
      <c r="R28" s="94">
        <v>33</v>
      </c>
      <c r="S28" s="94">
        <v>93</v>
      </c>
      <c r="T28" s="94">
        <v>27</v>
      </c>
      <c r="U28" s="94">
        <v>117</v>
      </c>
      <c r="V28" s="94">
        <v>20</v>
      </c>
      <c r="W28" s="94">
        <v>28</v>
      </c>
      <c r="X28" s="94">
        <v>2</v>
      </c>
      <c r="Y28" s="94">
        <v>7</v>
      </c>
      <c r="Z28" s="94">
        <v>6.5</v>
      </c>
    </row>
    <row r="29" spans="1:26">
      <c r="A29" s="94" t="str">
        <f t="shared" si="0"/>
        <v>20190831TEN</v>
      </c>
      <c r="B29" s="94">
        <v>2019</v>
      </c>
      <c r="C29" s="94">
        <v>1</v>
      </c>
      <c r="D29" s="94">
        <v>20190831</v>
      </c>
      <c r="E29" s="94" t="s">
        <v>144</v>
      </c>
      <c r="F29" s="94" t="s">
        <v>129</v>
      </c>
      <c r="G29" s="94" t="s">
        <v>147</v>
      </c>
      <c r="H29" s="94">
        <v>31</v>
      </c>
      <c r="I29" s="94">
        <v>93</v>
      </c>
      <c r="J29" s="94">
        <v>40</v>
      </c>
      <c r="K29" s="94">
        <v>311</v>
      </c>
      <c r="L29" s="94">
        <v>35</v>
      </c>
      <c r="M29" s="94">
        <v>72</v>
      </c>
      <c r="N29" s="94">
        <v>1</v>
      </c>
      <c r="O29" s="94">
        <v>30</v>
      </c>
      <c r="P29" s="94" t="s">
        <v>15</v>
      </c>
      <c r="Q29" s="94" t="s">
        <v>145</v>
      </c>
      <c r="R29" s="94">
        <v>53</v>
      </c>
      <c r="S29" s="94">
        <v>213</v>
      </c>
      <c r="T29" s="94">
        <v>24</v>
      </c>
      <c r="U29" s="94">
        <v>139</v>
      </c>
      <c r="V29" s="94">
        <v>0</v>
      </c>
      <c r="W29" s="94">
        <v>0</v>
      </c>
      <c r="X29" s="94">
        <v>3</v>
      </c>
      <c r="Y29" s="94">
        <v>38</v>
      </c>
      <c r="Z29" s="94">
        <v>24.5</v>
      </c>
    </row>
    <row r="30" spans="1:26">
      <c r="A30" s="94" t="str">
        <f t="shared" si="0"/>
        <v>20190831TEX</v>
      </c>
      <c r="B30" s="94">
        <v>2019</v>
      </c>
      <c r="C30" s="94">
        <v>1</v>
      </c>
      <c r="D30" s="94">
        <v>20190831</v>
      </c>
      <c r="E30" s="94" t="s">
        <v>144</v>
      </c>
      <c r="F30" s="94" t="s">
        <v>130</v>
      </c>
      <c r="G30" s="94" t="s">
        <v>209</v>
      </c>
      <c r="H30" s="94">
        <v>30</v>
      </c>
      <c r="I30" s="94">
        <v>153</v>
      </c>
      <c r="J30" s="94">
        <v>43</v>
      </c>
      <c r="K30" s="94">
        <v>301</v>
      </c>
      <c r="L30" s="94">
        <v>0</v>
      </c>
      <c r="M30" s="94">
        <v>53</v>
      </c>
      <c r="N30" s="94">
        <v>3</v>
      </c>
      <c r="O30" s="94">
        <v>45</v>
      </c>
      <c r="P30" s="94" t="s">
        <v>95</v>
      </c>
      <c r="Q30" s="94" t="s">
        <v>153</v>
      </c>
      <c r="R30" s="94">
        <v>26</v>
      </c>
      <c r="S30" s="94">
        <v>73</v>
      </c>
      <c r="T30" s="94">
        <v>54</v>
      </c>
      <c r="U30" s="94">
        <v>340</v>
      </c>
      <c r="V30" s="94">
        <v>0</v>
      </c>
      <c r="W30" s="94">
        <v>38</v>
      </c>
      <c r="X30" s="94">
        <v>1</v>
      </c>
      <c r="Y30" s="94">
        <v>14</v>
      </c>
      <c r="Z30" s="94">
        <v>21</v>
      </c>
    </row>
    <row r="31" spans="1:26">
      <c r="A31" s="94" t="str">
        <f t="shared" si="0"/>
        <v>20190831USC</v>
      </c>
      <c r="B31" s="94">
        <v>2019</v>
      </c>
      <c r="C31" s="94">
        <v>1</v>
      </c>
      <c r="D31" s="94">
        <v>20190831</v>
      </c>
      <c r="E31" s="94" t="s">
        <v>144</v>
      </c>
      <c r="F31" s="94" t="s">
        <v>108</v>
      </c>
      <c r="G31" s="94" t="s">
        <v>151</v>
      </c>
      <c r="H31" s="94">
        <v>34</v>
      </c>
      <c r="I31" s="94">
        <v>183</v>
      </c>
      <c r="J31" s="94">
        <v>42</v>
      </c>
      <c r="K31" s="94">
        <v>272</v>
      </c>
      <c r="L31" s="94">
        <v>3</v>
      </c>
      <c r="M31" s="94">
        <v>168</v>
      </c>
      <c r="N31" s="94">
        <v>1</v>
      </c>
      <c r="O31" s="94">
        <v>31</v>
      </c>
      <c r="P31" s="94" t="s">
        <v>55</v>
      </c>
      <c r="Q31" s="94" t="s">
        <v>148</v>
      </c>
      <c r="R31" s="94">
        <v>39</v>
      </c>
      <c r="S31" s="94">
        <v>207</v>
      </c>
      <c r="T31" s="94">
        <v>39</v>
      </c>
      <c r="U31" s="94">
        <v>256</v>
      </c>
      <c r="V31" s="94">
        <v>0</v>
      </c>
      <c r="W31" s="94">
        <v>75</v>
      </c>
      <c r="X31" s="94">
        <v>2</v>
      </c>
      <c r="Y31" s="94">
        <v>23</v>
      </c>
      <c r="Z31" s="94">
        <v>13.5</v>
      </c>
    </row>
    <row r="32" spans="1:26">
      <c r="A32" s="94" t="str">
        <f t="shared" si="0"/>
        <v>20190831VAN</v>
      </c>
      <c r="B32" s="94">
        <v>2019</v>
      </c>
      <c r="C32" s="94">
        <v>1</v>
      </c>
      <c r="D32" s="94">
        <v>20190831</v>
      </c>
      <c r="E32" s="94" t="s">
        <v>144</v>
      </c>
      <c r="F32" s="94" t="s">
        <v>111</v>
      </c>
      <c r="G32" s="94" t="s">
        <v>147</v>
      </c>
      <c r="H32" s="94">
        <v>30</v>
      </c>
      <c r="I32" s="94">
        <v>116</v>
      </c>
      <c r="J32" s="94">
        <v>32</v>
      </c>
      <c r="K32" s="94">
        <v>109</v>
      </c>
      <c r="L32" s="94">
        <v>0</v>
      </c>
      <c r="M32" s="94">
        <v>35</v>
      </c>
      <c r="N32" s="94">
        <v>1</v>
      </c>
      <c r="O32" s="94">
        <v>6</v>
      </c>
      <c r="P32" s="94" t="s">
        <v>56</v>
      </c>
      <c r="Q32" s="94" t="s">
        <v>147</v>
      </c>
      <c r="R32" s="94">
        <v>39</v>
      </c>
      <c r="S32" s="94">
        <v>326</v>
      </c>
      <c r="T32" s="94">
        <v>23</v>
      </c>
      <c r="U32" s="94">
        <v>156</v>
      </c>
      <c r="V32" s="94">
        <v>61</v>
      </c>
      <c r="W32" s="94">
        <v>41</v>
      </c>
      <c r="X32" s="94">
        <v>1</v>
      </c>
      <c r="Y32" s="94">
        <v>30</v>
      </c>
      <c r="Z32" s="94">
        <v>23</v>
      </c>
    </row>
    <row r="33" spans="1:26">
      <c r="A33" s="94" t="str">
        <f t="shared" si="0"/>
        <v>20190831WAST</v>
      </c>
      <c r="B33" s="94">
        <v>2019</v>
      </c>
      <c r="C33" s="94">
        <v>1</v>
      </c>
      <c r="D33" s="94">
        <v>20190831</v>
      </c>
      <c r="E33" s="94" t="s">
        <v>144</v>
      </c>
      <c r="F33" s="94" t="s">
        <v>114</v>
      </c>
      <c r="G33" s="94" t="s">
        <v>151</v>
      </c>
      <c r="H33" s="94">
        <v>15</v>
      </c>
      <c r="I33" s="94">
        <v>123</v>
      </c>
      <c r="J33" s="94">
        <v>43</v>
      </c>
      <c r="K33" s="94">
        <v>483</v>
      </c>
      <c r="L33" s="94">
        <v>0</v>
      </c>
      <c r="M33" s="94">
        <v>0</v>
      </c>
      <c r="N33" s="94">
        <v>5</v>
      </c>
      <c r="O33" s="94">
        <v>58</v>
      </c>
      <c r="P33" s="94" t="s">
        <v>9</v>
      </c>
      <c r="Q33" s="94" t="s">
        <v>53</v>
      </c>
      <c r="R33" s="94">
        <v>25</v>
      </c>
      <c r="S33" s="94">
        <v>96</v>
      </c>
      <c r="T33" s="94">
        <v>42</v>
      </c>
      <c r="U33" s="94">
        <v>221</v>
      </c>
      <c r="V33" s="94">
        <v>0</v>
      </c>
      <c r="W33" s="94">
        <v>0</v>
      </c>
      <c r="X33" s="94">
        <v>0</v>
      </c>
      <c r="Y33" s="94">
        <v>7</v>
      </c>
      <c r="Z33" s="94">
        <v>33</v>
      </c>
    </row>
    <row r="34" spans="1:26">
      <c r="A34" s="94" t="str">
        <f t="shared" si="0"/>
        <v>20190831WYO</v>
      </c>
      <c r="B34" s="94">
        <v>2019</v>
      </c>
      <c r="C34" s="94">
        <v>1</v>
      </c>
      <c r="D34" s="94">
        <v>20190831</v>
      </c>
      <c r="E34" s="94" t="s">
        <v>144</v>
      </c>
      <c r="F34" s="94" t="s">
        <v>10</v>
      </c>
      <c r="G34" s="94" t="s">
        <v>148</v>
      </c>
      <c r="H34" s="94">
        <v>42</v>
      </c>
      <c r="I34" s="94">
        <v>297</v>
      </c>
      <c r="J34" s="94">
        <v>16</v>
      </c>
      <c r="K34" s="94">
        <v>92</v>
      </c>
      <c r="L34" s="94">
        <v>37</v>
      </c>
      <c r="M34" s="94">
        <v>0</v>
      </c>
      <c r="N34" s="94">
        <v>3</v>
      </c>
      <c r="O34" s="94">
        <v>37</v>
      </c>
      <c r="P34" s="94" t="s">
        <v>73</v>
      </c>
      <c r="Q34" s="94" t="s">
        <v>147</v>
      </c>
      <c r="R34" s="94">
        <v>42</v>
      </c>
      <c r="S34" s="94">
        <v>114</v>
      </c>
      <c r="T34" s="94">
        <v>48</v>
      </c>
      <c r="U34" s="94">
        <v>423</v>
      </c>
      <c r="V34" s="94">
        <v>50</v>
      </c>
      <c r="W34" s="94">
        <v>0</v>
      </c>
      <c r="X34" s="94">
        <v>0</v>
      </c>
      <c r="Y34" s="94">
        <v>31</v>
      </c>
      <c r="Z34" s="94">
        <v>15.5</v>
      </c>
    </row>
    <row r="35" spans="1:26">
      <c r="A35" s="94" t="str">
        <f t="shared" si="0"/>
        <v>20190824MIAF</v>
      </c>
      <c r="B35" s="94">
        <v>2019</v>
      </c>
      <c r="C35" s="94">
        <v>1</v>
      </c>
      <c r="D35" s="94">
        <v>20190824</v>
      </c>
      <c r="E35" s="94" t="s">
        <v>210</v>
      </c>
      <c r="F35" s="94" t="s">
        <v>125</v>
      </c>
      <c r="G35" s="94" t="s">
        <v>146</v>
      </c>
      <c r="H35" s="94">
        <v>27</v>
      </c>
      <c r="I35" s="94">
        <v>52</v>
      </c>
      <c r="J35" s="94">
        <v>27</v>
      </c>
      <c r="K35" s="94">
        <v>254</v>
      </c>
      <c r="L35" s="94">
        <v>1</v>
      </c>
      <c r="M35" s="94">
        <v>32</v>
      </c>
      <c r="N35" s="94">
        <v>1</v>
      </c>
      <c r="O35" s="94">
        <v>20</v>
      </c>
      <c r="P35" s="94" t="s">
        <v>54</v>
      </c>
      <c r="Q35" s="94" t="s">
        <v>147</v>
      </c>
      <c r="R35" s="94">
        <v>36</v>
      </c>
      <c r="S35" s="94">
        <v>94</v>
      </c>
      <c r="T35" s="94">
        <v>30</v>
      </c>
      <c r="U35" s="94">
        <v>214</v>
      </c>
      <c r="V35" s="94">
        <v>19</v>
      </c>
      <c r="W35" s="94">
        <v>44</v>
      </c>
      <c r="X35" s="94">
        <v>4</v>
      </c>
      <c r="Y35" s="94">
        <v>24</v>
      </c>
      <c r="Z35" s="94">
        <v>7</v>
      </c>
    </row>
    <row r="36" spans="1:26">
      <c r="A36" s="94" t="str">
        <f t="shared" si="0"/>
        <v>20190830COLO</v>
      </c>
      <c r="B36" s="94">
        <v>2019</v>
      </c>
      <c r="C36" s="94">
        <v>1</v>
      </c>
      <c r="D36" s="94">
        <v>20190830</v>
      </c>
      <c r="E36" s="94" t="s">
        <v>210</v>
      </c>
      <c r="F36" s="94" t="s">
        <v>128</v>
      </c>
      <c r="G36" s="94" t="s">
        <v>151</v>
      </c>
      <c r="H36" s="94">
        <v>40</v>
      </c>
      <c r="I36" s="94">
        <v>243</v>
      </c>
      <c r="J36" s="94">
        <v>20</v>
      </c>
      <c r="K36" s="94">
        <v>232</v>
      </c>
      <c r="L36" s="94">
        <v>6</v>
      </c>
      <c r="M36" s="94">
        <v>32</v>
      </c>
      <c r="N36" s="94">
        <v>4</v>
      </c>
      <c r="O36" s="94">
        <v>52</v>
      </c>
      <c r="P36" s="94" t="s">
        <v>7</v>
      </c>
      <c r="Q36" s="94" t="s">
        <v>148</v>
      </c>
      <c r="R36" s="94">
        <v>31</v>
      </c>
      <c r="S36" s="94">
        <v>131</v>
      </c>
      <c r="T36" s="94">
        <v>47</v>
      </c>
      <c r="U36" s="94">
        <v>374</v>
      </c>
      <c r="V36" s="94">
        <v>19</v>
      </c>
      <c r="W36" s="94">
        <v>61</v>
      </c>
      <c r="X36" s="94">
        <v>0</v>
      </c>
      <c r="Y36" s="94">
        <v>31</v>
      </c>
      <c r="Z36" s="94">
        <v>13.5</v>
      </c>
    </row>
    <row r="37" spans="1:26">
      <c r="A37" s="94" t="str">
        <f t="shared" si="0"/>
        <v>20190831BALL</v>
      </c>
      <c r="B37" s="94">
        <v>2019</v>
      </c>
      <c r="C37" s="94">
        <v>1</v>
      </c>
      <c r="D37" s="94">
        <v>20190831</v>
      </c>
      <c r="E37" s="94" t="s">
        <v>210</v>
      </c>
      <c r="F37" s="94" t="s">
        <v>12</v>
      </c>
      <c r="G37" s="94" t="s">
        <v>149</v>
      </c>
      <c r="H37" s="94">
        <v>40</v>
      </c>
      <c r="I37" s="94">
        <v>100</v>
      </c>
      <c r="J37" s="94">
        <v>41</v>
      </c>
      <c r="K37" s="94">
        <v>298</v>
      </c>
      <c r="L37" s="94">
        <v>0</v>
      </c>
      <c r="M37" s="94">
        <v>35</v>
      </c>
      <c r="N37" s="94">
        <v>2</v>
      </c>
      <c r="O37" s="94">
        <v>24</v>
      </c>
      <c r="P37" s="94" t="s">
        <v>53</v>
      </c>
      <c r="Q37" s="94" t="s">
        <v>152</v>
      </c>
      <c r="R37" s="94">
        <v>33</v>
      </c>
      <c r="S37" s="94">
        <v>148</v>
      </c>
      <c r="T37" s="94">
        <v>41</v>
      </c>
      <c r="U37" s="94">
        <v>326</v>
      </c>
      <c r="V37" s="94">
        <v>11</v>
      </c>
      <c r="W37" s="94">
        <v>125</v>
      </c>
      <c r="X37" s="94">
        <v>1</v>
      </c>
      <c r="Y37" s="94">
        <v>34</v>
      </c>
      <c r="Z37" s="94">
        <v>16.5</v>
      </c>
    </row>
    <row r="38" spans="1:26">
      <c r="A38" s="94" t="str">
        <f t="shared" si="0"/>
        <v>20190831BOIS</v>
      </c>
      <c r="B38" s="94">
        <v>2019</v>
      </c>
      <c r="C38" s="94">
        <v>1</v>
      </c>
      <c r="D38" s="94">
        <v>20190831</v>
      </c>
      <c r="E38" s="94" t="s">
        <v>210</v>
      </c>
      <c r="F38" s="94" t="s">
        <v>105</v>
      </c>
      <c r="G38" s="94" t="s">
        <v>148</v>
      </c>
      <c r="H38" s="94">
        <v>27</v>
      </c>
      <c r="I38" s="94">
        <v>123</v>
      </c>
      <c r="J38" s="94">
        <v>34</v>
      </c>
      <c r="K38" s="94">
        <v>327</v>
      </c>
      <c r="L38" s="94">
        <v>0</v>
      </c>
      <c r="M38" s="94">
        <v>20</v>
      </c>
      <c r="N38" s="94">
        <v>3</v>
      </c>
      <c r="O38" s="94">
        <v>36</v>
      </c>
      <c r="P38" s="94" t="s">
        <v>116</v>
      </c>
      <c r="Q38" s="94" t="s">
        <v>146</v>
      </c>
      <c r="R38" s="94">
        <v>54</v>
      </c>
      <c r="S38" s="94">
        <v>220</v>
      </c>
      <c r="T38" s="94">
        <v>51</v>
      </c>
      <c r="U38" s="94">
        <v>407</v>
      </c>
      <c r="V38" s="94">
        <v>22</v>
      </c>
      <c r="W38" s="94">
        <v>17</v>
      </c>
      <c r="X38" s="94">
        <v>2</v>
      </c>
      <c r="Y38" s="94">
        <v>31</v>
      </c>
      <c r="Z38" s="94">
        <v>4.5</v>
      </c>
    </row>
    <row r="39" spans="1:26">
      <c r="A39" s="94" t="str">
        <f t="shared" si="0"/>
        <v>20190831DUKE</v>
      </c>
      <c r="B39" s="94">
        <v>2019</v>
      </c>
      <c r="C39" s="94">
        <v>1</v>
      </c>
      <c r="D39" s="94">
        <v>20190831</v>
      </c>
      <c r="E39" s="94" t="s">
        <v>210</v>
      </c>
      <c r="F39" s="94" t="s">
        <v>27</v>
      </c>
      <c r="G39" s="94" t="s">
        <v>146</v>
      </c>
      <c r="H39" s="94">
        <v>42</v>
      </c>
      <c r="I39" s="94">
        <v>145</v>
      </c>
      <c r="J39" s="94">
        <v>36</v>
      </c>
      <c r="K39" s="94">
        <v>367</v>
      </c>
      <c r="L39" s="94">
        <v>3</v>
      </c>
      <c r="M39" s="94">
        <v>0</v>
      </c>
      <c r="N39" s="94">
        <v>3</v>
      </c>
      <c r="O39" s="94">
        <v>3</v>
      </c>
      <c r="P39" s="94" t="s">
        <v>119</v>
      </c>
      <c r="Q39" s="94" t="s">
        <v>147</v>
      </c>
      <c r="R39" s="94">
        <v>32</v>
      </c>
      <c r="S39" s="94">
        <v>107</v>
      </c>
      <c r="T39" s="94">
        <v>22</v>
      </c>
      <c r="U39" s="94">
        <v>97</v>
      </c>
      <c r="V39" s="94">
        <v>0</v>
      </c>
      <c r="W39" s="94">
        <v>22</v>
      </c>
      <c r="X39" s="94">
        <v>1</v>
      </c>
      <c r="Y39" s="94">
        <v>42</v>
      </c>
      <c r="Z39" s="94">
        <v>34.5</v>
      </c>
    </row>
    <row r="40" spans="1:26">
      <c r="A40" s="94" t="str">
        <f t="shared" si="0"/>
        <v>20190831LLAF</v>
      </c>
      <c r="B40" s="94">
        <v>2019</v>
      </c>
      <c r="C40" s="94">
        <v>1</v>
      </c>
      <c r="D40" s="94">
        <v>20190831</v>
      </c>
      <c r="E40" s="94" t="s">
        <v>210</v>
      </c>
      <c r="F40" s="94" t="s">
        <v>69</v>
      </c>
      <c r="G40" s="94" t="s">
        <v>145</v>
      </c>
      <c r="H40" s="94">
        <v>37</v>
      </c>
      <c r="I40" s="94">
        <v>164</v>
      </c>
      <c r="J40" s="94">
        <v>39</v>
      </c>
      <c r="K40" s="94">
        <v>267</v>
      </c>
      <c r="L40" s="94">
        <v>0</v>
      </c>
      <c r="M40" s="94">
        <v>125</v>
      </c>
      <c r="N40" s="94">
        <v>2</v>
      </c>
      <c r="O40" s="94">
        <v>28</v>
      </c>
      <c r="P40" s="94" t="s">
        <v>74</v>
      </c>
      <c r="Q40" s="94" t="s">
        <v>147</v>
      </c>
      <c r="R40" s="94">
        <v>40</v>
      </c>
      <c r="S40" s="94">
        <v>261</v>
      </c>
      <c r="T40" s="94">
        <v>30</v>
      </c>
      <c r="U40" s="94">
        <v>236</v>
      </c>
      <c r="V40" s="94">
        <v>40</v>
      </c>
      <c r="W40" s="94">
        <v>54</v>
      </c>
      <c r="X40" s="94">
        <v>5</v>
      </c>
      <c r="Y40" s="94">
        <v>38</v>
      </c>
      <c r="Z40" s="94">
        <v>19</v>
      </c>
    </row>
    <row r="41" spans="1:26">
      <c r="A41" s="94" t="str">
        <f t="shared" si="0"/>
        <v>20190831NCAR</v>
      </c>
      <c r="B41" s="94">
        <v>2019</v>
      </c>
      <c r="C41" s="94">
        <v>1</v>
      </c>
      <c r="D41" s="94">
        <v>20190831</v>
      </c>
      <c r="E41" s="94" t="s">
        <v>210</v>
      </c>
      <c r="F41" s="94" t="s">
        <v>49</v>
      </c>
      <c r="G41" s="94" t="s">
        <v>146</v>
      </c>
      <c r="H41" s="94">
        <v>49</v>
      </c>
      <c r="I41" s="94">
        <v>246</v>
      </c>
      <c r="J41" s="94">
        <v>24</v>
      </c>
      <c r="K41" s="94">
        <v>245</v>
      </c>
      <c r="L41" s="94">
        <v>15</v>
      </c>
      <c r="M41" s="94">
        <v>13</v>
      </c>
      <c r="N41" s="94">
        <v>2</v>
      </c>
      <c r="O41" s="94">
        <v>24</v>
      </c>
      <c r="P41" s="94" t="s">
        <v>96</v>
      </c>
      <c r="Q41" s="94" t="s">
        <v>147</v>
      </c>
      <c r="R41" s="94">
        <v>30</v>
      </c>
      <c r="S41" s="94">
        <v>129</v>
      </c>
      <c r="T41" s="94">
        <v>30</v>
      </c>
      <c r="U41" s="94">
        <v>142</v>
      </c>
      <c r="V41" s="94">
        <v>66</v>
      </c>
      <c r="W41" s="94">
        <v>100</v>
      </c>
      <c r="X41" s="94">
        <v>1</v>
      </c>
      <c r="Y41" s="94">
        <v>20</v>
      </c>
      <c r="Z41" s="94">
        <v>8.5</v>
      </c>
    </row>
    <row r="42" spans="1:26">
      <c r="A42" s="94" t="str">
        <f t="shared" si="0"/>
        <v>20190831ORE</v>
      </c>
      <c r="B42" s="94">
        <v>2019</v>
      </c>
      <c r="C42" s="94">
        <v>1</v>
      </c>
      <c r="D42" s="94">
        <v>20190831</v>
      </c>
      <c r="E42" s="94" t="s">
        <v>210</v>
      </c>
      <c r="F42" s="94" t="s">
        <v>86</v>
      </c>
      <c r="G42" s="94" t="s">
        <v>151</v>
      </c>
      <c r="H42" s="94">
        <v>42</v>
      </c>
      <c r="I42" s="94">
        <v>209</v>
      </c>
      <c r="J42" s="94">
        <v>31</v>
      </c>
      <c r="K42" s="94">
        <v>177</v>
      </c>
      <c r="L42" s="94">
        <v>131</v>
      </c>
      <c r="M42" s="94">
        <v>57</v>
      </c>
      <c r="N42" s="94">
        <v>1</v>
      </c>
      <c r="O42" s="94">
        <v>21</v>
      </c>
      <c r="P42" s="94" t="s">
        <v>120</v>
      </c>
      <c r="Q42" s="94" t="s">
        <v>147</v>
      </c>
      <c r="R42" s="94">
        <v>32</v>
      </c>
      <c r="S42" s="94">
        <v>95</v>
      </c>
      <c r="T42" s="94">
        <v>37</v>
      </c>
      <c r="U42" s="94">
        <v>242</v>
      </c>
      <c r="V42" s="94">
        <v>64</v>
      </c>
      <c r="W42" s="94">
        <v>20</v>
      </c>
      <c r="X42" s="94">
        <v>2</v>
      </c>
      <c r="Y42" s="94">
        <v>27</v>
      </c>
      <c r="Z42" s="94">
        <v>3.5</v>
      </c>
    </row>
    <row r="43" spans="1:26">
      <c r="A43" s="94" t="str">
        <f t="shared" si="0"/>
        <v>20190901OKLA</v>
      </c>
      <c r="B43" s="94">
        <v>2019</v>
      </c>
      <c r="C43" s="94">
        <v>1</v>
      </c>
      <c r="D43" s="94">
        <v>20190901</v>
      </c>
      <c r="E43" s="94" t="s">
        <v>144</v>
      </c>
      <c r="F43" s="94" t="s">
        <v>84</v>
      </c>
      <c r="G43" s="94" t="s">
        <v>209</v>
      </c>
      <c r="H43" s="94">
        <v>37</v>
      </c>
      <c r="I43" s="94">
        <v>354</v>
      </c>
      <c r="J43" s="94">
        <v>24</v>
      </c>
      <c r="K43" s="94">
        <v>332</v>
      </c>
      <c r="L43" s="94">
        <v>26</v>
      </c>
      <c r="M43" s="94">
        <v>37</v>
      </c>
      <c r="N43" s="94">
        <v>0</v>
      </c>
      <c r="O43" s="94">
        <v>49</v>
      </c>
      <c r="P43" s="94" t="s">
        <v>91</v>
      </c>
      <c r="Q43" s="94" t="s">
        <v>150</v>
      </c>
      <c r="R43" s="94">
        <v>42</v>
      </c>
      <c r="S43" s="94">
        <v>241</v>
      </c>
      <c r="T43" s="94">
        <v>27</v>
      </c>
      <c r="U43" s="94">
        <v>167</v>
      </c>
      <c r="V43" s="94">
        <v>0</v>
      </c>
      <c r="W43" s="94">
        <v>61</v>
      </c>
      <c r="X43" s="94">
        <v>2</v>
      </c>
      <c r="Y43" s="94">
        <v>31</v>
      </c>
      <c r="Z43" s="94">
        <v>22</v>
      </c>
    </row>
    <row r="44" spans="1:26">
      <c r="A44" s="94" t="str">
        <f t="shared" si="0"/>
        <v>20190830MAS</v>
      </c>
      <c r="B44" s="94">
        <v>2019</v>
      </c>
      <c r="C44" s="94">
        <v>1</v>
      </c>
      <c r="D44" s="94">
        <v>20190830</v>
      </c>
      <c r="E44" s="94" t="s">
        <v>211</v>
      </c>
      <c r="F44" s="94" t="s">
        <v>207</v>
      </c>
      <c r="G44" s="94" t="s">
        <v>53</v>
      </c>
      <c r="H44" s="94">
        <v>33</v>
      </c>
      <c r="I44" s="94">
        <v>186</v>
      </c>
      <c r="J44" s="94">
        <v>37</v>
      </c>
      <c r="K44" s="94">
        <v>121</v>
      </c>
      <c r="L44" s="94">
        <v>0</v>
      </c>
      <c r="M44" s="94">
        <v>140</v>
      </c>
      <c r="N44" s="94">
        <v>3</v>
      </c>
      <c r="O44" s="94">
        <v>21</v>
      </c>
      <c r="P44" s="94" t="s">
        <v>92</v>
      </c>
      <c r="Q44" s="94" t="s">
        <v>152</v>
      </c>
      <c r="R44" s="94">
        <v>42</v>
      </c>
      <c r="S44" s="94">
        <v>200</v>
      </c>
      <c r="T44" s="94">
        <v>32</v>
      </c>
      <c r="U44" s="94">
        <v>348</v>
      </c>
      <c r="V44" s="94">
        <v>0</v>
      </c>
      <c r="W44" s="94">
        <v>51</v>
      </c>
      <c r="X44" s="94">
        <v>2</v>
      </c>
      <c r="Y44" s="94">
        <v>48</v>
      </c>
      <c r="Z44" s="94">
        <v>17</v>
      </c>
    </row>
    <row r="45" spans="1:26">
      <c r="A45" s="94" t="str">
        <f t="shared" si="0"/>
        <v>20190906BOIS</v>
      </c>
      <c r="B45" s="94">
        <v>2019</v>
      </c>
      <c r="C45" s="94">
        <v>2</v>
      </c>
      <c r="D45" s="94">
        <v>20190906</v>
      </c>
      <c r="E45" s="94" t="s">
        <v>144</v>
      </c>
      <c r="F45" s="94" t="s">
        <v>105</v>
      </c>
      <c r="G45" s="94" t="s">
        <v>148</v>
      </c>
      <c r="H45" s="94">
        <v>47</v>
      </c>
      <c r="I45" s="94">
        <v>155</v>
      </c>
      <c r="J45" s="94">
        <v>34</v>
      </c>
      <c r="K45" s="94">
        <v>282</v>
      </c>
      <c r="L45" s="94">
        <v>0</v>
      </c>
      <c r="M45" s="94">
        <v>66</v>
      </c>
      <c r="N45" s="94">
        <v>2</v>
      </c>
      <c r="O45" s="94">
        <v>14</v>
      </c>
      <c r="P45" s="94" t="s">
        <v>72</v>
      </c>
      <c r="Q45" s="94" t="s">
        <v>153</v>
      </c>
      <c r="R45" s="94">
        <v>25</v>
      </c>
      <c r="S45" s="94">
        <v>116</v>
      </c>
      <c r="T45" s="94">
        <v>18</v>
      </c>
      <c r="U45" s="94">
        <v>56</v>
      </c>
      <c r="V45" s="94">
        <v>0</v>
      </c>
      <c r="W45" s="94">
        <v>29</v>
      </c>
      <c r="X45" s="94">
        <v>2</v>
      </c>
      <c r="Y45" s="94">
        <v>7</v>
      </c>
      <c r="Z45" s="94">
        <v>11.5</v>
      </c>
    </row>
    <row r="46" spans="1:26">
      <c r="A46" s="94" t="str">
        <f t="shared" si="0"/>
        <v>20190906RICE</v>
      </c>
      <c r="B46" s="94">
        <v>2019</v>
      </c>
      <c r="C46" s="94">
        <v>2</v>
      </c>
      <c r="D46" s="94">
        <v>20190906</v>
      </c>
      <c r="E46" s="94" t="s">
        <v>144</v>
      </c>
      <c r="F46" s="94" t="s">
        <v>11</v>
      </c>
      <c r="G46" s="94" t="s">
        <v>153</v>
      </c>
      <c r="H46" s="94">
        <v>37</v>
      </c>
      <c r="I46" s="94">
        <v>67</v>
      </c>
      <c r="J46" s="94">
        <v>35</v>
      </c>
      <c r="K46" s="94">
        <v>254</v>
      </c>
      <c r="L46" s="94">
        <v>34</v>
      </c>
      <c r="M46" s="94">
        <v>44</v>
      </c>
      <c r="N46" s="94">
        <v>0</v>
      </c>
      <c r="O46" s="94">
        <v>21</v>
      </c>
      <c r="P46" s="94" t="s">
        <v>21</v>
      </c>
      <c r="Q46" s="94" t="s">
        <v>146</v>
      </c>
      <c r="R46" s="94">
        <v>35</v>
      </c>
      <c r="S46" s="94">
        <v>201</v>
      </c>
      <c r="T46" s="94">
        <v>27</v>
      </c>
      <c r="U46" s="94">
        <v>312</v>
      </c>
      <c r="V46" s="94">
        <v>13</v>
      </c>
      <c r="W46" s="94">
        <v>0</v>
      </c>
      <c r="X46" s="94">
        <v>1</v>
      </c>
      <c r="Y46" s="94">
        <v>41</v>
      </c>
      <c r="Z46" s="94">
        <v>19.5</v>
      </c>
    </row>
    <row r="47" spans="1:26">
      <c r="A47" s="94" t="str">
        <f t="shared" si="0"/>
        <v>20190907AKRON</v>
      </c>
      <c r="B47" s="94">
        <v>2019</v>
      </c>
      <c r="C47" s="94">
        <v>2</v>
      </c>
      <c r="D47" s="94">
        <v>20190907</v>
      </c>
      <c r="E47" s="94" t="s">
        <v>144</v>
      </c>
      <c r="F47" s="94" t="s">
        <v>118</v>
      </c>
      <c r="G47" s="94" t="s">
        <v>149</v>
      </c>
      <c r="H47" s="94">
        <v>29</v>
      </c>
      <c r="I47" s="94">
        <v>34</v>
      </c>
      <c r="J47" s="94">
        <v>44</v>
      </c>
      <c r="K47" s="94">
        <v>359</v>
      </c>
      <c r="L47" s="94">
        <v>2</v>
      </c>
      <c r="M47" s="94">
        <v>14</v>
      </c>
      <c r="N47" s="94">
        <v>1</v>
      </c>
      <c r="O47" s="94">
        <v>20</v>
      </c>
      <c r="P47" s="94" t="s">
        <v>23</v>
      </c>
      <c r="Q47" s="94" t="s">
        <v>153</v>
      </c>
      <c r="R47" s="94">
        <v>34</v>
      </c>
      <c r="S47" s="94">
        <v>83</v>
      </c>
      <c r="T47" s="94">
        <v>24</v>
      </c>
      <c r="U47" s="94">
        <v>319</v>
      </c>
      <c r="V47" s="94">
        <v>1</v>
      </c>
      <c r="W47" s="94">
        <v>17</v>
      </c>
      <c r="X47" s="94">
        <v>2</v>
      </c>
      <c r="Y47" s="94">
        <v>31</v>
      </c>
      <c r="Z47" s="94">
        <v>9.5</v>
      </c>
    </row>
    <row r="48" spans="1:26">
      <c r="A48" s="94" t="str">
        <f t="shared" si="0"/>
        <v>20190907ALA</v>
      </c>
      <c r="B48" s="94">
        <v>2019</v>
      </c>
      <c r="C48" s="94">
        <v>2</v>
      </c>
      <c r="D48" s="94">
        <v>20190907</v>
      </c>
      <c r="E48" s="94" t="s">
        <v>144</v>
      </c>
      <c r="F48" s="94" t="s">
        <v>119</v>
      </c>
      <c r="G48" s="94" t="s">
        <v>147</v>
      </c>
      <c r="H48" s="94">
        <v>32</v>
      </c>
      <c r="I48" s="94">
        <v>318</v>
      </c>
      <c r="J48" s="94">
        <v>33</v>
      </c>
      <c r="K48" s="94">
        <v>285</v>
      </c>
      <c r="L48" s="94">
        <v>28</v>
      </c>
      <c r="M48" s="94">
        <v>19</v>
      </c>
      <c r="N48" s="94">
        <v>3</v>
      </c>
      <c r="O48" s="94">
        <v>62</v>
      </c>
      <c r="P48" s="94" t="s">
        <v>9</v>
      </c>
      <c r="Q48" s="94" t="s">
        <v>53</v>
      </c>
      <c r="R48" s="94">
        <v>33</v>
      </c>
      <c r="S48" s="94">
        <v>101</v>
      </c>
      <c r="T48" s="94">
        <v>36</v>
      </c>
      <c r="U48" s="94">
        <v>161</v>
      </c>
      <c r="V48" s="94">
        <v>1</v>
      </c>
      <c r="W48" s="94">
        <v>0</v>
      </c>
      <c r="X48" s="94">
        <v>0</v>
      </c>
      <c r="Y48" s="94">
        <v>10</v>
      </c>
      <c r="Z48" s="94">
        <v>54</v>
      </c>
    </row>
    <row r="49" spans="1:26">
      <c r="A49" s="94" t="str">
        <f t="shared" si="0"/>
        <v>20190907APP</v>
      </c>
      <c r="B49" s="94">
        <v>2019</v>
      </c>
      <c r="C49" s="94">
        <v>2</v>
      </c>
      <c r="D49" s="94">
        <v>20190907</v>
      </c>
      <c r="E49" s="94" t="s">
        <v>144</v>
      </c>
      <c r="F49" s="94" t="s">
        <v>90</v>
      </c>
      <c r="G49" s="94" t="s">
        <v>145</v>
      </c>
      <c r="H49" s="94">
        <v>39</v>
      </c>
      <c r="I49" s="94">
        <v>276</v>
      </c>
      <c r="J49" s="94">
        <v>20</v>
      </c>
      <c r="K49" s="94">
        <v>182</v>
      </c>
      <c r="L49" s="94">
        <v>40</v>
      </c>
      <c r="M49" s="94">
        <v>109</v>
      </c>
      <c r="N49" s="94">
        <v>2</v>
      </c>
      <c r="O49" s="94">
        <v>56</v>
      </c>
      <c r="P49" s="94" t="s">
        <v>50</v>
      </c>
      <c r="Q49" s="94" t="s">
        <v>153</v>
      </c>
      <c r="R49" s="94">
        <v>41</v>
      </c>
      <c r="S49" s="94">
        <v>237</v>
      </c>
      <c r="T49" s="94">
        <v>31</v>
      </c>
      <c r="U49" s="94">
        <v>296</v>
      </c>
      <c r="V49" s="94">
        <v>0</v>
      </c>
      <c r="W49" s="94">
        <v>89</v>
      </c>
      <c r="X49" s="94">
        <v>0</v>
      </c>
      <c r="Y49" s="94">
        <v>41</v>
      </c>
      <c r="Z49" s="94">
        <v>22.5</v>
      </c>
    </row>
    <row r="50" spans="1:26">
      <c r="A50" s="94" t="str">
        <f t="shared" si="0"/>
        <v>20190907AUB</v>
      </c>
      <c r="B50" s="94">
        <v>2019</v>
      </c>
      <c r="C50" s="94">
        <v>2</v>
      </c>
      <c r="D50" s="94">
        <v>20190907</v>
      </c>
      <c r="E50" s="94" t="s">
        <v>144</v>
      </c>
      <c r="F50" s="94" t="s">
        <v>120</v>
      </c>
      <c r="G50" s="94" t="s">
        <v>147</v>
      </c>
      <c r="H50" s="94">
        <v>45</v>
      </c>
      <c r="I50" s="94">
        <v>172</v>
      </c>
      <c r="J50" s="94">
        <v>37</v>
      </c>
      <c r="K50" s="94">
        <v>207</v>
      </c>
      <c r="L50" s="94">
        <v>50</v>
      </c>
      <c r="M50" s="94">
        <v>16</v>
      </c>
      <c r="N50" s="94">
        <v>1</v>
      </c>
      <c r="O50" s="94">
        <v>24</v>
      </c>
      <c r="P50" s="94" t="s">
        <v>20</v>
      </c>
      <c r="Q50" s="94" t="s">
        <v>150</v>
      </c>
      <c r="R50" s="94">
        <v>30</v>
      </c>
      <c r="S50" s="94">
        <v>120</v>
      </c>
      <c r="T50" s="94">
        <v>34</v>
      </c>
      <c r="U50" s="94">
        <v>103</v>
      </c>
      <c r="V50" s="94">
        <v>48</v>
      </c>
      <c r="W50" s="94">
        <v>0</v>
      </c>
      <c r="X50" s="94">
        <v>2</v>
      </c>
      <c r="Y50" s="94">
        <v>6</v>
      </c>
      <c r="Z50" s="94">
        <v>17</v>
      </c>
    </row>
    <row r="51" spans="1:26">
      <c r="A51" s="94" t="str">
        <f t="shared" si="0"/>
        <v>20190907CLEM</v>
      </c>
      <c r="B51" s="94">
        <v>2019</v>
      </c>
      <c r="C51" s="94">
        <v>2</v>
      </c>
      <c r="D51" s="94">
        <v>20190907</v>
      </c>
      <c r="E51" s="94" t="s">
        <v>144</v>
      </c>
      <c r="F51" s="94" t="s">
        <v>51</v>
      </c>
      <c r="G51" s="94" t="s">
        <v>146</v>
      </c>
      <c r="H51" s="94">
        <v>33</v>
      </c>
      <c r="I51" s="94">
        <v>121</v>
      </c>
      <c r="J51" s="94">
        <v>35</v>
      </c>
      <c r="K51" s="94">
        <v>268</v>
      </c>
      <c r="L51" s="94">
        <v>8</v>
      </c>
      <c r="M51" s="94">
        <v>18</v>
      </c>
      <c r="N51" s="94">
        <v>2</v>
      </c>
      <c r="O51" s="94">
        <v>24</v>
      </c>
      <c r="P51" s="94" t="s">
        <v>22</v>
      </c>
      <c r="Q51" s="94" t="s">
        <v>147</v>
      </c>
      <c r="R51" s="94">
        <v>27</v>
      </c>
      <c r="S51" s="94">
        <v>53</v>
      </c>
      <c r="T51" s="94">
        <v>42</v>
      </c>
      <c r="U51" s="94">
        <v>236</v>
      </c>
      <c r="V51" s="94">
        <v>0</v>
      </c>
      <c r="W51" s="94">
        <v>0</v>
      </c>
      <c r="X51" s="94">
        <v>1</v>
      </c>
      <c r="Y51" s="94">
        <v>10</v>
      </c>
      <c r="Z51" s="94">
        <v>16.5</v>
      </c>
    </row>
    <row r="52" spans="1:26">
      <c r="A52" s="94" t="str">
        <f t="shared" si="0"/>
        <v>20190907COLO</v>
      </c>
      <c r="B52" s="94">
        <v>2019</v>
      </c>
      <c r="C52" s="94">
        <v>2</v>
      </c>
      <c r="D52" s="94">
        <v>20190907</v>
      </c>
      <c r="E52" s="94" t="s">
        <v>144</v>
      </c>
      <c r="F52" s="94" t="s">
        <v>128</v>
      </c>
      <c r="G52" s="94" t="s">
        <v>151</v>
      </c>
      <c r="H52" s="94">
        <v>37</v>
      </c>
      <c r="I52" s="94">
        <v>89</v>
      </c>
      <c r="J52" s="94">
        <v>41</v>
      </c>
      <c r="K52" s="94">
        <v>375</v>
      </c>
      <c r="L52" s="94">
        <v>4</v>
      </c>
      <c r="M52" s="94">
        <v>54</v>
      </c>
      <c r="N52" s="94">
        <v>3</v>
      </c>
      <c r="O52" s="94">
        <v>34</v>
      </c>
      <c r="P52" s="94" t="s">
        <v>127</v>
      </c>
      <c r="Q52" s="94" t="s">
        <v>152</v>
      </c>
      <c r="R52" s="94">
        <v>46</v>
      </c>
      <c r="S52" s="94">
        <v>179</v>
      </c>
      <c r="T52" s="94">
        <v>26</v>
      </c>
      <c r="U52" s="94">
        <v>290</v>
      </c>
      <c r="V52" s="94">
        <v>0</v>
      </c>
      <c r="W52" s="94">
        <v>0</v>
      </c>
      <c r="X52" s="94">
        <v>2</v>
      </c>
      <c r="Y52" s="94">
        <v>31</v>
      </c>
      <c r="Z52" s="94">
        <v>4</v>
      </c>
    </row>
    <row r="53" spans="1:26">
      <c r="A53" s="94" t="str">
        <f t="shared" si="0"/>
        <v>20190907CON</v>
      </c>
      <c r="B53" s="94">
        <v>2019</v>
      </c>
      <c r="C53" s="94">
        <v>2</v>
      </c>
      <c r="D53" s="94">
        <v>20190907</v>
      </c>
      <c r="E53" s="94" t="s">
        <v>144</v>
      </c>
      <c r="F53" s="94" t="s">
        <v>13</v>
      </c>
      <c r="G53" s="94" t="s">
        <v>150</v>
      </c>
      <c r="H53" s="94">
        <v>29</v>
      </c>
      <c r="I53" s="94">
        <v>10</v>
      </c>
      <c r="J53" s="94">
        <v>31</v>
      </c>
      <c r="K53" s="94">
        <v>275</v>
      </c>
      <c r="L53" s="94">
        <v>0</v>
      </c>
      <c r="M53" s="94">
        <v>28</v>
      </c>
      <c r="N53" s="94">
        <v>3</v>
      </c>
      <c r="O53" s="94">
        <v>23</v>
      </c>
      <c r="P53" s="94" t="s">
        <v>60</v>
      </c>
      <c r="Q53" s="94" t="s">
        <v>152</v>
      </c>
      <c r="R53" s="94">
        <v>33</v>
      </c>
      <c r="S53" s="94">
        <v>133</v>
      </c>
      <c r="T53" s="94">
        <v>35</v>
      </c>
      <c r="U53" s="94">
        <v>227</v>
      </c>
      <c r="V53" s="94">
        <v>7</v>
      </c>
      <c r="W53" s="94">
        <v>163</v>
      </c>
      <c r="X53" s="94">
        <v>3</v>
      </c>
      <c r="Y53" s="94">
        <v>31</v>
      </c>
      <c r="Z53" s="94">
        <v>20.5</v>
      </c>
    </row>
    <row r="54" spans="1:26">
      <c r="A54" s="94" t="str">
        <f t="shared" si="0"/>
        <v>20190907FATL</v>
      </c>
      <c r="B54" s="94">
        <v>2019</v>
      </c>
      <c r="C54" s="94">
        <v>2</v>
      </c>
      <c r="D54" s="94">
        <v>20190907</v>
      </c>
      <c r="E54" s="94" t="s">
        <v>144</v>
      </c>
      <c r="F54" s="94" t="s">
        <v>85</v>
      </c>
      <c r="G54" s="94" t="s">
        <v>153</v>
      </c>
      <c r="H54" s="94">
        <v>47</v>
      </c>
      <c r="I54" s="94">
        <v>137</v>
      </c>
      <c r="J54" s="94">
        <v>40</v>
      </c>
      <c r="K54" s="94">
        <v>177</v>
      </c>
      <c r="L54" s="94">
        <v>0</v>
      </c>
      <c r="M54" s="94">
        <v>25</v>
      </c>
      <c r="N54" s="94">
        <v>0</v>
      </c>
      <c r="O54" s="94">
        <v>14</v>
      </c>
      <c r="P54" s="94" t="s">
        <v>14</v>
      </c>
      <c r="Q54" s="94" t="s">
        <v>150</v>
      </c>
      <c r="R54" s="94">
        <v>47</v>
      </c>
      <c r="S54" s="94">
        <v>312</v>
      </c>
      <c r="T54" s="94">
        <v>20</v>
      </c>
      <c r="U54" s="94">
        <v>262</v>
      </c>
      <c r="V54" s="94">
        <v>3</v>
      </c>
      <c r="W54" s="94">
        <v>21</v>
      </c>
      <c r="X54" s="94">
        <v>1</v>
      </c>
      <c r="Y54" s="94">
        <v>48</v>
      </c>
      <c r="Z54" s="94">
        <v>12.5</v>
      </c>
    </row>
    <row r="55" spans="1:26">
      <c r="A55" s="94" t="str">
        <f t="shared" si="0"/>
        <v>20190907FINT</v>
      </c>
      <c r="B55" s="94">
        <v>2019</v>
      </c>
      <c r="C55" s="94">
        <v>2</v>
      </c>
      <c r="D55" s="94">
        <v>20190907</v>
      </c>
      <c r="E55" s="94" t="s">
        <v>144</v>
      </c>
      <c r="F55" s="94" t="s">
        <v>52</v>
      </c>
      <c r="G55" s="94" t="s">
        <v>153</v>
      </c>
      <c r="H55" s="94">
        <v>0</v>
      </c>
      <c r="I55" s="94">
        <v>0</v>
      </c>
      <c r="J55" s="94">
        <v>0</v>
      </c>
      <c r="K55" s="94">
        <v>0</v>
      </c>
      <c r="L55" s="94">
        <v>0</v>
      </c>
      <c r="M55" s="94">
        <v>0</v>
      </c>
      <c r="N55" s="94">
        <v>0</v>
      </c>
      <c r="O55" s="94">
        <v>14</v>
      </c>
      <c r="P55" s="94" t="s">
        <v>36</v>
      </c>
      <c r="Q55" s="94" t="s">
        <v>153</v>
      </c>
      <c r="R55" s="94">
        <v>0</v>
      </c>
      <c r="S55" s="94">
        <v>0</v>
      </c>
      <c r="T55" s="94">
        <v>0</v>
      </c>
      <c r="U55" s="94">
        <v>0</v>
      </c>
      <c r="V55" s="94">
        <v>0</v>
      </c>
      <c r="W55" s="94">
        <v>0</v>
      </c>
      <c r="X55" s="94">
        <v>0</v>
      </c>
      <c r="Y55" s="94">
        <v>20</v>
      </c>
      <c r="Z55" s="94">
        <v>7</v>
      </c>
    </row>
    <row r="56" spans="1:26">
      <c r="A56" s="94" t="str">
        <f t="shared" si="0"/>
        <v>20190907FLST</v>
      </c>
      <c r="B56" s="94">
        <v>2019</v>
      </c>
      <c r="C56" s="94">
        <v>2</v>
      </c>
      <c r="D56" s="94">
        <v>20190907</v>
      </c>
      <c r="E56" s="94" t="s">
        <v>144</v>
      </c>
      <c r="F56" s="94" t="s">
        <v>116</v>
      </c>
      <c r="G56" s="94" t="s">
        <v>146</v>
      </c>
      <c r="H56" s="94">
        <v>50</v>
      </c>
      <c r="I56" s="94">
        <v>219</v>
      </c>
      <c r="J56" s="94">
        <v>40</v>
      </c>
      <c r="K56" s="94">
        <v>282</v>
      </c>
      <c r="L56" s="94">
        <v>32</v>
      </c>
      <c r="M56" s="94">
        <v>135</v>
      </c>
      <c r="N56" s="94">
        <v>1</v>
      </c>
      <c r="O56" s="94">
        <v>45</v>
      </c>
      <c r="P56" s="94" t="s">
        <v>25</v>
      </c>
      <c r="Q56" s="94" t="s">
        <v>145</v>
      </c>
      <c r="R56" s="94">
        <v>41</v>
      </c>
      <c r="S56" s="94">
        <v>178</v>
      </c>
      <c r="T56" s="94">
        <v>38</v>
      </c>
      <c r="U56" s="94">
        <v>241</v>
      </c>
      <c r="V56" s="94">
        <v>5</v>
      </c>
      <c r="W56" s="94">
        <v>30</v>
      </c>
      <c r="X56" s="94">
        <v>3</v>
      </c>
      <c r="Y56" s="94">
        <v>44</v>
      </c>
      <c r="Z56" s="94">
        <v>21.5</v>
      </c>
    </row>
    <row r="57" spans="1:26">
      <c r="A57" s="94" t="str">
        <f t="shared" si="0"/>
        <v>20190907FRES</v>
      </c>
      <c r="B57" s="94">
        <v>2019</v>
      </c>
      <c r="C57" s="94">
        <v>2</v>
      </c>
      <c r="D57" s="94">
        <v>20190907</v>
      </c>
      <c r="E57" s="94" t="s">
        <v>144</v>
      </c>
      <c r="F57" s="94" t="s">
        <v>55</v>
      </c>
      <c r="G57" s="94" t="s">
        <v>148</v>
      </c>
      <c r="H57" s="94">
        <v>27</v>
      </c>
      <c r="I57" s="94">
        <v>57</v>
      </c>
      <c r="J57" s="94">
        <v>35</v>
      </c>
      <c r="K57" s="94">
        <v>288</v>
      </c>
      <c r="L57" s="94">
        <v>0</v>
      </c>
      <c r="M57" s="94">
        <v>29</v>
      </c>
      <c r="N57" s="94">
        <v>3</v>
      </c>
      <c r="O57" s="94">
        <v>35</v>
      </c>
      <c r="P57" s="94" t="s">
        <v>16</v>
      </c>
      <c r="Q57" s="94" t="s">
        <v>152</v>
      </c>
      <c r="R57" s="94">
        <v>52</v>
      </c>
      <c r="S57" s="94">
        <v>146</v>
      </c>
      <c r="T57" s="94">
        <v>23</v>
      </c>
      <c r="U57" s="94">
        <v>234</v>
      </c>
      <c r="V57" s="94">
        <v>0</v>
      </c>
      <c r="W57" s="94">
        <v>75</v>
      </c>
      <c r="X57" s="94">
        <v>2</v>
      </c>
      <c r="Y57" s="94">
        <v>38</v>
      </c>
      <c r="Z57" s="94">
        <v>3</v>
      </c>
    </row>
    <row r="58" spans="1:26">
      <c r="A58" s="94" t="str">
        <f t="shared" si="0"/>
        <v>20190907GTCH</v>
      </c>
      <c r="B58" s="94">
        <v>2019</v>
      </c>
      <c r="C58" s="94">
        <v>2</v>
      </c>
      <c r="D58" s="94">
        <v>20190907</v>
      </c>
      <c r="E58" s="94" t="s">
        <v>144</v>
      </c>
      <c r="F58" s="94" t="s">
        <v>58</v>
      </c>
      <c r="G58" s="94" t="s">
        <v>146</v>
      </c>
      <c r="H58" s="94">
        <v>46</v>
      </c>
      <c r="I58" s="94">
        <v>188</v>
      </c>
      <c r="J58" s="94">
        <v>21</v>
      </c>
      <c r="K58" s="94">
        <v>76</v>
      </c>
      <c r="L58" s="94">
        <v>23</v>
      </c>
      <c r="M58" s="94">
        <v>34</v>
      </c>
      <c r="N58" s="94">
        <v>2</v>
      </c>
      <c r="O58" s="94">
        <v>14</v>
      </c>
      <c r="P58" s="94" t="s">
        <v>98</v>
      </c>
      <c r="Q58" s="94" t="s">
        <v>150</v>
      </c>
      <c r="R58" s="94">
        <v>30</v>
      </c>
      <c r="S58" s="94">
        <v>93</v>
      </c>
      <c r="T58" s="94">
        <v>25</v>
      </c>
      <c r="U58" s="94">
        <v>169</v>
      </c>
      <c r="V58" s="94">
        <v>8</v>
      </c>
      <c r="W58" s="94">
        <v>43</v>
      </c>
      <c r="X58" s="94">
        <v>2</v>
      </c>
      <c r="Y58" s="94">
        <v>10</v>
      </c>
      <c r="Z58" s="94">
        <v>4.5</v>
      </c>
    </row>
    <row r="59" spans="1:26">
      <c r="A59" s="94" t="str">
        <f t="shared" si="0"/>
        <v>20190907HAW</v>
      </c>
      <c r="B59" s="94">
        <v>2019</v>
      </c>
      <c r="C59" s="94">
        <v>2</v>
      </c>
      <c r="D59" s="94">
        <v>20190907</v>
      </c>
      <c r="E59" s="94" t="s">
        <v>144</v>
      </c>
      <c r="F59" s="94" t="s">
        <v>8</v>
      </c>
      <c r="G59" s="94" t="s">
        <v>148</v>
      </c>
      <c r="H59" s="94">
        <v>25</v>
      </c>
      <c r="I59" s="94">
        <v>67</v>
      </c>
      <c r="J59" s="94">
        <v>52</v>
      </c>
      <c r="K59" s="94">
        <v>421</v>
      </c>
      <c r="L59" s="94">
        <v>10</v>
      </c>
      <c r="M59" s="94">
        <v>115</v>
      </c>
      <c r="N59" s="94">
        <v>0</v>
      </c>
      <c r="O59" s="94">
        <v>31</v>
      </c>
      <c r="P59" s="94" t="s">
        <v>82</v>
      </c>
      <c r="Q59" s="94" t="s">
        <v>151</v>
      </c>
      <c r="R59" s="94">
        <v>43</v>
      </c>
      <c r="S59" s="94">
        <v>263</v>
      </c>
      <c r="T59" s="94">
        <v>33</v>
      </c>
      <c r="U59" s="94">
        <v>169</v>
      </c>
      <c r="V59" s="94">
        <v>12</v>
      </c>
      <c r="W59" s="94">
        <v>61</v>
      </c>
      <c r="X59" s="94">
        <v>2</v>
      </c>
      <c r="Y59" s="94">
        <v>28</v>
      </c>
      <c r="Z59" s="94">
        <v>4.5</v>
      </c>
    </row>
    <row r="60" spans="1:26">
      <c r="A60" s="94" t="str">
        <f t="shared" si="0"/>
        <v>20190907IOWA</v>
      </c>
      <c r="B60" s="94">
        <v>2019</v>
      </c>
      <c r="C60" s="94">
        <v>2</v>
      </c>
      <c r="D60" s="94">
        <v>20190907</v>
      </c>
      <c r="E60" s="94" t="s">
        <v>144</v>
      </c>
      <c r="F60" s="94" t="s">
        <v>62</v>
      </c>
      <c r="G60" s="94" t="s">
        <v>152</v>
      </c>
      <c r="H60" s="94">
        <v>39</v>
      </c>
      <c r="I60" s="94">
        <v>194</v>
      </c>
      <c r="J60" s="94">
        <v>34</v>
      </c>
      <c r="K60" s="94">
        <v>244</v>
      </c>
      <c r="L60" s="94">
        <v>11</v>
      </c>
      <c r="M60" s="94">
        <v>0</v>
      </c>
      <c r="N60" s="94">
        <v>3</v>
      </c>
      <c r="O60" s="94">
        <v>30</v>
      </c>
      <c r="P60" s="94" t="s">
        <v>92</v>
      </c>
      <c r="Q60" s="94" t="s">
        <v>152</v>
      </c>
      <c r="R60" s="94">
        <v>23</v>
      </c>
      <c r="S60" s="94">
        <v>84</v>
      </c>
      <c r="T60" s="94">
        <v>26</v>
      </c>
      <c r="U60" s="94">
        <v>41</v>
      </c>
      <c r="V60" s="94">
        <v>10</v>
      </c>
      <c r="W60" s="94">
        <v>14</v>
      </c>
      <c r="X60" s="94">
        <v>0</v>
      </c>
      <c r="Y60" s="94">
        <v>0</v>
      </c>
      <c r="Z60" s="94">
        <v>20.5</v>
      </c>
    </row>
    <row r="61" spans="1:26">
      <c r="A61" s="94" t="str">
        <f t="shared" si="0"/>
        <v>20190907KAN</v>
      </c>
      <c r="B61" s="94">
        <v>2019</v>
      </c>
      <c r="C61" s="94">
        <v>2</v>
      </c>
      <c r="D61" s="94">
        <v>20190907</v>
      </c>
      <c r="E61" s="94" t="s">
        <v>144</v>
      </c>
      <c r="F61" s="94" t="s">
        <v>64</v>
      </c>
      <c r="G61" s="94" t="s">
        <v>209</v>
      </c>
      <c r="H61" s="94">
        <v>37</v>
      </c>
      <c r="I61" s="94">
        <v>173</v>
      </c>
      <c r="J61" s="94">
        <v>19</v>
      </c>
      <c r="K61" s="94">
        <v>107</v>
      </c>
      <c r="L61" s="94">
        <v>7</v>
      </c>
      <c r="M61" s="94">
        <v>37</v>
      </c>
      <c r="N61" s="94">
        <v>0</v>
      </c>
      <c r="O61" s="94">
        <v>7</v>
      </c>
      <c r="P61" s="94" t="s">
        <v>97</v>
      </c>
      <c r="Q61" s="94" t="s">
        <v>145</v>
      </c>
      <c r="R61" s="94">
        <v>48</v>
      </c>
      <c r="S61" s="94">
        <v>176</v>
      </c>
      <c r="T61" s="94">
        <v>14</v>
      </c>
      <c r="U61" s="94">
        <v>119</v>
      </c>
      <c r="V61" s="94">
        <v>12</v>
      </c>
      <c r="W61" s="94">
        <v>6</v>
      </c>
      <c r="X61" s="94">
        <v>2</v>
      </c>
      <c r="Y61" s="94">
        <v>12</v>
      </c>
      <c r="Z61" s="94">
        <v>7</v>
      </c>
    </row>
    <row r="62" spans="1:26">
      <c r="A62" s="94" t="str">
        <f t="shared" si="0"/>
        <v>20190907KAST</v>
      </c>
      <c r="B62" s="94">
        <v>2019</v>
      </c>
      <c r="C62" s="94">
        <v>2</v>
      </c>
      <c r="D62" s="94">
        <v>20190907</v>
      </c>
      <c r="E62" s="94" t="s">
        <v>144</v>
      </c>
      <c r="F62" s="94" t="s">
        <v>65</v>
      </c>
      <c r="G62" s="94" t="s">
        <v>209</v>
      </c>
      <c r="H62" s="94">
        <v>56</v>
      </c>
      <c r="I62" s="94">
        <v>337</v>
      </c>
      <c r="J62" s="94">
        <v>19</v>
      </c>
      <c r="K62" s="94">
        <v>188</v>
      </c>
      <c r="L62" s="94">
        <v>8</v>
      </c>
      <c r="M62" s="94">
        <v>44</v>
      </c>
      <c r="N62" s="94">
        <v>1</v>
      </c>
      <c r="O62" s="94">
        <v>52</v>
      </c>
      <c r="P62" s="94" t="s">
        <v>87</v>
      </c>
      <c r="Q62" s="94" t="s">
        <v>149</v>
      </c>
      <c r="R62" s="94">
        <v>20</v>
      </c>
      <c r="S62" s="94">
        <v>61</v>
      </c>
      <c r="T62" s="94">
        <v>24</v>
      </c>
      <c r="U62" s="94">
        <v>79</v>
      </c>
      <c r="V62" s="94">
        <v>0</v>
      </c>
      <c r="W62" s="94">
        <v>64</v>
      </c>
      <c r="X62" s="94">
        <v>1</v>
      </c>
      <c r="Y62" s="94">
        <v>0</v>
      </c>
      <c r="Z62" s="94">
        <v>25</v>
      </c>
    </row>
    <row r="63" spans="1:26">
      <c r="A63" s="94" t="str">
        <f t="shared" si="0"/>
        <v>20190907KTKY</v>
      </c>
      <c r="B63" s="94">
        <v>2019</v>
      </c>
      <c r="C63" s="94">
        <v>2</v>
      </c>
      <c r="D63" s="94">
        <v>20190907</v>
      </c>
      <c r="E63" s="94" t="s">
        <v>144</v>
      </c>
      <c r="F63" s="94" t="s">
        <v>66</v>
      </c>
      <c r="G63" s="94" t="s">
        <v>147</v>
      </c>
      <c r="H63" s="94">
        <v>39</v>
      </c>
      <c r="I63" s="94">
        <v>239</v>
      </c>
      <c r="J63" s="94">
        <v>36</v>
      </c>
      <c r="K63" s="94">
        <v>222</v>
      </c>
      <c r="L63" s="94">
        <v>29</v>
      </c>
      <c r="M63" s="94">
        <v>0</v>
      </c>
      <c r="N63" s="94">
        <v>2</v>
      </c>
      <c r="O63" s="94">
        <v>38</v>
      </c>
      <c r="P63" s="94" t="s">
        <v>29</v>
      </c>
      <c r="Q63" s="94" t="s">
        <v>149</v>
      </c>
      <c r="R63" s="94">
        <v>22</v>
      </c>
      <c r="S63" s="94">
        <v>49</v>
      </c>
      <c r="T63" s="94">
        <v>53</v>
      </c>
      <c r="U63" s="94">
        <v>337</v>
      </c>
      <c r="V63" s="94">
        <v>0</v>
      </c>
      <c r="W63" s="94">
        <v>0</v>
      </c>
      <c r="X63" s="94">
        <v>1</v>
      </c>
      <c r="Y63" s="94">
        <v>17</v>
      </c>
      <c r="Z63" s="94">
        <v>15</v>
      </c>
    </row>
    <row r="64" spans="1:26">
      <c r="A64" s="94" t="str">
        <f t="shared" si="0"/>
        <v>20190907MARY</v>
      </c>
      <c r="B64" s="94">
        <v>2019</v>
      </c>
      <c r="C64" s="94">
        <v>2</v>
      </c>
      <c r="D64" s="94">
        <v>20190907</v>
      </c>
      <c r="E64" s="94" t="s">
        <v>144</v>
      </c>
      <c r="F64" s="94" t="s">
        <v>121</v>
      </c>
      <c r="G64" s="94" t="s">
        <v>152</v>
      </c>
      <c r="H64" s="94">
        <v>45</v>
      </c>
      <c r="I64" s="94">
        <v>354</v>
      </c>
      <c r="J64" s="94">
        <v>38</v>
      </c>
      <c r="K64" s="94">
        <v>296</v>
      </c>
      <c r="L64" s="94">
        <v>0</v>
      </c>
      <c r="M64" s="94">
        <v>20</v>
      </c>
      <c r="N64" s="94">
        <v>2</v>
      </c>
      <c r="O64" s="94">
        <v>63</v>
      </c>
      <c r="P64" s="94" t="s">
        <v>38</v>
      </c>
      <c r="Q64" s="94" t="s">
        <v>146</v>
      </c>
      <c r="R64" s="94">
        <v>29</v>
      </c>
      <c r="S64" s="94">
        <v>70</v>
      </c>
      <c r="T64" s="94">
        <v>41</v>
      </c>
      <c r="U64" s="94">
        <v>330</v>
      </c>
      <c r="V64" s="94">
        <v>15</v>
      </c>
      <c r="W64" s="94">
        <v>118</v>
      </c>
      <c r="X64" s="94">
        <v>1</v>
      </c>
      <c r="Y64" s="94">
        <v>20</v>
      </c>
      <c r="Z64" s="94">
        <v>2</v>
      </c>
    </row>
    <row r="65" spans="1:26">
      <c r="A65" s="94" t="str">
        <f t="shared" si="0"/>
        <v>20190907MCST</v>
      </c>
      <c r="B65" s="94">
        <v>2019</v>
      </c>
      <c r="C65" s="94">
        <v>2</v>
      </c>
      <c r="D65" s="94">
        <v>20190907</v>
      </c>
      <c r="E65" s="94" t="s">
        <v>144</v>
      </c>
      <c r="F65" s="94" t="s">
        <v>30</v>
      </c>
      <c r="G65" s="94" t="s">
        <v>152</v>
      </c>
      <c r="H65" s="94">
        <v>34</v>
      </c>
      <c r="I65" s="94">
        <v>251</v>
      </c>
      <c r="J65" s="94">
        <v>33</v>
      </c>
      <c r="K65" s="94">
        <v>331</v>
      </c>
      <c r="L65" s="94">
        <v>10</v>
      </c>
      <c r="M65" s="94">
        <v>48</v>
      </c>
      <c r="N65" s="94">
        <v>3</v>
      </c>
      <c r="O65" s="94">
        <v>51</v>
      </c>
      <c r="P65" s="94" t="s">
        <v>37</v>
      </c>
      <c r="Q65" s="94" t="s">
        <v>149</v>
      </c>
      <c r="R65" s="94">
        <v>27</v>
      </c>
      <c r="S65" s="94">
        <v>67</v>
      </c>
      <c r="T65" s="94">
        <v>41</v>
      </c>
      <c r="U65" s="94">
        <v>285</v>
      </c>
      <c r="V65" s="94">
        <v>0</v>
      </c>
      <c r="W65" s="94">
        <v>115</v>
      </c>
      <c r="X65" s="94">
        <v>2</v>
      </c>
      <c r="Y65" s="94">
        <v>17</v>
      </c>
      <c r="Z65" s="94">
        <v>17.5</v>
      </c>
    </row>
    <row r="66" spans="1:26">
      <c r="A66" s="94" t="str">
        <f t="shared" ref="A66:A129" si="1">D66&amp;F66</f>
        <v>20190907MICH</v>
      </c>
      <c r="B66" s="94">
        <v>2019</v>
      </c>
      <c r="C66" s="94">
        <v>2</v>
      </c>
      <c r="D66" s="94">
        <v>20190907</v>
      </c>
      <c r="E66" s="94" t="s">
        <v>144</v>
      </c>
      <c r="F66" s="94" t="s">
        <v>78</v>
      </c>
      <c r="G66" s="94" t="s">
        <v>152</v>
      </c>
      <c r="H66" s="94">
        <v>45</v>
      </c>
      <c r="I66" s="94">
        <v>108</v>
      </c>
      <c r="J66" s="94">
        <v>31</v>
      </c>
      <c r="K66" s="94">
        <v>232</v>
      </c>
      <c r="L66" s="94">
        <v>0</v>
      </c>
      <c r="M66" s="94">
        <v>70</v>
      </c>
      <c r="N66" s="94">
        <v>3</v>
      </c>
      <c r="O66" s="94">
        <v>24</v>
      </c>
      <c r="P66" s="94" t="s">
        <v>28</v>
      </c>
      <c r="Q66" s="94" t="s">
        <v>53</v>
      </c>
      <c r="R66" s="94">
        <v>61</v>
      </c>
      <c r="S66" s="94">
        <v>200</v>
      </c>
      <c r="T66" s="94">
        <v>5</v>
      </c>
      <c r="U66" s="94">
        <v>43</v>
      </c>
      <c r="V66" s="94">
        <v>12</v>
      </c>
      <c r="W66" s="94">
        <v>0</v>
      </c>
      <c r="X66" s="94">
        <v>3</v>
      </c>
      <c r="Y66" s="94">
        <v>21</v>
      </c>
      <c r="Z66" s="94">
        <v>22</v>
      </c>
    </row>
    <row r="67" spans="1:26">
      <c r="A67" s="94" t="str">
        <f t="shared" si="1"/>
        <v>20190907MIS</v>
      </c>
      <c r="B67" s="94">
        <v>2019</v>
      </c>
      <c r="C67" s="94">
        <v>2</v>
      </c>
      <c r="D67" s="94">
        <v>20190907</v>
      </c>
      <c r="E67" s="94" t="s">
        <v>144</v>
      </c>
      <c r="F67" s="94" t="s">
        <v>126</v>
      </c>
      <c r="G67" s="94" t="s">
        <v>147</v>
      </c>
      <c r="H67" s="94">
        <v>51</v>
      </c>
      <c r="I67" s="94">
        <v>240</v>
      </c>
      <c r="J67" s="94">
        <v>24</v>
      </c>
      <c r="K67" s="94">
        <v>246</v>
      </c>
      <c r="L67" s="94">
        <v>0</v>
      </c>
      <c r="M67" s="94">
        <v>25</v>
      </c>
      <c r="N67" s="94">
        <v>1</v>
      </c>
      <c r="O67" s="94">
        <v>31</v>
      </c>
      <c r="P67" s="94" t="s">
        <v>41</v>
      </c>
      <c r="Q67" s="94" t="s">
        <v>147</v>
      </c>
      <c r="R67" s="94">
        <v>26</v>
      </c>
      <c r="S67" s="94">
        <v>61</v>
      </c>
      <c r="T67" s="94">
        <v>41</v>
      </c>
      <c r="U67" s="94">
        <v>300</v>
      </c>
      <c r="V67" s="94">
        <v>28</v>
      </c>
      <c r="W67" s="94">
        <v>76</v>
      </c>
      <c r="X67" s="94">
        <v>2</v>
      </c>
      <c r="Y67" s="94">
        <v>17</v>
      </c>
      <c r="Z67" s="94">
        <v>7</v>
      </c>
    </row>
    <row r="68" spans="1:26">
      <c r="A68" s="94" t="str">
        <f t="shared" si="1"/>
        <v>20190907MIZ</v>
      </c>
      <c r="B68" s="94">
        <v>2019</v>
      </c>
      <c r="C68" s="94">
        <v>2</v>
      </c>
      <c r="D68" s="94">
        <v>20190907</v>
      </c>
      <c r="E68" s="94" t="s">
        <v>144</v>
      </c>
      <c r="F68" s="94" t="s">
        <v>73</v>
      </c>
      <c r="G68" s="94" t="s">
        <v>147</v>
      </c>
      <c r="H68" s="94">
        <v>50</v>
      </c>
      <c r="I68" s="94">
        <v>232</v>
      </c>
      <c r="J68" s="94">
        <v>28</v>
      </c>
      <c r="K68" s="94">
        <v>150</v>
      </c>
      <c r="L68" s="94">
        <v>0</v>
      </c>
      <c r="M68" s="94">
        <v>0</v>
      </c>
      <c r="N68" s="94">
        <v>3</v>
      </c>
      <c r="O68" s="94">
        <v>38</v>
      </c>
      <c r="P68" s="94" t="s">
        <v>133</v>
      </c>
      <c r="Q68" s="94" t="s">
        <v>209</v>
      </c>
      <c r="R68" s="94">
        <v>32</v>
      </c>
      <c r="S68" s="94">
        <v>30</v>
      </c>
      <c r="T68" s="94">
        <v>27</v>
      </c>
      <c r="U68" s="94">
        <v>141</v>
      </c>
      <c r="V68" s="94">
        <v>0</v>
      </c>
      <c r="W68" s="94">
        <v>39</v>
      </c>
      <c r="X68" s="94">
        <v>0</v>
      </c>
      <c r="Y68" s="94">
        <v>7</v>
      </c>
      <c r="Z68" s="94">
        <v>14</v>
      </c>
    </row>
    <row r="69" spans="1:26">
      <c r="A69" s="94" t="str">
        <f t="shared" si="1"/>
        <v>20190907MSST</v>
      </c>
      <c r="B69" s="94">
        <v>2019</v>
      </c>
      <c r="C69" s="94">
        <v>2</v>
      </c>
      <c r="D69" s="94">
        <v>20190907</v>
      </c>
      <c r="E69" s="94" t="s">
        <v>144</v>
      </c>
      <c r="F69" s="94" t="s">
        <v>74</v>
      </c>
      <c r="G69" s="94" t="s">
        <v>147</v>
      </c>
      <c r="H69" s="94">
        <v>41</v>
      </c>
      <c r="I69" s="94">
        <v>210</v>
      </c>
      <c r="J69" s="94">
        <v>21</v>
      </c>
      <c r="K69" s="94">
        <v>176</v>
      </c>
      <c r="L69" s="94">
        <v>8</v>
      </c>
      <c r="M69" s="94">
        <v>0</v>
      </c>
      <c r="N69" s="94">
        <v>3</v>
      </c>
      <c r="O69" s="94">
        <v>38</v>
      </c>
      <c r="P69" s="94" t="s">
        <v>99</v>
      </c>
      <c r="Q69" s="94" t="s">
        <v>153</v>
      </c>
      <c r="R69" s="94">
        <v>27</v>
      </c>
      <c r="S69" s="94">
        <v>110</v>
      </c>
      <c r="T69" s="94">
        <v>26</v>
      </c>
      <c r="U69" s="94">
        <v>234</v>
      </c>
      <c r="V69" s="94">
        <v>2</v>
      </c>
      <c r="W69" s="94">
        <v>38</v>
      </c>
      <c r="X69" s="94">
        <v>0</v>
      </c>
      <c r="Y69" s="94">
        <v>15</v>
      </c>
      <c r="Z69" s="94">
        <v>16.5</v>
      </c>
    </row>
    <row r="70" spans="1:26">
      <c r="A70" s="94" t="str">
        <f t="shared" si="1"/>
        <v>20190907NCAR</v>
      </c>
      <c r="B70" s="94">
        <v>2019</v>
      </c>
      <c r="C70" s="94">
        <v>2</v>
      </c>
      <c r="D70" s="94">
        <v>20190907</v>
      </c>
      <c r="E70" s="94" t="s">
        <v>144</v>
      </c>
      <c r="F70" s="94" t="s">
        <v>49</v>
      </c>
      <c r="G70" s="94" t="s">
        <v>146</v>
      </c>
      <c r="H70" s="94">
        <v>36</v>
      </c>
      <c r="I70" s="94">
        <v>97</v>
      </c>
      <c r="J70" s="94">
        <v>25</v>
      </c>
      <c r="K70" s="94">
        <v>292</v>
      </c>
      <c r="L70" s="94">
        <v>0</v>
      </c>
      <c r="M70" s="94">
        <v>0</v>
      </c>
      <c r="N70" s="94">
        <v>0</v>
      </c>
      <c r="O70" s="94">
        <v>28</v>
      </c>
      <c r="P70" s="94" t="s">
        <v>125</v>
      </c>
      <c r="Q70" s="94" t="s">
        <v>146</v>
      </c>
      <c r="R70" s="94">
        <v>37</v>
      </c>
      <c r="S70" s="94">
        <v>179</v>
      </c>
      <c r="T70" s="94">
        <v>39</v>
      </c>
      <c r="U70" s="94">
        <v>309</v>
      </c>
      <c r="V70" s="94">
        <v>0</v>
      </c>
      <c r="W70" s="94">
        <v>15</v>
      </c>
      <c r="X70" s="94">
        <v>0</v>
      </c>
      <c r="Y70" s="94">
        <v>25</v>
      </c>
      <c r="Z70" s="94">
        <v>4</v>
      </c>
    </row>
    <row r="71" spans="1:26">
      <c r="A71" s="94" t="str">
        <f t="shared" si="1"/>
        <v>20190907OHST</v>
      </c>
      <c r="B71" s="94">
        <v>2019</v>
      </c>
      <c r="C71" s="94">
        <v>2</v>
      </c>
      <c r="D71" s="94">
        <v>20190907</v>
      </c>
      <c r="E71" s="94" t="s">
        <v>144</v>
      </c>
      <c r="F71" s="94" t="s">
        <v>81</v>
      </c>
      <c r="G71" s="94" t="s">
        <v>152</v>
      </c>
      <c r="H71" s="94">
        <v>46</v>
      </c>
      <c r="I71" s="94">
        <v>270</v>
      </c>
      <c r="J71" s="94">
        <v>27</v>
      </c>
      <c r="K71" s="94">
        <v>238</v>
      </c>
      <c r="L71" s="94">
        <v>28</v>
      </c>
      <c r="M71" s="94">
        <v>25</v>
      </c>
      <c r="N71" s="94">
        <v>2</v>
      </c>
      <c r="O71" s="94">
        <v>42</v>
      </c>
      <c r="P71" s="94" t="s">
        <v>107</v>
      </c>
      <c r="Q71" s="94" t="s">
        <v>150</v>
      </c>
      <c r="R71" s="94">
        <v>34</v>
      </c>
      <c r="S71" s="94">
        <v>107</v>
      </c>
      <c r="T71" s="94">
        <v>23</v>
      </c>
      <c r="U71" s="94">
        <v>166</v>
      </c>
      <c r="V71" s="94">
        <v>0</v>
      </c>
      <c r="W71" s="94">
        <v>61</v>
      </c>
      <c r="X71" s="94">
        <v>0</v>
      </c>
      <c r="Y71" s="94">
        <v>0</v>
      </c>
      <c r="Z71" s="94">
        <v>17.5</v>
      </c>
    </row>
    <row r="72" spans="1:26">
      <c r="A72" s="94" t="str">
        <f t="shared" si="1"/>
        <v>20190907ORE</v>
      </c>
      <c r="B72" s="94">
        <v>2019</v>
      </c>
      <c r="C72" s="94">
        <v>2</v>
      </c>
      <c r="D72" s="94">
        <v>20190907</v>
      </c>
      <c r="E72" s="94" t="s">
        <v>144</v>
      </c>
      <c r="F72" s="94" t="s">
        <v>86</v>
      </c>
      <c r="G72" s="94" t="s">
        <v>151</v>
      </c>
      <c r="H72" s="94">
        <v>39</v>
      </c>
      <c r="I72" s="94">
        <v>221</v>
      </c>
      <c r="J72" s="94">
        <v>35</v>
      </c>
      <c r="K72" s="94">
        <v>402</v>
      </c>
      <c r="L72" s="94">
        <v>8</v>
      </c>
      <c r="M72" s="94">
        <v>46</v>
      </c>
      <c r="N72" s="94">
        <v>4</v>
      </c>
      <c r="O72" s="94">
        <v>77</v>
      </c>
      <c r="P72" s="94" t="s">
        <v>32</v>
      </c>
      <c r="Q72" s="94" t="s">
        <v>148</v>
      </c>
      <c r="R72" s="94">
        <v>40</v>
      </c>
      <c r="S72" s="94">
        <v>83</v>
      </c>
      <c r="T72" s="94">
        <v>28</v>
      </c>
      <c r="U72" s="94">
        <v>109</v>
      </c>
      <c r="V72" s="94">
        <v>0</v>
      </c>
      <c r="W72" s="94">
        <v>45</v>
      </c>
      <c r="X72" s="94">
        <v>1</v>
      </c>
      <c r="Y72" s="94">
        <v>6</v>
      </c>
      <c r="Z72" s="94">
        <v>24</v>
      </c>
    </row>
    <row r="73" spans="1:26">
      <c r="A73" s="94" t="str">
        <f t="shared" si="1"/>
        <v>20190907PIT</v>
      </c>
      <c r="B73" s="94">
        <v>2019</v>
      </c>
      <c r="C73" s="94">
        <v>2</v>
      </c>
      <c r="D73" s="94">
        <v>20190907</v>
      </c>
      <c r="E73" s="94" t="s">
        <v>144</v>
      </c>
      <c r="F73" s="94" t="s">
        <v>88</v>
      </c>
      <c r="G73" s="94" t="s">
        <v>146</v>
      </c>
      <c r="H73" s="94">
        <v>37</v>
      </c>
      <c r="I73" s="94">
        <v>160</v>
      </c>
      <c r="J73" s="94">
        <v>37</v>
      </c>
      <c r="K73" s="94">
        <v>321</v>
      </c>
      <c r="L73" s="94">
        <v>25</v>
      </c>
      <c r="M73" s="94">
        <v>20</v>
      </c>
      <c r="N73" s="94">
        <v>0</v>
      </c>
      <c r="O73" s="94">
        <v>20</v>
      </c>
      <c r="P73" s="94" t="s">
        <v>83</v>
      </c>
      <c r="Q73" s="94" t="s">
        <v>149</v>
      </c>
      <c r="R73" s="94">
        <v>29</v>
      </c>
      <c r="S73" s="94">
        <v>35</v>
      </c>
      <c r="T73" s="94">
        <v>27</v>
      </c>
      <c r="U73" s="94">
        <v>177</v>
      </c>
      <c r="V73" s="94">
        <v>15</v>
      </c>
      <c r="W73" s="94">
        <v>0</v>
      </c>
      <c r="X73" s="94">
        <v>0</v>
      </c>
      <c r="Y73" s="94">
        <v>10</v>
      </c>
      <c r="Z73" s="94">
        <v>6.5</v>
      </c>
    </row>
    <row r="74" spans="1:26">
      <c r="A74" s="94" t="str">
        <f t="shared" si="1"/>
        <v>20190907PNST</v>
      </c>
      <c r="B74" s="94">
        <v>2019</v>
      </c>
      <c r="C74" s="94">
        <v>2</v>
      </c>
      <c r="D74" s="94">
        <v>20190907</v>
      </c>
      <c r="E74" s="94" t="s">
        <v>144</v>
      </c>
      <c r="F74" s="94" t="s">
        <v>89</v>
      </c>
      <c r="G74" s="94" t="s">
        <v>152</v>
      </c>
      <c r="H74" s="94">
        <v>24</v>
      </c>
      <c r="I74" s="94">
        <v>78</v>
      </c>
      <c r="J74" s="94">
        <v>22</v>
      </c>
      <c r="K74" s="94">
        <v>279</v>
      </c>
      <c r="L74" s="94">
        <v>22</v>
      </c>
      <c r="M74" s="94">
        <v>29</v>
      </c>
      <c r="N74" s="94">
        <v>2</v>
      </c>
      <c r="O74" s="94">
        <v>45</v>
      </c>
      <c r="P74" s="94" t="s">
        <v>47</v>
      </c>
      <c r="Q74" s="94" t="s">
        <v>149</v>
      </c>
      <c r="R74" s="94">
        <v>58</v>
      </c>
      <c r="S74" s="94">
        <v>184</v>
      </c>
      <c r="T74" s="94">
        <v>32</v>
      </c>
      <c r="U74" s="94">
        <v>245</v>
      </c>
      <c r="V74" s="94">
        <v>11</v>
      </c>
      <c r="W74" s="94">
        <v>0</v>
      </c>
      <c r="X74" s="94">
        <v>1</v>
      </c>
      <c r="Y74" s="94">
        <v>13</v>
      </c>
      <c r="Z74" s="94">
        <v>30.5</v>
      </c>
    </row>
    <row r="75" spans="1:26">
      <c r="A75" s="94" t="str">
        <f t="shared" si="1"/>
        <v>20190907PUR</v>
      </c>
      <c r="B75" s="94">
        <v>2019</v>
      </c>
      <c r="C75" s="94">
        <v>2</v>
      </c>
      <c r="D75" s="94">
        <v>20190907</v>
      </c>
      <c r="E75" s="94" t="s">
        <v>144</v>
      </c>
      <c r="F75" s="94" t="s">
        <v>17</v>
      </c>
      <c r="G75" s="94" t="s">
        <v>152</v>
      </c>
      <c r="H75" s="94">
        <v>17</v>
      </c>
      <c r="I75" s="94">
        <v>34</v>
      </c>
      <c r="J75" s="94">
        <v>52</v>
      </c>
      <c r="K75" s="94">
        <v>509</v>
      </c>
      <c r="L75" s="94">
        <v>8</v>
      </c>
      <c r="M75" s="94">
        <v>51</v>
      </c>
      <c r="N75" s="94">
        <v>1</v>
      </c>
      <c r="O75" s="94">
        <v>42</v>
      </c>
      <c r="P75" s="94" t="s">
        <v>111</v>
      </c>
      <c r="Q75" s="94" t="s">
        <v>147</v>
      </c>
      <c r="R75" s="94">
        <v>27</v>
      </c>
      <c r="S75" s="94">
        <v>71</v>
      </c>
      <c r="T75" s="94">
        <v>48</v>
      </c>
      <c r="U75" s="94">
        <v>420</v>
      </c>
      <c r="V75" s="94">
        <v>0</v>
      </c>
      <c r="W75" s="94">
        <v>20</v>
      </c>
      <c r="X75" s="94">
        <v>1</v>
      </c>
      <c r="Y75" s="94">
        <v>24</v>
      </c>
      <c r="Z75" s="94">
        <v>8.5</v>
      </c>
    </row>
    <row r="76" spans="1:26">
      <c r="A76" s="94" t="str">
        <f t="shared" si="1"/>
        <v>20190907SJST</v>
      </c>
      <c r="B76" s="94">
        <v>2019</v>
      </c>
      <c r="C76" s="94">
        <v>2</v>
      </c>
      <c r="D76" s="94">
        <v>20190907</v>
      </c>
      <c r="E76" s="94" t="s">
        <v>144</v>
      </c>
      <c r="F76" s="94" t="s">
        <v>19</v>
      </c>
      <c r="G76" s="94" t="s">
        <v>148</v>
      </c>
      <c r="H76" s="94">
        <v>31</v>
      </c>
      <c r="I76" s="94">
        <v>115</v>
      </c>
      <c r="J76" s="94">
        <v>37</v>
      </c>
      <c r="K76" s="94">
        <v>233</v>
      </c>
      <c r="L76" s="94">
        <v>0</v>
      </c>
      <c r="M76" s="94">
        <v>132</v>
      </c>
      <c r="N76" s="94">
        <v>0</v>
      </c>
      <c r="O76" s="94">
        <v>16</v>
      </c>
      <c r="P76" s="94" t="s">
        <v>102</v>
      </c>
      <c r="Q76" s="94" t="s">
        <v>150</v>
      </c>
      <c r="R76" s="94">
        <v>54</v>
      </c>
      <c r="S76" s="94">
        <v>256</v>
      </c>
      <c r="T76" s="94">
        <v>28</v>
      </c>
      <c r="U76" s="94">
        <v>283</v>
      </c>
      <c r="V76" s="94">
        <v>0</v>
      </c>
      <c r="W76" s="94">
        <v>0</v>
      </c>
      <c r="X76" s="94">
        <v>1</v>
      </c>
      <c r="Y76" s="94">
        <v>34</v>
      </c>
      <c r="Z76" s="94">
        <v>7</v>
      </c>
    </row>
    <row r="77" spans="1:26">
      <c r="A77" s="94" t="str">
        <f t="shared" si="1"/>
        <v>20190907SMU</v>
      </c>
      <c r="B77" s="94">
        <v>2019</v>
      </c>
      <c r="C77" s="94">
        <v>2</v>
      </c>
      <c r="D77" s="94">
        <v>20190907</v>
      </c>
      <c r="E77" s="94" t="s">
        <v>144</v>
      </c>
      <c r="F77" s="94" t="s">
        <v>80</v>
      </c>
      <c r="G77" s="94" t="s">
        <v>150</v>
      </c>
      <c r="H77" s="94">
        <v>39</v>
      </c>
      <c r="I77" s="94">
        <v>211</v>
      </c>
      <c r="J77" s="94">
        <v>31</v>
      </c>
      <c r="K77" s="94">
        <v>292</v>
      </c>
      <c r="L77" s="94">
        <v>0</v>
      </c>
      <c r="M77" s="94">
        <v>67</v>
      </c>
      <c r="N77" s="94">
        <v>1</v>
      </c>
      <c r="O77" s="94">
        <v>49</v>
      </c>
      <c r="P77" s="94" t="s">
        <v>79</v>
      </c>
      <c r="Q77" s="94" t="s">
        <v>153</v>
      </c>
      <c r="R77" s="94">
        <v>42</v>
      </c>
      <c r="S77" s="94">
        <v>211</v>
      </c>
      <c r="T77" s="94">
        <v>38</v>
      </c>
      <c r="U77" s="94">
        <v>185</v>
      </c>
      <c r="V77" s="94">
        <v>0</v>
      </c>
      <c r="W77" s="94">
        <v>80</v>
      </c>
      <c r="X77" s="94">
        <v>1</v>
      </c>
      <c r="Y77" s="94">
        <v>27</v>
      </c>
      <c r="Z77" s="94">
        <v>4</v>
      </c>
    </row>
    <row r="78" spans="1:26">
      <c r="A78" s="94" t="str">
        <f t="shared" si="1"/>
        <v>20190907TEN</v>
      </c>
      <c r="B78" s="94">
        <v>2019</v>
      </c>
      <c r="C78" s="94">
        <v>2</v>
      </c>
      <c r="D78" s="94">
        <v>20190907</v>
      </c>
      <c r="E78" s="94" t="s">
        <v>144</v>
      </c>
      <c r="F78" s="94" t="s">
        <v>129</v>
      </c>
      <c r="G78" s="94" t="s">
        <v>147</v>
      </c>
      <c r="H78" s="94">
        <v>49</v>
      </c>
      <c r="I78" s="94">
        <v>242</v>
      </c>
      <c r="J78" s="94">
        <v>28</v>
      </c>
      <c r="K78" s="94">
        <v>176</v>
      </c>
      <c r="L78" s="94">
        <v>0</v>
      </c>
      <c r="M78" s="94">
        <v>20</v>
      </c>
      <c r="N78" s="94">
        <v>0</v>
      </c>
      <c r="O78" s="94">
        <v>26</v>
      </c>
      <c r="P78" s="94" t="s">
        <v>43</v>
      </c>
      <c r="Q78" s="94" t="s">
        <v>53</v>
      </c>
      <c r="R78" s="94">
        <v>30</v>
      </c>
      <c r="S78" s="94">
        <v>107</v>
      </c>
      <c r="T78" s="94">
        <v>30</v>
      </c>
      <c r="U78" s="94">
        <v>232</v>
      </c>
      <c r="V78" s="94">
        <v>0</v>
      </c>
      <c r="W78" s="94">
        <v>0</v>
      </c>
      <c r="X78" s="94">
        <v>1</v>
      </c>
      <c r="Y78" s="94">
        <v>29</v>
      </c>
      <c r="Z78" s="94">
        <v>3.5</v>
      </c>
    </row>
    <row r="79" spans="1:26">
      <c r="A79" s="94" t="str">
        <f t="shared" si="1"/>
        <v>20190907TEX</v>
      </c>
      <c r="B79" s="94">
        <v>2019</v>
      </c>
      <c r="C79" s="94">
        <v>2</v>
      </c>
      <c r="D79" s="94">
        <v>20190907</v>
      </c>
      <c r="E79" s="94" t="s">
        <v>144</v>
      </c>
      <c r="F79" s="94" t="s">
        <v>130</v>
      </c>
      <c r="G79" s="94" t="s">
        <v>209</v>
      </c>
      <c r="H79" s="94">
        <v>37</v>
      </c>
      <c r="I79" s="94">
        <v>121</v>
      </c>
      <c r="J79" s="94">
        <v>48</v>
      </c>
      <c r="K79" s="94">
        <v>409</v>
      </c>
      <c r="L79" s="94">
        <v>2</v>
      </c>
      <c r="M79" s="94">
        <v>0</v>
      </c>
      <c r="N79" s="94">
        <v>1</v>
      </c>
      <c r="O79" s="94">
        <v>38</v>
      </c>
      <c r="P79" s="94" t="s">
        <v>124</v>
      </c>
      <c r="Q79" s="94" t="s">
        <v>147</v>
      </c>
      <c r="R79" s="94">
        <v>29</v>
      </c>
      <c r="S79" s="94">
        <v>102</v>
      </c>
      <c r="T79" s="94">
        <v>39</v>
      </c>
      <c r="U79" s="94">
        <v>471</v>
      </c>
      <c r="V79" s="94">
        <v>11</v>
      </c>
      <c r="W79" s="94">
        <v>0</v>
      </c>
      <c r="X79" s="94">
        <v>0</v>
      </c>
      <c r="Y79" s="94">
        <v>45</v>
      </c>
      <c r="Z79" s="94">
        <v>6.5</v>
      </c>
    </row>
    <row r="80" spans="1:26">
      <c r="A80" s="94" t="str">
        <f t="shared" si="1"/>
        <v>20190907TXST</v>
      </c>
      <c r="B80" s="94">
        <v>2019</v>
      </c>
      <c r="C80" s="94">
        <v>2</v>
      </c>
      <c r="D80" s="94">
        <v>20190907</v>
      </c>
      <c r="E80" s="94" t="s">
        <v>144</v>
      </c>
      <c r="F80" s="94" t="s">
        <v>93</v>
      </c>
      <c r="G80" s="94" t="s">
        <v>145</v>
      </c>
      <c r="H80" s="94">
        <v>22</v>
      </c>
      <c r="I80" s="94">
        <v>50</v>
      </c>
      <c r="J80" s="94">
        <v>54</v>
      </c>
      <c r="K80" s="94">
        <v>394</v>
      </c>
      <c r="L80" s="94">
        <v>11</v>
      </c>
      <c r="M80" s="94">
        <v>79</v>
      </c>
      <c r="N80" s="94">
        <v>1</v>
      </c>
      <c r="O80" s="94">
        <v>14</v>
      </c>
      <c r="P80" s="94" t="s">
        <v>10</v>
      </c>
      <c r="Q80" s="94" t="s">
        <v>148</v>
      </c>
      <c r="R80" s="94">
        <v>49</v>
      </c>
      <c r="S80" s="94">
        <v>190</v>
      </c>
      <c r="T80" s="94">
        <v>18</v>
      </c>
      <c r="U80" s="94">
        <v>103</v>
      </c>
      <c r="V80" s="94">
        <v>7</v>
      </c>
      <c r="W80" s="94">
        <v>72</v>
      </c>
      <c r="X80" s="94">
        <v>3</v>
      </c>
      <c r="Y80" s="94">
        <v>23</v>
      </c>
      <c r="Z80" s="94">
        <v>7</v>
      </c>
    </row>
    <row r="81" spans="1:26">
      <c r="A81" s="94" t="str">
        <f t="shared" si="1"/>
        <v>20190907TXT</v>
      </c>
      <c r="B81" s="94">
        <v>2019</v>
      </c>
      <c r="C81" s="94">
        <v>2</v>
      </c>
      <c r="D81" s="94">
        <v>20190907</v>
      </c>
      <c r="E81" s="94" t="s">
        <v>144</v>
      </c>
      <c r="F81" s="94" t="s">
        <v>131</v>
      </c>
      <c r="G81" s="94" t="s">
        <v>209</v>
      </c>
      <c r="H81" s="94">
        <v>31</v>
      </c>
      <c r="I81" s="94">
        <v>160</v>
      </c>
      <c r="J81" s="94">
        <v>47</v>
      </c>
      <c r="K81" s="94">
        <v>264</v>
      </c>
      <c r="L81" s="94">
        <v>0</v>
      </c>
      <c r="M81" s="94">
        <v>28</v>
      </c>
      <c r="N81" s="94">
        <v>0</v>
      </c>
      <c r="O81" s="94">
        <v>38</v>
      </c>
      <c r="P81" s="94" t="s">
        <v>110</v>
      </c>
      <c r="Q81" s="94" t="s">
        <v>153</v>
      </c>
      <c r="R81" s="94">
        <v>38</v>
      </c>
      <c r="S81" s="94">
        <v>77</v>
      </c>
      <c r="T81" s="94">
        <v>19</v>
      </c>
      <c r="U81" s="94">
        <v>54</v>
      </c>
      <c r="V81" s="94">
        <v>5</v>
      </c>
      <c r="W81" s="94">
        <v>40</v>
      </c>
      <c r="X81" s="94">
        <v>1</v>
      </c>
      <c r="Y81" s="94">
        <v>3</v>
      </c>
      <c r="Z81" s="94">
        <v>34.5</v>
      </c>
    </row>
    <row r="82" spans="1:26">
      <c r="A82" s="94" t="str">
        <f t="shared" si="1"/>
        <v>20190907UCLA</v>
      </c>
      <c r="B82" s="94">
        <v>2019</v>
      </c>
      <c r="C82" s="94">
        <v>2</v>
      </c>
      <c r="D82" s="94">
        <v>20190907</v>
      </c>
      <c r="E82" s="94" t="s">
        <v>144</v>
      </c>
      <c r="F82" s="94" t="s">
        <v>106</v>
      </c>
      <c r="G82" s="94" t="s">
        <v>151</v>
      </c>
      <c r="H82" s="94">
        <v>32</v>
      </c>
      <c r="I82" s="94">
        <v>62</v>
      </c>
      <c r="J82" s="94">
        <v>35</v>
      </c>
      <c r="K82" s="94">
        <v>199</v>
      </c>
      <c r="L82" s="94">
        <v>43</v>
      </c>
      <c r="M82" s="94">
        <v>9</v>
      </c>
      <c r="N82" s="94">
        <v>0</v>
      </c>
      <c r="O82" s="94">
        <v>14</v>
      </c>
      <c r="P82" s="94" t="s">
        <v>34</v>
      </c>
      <c r="Q82" s="94" t="s">
        <v>148</v>
      </c>
      <c r="R82" s="94">
        <v>47</v>
      </c>
      <c r="S82" s="94">
        <v>80</v>
      </c>
      <c r="T82" s="94">
        <v>31</v>
      </c>
      <c r="U82" s="94">
        <v>293</v>
      </c>
      <c r="V82" s="94">
        <v>17</v>
      </c>
      <c r="W82" s="94">
        <v>0</v>
      </c>
      <c r="X82" s="94">
        <v>2</v>
      </c>
      <c r="Y82" s="94">
        <v>23</v>
      </c>
      <c r="Z82" s="94">
        <v>7.5</v>
      </c>
    </row>
    <row r="83" spans="1:26">
      <c r="A83" s="94" t="str">
        <f t="shared" si="1"/>
        <v>20190907UNLV</v>
      </c>
      <c r="B83" s="94">
        <v>2019</v>
      </c>
      <c r="C83" s="94">
        <v>2</v>
      </c>
      <c r="D83" s="94">
        <v>20190907</v>
      </c>
      <c r="E83" s="94" t="s">
        <v>144</v>
      </c>
      <c r="F83" s="94" t="s">
        <v>109</v>
      </c>
      <c r="G83" s="94" t="s">
        <v>148</v>
      </c>
      <c r="H83" s="94">
        <v>42</v>
      </c>
      <c r="I83" s="94">
        <v>188</v>
      </c>
      <c r="J83" s="94">
        <v>26</v>
      </c>
      <c r="K83" s="94">
        <v>112</v>
      </c>
      <c r="L83" s="94">
        <v>10</v>
      </c>
      <c r="M83" s="94">
        <v>21</v>
      </c>
      <c r="N83" s="94">
        <v>0</v>
      </c>
      <c r="O83" s="94">
        <v>17</v>
      </c>
      <c r="P83" s="94" t="s">
        <v>40</v>
      </c>
      <c r="Q83" s="94" t="s">
        <v>145</v>
      </c>
      <c r="R83" s="94">
        <v>43</v>
      </c>
      <c r="S83" s="94">
        <v>214</v>
      </c>
      <c r="T83" s="94">
        <v>37</v>
      </c>
      <c r="U83" s="94">
        <v>284</v>
      </c>
      <c r="V83" s="94">
        <v>47</v>
      </c>
      <c r="W83" s="94">
        <v>18</v>
      </c>
      <c r="X83" s="94">
        <v>1</v>
      </c>
      <c r="Y83" s="94">
        <v>43</v>
      </c>
      <c r="Z83" s="94">
        <v>0</v>
      </c>
    </row>
    <row r="84" spans="1:26">
      <c r="A84" s="94" t="str">
        <f t="shared" si="1"/>
        <v>20190907USC</v>
      </c>
      <c r="B84" s="94">
        <v>2019</v>
      </c>
      <c r="C84" s="94">
        <v>2</v>
      </c>
      <c r="D84" s="94">
        <v>20190907</v>
      </c>
      <c r="E84" s="94" t="s">
        <v>144</v>
      </c>
      <c r="F84" s="94" t="s">
        <v>108</v>
      </c>
      <c r="G84" s="94" t="s">
        <v>151</v>
      </c>
      <c r="H84" s="94">
        <v>28</v>
      </c>
      <c r="I84" s="94">
        <v>115</v>
      </c>
      <c r="J84" s="94">
        <v>33</v>
      </c>
      <c r="K84" s="94">
        <v>377</v>
      </c>
      <c r="L84" s="94">
        <v>14</v>
      </c>
      <c r="M84" s="94">
        <v>79</v>
      </c>
      <c r="N84" s="94">
        <v>1</v>
      </c>
      <c r="O84" s="94">
        <v>45</v>
      </c>
      <c r="P84" s="94" t="s">
        <v>33</v>
      </c>
      <c r="Q84" s="94" t="s">
        <v>151</v>
      </c>
      <c r="R84" s="94">
        <v>30</v>
      </c>
      <c r="S84" s="94">
        <v>98</v>
      </c>
      <c r="T84" s="94">
        <v>36</v>
      </c>
      <c r="U84" s="94">
        <v>237</v>
      </c>
      <c r="V84" s="94">
        <v>15</v>
      </c>
      <c r="W84" s="94">
        <v>138</v>
      </c>
      <c r="X84" s="94">
        <v>1</v>
      </c>
      <c r="Y84" s="94">
        <v>20</v>
      </c>
      <c r="Z84" s="94">
        <v>3</v>
      </c>
    </row>
    <row r="85" spans="1:26">
      <c r="A85" s="94" t="str">
        <f t="shared" si="1"/>
        <v>20190907UTAH</v>
      </c>
      <c r="B85" s="94">
        <v>2019</v>
      </c>
      <c r="C85" s="94">
        <v>2</v>
      </c>
      <c r="D85" s="94">
        <v>20190907</v>
      </c>
      <c r="E85" s="94" t="s">
        <v>144</v>
      </c>
      <c r="F85" s="94" t="s">
        <v>24</v>
      </c>
      <c r="G85" s="94" t="s">
        <v>151</v>
      </c>
      <c r="H85" s="94">
        <v>37</v>
      </c>
      <c r="I85" s="94">
        <v>193</v>
      </c>
      <c r="J85" s="94">
        <v>19</v>
      </c>
      <c r="K85" s="94">
        <v>214</v>
      </c>
      <c r="L85" s="94">
        <v>1</v>
      </c>
      <c r="M85" s="94">
        <v>37</v>
      </c>
      <c r="N85" s="94">
        <v>1</v>
      </c>
      <c r="O85" s="94">
        <v>35</v>
      </c>
      <c r="P85" s="94" t="s">
        <v>63</v>
      </c>
      <c r="Q85" s="94" t="s">
        <v>149</v>
      </c>
      <c r="R85" s="94">
        <v>25</v>
      </c>
      <c r="S85" s="94">
        <v>67</v>
      </c>
      <c r="T85" s="94">
        <v>31</v>
      </c>
      <c r="U85" s="94">
        <v>235</v>
      </c>
      <c r="V85" s="94">
        <v>0</v>
      </c>
      <c r="W85" s="94">
        <v>0</v>
      </c>
      <c r="X85" s="94">
        <v>0</v>
      </c>
      <c r="Y85" s="94">
        <v>17</v>
      </c>
      <c r="Z85" s="94">
        <v>21.5</v>
      </c>
    </row>
    <row r="86" spans="1:26">
      <c r="A86" s="94" t="str">
        <f t="shared" si="1"/>
        <v>20190907VTCH</v>
      </c>
      <c r="B86" s="94">
        <v>2019</v>
      </c>
      <c r="C86" s="94">
        <v>2</v>
      </c>
      <c r="D86" s="94">
        <v>20190907</v>
      </c>
      <c r="E86" s="94" t="s">
        <v>144</v>
      </c>
      <c r="F86" s="94" t="s">
        <v>117</v>
      </c>
      <c r="G86" s="94" t="s">
        <v>146</v>
      </c>
      <c r="H86" s="94">
        <v>39</v>
      </c>
      <c r="I86" s="94">
        <v>131</v>
      </c>
      <c r="J86" s="94">
        <v>28</v>
      </c>
      <c r="K86" s="94">
        <v>272</v>
      </c>
      <c r="L86" s="94">
        <v>1</v>
      </c>
      <c r="M86" s="94">
        <v>112</v>
      </c>
      <c r="N86" s="94">
        <v>0</v>
      </c>
      <c r="O86" s="94">
        <v>31</v>
      </c>
      <c r="P86" s="94" t="s">
        <v>68</v>
      </c>
      <c r="Q86" s="94" t="s">
        <v>153</v>
      </c>
      <c r="R86" s="94">
        <v>42</v>
      </c>
      <c r="S86" s="94">
        <v>203</v>
      </c>
      <c r="T86" s="94">
        <v>30</v>
      </c>
      <c r="U86" s="94">
        <v>122</v>
      </c>
      <c r="V86" s="94">
        <v>0</v>
      </c>
      <c r="W86" s="94">
        <v>48</v>
      </c>
      <c r="X86" s="94">
        <v>2</v>
      </c>
      <c r="Y86" s="94">
        <v>17</v>
      </c>
      <c r="Z86" s="94">
        <v>28.5</v>
      </c>
    </row>
    <row r="87" spans="1:26">
      <c r="A87" s="94" t="str">
        <f t="shared" si="1"/>
        <v>20190907WAS</v>
      </c>
      <c r="B87" s="94">
        <v>2019</v>
      </c>
      <c r="C87" s="94">
        <v>2</v>
      </c>
      <c r="D87" s="94">
        <v>20190907</v>
      </c>
      <c r="E87" s="94" t="s">
        <v>144</v>
      </c>
      <c r="F87" s="94" t="s">
        <v>132</v>
      </c>
      <c r="G87" s="94" t="s">
        <v>151</v>
      </c>
      <c r="H87" s="94">
        <v>46</v>
      </c>
      <c r="I87" s="94">
        <v>186</v>
      </c>
      <c r="J87" s="94">
        <v>30</v>
      </c>
      <c r="K87" s="94">
        <v>162</v>
      </c>
      <c r="L87" s="94">
        <v>21</v>
      </c>
      <c r="M87" s="94">
        <v>42</v>
      </c>
      <c r="N87" s="94">
        <v>0</v>
      </c>
      <c r="O87" s="94">
        <v>19</v>
      </c>
      <c r="P87" s="94" t="s">
        <v>48</v>
      </c>
      <c r="Q87" s="94" t="s">
        <v>151</v>
      </c>
      <c r="R87" s="94">
        <v>38</v>
      </c>
      <c r="S87" s="94">
        <v>192</v>
      </c>
      <c r="T87" s="94">
        <v>18</v>
      </c>
      <c r="U87" s="94">
        <v>111</v>
      </c>
      <c r="V87" s="94">
        <v>0</v>
      </c>
      <c r="W87" s="94">
        <v>22</v>
      </c>
      <c r="X87" s="94">
        <v>2</v>
      </c>
      <c r="Y87" s="94">
        <v>20</v>
      </c>
      <c r="Z87" s="94">
        <v>13.5</v>
      </c>
    </row>
    <row r="88" spans="1:26">
      <c r="A88" s="94" t="str">
        <f t="shared" si="1"/>
        <v>20190907WIS</v>
      </c>
      <c r="B88" s="94">
        <v>2019</v>
      </c>
      <c r="C88" s="94">
        <v>2</v>
      </c>
      <c r="D88" s="94">
        <v>20190907</v>
      </c>
      <c r="E88" s="94" t="s">
        <v>144</v>
      </c>
      <c r="F88" s="94" t="s">
        <v>35</v>
      </c>
      <c r="G88" s="94" t="s">
        <v>152</v>
      </c>
      <c r="H88" s="94">
        <v>43</v>
      </c>
      <c r="I88" s="94">
        <v>199</v>
      </c>
      <c r="J88" s="94">
        <v>39</v>
      </c>
      <c r="K88" s="94">
        <v>400</v>
      </c>
      <c r="L88" s="94">
        <v>65</v>
      </c>
      <c r="M88" s="94">
        <v>0</v>
      </c>
      <c r="N88" s="94">
        <v>1</v>
      </c>
      <c r="O88" s="94">
        <v>61</v>
      </c>
      <c r="P88" s="94" t="s">
        <v>67</v>
      </c>
      <c r="Q88" s="94" t="s">
        <v>149</v>
      </c>
      <c r="R88" s="94">
        <v>20</v>
      </c>
      <c r="S88" s="94">
        <v>32</v>
      </c>
      <c r="T88" s="94">
        <v>24</v>
      </c>
      <c r="U88" s="94">
        <v>43</v>
      </c>
      <c r="V88" s="94">
        <v>0</v>
      </c>
      <c r="W88" s="94">
        <v>40</v>
      </c>
      <c r="X88" s="94">
        <v>1</v>
      </c>
      <c r="Y88" s="94">
        <v>0</v>
      </c>
      <c r="Z88" s="94">
        <v>35</v>
      </c>
    </row>
    <row r="89" spans="1:26">
      <c r="A89" s="94" t="str">
        <f t="shared" si="1"/>
        <v>20190907UTSA</v>
      </c>
      <c r="B89" s="94">
        <v>2019</v>
      </c>
      <c r="C89" s="94">
        <v>2</v>
      </c>
      <c r="D89" s="94">
        <v>20190907</v>
      </c>
      <c r="E89" s="94" t="s">
        <v>211</v>
      </c>
      <c r="F89" s="94" t="s">
        <v>206</v>
      </c>
      <c r="G89" s="94" t="s">
        <v>153</v>
      </c>
      <c r="H89" s="94">
        <v>36</v>
      </c>
      <c r="I89" s="94">
        <v>164</v>
      </c>
      <c r="J89" s="94">
        <v>30</v>
      </c>
      <c r="K89" s="94">
        <v>102</v>
      </c>
      <c r="L89" s="94">
        <v>2</v>
      </c>
      <c r="M89" s="94">
        <v>37</v>
      </c>
      <c r="N89" s="94">
        <v>0</v>
      </c>
      <c r="O89" s="94">
        <v>14</v>
      </c>
      <c r="P89" s="94" t="s">
        <v>45</v>
      </c>
      <c r="Q89" s="94" t="s">
        <v>209</v>
      </c>
      <c r="R89" s="94">
        <v>39</v>
      </c>
      <c r="S89" s="94">
        <v>368</v>
      </c>
      <c r="T89" s="94">
        <v>23</v>
      </c>
      <c r="U89" s="94">
        <v>178</v>
      </c>
      <c r="V89" s="94">
        <v>83</v>
      </c>
      <c r="W89" s="94">
        <v>51</v>
      </c>
      <c r="X89" s="94">
        <v>1</v>
      </c>
      <c r="Y89" s="94">
        <v>63</v>
      </c>
      <c r="Z89" s="94">
        <v>27</v>
      </c>
    </row>
    <row r="90" spans="1:26">
      <c r="A90" s="94" t="str">
        <f t="shared" si="1"/>
        <v>20190907LIB</v>
      </c>
      <c r="B90" s="94">
        <v>2019</v>
      </c>
      <c r="C90" s="94">
        <v>2</v>
      </c>
      <c r="D90" s="94">
        <v>20190907</v>
      </c>
      <c r="E90" s="94" t="s">
        <v>211</v>
      </c>
      <c r="F90" s="94" t="s">
        <v>205</v>
      </c>
      <c r="G90" s="94" t="s">
        <v>53</v>
      </c>
      <c r="H90" s="94">
        <v>27</v>
      </c>
      <c r="I90" s="94">
        <v>143</v>
      </c>
      <c r="J90" s="94">
        <v>39</v>
      </c>
      <c r="K90" s="94">
        <v>219</v>
      </c>
      <c r="L90" s="94">
        <v>0</v>
      </c>
      <c r="M90" s="94">
        <v>16</v>
      </c>
      <c r="N90" s="94">
        <v>2</v>
      </c>
      <c r="O90" s="94">
        <v>14</v>
      </c>
      <c r="P90" s="94" t="s">
        <v>69</v>
      </c>
      <c r="Q90" s="94" t="s">
        <v>145</v>
      </c>
      <c r="R90" s="94">
        <v>46</v>
      </c>
      <c r="S90" s="94">
        <v>407</v>
      </c>
      <c r="T90" s="94">
        <v>25</v>
      </c>
      <c r="U90" s="94">
        <v>186</v>
      </c>
      <c r="V90" s="94">
        <v>29</v>
      </c>
      <c r="W90" s="94">
        <v>0</v>
      </c>
      <c r="X90" s="94">
        <v>1</v>
      </c>
      <c r="Y90" s="94">
        <v>35</v>
      </c>
      <c r="Z90" s="94">
        <v>14</v>
      </c>
    </row>
    <row r="91" spans="1:26">
      <c r="A91" s="94" t="str">
        <f t="shared" si="1"/>
        <v>20190913BCOL</v>
      </c>
      <c r="B91" s="94">
        <v>2019</v>
      </c>
      <c r="C91" s="94">
        <v>3</v>
      </c>
      <c r="D91" s="94">
        <v>20190913</v>
      </c>
      <c r="E91" s="94" t="s">
        <v>144</v>
      </c>
      <c r="F91" s="94" t="s">
        <v>46</v>
      </c>
      <c r="G91" s="94" t="s">
        <v>146</v>
      </c>
      <c r="H91" s="94">
        <v>47</v>
      </c>
      <c r="I91" s="94">
        <v>228</v>
      </c>
      <c r="J91" s="94">
        <v>41</v>
      </c>
      <c r="K91" s="94">
        <v>219</v>
      </c>
      <c r="L91" s="94">
        <v>0</v>
      </c>
      <c r="M91" s="94">
        <v>203</v>
      </c>
      <c r="N91" s="94">
        <v>1</v>
      </c>
      <c r="O91" s="94">
        <v>24</v>
      </c>
      <c r="P91" s="94" t="s">
        <v>64</v>
      </c>
      <c r="Q91" s="94" t="s">
        <v>209</v>
      </c>
      <c r="R91" s="94">
        <v>45</v>
      </c>
      <c r="S91" s="94">
        <v>329</v>
      </c>
      <c r="T91" s="94">
        <v>27</v>
      </c>
      <c r="U91" s="94">
        <v>238</v>
      </c>
      <c r="V91" s="94">
        <v>0</v>
      </c>
      <c r="W91" s="94">
        <v>96</v>
      </c>
      <c r="X91" s="94">
        <v>0</v>
      </c>
      <c r="Y91" s="94">
        <v>48</v>
      </c>
      <c r="Z91" s="94">
        <v>18.5</v>
      </c>
    </row>
    <row r="92" spans="1:26">
      <c r="A92" s="94" t="str">
        <f t="shared" si="1"/>
        <v>20190913WAKE</v>
      </c>
      <c r="B92" s="94">
        <v>2019</v>
      </c>
      <c r="C92" s="94">
        <v>3</v>
      </c>
      <c r="D92" s="94">
        <v>20190913</v>
      </c>
      <c r="E92" s="94" t="s">
        <v>144</v>
      </c>
      <c r="F92" s="94" t="s">
        <v>21</v>
      </c>
      <c r="G92" s="94" t="s">
        <v>146</v>
      </c>
      <c r="H92" s="94">
        <v>48</v>
      </c>
      <c r="I92" s="94">
        <v>222</v>
      </c>
      <c r="J92" s="94">
        <v>26</v>
      </c>
      <c r="K92" s="94">
        <v>214</v>
      </c>
      <c r="L92" s="94">
        <v>3</v>
      </c>
      <c r="M92" s="94">
        <v>23</v>
      </c>
      <c r="N92" s="94">
        <v>1</v>
      </c>
      <c r="O92" s="94">
        <v>24</v>
      </c>
      <c r="P92" s="94" t="s">
        <v>49</v>
      </c>
      <c r="Q92" s="94" t="s">
        <v>146</v>
      </c>
      <c r="R92" s="94">
        <v>37</v>
      </c>
      <c r="S92" s="94">
        <v>144</v>
      </c>
      <c r="T92" s="94">
        <v>30</v>
      </c>
      <c r="U92" s="94">
        <v>189</v>
      </c>
      <c r="V92" s="94">
        <v>9</v>
      </c>
      <c r="W92" s="94">
        <v>28</v>
      </c>
      <c r="X92" s="94">
        <v>1</v>
      </c>
      <c r="Y92" s="94">
        <v>18</v>
      </c>
      <c r="Z92" s="94">
        <v>3</v>
      </c>
    </row>
    <row r="93" spans="1:26">
      <c r="A93" s="94" t="str">
        <f t="shared" si="1"/>
        <v>20190914ARK</v>
      </c>
      <c r="B93" s="94">
        <v>2019</v>
      </c>
      <c r="C93" s="94">
        <v>3</v>
      </c>
      <c r="D93" s="94">
        <v>20190914</v>
      </c>
      <c r="E93" s="94" t="s">
        <v>144</v>
      </c>
      <c r="F93" s="94" t="s">
        <v>41</v>
      </c>
      <c r="G93" s="94" t="s">
        <v>147</v>
      </c>
      <c r="H93" s="94">
        <v>35</v>
      </c>
      <c r="I93" s="94">
        <v>215</v>
      </c>
      <c r="J93" s="94">
        <v>35</v>
      </c>
      <c r="K93" s="94">
        <v>305</v>
      </c>
      <c r="L93" s="94">
        <v>8</v>
      </c>
      <c r="M93" s="94">
        <v>36</v>
      </c>
      <c r="N93" s="94">
        <v>2</v>
      </c>
      <c r="O93" s="94">
        <v>55</v>
      </c>
      <c r="P93" s="94" t="s">
        <v>7</v>
      </c>
      <c r="Q93" s="94" t="s">
        <v>148</v>
      </c>
      <c r="R93" s="94">
        <v>38</v>
      </c>
      <c r="S93" s="94">
        <v>220</v>
      </c>
      <c r="T93" s="94">
        <v>33</v>
      </c>
      <c r="U93" s="94">
        <v>205</v>
      </c>
      <c r="V93" s="94">
        <v>0</v>
      </c>
      <c r="W93" s="94">
        <v>48</v>
      </c>
      <c r="X93" s="94">
        <v>1</v>
      </c>
      <c r="Y93" s="94">
        <v>34</v>
      </c>
      <c r="Z93" s="94">
        <v>12</v>
      </c>
    </row>
    <row r="94" spans="1:26">
      <c r="A94" s="94" t="str">
        <f t="shared" si="1"/>
        <v>20190914AUB</v>
      </c>
      <c r="B94" s="94">
        <v>2019</v>
      </c>
      <c r="C94" s="94">
        <v>3</v>
      </c>
      <c r="D94" s="94">
        <v>20190914</v>
      </c>
      <c r="E94" s="94" t="s">
        <v>144</v>
      </c>
      <c r="F94" s="94" t="s">
        <v>120</v>
      </c>
      <c r="G94" s="94" t="s">
        <v>147</v>
      </c>
      <c r="H94" s="94">
        <v>62</v>
      </c>
      <c r="I94" s="94">
        <v>467</v>
      </c>
      <c r="J94" s="94">
        <v>17</v>
      </c>
      <c r="K94" s="94">
        <v>166</v>
      </c>
      <c r="L94" s="94">
        <v>0</v>
      </c>
      <c r="M94" s="94">
        <v>10</v>
      </c>
      <c r="N94" s="94">
        <v>0</v>
      </c>
      <c r="O94" s="94">
        <v>55</v>
      </c>
      <c r="P94" s="94" t="s">
        <v>61</v>
      </c>
      <c r="Q94" s="94" t="s">
        <v>149</v>
      </c>
      <c r="R94" s="94">
        <v>32</v>
      </c>
      <c r="S94" s="94">
        <v>92</v>
      </c>
      <c r="T94" s="94">
        <v>36</v>
      </c>
      <c r="U94" s="94">
        <v>229</v>
      </c>
      <c r="V94" s="94">
        <v>0</v>
      </c>
      <c r="W94" s="94">
        <v>7</v>
      </c>
      <c r="X94" s="94">
        <v>0</v>
      </c>
      <c r="Y94" s="94">
        <v>16</v>
      </c>
      <c r="Z94" s="94">
        <v>36</v>
      </c>
    </row>
    <row r="95" spans="1:26">
      <c r="A95" s="94" t="str">
        <f t="shared" si="1"/>
        <v>20190914BALL</v>
      </c>
      <c r="B95" s="94">
        <v>2019</v>
      </c>
      <c r="C95" s="94">
        <v>3</v>
      </c>
      <c r="D95" s="94">
        <v>20190914</v>
      </c>
      <c r="E95" s="94" t="s">
        <v>144</v>
      </c>
      <c r="F95" s="94" t="s">
        <v>12</v>
      </c>
      <c r="G95" s="94" t="s">
        <v>149</v>
      </c>
      <c r="H95" s="94">
        <v>35</v>
      </c>
      <c r="I95" s="94">
        <v>169</v>
      </c>
      <c r="J95" s="94">
        <v>38</v>
      </c>
      <c r="K95" s="94">
        <v>303</v>
      </c>
      <c r="L95" s="94">
        <v>40</v>
      </c>
      <c r="M95" s="94">
        <v>118</v>
      </c>
      <c r="N95" s="94">
        <v>2</v>
      </c>
      <c r="O95" s="94">
        <v>31</v>
      </c>
      <c r="P95" s="94" t="s">
        <v>85</v>
      </c>
      <c r="Q95" s="94" t="s">
        <v>153</v>
      </c>
      <c r="R95" s="94">
        <v>43</v>
      </c>
      <c r="S95" s="94">
        <v>141</v>
      </c>
      <c r="T95" s="94">
        <v>41</v>
      </c>
      <c r="U95" s="94">
        <v>366</v>
      </c>
      <c r="V95" s="94">
        <v>1</v>
      </c>
      <c r="W95" s="94">
        <v>31</v>
      </c>
      <c r="X95" s="94">
        <v>4</v>
      </c>
      <c r="Y95" s="94">
        <v>41</v>
      </c>
      <c r="Z95" s="94">
        <v>3</v>
      </c>
    </row>
    <row r="96" spans="1:26">
      <c r="A96" s="94" t="str">
        <f t="shared" si="1"/>
        <v>20190914BOWL</v>
      </c>
      <c r="B96" s="94">
        <v>2019</v>
      </c>
      <c r="C96" s="94">
        <v>3</v>
      </c>
      <c r="D96" s="94">
        <v>20190914</v>
      </c>
      <c r="E96" s="94" t="s">
        <v>144</v>
      </c>
      <c r="F96" s="94" t="s">
        <v>87</v>
      </c>
      <c r="G96" s="94" t="s">
        <v>149</v>
      </c>
      <c r="H96" s="94">
        <v>47</v>
      </c>
      <c r="I96" s="94">
        <v>119</v>
      </c>
      <c r="J96" s="94">
        <v>38</v>
      </c>
      <c r="K96" s="94">
        <v>171</v>
      </c>
      <c r="L96" s="94">
        <v>11</v>
      </c>
      <c r="M96" s="94">
        <v>142</v>
      </c>
      <c r="N96" s="94">
        <v>2</v>
      </c>
      <c r="O96" s="94">
        <v>7</v>
      </c>
      <c r="P96" s="94" t="s">
        <v>95</v>
      </c>
      <c r="Q96" s="94" t="s">
        <v>153</v>
      </c>
      <c r="R96" s="94">
        <v>36</v>
      </c>
      <c r="S96" s="94">
        <v>129</v>
      </c>
      <c r="T96" s="94">
        <v>32</v>
      </c>
      <c r="U96" s="94">
        <v>324</v>
      </c>
      <c r="V96" s="94">
        <v>9</v>
      </c>
      <c r="W96" s="94">
        <v>42</v>
      </c>
      <c r="X96" s="94">
        <v>1</v>
      </c>
      <c r="Y96" s="94">
        <v>35</v>
      </c>
      <c r="Z96" s="94">
        <v>11</v>
      </c>
    </row>
    <row r="97" spans="1:26">
      <c r="A97" s="94" t="str">
        <f t="shared" si="1"/>
        <v>20190914BYU</v>
      </c>
      <c r="B97" s="94">
        <v>2019</v>
      </c>
      <c r="C97" s="94">
        <v>3</v>
      </c>
      <c r="D97" s="94">
        <v>20190914</v>
      </c>
      <c r="E97" s="94" t="s">
        <v>144</v>
      </c>
      <c r="F97" s="94" t="s">
        <v>43</v>
      </c>
      <c r="G97" s="94" t="s">
        <v>53</v>
      </c>
      <c r="H97" s="94">
        <v>40</v>
      </c>
      <c r="I97" s="94">
        <v>131</v>
      </c>
      <c r="J97" s="94">
        <v>34</v>
      </c>
      <c r="K97" s="94">
        <v>299</v>
      </c>
      <c r="L97" s="94">
        <v>0</v>
      </c>
      <c r="M97" s="94">
        <v>17</v>
      </c>
      <c r="N97" s="94">
        <v>3</v>
      </c>
      <c r="O97" s="94">
        <v>30</v>
      </c>
      <c r="P97" s="94" t="s">
        <v>108</v>
      </c>
      <c r="Q97" s="94" t="s">
        <v>151</v>
      </c>
      <c r="R97" s="94">
        <v>45</v>
      </c>
      <c r="S97" s="94">
        <v>171</v>
      </c>
      <c r="T97" s="94">
        <v>34</v>
      </c>
      <c r="U97" s="94">
        <v>281</v>
      </c>
      <c r="V97" s="94">
        <v>4</v>
      </c>
      <c r="W97" s="94">
        <v>113</v>
      </c>
      <c r="X97" s="94">
        <v>0</v>
      </c>
      <c r="Y97" s="94">
        <v>27</v>
      </c>
      <c r="Z97" s="94">
        <v>2.5</v>
      </c>
    </row>
    <row r="98" spans="1:26">
      <c r="A98" s="94" t="str">
        <f t="shared" si="1"/>
        <v>20190914CAL</v>
      </c>
      <c r="B98" s="94">
        <v>2019</v>
      </c>
      <c r="C98" s="94">
        <v>3</v>
      </c>
      <c r="D98" s="94">
        <v>20190914</v>
      </c>
      <c r="E98" s="94" t="s">
        <v>144</v>
      </c>
      <c r="F98" s="94" t="s">
        <v>48</v>
      </c>
      <c r="G98" s="94" t="s">
        <v>151</v>
      </c>
      <c r="H98" s="94">
        <v>48</v>
      </c>
      <c r="I98" s="94">
        <v>149</v>
      </c>
      <c r="J98" s="94">
        <v>22</v>
      </c>
      <c r="K98" s="94">
        <v>129</v>
      </c>
      <c r="L98" s="94">
        <v>32</v>
      </c>
      <c r="M98" s="94">
        <v>53</v>
      </c>
      <c r="N98" s="94">
        <v>2</v>
      </c>
      <c r="O98" s="94">
        <v>23</v>
      </c>
      <c r="P98" s="94" t="s">
        <v>79</v>
      </c>
      <c r="Q98" s="94" t="s">
        <v>153</v>
      </c>
      <c r="R98" s="94">
        <v>31</v>
      </c>
      <c r="S98" s="94">
        <v>119</v>
      </c>
      <c r="T98" s="94">
        <v>40</v>
      </c>
      <c r="U98" s="94">
        <v>210</v>
      </c>
      <c r="V98" s="94">
        <v>23</v>
      </c>
      <c r="W98" s="94">
        <v>49</v>
      </c>
      <c r="X98" s="94">
        <v>0</v>
      </c>
      <c r="Y98" s="94">
        <v>17</v>
      </c>
      <c r="Z98" s="94">
        <v>13</v>
      </c>
    </row>
    <row r="99" spans="1:26">
      <c r="A99" s="94" t="str">
        <f t="shared" si="1"/>
        <v>20190914CFL</v>
      </c>
      <c r="B99" s="94">
        <v>2019</v>
      </c>
      <c r="C99" s="94">
        <v>3</v>
      </c>
      <c r="D99" s="94">
        <v>20190914</v>
      </c>
      <c r="E99" s="94" t="s">
        <v>144</v>
      </c>
      <c r="F99" s="94" t="s">
        <v>14</v>
      </c>
      <c r="G99" s="94" t="s">
        <v>150</v>
      </c>
      <c r="H99" s="94">
        <v>44</v>
      </c>
      <c r="I99" s="94">
        <v>198</v>
      </c>
      <c r="J99" s="94">
        <v>30</v>
      </c>
      <c r="K99" s="94">
        <v>347</v>
      </c>
      <c r="L99" s="94">
        <v>4</v>
      </c>
      <c r="M99" s="94">
        <v>22</v>
      </c>
      <c r="N99" s="94">
        <v>1</v>
      </c>
      <c r="O99" s="94">
        <v>45</v>
      </c>
      <c r="P99" s="94" t="s">
        <v>33</v>
      </c>
      <c r="Q99" s="94" t="s">
        <v>151</v>
      </c>
      <c r="R99" s="94">
        <v>23</v>
      </c>
      <c r="S99" s="94">
        <v>116</v>
      </c>
      <c r="T99" s="94">
        <v>49</v>
      </c>
      <c r="U99" s="94">
        <v>233</v>
      </c>
      <c r="V99" s="94">
        <v>21</v>
      </c>
      <c r="W99" s="94">
        <v>21</v>
      </c>
      <c r="X99" s="94">
        <v>1</v>
      </c>
      <c r="Y99" s="94">
        <v>27</v>
      </c>
      <c r="Z99" s="94">
        <v>10</v>
      </c>
    </row>
    <row r="100" spans="1:26">
      <c r="A100" s="94" t="str">
        <f t="shared" si="1"/>
        <v>20190914CIN</v>
      </c>
      <c r="B100" s="94">
        <v>2019</v>
      </c>
      <c r="C100" s="94">
        <v>3</v>
      </c>
      <c r="D100" s="94">
        <v>20190914</v>
      </c>
      <c r="E100" s="94" t="s">
        <v>144</v>
      </c>
      <c r="F100" s="94" t="s">
        <v>107</v>
      </c>
      <c r="G100" s="94" t="s">
        <v>150</v>
      </c>
      <c r="H100" s="94">
        <v>48</v>
      </c>
      <c r="I100" s="94">
        <v>234</v>
      </c>
      <c r="J100" s="94">
        <v>30</v>
      </c>
      <c r="K100" s="94">
        <v>186</v>
      </c>
      <c r="L100" s="94">
        <v>57</v>
      </c>
      <c r="M100" s="94">
        <v>53</v>
      </c>
      <c r="N100" s="94">
        <v>1</v>
      </c>
      <c r="O100" s="94">
        <v>35</v>
      </c>
      <c r="P100" s="94" t="s">
        <v>71</v>
      </c>
      <c r="Q100" s="94" t="s">
        <v>149</v>
      </c>
      <c r="R100" s="94">
        <v>40</v>
      </c>
      <c r="S100" s="94">
        <v>64</v>
      </c>
      <c r="T100" s="94">
        <v>18</v>
      </c>
      <c r="U100" s="94">
        <v>143</v>
      </c>
      <c r="V100" s="94">
        <v>14</v>
      </c>
      <c r="W100" s="94">
        <v>93</v>
      </c>
      <c r="X100" s="94">
        <v>1</v>
      </c>
      <c r="Y100" s="94">
        <v>13</v>
      </c>
      <c r="Z100" s="94">
        <v>17</v>
      </c>
    </row>
    <row r="101" spans="1:26">
      <c r="A101" s="94" t="str">
        <f t="shared" si="1"/>
        <v>20190914CMCH</v>
      </c>
      <c r="B101" s="94">
        <v>2019</v>
      </c>
      <c r="C101" s="94">
        <v>3</v>
      </c>
      <c r="D101" s="94">
        <v>20190914</v>
      </c>
      <c r="E101" s="94" t="s">
        <v>144</v>
      </c>
      <c r="F101" s="94" t="s">
        <v>67</v>
      </c>
      <c r="G101" s="94" t="s">
        <v>149</v>
      </c>
      <c r="H101" s="94">
        <v>34</v>
      </c>
      <c r="I101" s="94">
        <v>189</v>
      </c>
      <c r="J101" s="94">
        <v>32</v>
      </c>
      <c r="K101" s="94">
        <v>344</v>
      </c>
      <c r="L101" s="94">
        <v>1</v>
      </c>
      <c r="M101" s="94">
        <v>19</v>
      </c>
      <c r="N101" s="94">
        <v>2</v>
      </c>
      <c r="O101" s="94">
        <v>45</v>
      </c>
      <c r="P101" s="94" t="s">
        <v>118</v>
      </c>
      <c r="Q101" s="94" t="s">
        <v>149</v>
      </c>
      <c r="R101" s="94">
        <v>29</v>
      </c>
      <c r="S101" s="94">
        <v>47</v>
      </c>
      <c r="T101" s="94">
        <v>47</v>
      </c>
      <c r="U101" s="94">
        <v>282</v>
      </c>
      <c r="V101" s="94">
        <v>6</v>
      </c>
      <c r="W101" s="94">
        <v>152</v>
      </c>
      <c r="X101" s="94">
        <v>1</v>
      </c>
      <c r="Y101" s="94">
        <v>24</v>
      </c>
      <c r="Z101" s="94">
        <v>6</v>
      </c>
    </row>
    <row r="102" spans="1:26">
      <c r="A102" s="94" t="str">
        <f t="shared" si="1"/>
        <v>20190914COLO</v>
      </c>
      <c r="B102" s="94">
        <v>2019</v>
      </c>
      <c r="C102" s="94">
        <v>3</v>
      </c>
      <c r="D102" s="94">
        <v>20190914</v>
      </c>
      <c r="E102" s="94" t="s">
        <v>144</v>
      </c>
      <c r="F102" s="94" t="s">
        <v>128</v>
      </c>
      <c r="G102" s="94" t="s">
        <v>151</v>
      </c>
      <c r="H102" s="94">
        <v>32</v>
      </c>
      <c r="I102" s="94">
        <v>105</v>
      </c>
      <c r="J102" s="94">
        <v>43</v>
      </c>
      <c r="K102" s="94">
        <v>220</v>
      </c>
      <c r="L102" s="94">
        <v>0</v>
      </c>
      <c r="M102" s="94">
        <v>17</v>
      </c>
      <c r="N102" s="94">
        <v>3</v>
      </c>
      <c r="O102" s="94">
        <v>23</v>
      </c>
      <c r="P102" s="94" t="s">
        <v>39</v>
      </c>
      <c r="Q102" s="94" t="s">
        <v>148</v>
      </c>
      <c r="R102" s="94">
        <v>52</v>
      </c>
      <c r="S102" s="94">
        <v>289</v>
      </c>
      <c r="T102" s="94">
        <v>12</v>
      </c>
      <c r="U102" s="94">
        <v>155</v>
      </c>
      <c r="V102" s="94">
        <v>4</v>
      </c>
      <c r="W102" s="94">
        <v>0</v>
      </c>
      <c r="X102" s="94">
        <v>1</v>
      </c>
      <c r="Y102" s="94">
        <v>30</v>
      </c>
      <c r="Z102" s="94">
        <v>3</v>
      </c>
    </row>
    <row r="103" spans="1:26">
      <c r="A103" s="94" t="str">
        <f t="shared" si="1"/>
        <v>20190914GEO</v>
      </c>
      <c r="B103" s="94">
        <v>2019</v>
      </c>
      <c r="C103" s="94">
        <v>3</v>
      </c>
      <c r="D103" s="94">
        <v>20190914</v>
      </c>
      <c r="E103" s="94" t="s">
        <v>144</v>
      </c>
      <c r="F103" s="94" t="s">
        <v>56</v>
      </c>
      <c r="G103" s="94" t="s">
        <v>147</v>
      </c>
      <c r="H103" s="94">
        <v>33</v>
      </c>
      <c r="I103" s="94">
        <v>268</v>
      </c>
      <c r="J103" s="94">
        <v>33</v>
      </c>
      <c r="K103" s="94">
        <v>388</v>
      </c>
      <c r="L103" s="94">
        <v>17</v>
      </c>
      <c r="M103" s="94">
        <v>0</v>
      </c>
      <c r="N103" s="94">
        <v>1</v>
      </c>
      <c r="O103" s="94">
        <v>55</v>
      </c>
      <c r="P103" s="94" t="s">
        <v>40</v>
      </c>
      <c r="Q103" s="94" t="s">
        <v>145</v>
      </c>
      <c r="R103" s="94">
        <v>28</v>
      </c>
      <c r="S103" s="94">
        <v>43</v>
      </c>
      <c r="T103" s="94">
        <v>40</v>
      </c>
      <c r="U103" s="94">
        <v>177</v>
      </c>
      <c r="V103" s="94">
        <v>8</v>
      </c>
      <c r="W103" s="94">
        <v>12</v>
      </c>
      <c r="X103" s="94">
        <v>0</v>
      </c>
      <c r="Y103" s="94">
        <v>0</v>
      </c>
      <c r="Z103" s="94">
        <v>33.5</v>
      </c>
    </row>
    <row r="104" spans="1:26">
      <c r="A104" s="94" t="str">
        <f t="shared" si="1"/>
        <v>20190914ILL</v>
      </c>
      <c r="B104" s="94">
        <v>2019</v>
      </c>
      <c r="C104" s="94">
        <v>3</v>
      </c>
      <c r="D104" s="94">
        <v>20190914</v>
      </c>
      <c r="E104" s="94" t="s">
        <v>144</v>
      </c>
      <c r="F104" s="94" t="s">
        <v>60</v>
      </c>
      <c r="G104" s="94" t="s">
        <v>152</v>
      </c>
      <c r="H104" s="94">
        <v>40</v>
      </c>
      <c r="I104" s="94">
        <v>167</v>
      </c>
      <c r="J104" s="94">
        <v>37</v>
      </c>
      <c r="K104" s="94">
        <v>297</v>
      </c>
      <c r="L104" s="94">
        <v>6</v>
      </c>
      <c r="M104" s="94">
        <v>0</v>
      </c>
      <c r="N104" s="94">
        <v>1</v>
      </c>
      <c r="O104" s="94">
        <v>31</v>
      </c>
      <c r="P104" s="94" t="s">
        <v>29</v>
      </c>
      <c r="Q104" s="94" t="s">
        <v>149</v>
      </c>
      <c r="R104" s="94">
        <v>40</v>
      </c>
      <c r="S104" s="94">
        <v>164</v>
      </c>
      <c r="T104" s="94">
        <v>36</v>
      </c>
      <c r="U104" s="94">
        <v>316</v>
      </c>
      <c r="V104" s="94">
        <v>32</v>
      </c>
      <c r="W104" s="94">
        <v>0</v>
      </c>
      <c r="X104" s="94">
        <v>2</v>
      </c>
      <c r="Y104" s="94">
        <v>34</v>
      </c>
      <c r="Z104" s="94">
        <v>7</v>
      </c>
    </row>
    <row r="105" spans="1:26">
      <c r="A105" s="94" t="str">
        <f t="shared" si="1"/>
        <v>20190914IND</v>
      </c>
      <c r="B105" s="94">
        <v>2019</v>
      </c>
      <c r="C105" s="94">
        <v>3</v>
      </c>
      <c r="D105" s="94">
        <v>20190914</v>
      </c>
      <c r="E105" s="94" t="s">
        <v>144</v>
      </c>
      <c r="F105" s="94" t="s">
        <v>53</v>
      </c>
      <c r="G105" s="94" t="s">
        <v>152</v>
      </c>
      <c r="H105" s="94">
        <v>31</v>
      </c>
      <c r="I105" s="94">
        <v>42</v>
      </c>
      <c r="J105" s="94">
        <v>36</v>
      </c>
      <c r="K105" s="94">
        <v>215</v>
      </c>
      <c r="L105" s="94">
        <v>1</v>
      </c>
      <c r="M105" s="94">
        <v>113</v>
      </c>
      <c r="N105" s="94">
        <v>1</v>
      </c>
      <c r="O105" s="94">
        <v>10</v>
      </c>
      <c r="P105" s="94" t="s">
        <v>81</v>
      </c>
      <c r="Q105" s="94" t="s">
        <v>152</v>
      </c>
      <c r="R105" s="94">
        <v>42</v>
      </c>
      <c r="S105" s="94">
        <v>306</v>
      </c>
      <c r="T105" s="94">
        <v>29</v>
      </c>
      <c r="U105" s="94">
        <v>214</v>
      </c>
      <c r="V105" s="94">
        <v>19</v>
      </c>
      <c r="W105" s="94">
        <v>32</v>
      </c>
      <c r="X105" s="94">
        <v>1</v>
      </c>
      <c r="Y105" s="94">
        <v>51</v>
      </c>
      <c r="Z105" s="94">
        <v>18.5</v>
      </c>
    </row>
    <row r="106" spans="1:26">
      <c r="A106" s="94" t="str">
        <f t="shared" si="1"/>
        <v>20190914IWST</v>
      </c>
      <c r="B106" s="94">
        <v>2019</v>
      </c>
      <c r="C106" s="94">
        <v>3</v>
      </c>
      <c r="D106" s="94">
        <v>20190914</v>
      </c>
      <c r="E106" s="94" t="s">
        <v>144</v>
      </c>
      <c r="F106" s="94" t="s">
        <v>122</v>
      </c>
      <c r="G106" s="94" t="s">
        <v>209</v>
      </c>
      <c r="H106" s="94">
        <v>19</v>
      </c>
      <c r="I106" s="94">
        <v>91</v>
      </c>
      <c r="J106" s="94">
        <v>35</v>
      </c>
      <c r="K106" s="94">
        <v>327</v>
      </c>
      <c r="L106" s="94">
        <v>0</v>
      </c>
      <c r="M106" s="94">
        <v>46</v>
      </c>
      <c r="N106" s="94">
        <v>0</v>
      </c>
      <c r="O106" s="94">
        <v>17</v>
      </c>
      <c r="P106" s="94" t="s">
        <v>62</v>
      </c>
      <c r="Q106" s="94" t="s">
        <v>152</v>
      </c>
      <c r="R106" s="94">
        <v>37</v>
      </c>
      <c r="S106" s="94">
        <v>112</v>
      </c>
      <c r="T106" s="94">
        <v>35</v>
      </c>
      <c r="U106" s="94">
        <v>201</v>
      </c>
      <c r="V106" s="94">
        <v>15</v>
      </c>
      <c r="W106" s="94">
        <v>35</v>
      </c>
      <c r="X106" s="94">
        <v>2</v>
      </c>
      <c r="Y106" s="94">
        <v>18</v>
      </c>
      <c r="Z106" s="94">
        <v>2.5</v>
      </c>
    </row>
    <row r="107" spans="1:26">
      <c r="A107" s="94" t="str">
        <f t="shared" si="1"/>
        <v>20190914KTKY</v>
      </c>
      <c r="B107" s="94">
        <v>2019</v>
      </c>
      <c r="C107" s="94">
        <v>3</v>
      </c>
      <c r="D107" s="94">
        <v>20190914</v>
      </c>
      <c r="E107" s="94" t="s">
        <v>144</v>
      </c>
      <c r="F107" s="94" t="s">
        <v>66</v>
      </c>
      <c r="G107" s="94" t="s">
        <v>147</v>
      </c>
      <c r="H107" s="94">
        <v>41</v>
      </c>
      <c r="I107" s="94">
        <v>140</v>
      </c>
      <c r="J107" s="94">
        <v>35</v>
      </c>
      <c r="K107" s="94">
        <v>267</v>
      </c>
      <c r="L107" s="94">
        <v>0</v>
      </c>
      <c r="M107" s="94">
        <v>18</v>
      </c>
      <c r="N107" s="94">
        <v>2</v>
      </c>
      <c r="O107" s="94">
        <v>21</v>
      </c>
      <c r="P107" s="94" t="s">
        <v>54</v>
      </c>
      <c r="Q107" s="94" t="s">
        <v>147</v>
      </c>
      <c r="R107" s="94">
        <v>26</v>
      </c>
      <c r="S107" s="94">
        <v>138</v>
      </c>
      <c r="T107" s="94">
        <v>30</v>
      </c>
      <c r="U107" s="94">
        <v>300</v>
      </c>
      <c r="V107" s="94">
        <v>0</v>
      </c>
      <c r="W107" s="94">
        <v>0</v>
      </c>
      <c r="X107" s="94">
        <v>4</v>
      </c>
      <c r="Y107" s="94">
        <v>29</v>
      </c>
      <c r="Z107" s="94">
        <v>8.5</v>
      </c>
    </row>
    <row r="108" spans="1:26">
      <c r="A108" s="94" t="str">
        <f t="shared" si="1"/>
        <v>20190914MCST</v>
      </c>
      <c r="B108" s="94">
        <v>2019</v>
      </c>
      <c r="C108" s="94">
        <v>3</v>
      </c>
      <c r="D108" s="94">
        <v>20190914</v>
      </c>
      <c r="E108" s="94" t="s">
        <v>144</v>
      </c>
      <c r="F108" s="94" t="s">
        <v>30</v>
      </c>
      <c r="G108" s="94" t="s">
        <v>152</v>
      </c>
      <c r="H108" s="94">
        <v>35</v>
      </c>
      <c r="I108" s="94">
        <v>113</v>
      </c>
      <c r="J108" s="94">
        <v>39</v>
      </c>
      <c r="K108" s="94">
        <v>291</v>
      </c>
      <c r="L108" s="94">
        <v>11</v>
      </c>
      <c r="M108" s="94">
        <v>19</v>
      </c>
      <c r="N108" s="94">
        <v>0</v>
      </c>
      <c r="O108" s="94">
        <v>7</v>
      </c>
      <c r="P108" s="94" t="s">
        <v>44</v>
      </c>
      <c r="Q108" s="94" t="s">
        <v>151</v>
      </c>
      <c r="R108" s="94">
        <v>26</v>
      </c>
      <c r="S108" s="94">
        <v>76</v>
      </c>
      <c r="T108" s="94">
        <v>26</v>
      </c>
      <c r="U108" s="94">
        <v>140</v>
      </c>
      <c r="V108" s="94">
        <v>3</v>
      </c>
      <c r="W108" s="94">
        <v>20</v>
      </c>
      <c r="X108" s="94">
        <v>1</v>
      </c>
      <c r="Y108" s="94">
        <v>10</v>
      </c>
      <c r="Z108" s="94">
        <v>10.5</v>
      </c>
    </row>
    <row r="109" spans="1:26">
      <c r="A109" s="94" t="str">
        <f t="shared" si="1"/>
        <v>20190914MIN</v>
      </c>
      <c r="B109" s="94">
        <v>2019</v>
      </c>
      <c r="C109" s="94">
        <v>3</v>
      </c>
      <c r="D109" s="94">
        <v>20190914</v>
      </c>
      <c r="E109" s="94" t="s">
        <v>144</v>
      </c>
      <c r="F109" s="94" t="s">
        <v>16</v>
      </c>
      <c r="G109" s="94" t="s">
        <v>152</v>
      </c>
      <c r="H109" s="94">
        <v>48</v>
      </c>
      <c r="I109" s="94">
        <v>93</v>
      </c>
      <c r="J109" s="94">
        <v>31</v>
      </c>
      <c r="K109" s="94">
        <v>289</v>
      </c>
      <c r="L109" s="94">
        <v>19</v>
      </c>
      <c r="M109" s="94">
        <v>11</v>
      </c>
      <c r="N109" s="94">
        <v>2</v>
      </c>
      <c r="O109" s="94">
        <v>35</v>
      </c>
      <c r="P109" s="94" t="s">
        <v>57</v>
      </c>
      <c r="Q109" s="94" t="s">
        <v>145</v>
      </c>
      <c r="R109" s="94">
        <v>33</v>
      </c>
      <c r="S109" s="94">
        <v>123</v>
      </c>
      <c r="T109" s="94">
        <v>9</v>
      </c>
      <c r="U109" s="94">
        <v>75</v>
      </c>
      <c r="V109" s="94">
        <v>0</v>
      </c>
      <c r="W109" s="94">
        <v>39</v>
      </c>
      <c r="X109" s="94">
        <v>2</v>
      </c>
      <c r="Y109" s="94">
        <v>32</v>
      </c>
      <c r="Z109" s="94">
        <v>15.5</v>
      </c>
    </row>
    <row r="110" spans="1:26">
      <c r="A110" s="94" t="str">
        <f t="shared" si="1"/>
        <v>20190914MRSH</v>
      </c>
      <c r="B110" s="94">
        <v>2019</v>
      </c>
      <c r="C110" s="94">
        <v>3</v>
      </c>
      <c r="D110" s="94">
        <v>20190914</v>
      </c>
      <c r="E110" s="94" t="s">
        <v>144</v>
      </c>
      <c r="F110" s="94" t="s">
        <v>72</v>
      </c>
      <c r="G110" s="94" t="s">
        <v>153</v>
      </c>
      <c r="H110" s="94">
        <v>46</v>
      </c>
      <c r="I110" s="94">
        <v>305</v>
      </c>
      <c r="J110" s="94">
        <v>28</v>
      </c>
      <c r="K110" s="94">
        <v>206</v>
      </c>
      <c r="L110" s="94">
        <v>0</v>
      </c>
      <c r="M110" s="94">
        <v>23</v>
      </c>
      <c r="N110" s="94">
        <v>1</v>
      </c>
      <c r="O110" s="94">
        <v>33</v>
      </c>
      <c r="P110" s="94" t="s">
        <v>83</v>
      </c>
      <c r="Q110" s="94" t="s">
        <v>149</v>
      </c>
      <c r="R110" s="94">
        <v>31</v>
      </c>
      <c r="S110" s="94">
        <v>223</v>
      </c>
      <c r="T110" s="94">
        <v>26</v>
      </c>
      <c r="U110" s="94">
        <v>215</v>
      </c>
      <c r="V110" s="94">
        <v>32</v>
      </c>
      <c r="W110" s="94">
        <v>136</v>
      </c>
      <c r="X110" s="94">
        <v>0</v>
      </c>
      <c r="Y110" s="94">
        <v>31</v>
      </c>
      <c r="Z110" s="94">
        <v>4</v>
      </c>
    </row>
    <row r="111" spans="1:26">
      <c r="A111" s="94" t="str">
        <f t="shared" si="1"/>
        <v>20190914MSST</v>
      </c>
      <c r="B111" s="94">
        <v>2019</v>
      </c>
      <c r="C111" s="94">
        <v>3</v>
      </c>
      <c r="D111" s="94">
        <v>20190914</v>
      </c>
      <c r="E111" s="94" t="s">
        <v>144</v>
      </c>
      <c r="F111" s="94" t="s">
        <v>74</v>
      </c>
      <c r="G111" s="94" t="s">
        <v>147</v>
      </c>
      <c r="H111" s="94">
        <v>44</v>
      </c>
      <c r="I111" s="94">
        <v>201</v>
      </c>
      <c r="J111" s="94">
        <v>27</v>
      </c>
      <c r="K111" s="94">
        <v>151</v>
      </c>
      <c r="L111" s="94">
        <v>1</v>
      </c>
      <c r="M111" s="94">
        <v>71</v>
      </c>
      <c r="N111" s="94">
        <v>3</v>
      </c>
      <c r="O111" s="94">
        <v>24</v>
      </c>
      <c r="P111" s="94" t="s">
        <v>65</v>
      </c>
      <c r="Q111" s="94" t="s">
        <v>209</v>
      </c>
      <c r="R111" s="94">
        <v>35</v>
      </c>
      <c r="S111" s="94">
        <v>146</v>
      </c>
      <c r="T111" s="94">
        <v>18</v>
      </c>
      <c r="U111" s="94">
        <v>123</v>
      </c>
      <c r="V111" s="94">
        <v>44</v>
      </c>
      <c r="W111" s="94">
        <v>124</v>
      </c>
      <c r="X111" s="94">
        <v>3</v>
      </c>
      <c r="Y111" s="94">
        <v>31</v>
      </c>
      <c r="Z111" s="94">
        <v>7</v>
      </c>
    </row>
    <row r="112" spans="1:26">
      <c r="A112" s="94" t="str">
        <f t="shared" si="1"/>
        <v>20190914MTEN</v>
      </c>
      <c r="B112" s="94">
        <v>2019</v>
      </c>
      <c r="C112" s="94">
        <v>3</v>
      </c>
      <c r="D112" s="94">
        <v>20190914</v>
      </c>
      <c r="E112" s="94" t="s">
        <v>144</v>
      </c>
      <c r="F112" s="94" t="s">
        <v>112</v>
      </c>
      <c r="G112" s="94" t="s">
        <v>153</v>
      </c>
      <c r="H112" s="94">
        <v>32</v>
      </c>
      <c r="I112" s="94">
        <v>138</v>
      </c>
      <c r="J112" s="94">
        <v>27</v>
      </c>
      <c r="K112" s="94">
        <v>201</v>
      </c>
      <c r="L112" s="94">
        <v>0</v>
      </c>
      <c r="M112" s="94">
        <v>30</v>
      </c>
      <c r="N112" s="94">
        <v>0</v>
      </c>
      <c r="O112" s="94">
        <v>18</v>
      </c>
      <c r="P112" s="94" t="s">
        <v>27</v>
      </c>
      <c r="Q112" s="94" t="s">
        <v>146</v>
      </c>
      <c r="R112" s="94">
        <v>45</v>
      </c>
      <c r="S112" s="94">
        <v>226</v>
      </c>
      <c r="T112" s="94">
        <v>27</v>
      </c>
      <c r="U112" s="94">
        <v>237</v>
      </c>
      <c r="V112" s="94">
        <v>0</v>
      </c>
      <c r="W112" s="94">
        <v>90</v>
      </c>
      <c r="X112" s="94">
        <v>0</v>
      </c>
      <c r="Y112" s="94">
        <v>41</v>
      </c>
      <c r="Z112" s="94">
        <v>6.5</v>
      </c>
    </row>
    <row r="113" spans="1:26">
      <c r="A113" s="94" t="str">
        <f t="shared" si="1"/>
        <v>20190914NAVY</v>
      </c>
      <c r="B113" s="94">
        <v>2019</v>
      </c>
      <c r="C113" s="94">
        <v>3</v>
      </c>
      <c r="D113" s="94">
        <v>20190914</v>
      </c>
      <c r="E113" s="94" t="s">
        <v>144</v>
      </c>
      <c r="F113" s="94" t="s">
        <v>59</v>
      </c>
      <c r="G113" s="94" t="s">
        <v>150</v>
      </c>
      <c r="H113" s="94">
        <v>64</v>
      </c>
      <c r="I113" s="94">
        <v>315</v>
      </c>
      <c r="J113" s="94">
        <v>8</v>
      </c>
      <c r="K113" s="94">
        <v>153</v>
      </c>
      <c r="L113" s="94">
        <v>15</v>
      </c>
      <c r="M113" s="94">
        <v>21</v>
      </c>
      <c r="N113" s="94">
        <v>2</v>
      </c>
      <c r="O113" s="94">
        <v>42</v>
      </c>
      <c r="P113" s="94" t="s">
        <v>115</v>
      </c>
      <c r="Q113" s="94" t="s">
        <v>150</v>
      </c>
      <c r="R113" s="94">
        <v>29</v>
      </c>
      <c r="S113" s="94">
        <v>84</v>
      </c>
      <c r="T113" s="94">
        <v>23</v>
      </c>
      <c r="U113" s="94">
        <v>138</v>
      </c>
      <c r="V113" s="94">
        <v>0</v>
      </c>
      <c r="W113" s="94">
        <v>75</v>
      </c>
      <c r="X113" s="94">
        <v>1</v>
      </c>
      <c r="Y113" s="94">
        <v>10</v>
      </c>
      <c r="Z113" s="94">
        <v>7.5</v>
      </c>
    </row>
    <row r="114" spans="1:26">
      <c r="A114" s="94" t="str">
        <f t="shared" si="1"/>
        <v>20190914NEB</v>
      </c>
      <c r="B114" s="94">
        <v>2019</v>
      </c>
      <c r="C114" s="94">
        <v>3</v>
      </c>
      <c r="D114" s="94">
        <v>20190914</v>
      </c>
      <c r="E114" s="94" t="s">
        <v>144</v>
      </c>
      <c r="F114" s="94" t="s">
        <v>127</v>
      </c>
      <c r="G114" s="94" t="s">
        <v>152</v>
      </c>
      <c r="H114" s="94">
        <v>33</v>
      </c>
      <c r="I114" s="94">
        <v>238</v>
      </c>
      <c r="J114" s="94">
        <v>32</v>
      </c>
      <c r="K114" s="94">
        <v>287</v>
      </c>
      <c r="L114" s="94">
        <v>20</v>
      </c>
      <c r="M114" s="94">
        <v>18</v>
      </c>
      <c r="N114" s="94">
        <v>2</v>
      </c>
      <c r="O114" s="94">
        <v>44</v>
      </c>
      <c r="P114" s="94" t="s">
        <v>63</v>
      </c>
      <c r="Q114" s="94" t="s">
        <v>149</v>
      </c>
      <c r="R114" s="94">
        <v>32</v>
      </c>
      <c r="S114" s="94">
        <v>74</v>
      </c>
      <c r="T114" s="94">
        <v>49</v>
      </c>
      <c r="U114" s="94">
        <v>276</v>
      </c>
      <c r="V114" s="94">
        <v>5</v>
      </c>
      <c r="W114" s="94">
        <v>49</v>
      </c>
      <c r="X114" s="94">
        <v>1</v>
      </c>
      <c r="Y114" s="94">
        <v>8</v>
      </c>
      <c r="Z114" s="94">
        <v>14</v>
      </c>
    </row>
    <row r="115" spans="1:26">
      <c r="A115" s="94" t="str">
        <f t="shared" si="1"/>
        <v>20190914NORW</v>
      </c>
      <c r="B115" s="94">
        <v>2019</v>
      </c>
      <c r="C115" s="94">
        <v>3</v>
      </c>
      <c r="D115" s="94">
        <v>20190914</v>
      </c>
      <c r="E115" s="94" t="s">
        <v>144</v>
      </c>
      <c r="F115" s="94" t="s">
        <v>18</v>
      </c>
      <c r="G115" s="94" t="s">
        <v>152</v>
      </c>
      <c r="H115" s="94">
        <v>50</v>
      </c>
      <c r="I115" s="94">
        <v>276</v>
      </c>
      <c r="J115" s="94">
        <v>25</v>
      </c>
      <c r="K115" s="94">
        <v>165</v>
      </c>
      <c r="L115" s="94">
        <v>17</v>
      </c>
      <c r="M115" s="94">
        <v>22</v>
      </c>
      <c r="N115" s="94">
        <v>3</v>
      </c>
      <c r="O115" s="94">
        <v>30</v>
      </c>
      <c r="P115" s="94" t="s">
        <v>109</v>
      </c>
      <c r="Q115" s="94" t="s">
        <v>148</v>
      </c>
      <c r="R115" s="94">
        <v>36</v>
      </c>
      <c r="S115" s="94">
        <v>210</v>
      </c>
      <c r="T115" s="94">
        <v>26</v>
      </c>
      <c r="U115" s="94">
        <v>120</v>
      </c>
      <c r="V115" s="94">
        <v>7</v>
      </c>
      <c r="W115" s="94">
        <v>136</v>
      </c>
      <c r="X115" s="94">
        <v>1</v>
      </c>
      <c r="Y115" s="94">
        <v>14</v>
      </c>
      <c r="Z115" s="94">
        <v>17</v>
      </c>
    </row>
    <row r="116" spans="1:26">
      <c r="A116" s="94" t="str">
        <f t="shared" si="1"/>
        <v>20190914NOTD</v>
      </c>
      <c r="B116" s="94">
        <v>2019</v>
      </c>
      <c r="C116" s="94">
        <v>3</v>
      </c>
      <c r="D116" s="94">
        <v>20190914</v>
      </c>
      <c r="E116" s="94" t="s">
        <v>144</v>
      </c>
      <c r="F116" s="94" t="s">
        <v>77</v>
      </c>
      <c r="G116" s="94" t="s">
        <v>53</v>
      </c>
      <c r="H116" s="94">
        <v>38</v>
      </c>
      <c r="I116" s="94">
        <v>157</v>
      </c>
      <c r="J116" s="94">
        <v>27</v>
      </c>
      <c r="K116" s="94">
        <v>434</v>
      </c>
      <c r="L116" s="94">
        <v>17</v>
      </c>
      <c r="M116" s="94">
        <v>64</v>
      </c>
      <c r="N116" s="94">
        <v>4</v>
      </c>
      <c r="O116" s="94">
        <v>66</v>
      </c>
      <c r="P116" s="94" t="s">
        <v>76</v>
      </c>
      <c r="Q116" s="94" t="s">
        <v>148</v>
      </c>
      <c r="R116" s="94">
        <v>46</v>
      </c>
      <c r="S116" s="94">
        <v>212</v>
      </c>
      <c r="T116" s="94">
        <v>29</v>
      </c>
      <c r="U116" s="94">
        <v>151</v>
      </c>
      <c r="V116" s="94">
        <v>2</v>
      </c>
      <c r="W116" s="94">
        <v>30</v>
      </c>
      <c r="X116" s="94">
        <v>0</v>
      </c>
      <c r="Y116" s="94">
        <v>14</v>
      </c>
      <c r="Z116" s="94">
        <v>36</v>
      </c>
    </row>
    <row r="117" spans="1:26">
      <c r="A117" s="94" t="str">
        <f t="shared" si="1"/>
        <v>20190914PNST</v>
      </c>
      <c r="B117" s="94">
        <v>2019</v>
      </c>
      <c r="C117" s="94">
        <v>3</v>
      </c>
      <c r="D117" s="94">
        <v>20190914</v>
      </c>
      <c r="E117" s="94" t="s">
        <v>144</v>
      </c>
      <c r="F117" s="94" t="s">
        <v>89</v>
      </c>
      <c r="G117" s="94" t="s">
        <v>152</v>
      </c>
      <c r="H117" s="94">
        <v>32</v>
      </c>
      <c r="I117" s="94">
        <v>167</v>
      </c>
      <c r="J117" s="94">
        <v>30</v>
      </c>
      <c r="K117" s="94">
        <v>222</v>
      </c>
      <c r="L117" s="94">
        <v>5</v>
      </c>
      <c r="M117" s="94">
        <v>57</v>
      </c>
      <c r="N117" s="94">
        <v>0</v>
      </c>
      <c r="O117" s="94">
        <v>17</v>
      </c>
      <c r="P117" s="94" t="s">
        <v>88</v>
      </c>
      <c r="Q117" s="94" t="s">
        <v>146</v>
      </c>
      <c r="R117" s="94">
        <v>25</v>
      </c>
      <c r="S117" s="94">
        <v>24</v>
      </c>
      <c r="T117" s="94">
        <v>51</v>
      </c>
      <c r="U117" s="94">
        <v>372</v>
      </c>
      <c r="V117" s="94">
        <v>8</v>
      </c>
      <c r="W117" s="94">
        <v>0</v>
      </c>
      <c r="X117" s="94">
        <v>0</v>
      </c>
      <c r="Y117" s="94">
        <v>10</v>
      </c>
      <c r="Z117" s="94">
        <v>17</v>
      </c>
    </row>
    <row r="118" spans="1:26">
      <c r="A118" s="94" t="str">
        <f t="shared" si="1"/>
        <v>20190914PUR</v>
      </c>
      <c r="B118" s="94">
        <v>2019</v>
      </c>
      <c r="C118" s="94">
        <v>3</v>
      </c>
      <c r="D118" s="94">
        <v>20190914</v>
      </c>
      <c r="E118" s="94" t="s">
        <v>144</v>
      </c>
      <c r="F118" s="94" t="s">
        <v>17</v>
      </c>
      <c r="G118" s="94" t="s">
        <v>152</v>
      </c>
      <c r="H118" s="94">
        <v>25</v>
      </c>
      <c r="I118" s="94">
        <v>23</v>
      </c>
      <c r="J118" s="94">
        <v>29</v>
      </c>
      <c r="K118" s="94">
        <v>181</v>
      </c>
      <c r="L118" s="94">
        <v>0</v>
      </c>
      <c r="M118" s="94">
        <v>55</v>
      </c>
      <c r="N118" s="94">
        <v>1</v>
      </c>
      <c r="O118" s="94">
        <v>13</v>
      </c>
      <c r="P118" s="94" t="s">
        <v>100</v>
      </c>
      <c r="Q118" s="94" t="s">
        <v>209</v>
      </c>
      <c r="R118" s="94">
        <v>58</v>
      </c>
      <c r="S118" s="94">
        <v>346</v>
      </c>
      <c r="T118" s="94">
        <v>24</v>
      </c>
      <c r="U118" s="94">
        <v>75</v>
      </c>
      <c r="V118" s="94">
        <v>8</v>
      </c>
      <c r="W118" s="94">
        <v>0</v>
      </c>
      <c r="X118" s="94">
        <v>2</v>
      </c>
      <c r="Y118" s="94">
        <v>34</v>
      </c>
      <c r="Z118" s="94">
        <v>2.5</v>
      </c>
    </row>
    <row r="119" spans="1:26">
      <c r="A119" s="94" t="str">
        <f t="shared" si="1"/>
        <v>20190914SALA</v>
      </c>
      <c r="B119" s="94">
        <v>2019</v>
      </c>
      <c r="C119" s="94">
        <v>3</v>
      </c>
      <c r="D119" s="94">
        <v>20190914</v>
      </c>
      <c r="E119" s="94" t="s">
        <v>144</v>
      </c>
      <c r="F119" s="94" t="s">
        <v>94</v>
      </c>
      <c r="G119" s="94" t="s">
        <v>145</v>
      </c>
      <c r="H119" s="94">
        <v>39</v>
      </c>
      <c r="I119" s="94">
        <v>101</v>
      </c>
      <c r="J119" s="94">
        <v>26</v>
      </c>
      <c r="K119" s="94">
        <v>147</v>
      </c>
      <c r="L119" s="94">
        <v>3</v>
      </c>
      <c r="M119" s="94">
        <v>28</v>
      </c>
      <c r="N119" s="94">
        <v>2</v>
      </c>
      <c r="O119" s="94">
        <v>6</v>
      </c>
      <c r="P119" s="94" t="s">
        <v>70</v>
      </c>
      <c r="Q119" s="94" t="s">
        <v>150</v>
      </c>
      <c r="R119" s="94">
        <v>45</v>
      </c>
      <c r="S119" s="94">
        <v>312</v>
      </c>
      <c r="T119" s="94">
        <v>22</v>
      </c>
      <c r="U119" s="94">
        <v>218</v>
      </c>
      <c r="V119" s="94">
        <v>11</v>
      </c>
      <c r="W119" s="94">
        <v>72</v>
      </c>
      <c r="X119" s="94">
        <v>3</v>
      </c>
      <c r="Y119" s="94">
        <v>42</v>
      </c>
      <c r="Z119" s="94">
        <v>20.5</v>
      </c>
    </row>
    <row r="120" spans="1:26">
      <c r="A120" s="94" t="str">
        <f t="shared" si="1"/>
        <v>20190914SCAR</v>
      </c>
      <c r="B120" s="94">
        <v>2019</v>
      </c>
      <c r="C120" s="94">
        <v>3</v>
      </c>
      <c r="D120" s="94">
        <v>20190914</v>
      </c>
      <c r="E120" s="94" t="s">
        <v>144</v>
      </c>
      <c r="F120" s="94" t="s">
        <v>96</v>
      </c>
      <c r="G120" s="94" t="s">
        <v>147</v>
      </c>
      <c r="H120" s="94">
        <v>29</v>
      </c>
      <c r="I120" s="94">
        <v>135</v>
      </c>
      <c r="J120" s="94">
        <v>57</v>
      </c>
      <c r="K120" s="94">
        <v>324</v>
      </c>
      <c r="L120" s="94">
        <v>0</v>
      </c>
      <c r="M120" s="94">
        <v>62</v>
      </c>
      <c r="N120" s="94">
        <v>0</v>
      </c>
      <c r="O120" s="94">
        <v>23</v>
      </c>
      <c r="P120" s="94" t="s">
        <v>119</v>
      </c>
      <c r="Q120" s="94" t="s">
        <v>147</v>
      </c>
      <c r="R120" s="94">
        <v>25</v>
      </c>
      <c r="S120" s="94">
        <v>76</v>
      </c>
      <c r="T120" s="94">
        <v>39</v>
      </c>
      <c r="U120" s="94">
        <v>495</v>
      </c>
      <c r="V120" s="94">
        <v>18</v>
      </c>
      <c r="W120" s="94">
        <v>0</v>
      </c>
      <c r="X120" s="94">
        <v>2</v>
      </c>
      <c r="Y120" s="94">
        <v>47</v>
      </c>
      <c r="Z120" s="94">
        <v>24.5</v>
      </c>
    </row>
    <row r="121" spans="1:26">
      <c r="A121" s="94" t="str">
        <f t="shared" si="1"/>
        <v>20190914SMU</v>
      </c>
      <c r="B121" s="94">
        <v>2019</v>
      </c>
      <c r="C121" s="94">
        <v>3</v>
      </c>
      <c r="D121" s="94">
        <v>20190914</v>
      </c>
      <c r="E121" s="94" t="s">
        <v>144</v>
      </c>
      <c r="F121" s="94" t="s">
        <v>80</v>
      </c>
      <c r="G121" s="94" t="s">
        <v>150</v>
      </c>
      <c r="H121" s="94">
        <v>56</v>
      </c>
      <c r="I121" s="94">
        <v>390</v>
      </c>
      <c r="J121" s="94">
        <v>19</v>
      </c>
      <c r="K121" s="94">
        <v>249</v>
      </c>
      <c r="L121" s="94">
        <v>46</v>
      </c>
      <c r="M121" s="94">
        <v>63</v>
      </c>
      <c r="N121" s="94">
        <v>1</v>
      </c>
      <c r="O121" s="94">
        <v>47</v>
      </c>
      <c r="P121" s="94" t="s">
        <v>93</v>
      </c>
      <c r="Q121" s="94" t="s">
        <v>145</v>
      </c>
      <c r="R121" s="94">
        <v>29</v>
      </c>
      <c r="S121" s="94">
        <v>16</v>
      </c>
      <c r="T121" s="94">
        <v>40</v>
      </c>
      <c r="U121" s="94">
        <v>225</v>
      </c>
      <c r="V121" s="94">
        <v>1</v>
      </c>
      <c r="W121" s="94">
        <v>90</v>
      </c>
      <c r="X121" s="94">
        <v>3</v>
      </c>
      <c r="Y121" s="94">
        <v>17</v>
      </c>
      <c r="Z121" s="94">
        <v>18</v>
      </c>
    </row>
    <row r="122" spans="1:26">
      <c r="A122" s="94" t="str">
        <f t="shared" si="1"/>
        <v>20190914SYR</v>
      </c>
      <c r="B122" s="94">
        <v>2019</v>
      </c>
      <c r="C122" s="94">
        <v>3</v>
      </c>
      <c r="D122" s="94">
        <v>20190914</v>
      </c>
      <c r="E122" s="94" t="s">
        <v>144</v>
      </c>
      <c r="F122" s="94" t="s">
        <v>38</v>
      </c>
      <c r="G122" s="94" t="s">
        <v>146</v>
      </c>
      <c r="H122" s="94">
        <v>42</v>
      </c>
      <c r="I122" s="94">
        <v>15</v>
      </c>
      <c r="J122" s="94">
        <v>29</v>
      </c>
      <c r="K122" s="94">
        <v>172</v>
      </c>
      <c r="L122" s="94">
        <v>0</v>
      </c>
      <c r="M122" s="94">
        <v>14</v>
      </c>
      <c r="N122" s="94">
        <v>2</v>
      </c>
      <c r="O122" s="94">
        <v>6</v>
      </c>
      <c r="P122" s="94" t="s">
        <v>51</v>
      </c>
      <c r="Q122" s="94" t="s">
        <v>146</v>
      </c>
      <c r="R122" s="94">
        <v>29</v>
      </c>
      <c r="S122" s="94">
        <v>221</v>
      </c>
      <c r="T122" s="94">
        <v>42</v>
      </c>
      <c r="U122" s="94">
        <v>391</v>
      </c>
      <c r="V122" s="94">
        <v>3</v>
      </c>
      <c r="W122" s="94">
        <v>25</v>
      </c>
      <c r="X122" s="94">
        <v>1</v>
      </c>
      <c r="Y122" s="94">
        <v>41</v>
      </c>
      <c r="Z122" s="94">
        <v>28</v>
      </c>
    </row>
    <row r="123" spans="1:26">
      <c r="A123" s="94" t="str">
        <f t="shared" si="1"/>
        <v>20190914TEM</v>
      </c>
      <c r="B123" s="94">
        <v>2019</v>
      </c>
      <c r="C123" s="94">
        <v>3</v>
      </c>
      <c r="D123" s="94">
        <v>20190914</v>
      </c>
      <c r="E123" s="94" t="s">
        <v>144</v>
      </c>
      <c r="F123" s="94" t="s">
        <v>101</v>
      </c>
      <c r="G123" s="94" t="s">
        <v>150</v>
      </c>
      <c r="H123" s="94">
        <v>39</v>
      </c>
      <c r="I123" s="94">
        <v>150</v>
      </c>
      <c r="J123" s="94">
        <v>37</v>
      </c>
      <c r="K123" s="94">
        <v>277</v>
      </c>
      <c r="L123" s="94">
        <v>2</v>
      </c>
      <c r="M123" s="94">
        <v>44</v>
      </c>
      <c r="N123" s="94">
        <v>1</v>
      </c>
      <c r="O123" s="94">
        <v>20</v>
      </c>
      <c r="P123" s="94" t="s">
        <v>121</v>
      </c>
      <c r="Q123" s="94" t="s">
        <v>152</v>
      </c>
      <c r="R123" s="94">
        <v>46</v>
      </c>
      <c r="S123" s="94">
        <v>161</v>
      </c>
      <c r="T123" s="94">
        <v>39</v>
      </c>
      <c r="U123" s="94">
        <v>179</v>
      </c>
      <c r="V123" s="94">
        <v>55</v>
      </c>
      <c r="W123" s="94">
        <v>20</v>
      </c>
      <c r="X123" s="94">
        <v>3</v>
      </c>
      <c r="Y123" s="94">
        <v>17</v>
      </c>
      <c r="Z123" s="94">
        <v>4.5</v>
      </c>
    </row>
    <row r="124" spans="1:26">
      <c r="A124" s="94" t="str">
        <f t="shared" si="1"/>
        <v>20190914TLS</v>
      </c>
      <c r="B124" s="94">
        <v>2019</v>
      </c>
      <c r="C124" s="94">
        <v>3</v>
      </c>
      <c r="D124" s="94">
        <v>20190914</v>
      </c>
      <c r="E124" s="94" t="s">
        <v>144</v>
      </c>
      <c r="F124" s="94" t="s">
        <v>102</v>
      </c>
      <c r="G124" s="94" t="s">
        <v>150</v>
      </c>
      <c r="H124" s="94">
        <v>53</v>
      </c>
      <c r="I124" s="94">
        <v>158</v>
      </c>
      <c r="J124" s="94">
        <v>35</v>
      </c>
      <c r="K124" s="94">
        <v>238</v>
      </c>
      <c r="L124" s="94">
        <v>10</v>
      </c>
      <c r="M124" s="94">
        <v>59</v>
      </c>
      <c r="N124" s="94">
        <v>2</v>
      </c>
      <c r="O124" s="94">
        <v>21</v>
      </c>
      <c r="P124" s="94" t="s">
        <v>26</v>
      </c>
      <c r="Q124" s="94" t="s">
        <v>209</v>
      </c>
      <c r="R124" s="94">
        <v>46</v>
      </c>
      <c r="S124" s="94">
        <v>337</v>
      </c>
      <c r="T124" s="94">
        <v>22</v>
      </c>
      <c r="U124" s="94">
        <v>169</v>
      </c>
      <c r="V124" s="94">
        <v>48</v>
      </c>
      <c r="W124" s="94">
        <v>27</v>
      </c>
      <c r="X124" s="94">
        <v>0</v>
      </c>
      <c r="Y124" s="94">
        <v>40</v>
      </c>
      <c r="Z124" s="94">
        <v>14</v>
      </c>
    </row>
    <row r="125" spans="1:26">
      <c r="A125" s="94" t="str">
        <f t="shared" si="1"/>
        <v>20190914TROY</v>
      </c>
      <c r="B125" s="94">
        <v>2019</v>
      </c>
      <c r="C125" s="94">
        <v>3</v>
      </c>
      <c r="D125" s="94">
        <v>20190914</v>
      </c>
      <c r="E125" s="94" t="s">
        <v>144</v>
      </c>
      <c r="F125" s="94" t="s">
        <v>104</v>
      </c>
      <c r="G125" s="94" t="s">
        <v>145</v>
      </c>
      <c r="H125" s="94">
        <v>16</v>
      </c>
      <c r="I125" s="94">
        <v>24</v>
      </c>
      <c r="J125" s="94">
        <v>43</v>
      </c>
      <c r="K125" s="94">
        <v>504</v>
      </c>
      <c r="L125" s="94">
        <v>0</v>
      </c>
      <c r="M125" s="94">
        <v>203</v>
      </c>
      <c r="N125" s="94">
        <v>0</v>
      </c>
      <c r="O125" s="94">
        <v>42</v>
      </c>
      <c r="P125" s="94" t="s">
        <v>99</v>
      </c>
      <c r="Q125" s="94" t="s">
        <v>153</v>
      </c>
      <c r="R125" s="94">
        <v>40</v>
      </c>
      <c r="S125" s="94">
        <v>112</v>
      </c>
      <c r="T125" s="94">
        <v>37</v>
      </c>
      <c r="U125" s="94">
        <v>514</v>
      </c>
      <c r="V125" s="94">
        <v>5</v>
      </c>
      <c r="W125" s="94">
        <v>141</v>
      </c>
      <c r="X125" s="94">
        <v>0</v>
      </c>
      <c r="Y125" s="94">
        <v>47</v>
      </c>
      <c r="Z125" s="94">
        <v>1.5</v>
      </c>
    </row>
    <row r="126" spans="1:26">
      <c r="A126" s="94" t="str">
        <f t="shared" si="1"/>
        <v>20190914UCLA</v>
      </c>
      <c r="B126" s="94">
        <v>2019</v>
      </c>
      <c r="C126" s="94">
        <v>3</v>
      </c>
      <c r="D126" s="94">
        <v>20190914</v>
      </c>
      <c r="E126" s="94" t="s">
        <v>144</v>
      </c>
      <c r="F126" s="94" t="s">
        <v>106</v>
      </c>
      <c r="G126" s="94" t="s">
        <v>151</v>
      </c>
      <c r="H126" s="94">
        <v>37</v>
      </c>
      <c r="I126" s="94">
        <v>110</v>
      </c>
      <c r="J126" s="94">
        <v>26</v>
      </c>
      <c r="K126" s="94">
        <v>201</v>
      </c>
      <c r="L126" s="94">
        <v>0</v>
      </c>
      <c r="M126" s="94">
        <v>23</v>
      </c>
      <c r="N126" s="94">
        <v>0</v>
      </c>
      <c r="O126" s="94">
        <v>14</v>
      </c>
      <c r="P126" s="94" t="s">
        <v>84</v>
      </c>
      <c r="Q126" s="94" t="s">
        <v>209</v>
      </c>
      <c r="R126" s="94">
        <v>41</v>
      </c>
      <c r="S126" s="94">
        <v>309</v>
      </c>
      <c r="T126" s="94">
        <v>23</v>
      </c>
      <c r="U126" s="94">
        <v>302</v>
      </c>
      <c r="V126" s="94">
        <v>1</v>
      </c>
      <c r="W126" s="94">
        <v>11</v>
      </c>
      <c r="X126" s="94">
        <v>2</v>
      </c>
      <c r="Y126" s="94">
        <v>48</v>
      </c>
      <c r="Z126" s="94">
        <v>23.5</v>
      </c>
    </row>
    <row r="127" spans="1:26">
      <c r="A127" s="94" t="str">
        <f t="shared" si="1"/>
        <v>20190914VIR</v>
      </c>
      <c r="B127" s="94">
        <v>2019</v>
      </c>
      <c r="C127" s="94">
        <v>3</v>
      </c>
      <c r="D127" s="94">
        <v>20190914</v>
      </c>
      <c r="E127" s="94" t="s">
        <v>144</v>
      </c>
      <c r="F127" s="94" t="s">
        <v>113</v>
      </c>
      <c r="G127" s="94" t="s">
        <v>146</v>
      </c>
      <c r="H127" s="94">
        <v>32</v>
      </c>
      <c r="I127" s="94">
        <v>120</v>
      </c>
      <c r="J127" s="94">
        <v>40</v>
      </c>
      <c r="K127" s="94">
        <v>295</v>
      </c>
      <c r="L127" s="94">
        <v>0</v>
      </c>
      <c r="M127" s="94">
        <v>35</v>
      </c>
      <c r="N127" s="94">
        <v>0</v>
      </c>
      <c r="O127" s="94">
        <v>31</v>
      </c>
      <c r="P127" s="94" t="s">
        <v>116</v>
      </c>
      <c r="Q127" s="94" t="s">
        <v>146</v>
      </c>
      <c r="R127" s="94">
        <v>29</v>
      </c>
      <c r="S127" s="94">
        <v>95</v>
      </c>
      <c r="T127" s="94">
        <v>37</v>
      </c>
      <c r="U127" s="94">
        <v>234</v>
      </c>
      <c r="V127" s="94">
        <v>0</v>
      </c>
      <c r="W127" s="94">
        <v>0</v>
      </c>
      <c r="X127" s="94">
        <v>2</v>
      </c>
      <c r="Y127" s="94">
        <v>24</v>
      </c>
      <c r="Z127" s="94">
        <v>7.5</v>
      </c>
    </row>
    <row r="128" spans="1:26">
      <c r="A128" s="94" t="str">
        <f t="shared" si="1"/>
        <v>20190914WAS</v>
      </c>
      <c r="B128" s="94">
        <v>2019</v>
      </c>
      <c r="C128" s="94">
        <v>3</v>
      </c>
      <c r="D128" s="94">
        <v>20190914</v>
      </c>
      <c r="E128" s="94" t="s">
        <v>144</v>
      </c>
      <c r="F128" s="94" t="s">
        <v>132</v>
      </c>
      <c r="G128" s="94" t="s">
        <v>151</v>
      </c>
      <c r="H128" s="94">
        <v>30</v>
      </c>
      <c r="I128" s="94">
        <v>192</v>
      </c>
      <c r="J128" s="94">
        <v>26</v>
      </c>
      <c r="K128" s="94">
        <v>260</v>
      </c>
      <c r="L128" s="94">
        <v>1</v>
      </c>
      <c r="M128" s="94">
        <v>61</v>
      </c>
      <c r="N128" s="94">
        <v>3</v>
      </c>
      <c r="O128" s="94">
        <v>52</v>
      </c>
      <c r="P128" s="94" t="s">
        <v>8</v>
      </c>
      <c r="Q128" s="94" t="s">
        <v>148</v>
      </c>
      <c r="R128" s="94">
        <v>34</v>
      </c>
      <c r="S128" s="94">
        <v>141</v>
      </c>
      <c r="T128" s="94">
        <v>47</v>
      </c>
      <c r="U128" s="94">
        <v>254</v>
      </c>
      <c r="V128" s="94">
        <v>9</v>
      </c>
      <c r="W128" s="94">
        <v>75</v>
      </c>
      <c r="X128" s="94">
        <v>0</v>
      </c>
      <c r="Y128" s="94">
        <v>20</v>
      </c>
      <c r="Z128" s="94">
        <v>22</v>
      </c>
    </row>
    <row r="129" spans="1:26">
      <c r="A129" s="94" t="str">
        <f t="shared" si="1"/>
        <v>20190914WMCH</v>
      </c>
      <c r="B129" s="94">
        <v>2019</v>
      </c>
      <c r="C129" s="94">
        <v>3</v>
      </c>
      <c r="D129" s="94">
        <v>20190914</v>
      </c>
      <c r="E129" s="94" t="s">
        <v>144</v>
      </c>
      <c r="F129" s="94" t="s">
        <v>37</v>
      </c>
      <c r="G129" s="94" t="s">
        <v>149</v>
      </c>
      <c r="H129" s="94">
        <v>44</v>
      </c>
      <c r="I129" s="94">
        <v>450</v>
      </c>
      <c r="J129" s="94">
        <v>21</v>
      </c>
      <c r="K129" s="94">
        <v>244</v>
      </c>
      <c r="L129" s="94">
        <v>2</v>
      </c>
      <c r="M129" s="94">
        <v>46</v>
      </c>
      <c r="N129" s="94">
        <v>3</v>
      </c>
      <c r="O129" s="94">
        <v>57</v>
      </c>
      <c r="P129" s="94" t="s">
        <v>15</v>
      </c>
      <c r="Q129" s="94" t="s">
        <v>145</v>
      </c>
      <c r="R129" s="94">
        <v>41</v>
      </c>
      <c r="S129" s="94">
        <v>210</v>
      </c>
      <c r="T129" s="94">
        <v>25</v>
      </c>
      <c r="U129" s="94">
        <v>126</v>
      </c>
      <c r="V129" s="94">
        <v>11</v>
      </c>
      <c r="W129" s="94">
        <v>30</v>
      </c>
      <c r="X129" s="94">
        <v>0</v>
      </c>
      <c r="Y129" s="94">
        <v>10</v>
      </c>
      <c r="Z129" s="94">
        <v>11.5</v>
      </c>
    </row>
    <row r="130" spans="1:26">
      <c r="A130" s="94" t="str">
        <f t="shared" ref="A130:A193" si="2">D130&amp;F130</f>
        <v>20190914WVA</v>
      </c>
      <c r="B130" s="94">
        <v>2019</v>
      </c>
      <c r="C130" s="94">
        <v>3</v>
      </c>
      <c r="D130" s="94">
        <v>20190914</v>
      </c>
      <c r="E130" s="94" t="s">
        <v>144</v>
      </c>
      <c r="F130" s="94" t="s">
        <v>133</v>
      </c>
      <c r="G130" s="94" t="s">
        <v>209</v>
      </c>
      <c r="H130" s="94">
        <v>28</v>
      </c>
      <c r="I130" s="94">
        <v>173</v>
      </c>
      <c r="J130" s="94">
        <v>40</v>
      </c>
      <c r="K130" s="94">
        <v>272</v>
      </c>
      <c r="L130" s="94">
        <v>24</v>
      </c>
      <c r="M130" s="94">
        <v>50</v>
      </c>
      <c r="N130" s="94">
        <v>0</v>
      </c>
      <c r="O130" s="94">
        <v>44</v>
      </c>
      <c r="P130" s="94" t="s">
        <v>75</v>
      </c>
      <c r="Q130" s="94" t="s">
        <v>146</v>
      </c>
      <c r="R130" s="94">
        <v>37</v>
      </c>
      <c r="S130" s="94">
        <v>144</v>
      </c>
      <c r="T130" s="94">
        <v>49</v>
      </c>
      <c r="U130" s="94">
        <v>225</v>
      </c>
      <c r="V130" s="94">
        <v>0</v>
      </c>
      <c r="W130" s="94">
        <v>36</v>
      </c>
      <c r="X130" s="94">
        <v>1</v>
      </c>
      <c r="Y130" s="94">
        <v>27</v>
      </c>
      <c r="Z130" s="94">
        <v>6.5</v>
      </c>
    </row>
    <row r="131" spans="1:26">
      <c r="A131" s="94" t="str">
        <f t="shared" si="2"/>
        <v>20190914UTSA</v>
      </c>
      <c r="B131" s="94">
        <v>2019</v>
      </c>
      <c r="C131" s="94">
        <v>3</v>
      </c>
      <c r="D131" s="94">
        <v>20190914</v>
      </c>
      <c r="E131" s="94" t="s">
        <v>144</v>
      </c>
      <c r="F131" s="94" t="s">
        <v>206</v>
      </c>
      <c r="G131" s="94" t="s">
        <v>153</v>
      </c>
      <c r="H131" s="94">
        <v>27</v>
      </c>
      <c r="I131" s="94">
        <v>51</v>
      </c>
      <c r="J131" s="94">
        <v>33</v>
      </c>
      <c r="K131" s="94">
        <v>209</v>
      </c>
      <c r="L131" s="94">
        <v>3</v>
      </c>
      <c r="M131" s="94">
        <v>100</v>
      </c>
      <c r="N131" s="94">
        <v>2</v>
      </c>
      <c r="O131" s="94">
        <v>13</v>
      </c>
      <c r="P131" s="94" t="s">
        <v>28</v>
      </c>
      <c r="Q131" s="94" t="s">
        <v>53</v>
      </c>
      <c r="R131" s="94">
        <v>55</v>
      </c>
      <c r="S131" s="94">
        <v>340</v>
      </c>
      <c r="T131" s="94">
        <v>2</v>
      </c>
      <c r="U131" s="94">
        <v>18</v>
      </c>
      <c r="V131" s="94">
        <v>6</v>
      </c>
      <c r="W131" s="94">
        <v>0</v>
      </c>
      <c r="X131" s="94">
        <v>3</v>
      </c>
      <c r="Y131" s="94">
        <v>31</v>
      </c>
      <c r="Z131" s="94">
        <v>17</v>
      </c>
    </row>
    <row r="132" spans="1:26">
      <c r="A132" s="94" t="str">
        <f t="shared" si="2"/>
        <v>20190914LIB</v>
      </c>
      <c r="B132" s="3">
        <v>2019</v>
      </c>
      <c r="C132" s="3">
        <v>3</v>
      </c>
      <c r="D132" s="3">
        <v>20190914</v>
      </c>
      <c r="E132" s="3" t="s">
        <v>144</v>
      </c>
      <c r="F132" s="3" t="s">
        <v>205</v>
      </c>
      <c r="G132" s="3" t="s">
        <v>53</v>
      </c>
      <c r="H132" s="3">
        <v>25</v>
      </c>
      <c r="I132" s="3">
        <v>79</v>
      </c>
      <c r="J132" s="3">
        <v>30</v>
      </c>
      <c r="K132" s="3">
        <v>325</v>
      </c>
      <c r="L132" s="3">
        <v>0</v>
      </c>
      <c r="M132" s="3">
        <v>20</v>
      </c>
      <c r="N132" s="3">
        <v>0</v>
      </c>
      <c r="O132" s="3">
        <v>35</v>
      </c>
      <c r="P132" s="3" t="s">
        <v>47</v>
      </c>
      <c r="Q132" s="3" t="s">
        <v>149</v>
      </c>
      <c r="R132" s="3">
        <v>44</v>
      </c>
      <c r="S132" s="3">
        <v>206</v>
      </c>
      <c r="T132" s="3">
        <v>33</v>
      </c>
      <c r="U132" s="3">
        <v>167</v>
      </c>
      <c r="V132" s="3">
        <v>6</v>
      </c>
      <c r="W132" s="3">
        <v>44</v>
      </c>
      <c r="X132" s="3">
        <v>0</v>
      </c>
      <c r="Y132" s="3">
        <v>17</v>
      </c>
      <c r="Z132" s="3">
        <v>4.5</v>
      </c>
    </row>
    <row r="133" spans="1:26">
      <c r="A133" s="94" t="str">
        <f t="shared" si="2"/>
        <v>20190914MAS</v>
      </c>
      <c r="B133" s="3">
        <v>2019</v>
      </c>
      <c r="C133" s="3">
        <v>3</v>
      </c>
      <c r="D133" s="3">
        <v>20190914</v>
      </c>
      <c r="E133" s="3" t="s">
        <v>211</v>
      </c>
      <c r="F133" s="3" t="s">
        <v>207</v>
      </c>
      <c r="G133" s="3" t="s">
        <v>53</v>
      </c>
      <c r="H133" s="3">
        <v>36</v>
      </c>
      <c r="I133" s="3">
        <v>135</v>
      </c>
      <c r="J133" s="3">
        <v>27</v>
      </c>
      <c r="K133" s="3">
        <v>127</v>
      </c>
      <c r="L133" s="3">
        <v>62</v>
      </c>
      <c r="M133" s="3">
        <v>51</v>
      </c>
      <c r="N133" s="3">
        <v>0</v>
      </c>
      <c r="O133" s="3">
        <v>17</v>
      </c>
      <c r="P133" s="3" t="s">
        <v>50</v>
      </c>
      <c r="Q133" s="3" t="s">
        <v>153</v>
      </c>
      <c r="R133" s="3">
        <v>40</v>
      </c>
      <c r="S133" s="3">
        <v>338</v>
      </c>
      <c r="T133" s="3">
        <v>16</v>
      </c>
      <c r="U133" s="3">
        <v>195</v>
      </c>
      <c r="V133" s="3">
        <v>17</v>
      </c>
      <c r="W133" s="3">
        <v>81</v>
      </c>
      <c r="X133" s="3">
        <v>1</v>
      </c>
      <c r="Y133" s="3">
        <v>52</v>
      </c>
      <c r="Z133" s="3">
        <v>21</v>
      </c>
    </row>
    <row r="134" spans="1:26">
      <c r="A134" s="94" t="str">
        <f t="shared" si="2"/>
        <v>20190919TLN</v>
      </c>
      <c r="B134" s="3">
        <v>2019</v>
      </c>
      <c r="C134" s="3">
        <v>4</v>
      </c>
      <c r="D134" s="3">
        <v>20190919</v>
      </c>
      <c r="E134" s="3" t="s">
        <v>144</v>
      </c>
      <c r="F134" s="3" t="s">
        <v>20</v>
      </c>
      <c r="G134" s="3" t="s">
        <v>150</v>
      </c>
      <c r="H134" s="3">
        <v>50</v>
      </c>
      <c r="I134" s="3">
        <v>325</v>
      </c>
      <c r="J134" s="3">
        <v>20</v>
      </c>
      <c r="K134" s="3">
        <v>186</v>
      </c>
      <c r="L134" s="3">
        <v>14</v>
      </c>
      <c r="M134" s="3">
        <v>87</v>
      </c>
      <c r="N134" s="3">
        <v>1</v>
      </c>
      <c r="O134" s="3">
        <v>38</v>
      </c>
      <c r="P134" s="3" t="s">
        <v>91</v>
      </c>
      <c r="Q134" s="3" t="s">
        <v>150</v>
      </c>
      <c r="R134" s="3">
        <v>46</v>
      </c>
      <c r="S134" s="3">
        <v>304</v>
      </c>
      <c r="T134" s="3">
        <v>33</v>
      </c>
      <c r="U134" s="3">
        <v>229</v>
      </c>
      <c r="V134" s="3">
        <v>12</v>
      </c>
      <c r="W134" s="3">
        <v>26</v>
      </c>
      <c r="X134" s="3">
        <v>1</v>
      </c>
      <c r="Y134" s="3">
        <v>31</v>
      </c>
      <c r="Z134" s="3">
        <v>5</v>
      </c>
    </row>
    <row r="135" spans="1:26">
      <c r="A135" s="94" t="str">
        <f t="shared" si="2"/>
        <v>20190920BOIS</v>
      </c>
      <c r="B135" s="3">
        <v>2019</v>
      </c>
      <c r="C135" s="3">
        <v>4</v>
      </c>
      <c r="D135" s="3">
        <v>20190920</v>
      </c>
      <c r="E135" s="3" t="s">
        <v>144</v>
      </c>
      <c r="F135" s="3" t="s">
        <v>105</v>
      </c>
      <c r="G135" s="3" t="s">
        <v>148</v>
      </c>
      <c r="H135" s="3">
        <v>29</v>
      </c>
      <c r="I135" s="3">
        <v>93</v>
      </c>
      <c r="J135" s="3">
        <v>28</v>
      </c>
      <c r="K135" s="3">
        <v>260</v>
      </c>
      <c r="L135" s="3">
        <v>0</v>
      </c>
      <c r="M135" s="3">
        <v>33</v>
      </c>
      <c r="N135" s="3">
        <v>1</v>
      </c>
      <c r="O135" s="3">
        <v>30</v>
      </c>
      <c r="P135" s="3" t="s">
        <v>39</v>
      </c>
      <c r="Q135" s="3" t="s">
        <v>148</v>
      </c>
      <c r="R135" s="3">
        <v>51</v>
      </c>
      <c r="S135" s="3">
        <v>242</v>
      </c>
      <c r="T135" s="3">
        <v>13</v>
      </c>
      <c r="U135" s="3">
        <v>113</v>
      </c>
      <c r="V135" s="3">
        <v>0</v>
      </c>
      <c r="W135" s="3">
        <v>0</v>
      </c>
      <c r="X135" s="3">
        <v>0</v>
      </c>
      <c r="Y135" s="3">
        <v>19</v>
      </c>
      <c r="Z135" s="3">
        <v>9</v>
      </c>
    </row>
    <row r="136" spans="1:26">
      <c r="A136" s="94" t="str">
        <f t="shared" si="2"/>
        <v>20190920LTCH</v>
      </c>
      <c r="B136" s="3">
        <v>2019</v>
      </c>
      <c r="C136" s="3">
        <v>4</v>
      </c>
      <c r="D136" s="3">
        <v>20190920</v>
      </c>
      <c r="E136" s="3" t="s">
        <v>144</v>
      </c>
      <c r="F136" s="3" t="s">
        <v>95</v>
      </c>
      <c r="G136" s="3" t="s">
        <v>153</v>
      </c>
      <c r="H136" s="3">
        <v>43</v>
      </c>
      <c r="I136" s="3">
        <v>275</v>
      </c>
      <c r="J136" s="3">
        <v>41</v>
      </c>
      <c r="K136" s="3">
        <v>290</v>
      </c>
      <c r="L136" s="3">
        <v>0</v>
      </c>
      <c r="M136" s="3">
        <v>82</v>
      </c>
      <c r="N136" s="3">
        <v>2</v>
      </c>
      <c r="O136" s="3">
        <v>43</v>
      </c>
      <c r="P136" s="3" t="s">
        <v>52</v>
      </c>
      <c r="Q136" s="3" t="s">
        <v>153</v>
      </c>
      <c r="R136" s="3">
        <v>26</v>
      </c>
      <c r="S136" s="3">
        <v>132</v>
      </c>
      <c r="T136" s="3">
        <v>41</v>
      </c>
      <c r="U136" s="3">
        <v>394</v>
      </c>
      <c r="V136" s="3">
        <v>0</v>
      </c>
      <c r="W136" s="3">
        <v>107</v>
      </c>
      <c r="X136" s="3">
        <v>1</v>
      </c>
      <c r="Y136" s="3">
        <v>31</v>
      </c>
      <c r="Z136" s="3">
        <v>9</v>
      </c>
    </row>
    <row r="137" spans="1:26">
      <c r="A137" s="94" t="str">
        <f t="shared" si="2"/>
        <v>20190920USC</v>
      </c>
      <c r="B137" s="3">
        <v>2019</v>
      </c>
      <c r="C137" s="3">
        <v>4</v>
      </c>
      <c r="D137" s="3">
        <v>20190920</v>
      </c>
      <c r="E137" s="3" t="s">
        <v>144</v>
      </c>
      <c r="F137" s="3" t="s">
        <v>108</v>
      </c>
      <c r="G137" s="3" t="s">
        <v>151</v>
      </c>
      <c r="H137" s="3">
        <v>19</v>
      </c>
      <c r="I137" s="3">
        <v>28</v>
      </c>
      <c r="J137" s="3">
        <v>32</v>
      </c>
      <c r="K137" s="3">
        <v>368</v>
      </c>
      <c r="L137" s="3">
        <v>0</v>
      </c>
      <c r="M137" s="3">
        <v>135</v>
      </c>
      <c r="N137" s="3">
        <v>1</v>
      </c>
      <c r="O137" s="3">
        <v>30</v>
      </c>
      <c r="P137" s="3" t="s">
        <v>24</v>
      </c>
      <c r="Q137" s="3" t="s">
        <v>151</v>
      </c>
      <c r="R137" s="3">
        <v>49</v>
      </c>
      <c r="S137" s="3">
        <v>247</v>
      </c>
      <c r="T137" s="3">
        <v>30</v>
      </c>
      <c r="U137" s="3">
        <v>210</v>
      </c>
      <c r="V137" s="3">
        <v>0</v>
      </c>
      <c r="W137" s="3">
        <v>15</v>
      </c>
      <c r="X137" s="3">
        <v>2</v>
      </c>
      <c r="Y137" s="3">
        <v>23</v>
      </c>
      <c r="Z137" s="3">
        <v>3.5</v>
      </c>
    </row>
    <row r="138" spans="1:26">
      <c r="A138" s="94" t="str">
        <f t="shared" si="2"/>
        <v>20190921AKRON</v>
      </c>
      <c r="B138" s="3">
        <v>2019</v>
      </c>
      <c r="C138" s="3">
        <v>4</v>
      </c>
      <c r="D138" s="3">
        <v>20190921</v>
      </c>
      <c r="E138" s="3" t="s">
        <v>144</v>
      </c>
      <c r="F138" s="3" t="s">
        <v>118</v>
      </c>
      <c r="G138" s="3" t="s">
        <v>149</v>
      </c>
      <c r="H138" s="3">
        <v>18</v>
      </c>
      <c r="I138" s="3">
        <v>39</v>
      </c>
      <c r="J138" s="3">
        <v>32</v>
      </c>
      <c r="K138" s="3">
        <v>203</v>
      </c>
      <c r="L138" s="3">
        <v>0</v>
      </c>
      <c r="M138" s="3">
        <v>45</v>
      </c>
      <c r="N138" s="3">
        <v>1</v>
      </c>
      <c r="O138" s="3">
        <v>7</v>
      </c>
      <c r="P138" s="3" t="s">
        <v>104</v>
      </c>
      <c r="Q138" s="3" t="s">
        <v>145</v>
      </c>
      <c r="R138" s="3">
        <v>56</v>
      </c>
      <c r="S138" s="3">
        <v>270</v>
      </c>
      <c r="T138" s="3">
        <v>39</v>
      </c>
      <c r="U138" s="3">
        <v>215</v>
      </c>
      <c r="V138" s="3">
        <v>0</v>
      </c>
      <c r="W138" s="3">
        <v>25</v>
      </c>
      <c r="X138" s="3">
        <v>2</v>
      </c>
      <c r="Y138" s="3">
        <v>35</v>
      </c>
      <c r="Z138" s="3">
        <v>19</v>
      </c>
    </row>
    <row r="139" spans="1:26">
      <c r="A139" s="94" t="str">
        <f t="shared" si="2"/>
        <v>20190921ALA</v>
      </c>
      <c r="B139" s="3">
        <v>2019</v>
      </c>
      <c r="C139" s="3">
        <v>4</v>
      </c>
      <c r="D139" s="3">
        <v>20190921</v>
      </c>
      <c r="E139" s="3" t="s">
        <v>144</v>
      </c>
      <c r="F139" s="3" t="s">
        <v>119</v>
      </c>
      <c r="G139" s="3" t="s">
        <v>147</v>
      </c>
      <c r="H139" s="3">
        <v>35</v>
      </c>
      <c r="I139" s="3">
        <v>176</v>
      </c>
      <c r="J139" s="3">
        <v>25</v>
      </c>
      <c r="K139" s="3">
        <v>338</v>
      </c>
      <c r="L139" s="3">
        <v>41</v>
      </c>
      <c r="M139" s="3">
        <v>1</v>
      </c>
      <c r="N139" s="3">
        <v>2</v>
      </c>
      <c r="O139" s="3">
        <v>49</v>
      </c>
      <c r="P139" s="3" t="s">
        <v>99</v>
      </c>
      <c r="Q139" s="3" t="s">
        <v>153</v>
      </c>
      <c r="R139" s="3">
        <v>32</v>
      </c>
      <c r="S139" s="3">
        <v>52</v>
      </c>
      <c r="T139" s="3">
        <v>26</v>
      </c>
      <c r="U139" s="3">
        <v>174</v>
      </c>
      <c r="V139" s="3">
        <v>1</v>
      </c>
      <c r="W139" s="3">
        <v>60</v>
      </c>
      <c r="X139" s="3">
        <v>1</v>
      </c>
      <c r="Y139" s="3">
        <v>7</v>
      </c>
      <c r="Z139" s="3">
        <v>39</v>
      </c>
    </row>
    <row r="140" spans="1:26">
      <c r="A140" s="94" t="str">
        <f t="shared" si="2"/>
        <v>20190921ARK</v>
      </c>
      <c r="B140" s="3">
        <v>2019</v>
      </c>
      <c r="C140" s="3">
        <v>4</v>
      </c>
      <c r="D140" s="3">
        <v>20190921</v>
      </c>
      <c r="E140" s="3" t="s">
        <v>144</v>
      </c>
      <c r="F140" s="3" t="s">
        <v>41</v>
      </c>
      <c r="G140" s="3" t="s">
        <v>147</v>
      </c>
      <c r="H140" s="3">
        <v>32</v>
      </c>
      <c r="I140" s="3">
        <v>131</v>
      </c>
      <c r="J140" s="3">
        <v>50</v>
      </c>
      <c r="K140" s="3">
        <v>356</v>
      </c>
      <c r="L140" s="3">
        <v>0</v>
      </c>
      <c r="M140" s="3">
        <v>61</v>
      </c>
      <c r="N140" s="3">
        <v>1</v>
      </c>
      <c r="O140" s="3">
        <v>24</v>
      </c>
      <c r="P140" s="3" t="s">
        <v>19</v>
      </c>
      <c r="Q140" s="3" t="s">
        <v>148</v>
      </c>
      <c r="R140" s="3">
        <v>21</v>
      </c>
      <c r="S140" s="3">
        <v>106</v>
      </c>
      <c r="T140" s="3">
        <v>49</v>
      </c>
      <c r="U140" s="3">
        <v>402</v>
      </c>
      <c r="V140" s="3">
        <v>0</v>
      </c>
      <c r="W140" s="3">
        <v>0</v>
      </c>
      <c r="X140" s="3">
        <v>5</v>
      </c>
      <c r="Y140" s="3">
        <v>31</v>
      </c>
      <c r="Z140" s="3">
        <v>19</v>
      </c>
    </row>
    <row r="141" spans="1:26">
      <c r="A141" s="94" t="str">
        <f t="shared" si="2"/>
        <v>20190921AZST</v>
      </c>
      <c r="B141" s="3">
        <v>2019</v>
      </c>
      <c r="C141" s="3">
        <v>4</v>
      </c>
      <c r="D141" s="3">
        <v>20190921</v>
      </c>
      <c r="E141" s="3" t="s">
        <v>144</v>
      </c>
      <c r="F141" s="3" t="s">
        <v>44</v>
      </c>
      <c r="G141" s="3" t="s">
        <v>151</v>
      </c>
      <c r="H141" s="3">
        <v>28</v>
      </c>
      <c r="I141" s="3">
        <v>108</v>
      </c>
      <c r="J141" s="3">
        <v>39</v>
      </c>
      <c r="K141" s="3">
        <v>345</v>
      </c>
      <c r="L141" s="3">
        <v>0</v>
      </c>
      <c r="M141" s="3">
        <v>56</v>
      </c>
      <c r="N141" s="3">
        <v>1</v>
      </c>
      <c r="O141" s="3">
        <v>31</v>
      </c>
      <c r="P141" s="3" t="s">
        <v>128</v>
      </c>
      <c r="Q141" s="3" t="s">
        <v>151</v>
      </c>
      <c r="R141" s="3">
        <v>40</v>
      </c>
      <c r="S141" s="3">
        <v>138</v>
      </c>
      <c r="T141" s="3">
        <v>30</v>
      </c>
      <c r="U141" s="3">
        <v>337</v>
      </c>
      <c r="V141" s="3">
        <v>9</v>
      </c>
      <c r="W141" s="3">
        <v>98</v>
      </c>
      <c r="X141" s="3">
        <v>1</v>
      </c>
      <c r="Y141" s="3">
        <v>34</v>
      </c>
      <c r="Z141" s="3">
        <v>7.5</v>
      </c>
    </row>
    <row r="142" spans="1:26">
      <c r="A142" s="94" t="str">
        <f t="shared" si="2"/>
        <v>20190921BUF</v>
      </c>
      <c r="B142" s="3">
        <v>2019</v>
      </c>
      <c r="C142" s="3">
        <v>4</v>
      </c>
      <c r="D142" s="3">
        <v>20190921</v>
      </c>
      <c r="E142" s="3" t="s">
        <v>144</v>
      </c>
      <c r="F142" s="3" t="s">
        <v>47</v>
      </c>
      <c r="G142" s="3" t="s">
        <v>149</v>
      </c>
      <c r="H142" s="3">
        <v>28</v>
      </c>
      <c r="I142" s="3">
        <v>217</v>
      </c>
      <c r="J142" s="3">
        <v>15</v>
      </c>
      <c r="K142" s="3">
        <v>62</v>
      </c>
      <c r="L142" s="3">
        <v>0</v>
      </c>
      <c r="M142" s="3">
        <v>0</v>
      </c>
      <c r="N142" s="3">
        <v>4</v>
      </c>
      <c r="O142" s="3">
        <v>38</v>
      </c>
      <c r="P142" s="3" t="s">
        <v>101</v>
      </c>
      <c r="Q142" s="3" t="s">
        <v>150</v>
      </c>
      <c r="R142" s="3">
        <v>23</v>
      </c>
      <c r="S142" s="3">
        <v>31</v>
      </c>
      <c r="T142" s="3">
        <v>51</v>
      </c>
      <c r="U142" s="3">
        <v>258</v>
      </c>
      <c r="V142" s="3">
        <v>7</v>
      </c>
      <c r="W142" s="3">
        <v>51</v>
      </c>
      <c r="X142" s="3">
        <v>2</v>
      </c>
      <c r="Y142" s="3">
        <v>22</v>
      </c>
      <c r="Z142" s="3">
        <v>12</v>
      </c>
    </row>
    <row r="143" spans="1:26">
      <c r="A143" s="94" t="str">
        <f t="shared" si="2"/>
        <v>20190921BYU</v>
      </c>
      <c r="B143" s="3">
        <v>2019</v>
      </c>
      <c r="C143" s="3">
        <v>4</v>
      </c>
      <c r="D143" s="3">
        <v>20190921</v>
      </c>
      <c r="E143" s="3" t="s">
        <v>144</v>
      </c>
      <c r="F143" s="3" t="s">
        <v>43</v>
      </c>
      <c r="G143" s="3" t="s">
        <v>53</v>
      </c>
      <c r="H143" s="3">
        <v>27</v>
      </c>
      <c r="I143" s="3">
        <v>79</v>
      </c>
      <c r="J143" s="3">
        <v>42</v>
      </c>
      <c r="K143" s="3">
        <v>277</v>
      </c>
      <c r="L143" s="3">
        <v>0</v>
      </c>
      <c r="M143" s="3">
        <v>48</v>
      </c>
      <c r="N143" s="3">
        <v>2</v>
      </c>
      <c r="O143" s="3">
        <v>19</v>
      </c>
      <c r="P143" s="3" t="s">
        <v>132</v>
      </c>
      <c r="Q143" s="3" t="s">
        <v>151</v>
      </c>
      <c r="R143" s="3">
        <v>36</v>
      </c>
      <c r="S143" s="3">
        <v>193</v>
      </c>
      <c r="T143" s="3">
        <v>28</v>
      </c>
      <c r="U143" s="3">
        <v>290</v>
      </c>
      <c r="V143" s="3">
        <v>86</v>
      </c>
      <c r="W143" s="3">
        <v>0</v>
      </c>
      <c r="X143" s="3">
        <v>3</v>
      </c>
      <c r="Y143" s="3">
        <v>45</v>
      </c>
      <c r="Z143" s="3">
        <v>7</v>
      </c>
    </row>
    <row r="144" spans="1:26">
      <c r="A144" s="94" t="str">
        <f t="shared" si="2"/>
        <v>20190921CLEM</v>
      </c>
      <c r="B144" s="3">
        <v>2019</v>
      </c>
      <c r="C144" s="3">
        <v>4</v>
      </c>
      <c r="D144" s="3">
        <v>20190921</v>
      </c>
      <c r="E144" s="3" t="s">
        <v>144</v>
      </c>
      <c r="F144" s="3" t="s">
        <v>51</v>
      </c>
      <c r="G144" s="3" t="s">
        <v>146</v>
      </c>
      <c r="H144" s="3">
        <v>39</v>
      </c>
      <c r="I144" s="3">
        <v>235</v>
      </c>
      <c r="J144" s="3">
        <v>25</v>
      </c>
      <c r="K144" s="3">
        <v>231</v>
      </c>
      <c r="L144" s="3">
        <v>33</v>
      </c>
      <c r="M144" s="3">
        <v>1</v>
      </c>
      <c r="N144" s="3">
        <v>1</v>
      </c>
      <c r="O144" s="3">
        <v>52</v>
      </c>
      <c r="P144" s="3" t="s">
        <v>50</v>
      </c>
      <c r="Q144" s="3" t="s">
        <v>153</v>
      </c>
      <c r="R144" s="3">
        <v>39</v>
      </c>
      <c r="S144" s="3">
        <v>153</v>
      </c>
      <c r="T144" s="3">
        <v>19</v>
      </c>
      <c r="U144" s="3">
        <v>63</v>
      </c>
      <c r="V144" s="3">
        <v>0</v>
      </c>
      <c r="W144" s="3">
        <v>10</v>
      </c>
      <c r="X144" s="3">
        <v>2</v>
      </c>
      <c r="Y144" s="3">
        <v>10</v>
      </c>
      <c r="Z144" s="3">
        <v>41.5</v>
      </c>
    </row>
    <row r="145" spans="1:26">
      <c r="A145" s="94" t="str">
        <f t="shared" si="2"/>
        <v>20190921FLA</v>
      </c>
      <c r="B145" s="3">
        <v>2019</v>
      </c>
      <c r="C145" s="3">
        <v>4</v>
      </c>
      <c r="D145" s="3">
        <v>20190921</v>
      </c>
      <c r="E145" s="3" t="s">
        <v>144</v>
      </c>
      <c r="F145" s="3" t="s">
        <v>54</v>
      </c>
      <c r="G145" s="3" t="s">
        <v>147</v>
      </c>
      <c r="H145" s="3">
        <v>37</v>
      </c>
      <c r="I145" s="3">
        <v>128</v>
      </c>
      <c r="J145" s="3">
        <v>34</v>
      </c>
      <c r="K145" s="3">
        <v>313</v>
      </c>
      <c r="L145" s="3">
        <v>10</v>
      </c>
      <c r="M145" s="3">
        <v>0</v>
      </c>
      <c r="N145" s="3">
        <v>4</v>
      </c>
      <c r="O145" s="3">
        <v>34</v>
      </c>
      <c r="P145" s="3" t="s">
        <v>129</v>
      </c>
      <c r="Q145" s="3" t="s">
        <v>147</v>
      </c>
      <c r="R145" s="3">
        <v>27</v>
      </c>
      <c r="S145" s="3">
        <v>88</v>
      </c>
      <c r="T145" s="3">
        <v>28</v>
      </c>
      <c r="U145" s="3">
        <v>151</v>
      </c>
      <c r="V145" s="3">
        <v>0</v>
      </c>
      <c r="W145" s="3">
        <v>0</v>
      </c>
      <c r="X145" s="3">
        <v>3</v>
      </c>
      <c r="Y145" s="3">
        <v>3</v>
      </c>
      <c r="Z145" s="3">
        <v>14</v>
      </c>
    </row>
    <row r="146" spans="1:26">
      <c r="A146" s="94" t="str">
        <f t="shared" si="2"/>
        <v>20190921FLST</v>
      </c>
      <c r="B146" s="3">
        <v>2019</v>
      </c>
      <c r="C146" s="3">
        <v>4</v>
      </c>
      <c r="D146" s="3">
        <v>20190921</v>
      </c>
      <c r="E146" s="3" t="s">
        <v>144</v>
      </c>
      <c r="F146" s="3" t="s">
        <v>116</v>
      </c>
      <c r="G146" s="3" t="s">
        <v>146</v>
      </c>
      <c r="H146" s="3">
        <v>41</v>
      </c>
      <c r="I146" s="3">
        <v>140</v>
      </c>
      <c r="J146" s="3">
        <v>34</v>
      </c>
      <c r="K146" s="3">
        <v>382</v>
      </c>
      <c r="L146" s="3">
        <v>14</v>
      </c>
      <c r="M146" s="3">
        <v>18</v>
      </c>
      <c r="N146" s="3">
        <v>2</v>
      </c>
      <c r="O146" s="3">
        <v>35</v>
      </c>
      <c r="P146" s="3" t="s">
        <v>123</v>
      </c>
      <c r="Q146" s="3" t="s">
        <v>146</v>
      </c>
      <c r="R146" s="3">
        <v>47</v>
      </c>
      <c r="S146" s="3">
        <v>124</v>
      </c>
      <c r="T146" s="3">
        <v>28</v>
      </c>
      <c r="U146" s="3">
        <v>286</v>
      </c>
      <c r="V146" s="3">
        <v>10</v>
      </c>
      <c r="W146" s="3">
        <v>37</v>
      </c>
      <c r="X146" s="3">
        <v>0</v>
      </c>
      <c r="Y146" s="3">
        <v>24</v>
      </c>
      <c r="Z146" s="3">
        <v>8</v>
      </c>
    </row>
    <row r="147" spans="1:26">
      <c r="A147" s="94" t="str">
        <f t="shared" si="2"/>
        <v>20190921GEO</v>
      </c>
      <c r="B147" s="3">
        <v>2019</v>
      </c>
      <c r="C147" s="3">
        <v>4</v>
      </c>
      <c r="D147" s="3">
        <v>20190921</v>
      </c>
      <c r="E147" s="3" t="s">
        <v>144</v>
      </c>
      <c r="F147" s="3" t="s">
        <v>56</v>
      </c>
      <c r="G147" s="3" t="s">
        <v>147</v>
      </c>
      <c r="H147" s="3">
        <v>31</v>
      </c>
      <c r="I147" s="3">
        <v>154</v>
      </c>
      <c r="J147" s="3">
        <v>26</v>
      </c>
      <c r="K147" s="3">
        <v>187</v>
      </c>
      <c r="L147" s="3">
        <v>3</v>
      </c>
      <c r="M147" s="3">
        <v>20</v>
      </c>
      <c r="N147" s="3">
        <v>2</v>
      </c>
      <c r="O147" s="3">
        <v>23</v>
      </c>
      <c r="P147" s="3" t="s">
        <v>77</v>
      </c>
      <c r="Q147" s="3" t="s">
        <v>53</v>
      </c>
      <c r="R147" s="3">
        <v>14</v>
      </c>
      <c r="S147" s="3">
        <v>46</v>
      </c>
      <c r="T147" s="3">
        <v>47</v>
      </c>
      <c r="U147" s="3">
        <v>275</v>
      </c>
      <c r="V147" s="3">
        <v>0</v>
      </c>
      <c r="W147" s="3">
        <v>9</v>
      </c>
      <c r="X147" s="3">
        <v>1</v>
      </c>
      <c r="Y147" s="3">
        <v>17</v>
      </c>
      <c r="Z147" s="3">
        <v>14</v>
      </c>
    </row>
    <row r="148" spans="1:26">
      <c r="A148" s="94" t="str">
        <f t="shared" si="2"/>
        <v>20190921ILL</v>
      </c>
      <c r="B148" s="3">
        <v>2019</v>
      </c>
      <c r="C148" s="3">
        <v>4</v>
      </c>
      <c r="D148" s="3">
        <v>20190921</v>
      </c>
      <c r="E148" s="3" t="s">
        <v>144</v>
      </c>
      <c r="F148" s="3" t="s">
        <v>60</v>
      </c>
      <c r="G148" s="3" t="s">
        <v>152</v>
      </c>
      <c r="H148" s="3">
        <v>38</v>
      </c>
      <c r="I148" s="3">
        <v>221</v>
      </c>
      <c r="J148" s="3">
        <v>24</v>
      </c>
      <c r="K148" s="3">
        <v>78</v>
      </c>
      <c r="L148" s="3">
        <v>5</v>
      </c>
      <c r="M148" s="3">
        <v>194</v>
      </c>
      <c r="N148" s="3">
        <v>4</v>
      </c>
      <c r="O148" s="3">
        <v>38</v>
      </c>
      <c r="P148" s="3" t="s">
        <v>127</v>
      </c>
      <c r="Q148" s="3" t="s">
        <v>152</v>
      </c>
      <c r="R148" s="3">
        <v>64</v>
      </c>
      <c r="S148" s="3">
        <v>344</v>
      </c>
      <c r="T148" s="3">
        <v>34</v>
      </c>
      <c r="U148" s="3">
        <v>327</v>
      </c>
      <c r="V148" s="3">
        <v>4</v>
      </c>
      <c r="W148" s="3">
        <v>18</v>
      </c>
      <c r="X148" s="3">
        <v>1</v>
      </c>
      <c r="Y148" s="3">
        <v>42</v>
      </c>
      <c r="Z148" s="3">
        <v>10.5</v>
      </c>
    </row>
    <row r="149" spans="1:26">
      <c r="A149" s="94" t="str">
        <f t="shared" si="2"/>
        <v>20190921IND</v>
      </c>
      <c r="B149" s="3">
        <v>2019</v>
      </c>
      <c r="C149" s="3">
        <v>4</v>
      </c>
      <c r="D149" s="3">
        <v>20190921</v>
      </c>
      <c r="E149" s="3" t="s">
        <v>144</v>
      </c>
      <c r="F149" s="3" t="s">
        <v>53</v>
      </c>
      <c r="G149" s="3" t="s">
        <v>152</v>
      </c>
      <c r="H149" s="3">
        <v>40</v>
      </c>
      <c r="I149" s="3">
        <v>178</v>
      </c>
      <c r="J149" s="3">
        <v>28</v>
      </c>
      <c r="K149" s="3">
        <v>252</v>
      </c>
      <c r="L149" s="3">
        <v>15</v>
      </c>
      <c r="M149" s="3">
        <v>11</v>
      </c>
      <c r="N149" s="3">
        <v>1</v>
      </c>
      <c r="O149" s="3">
        <v>38</v>
      </c>
      <c r="P149" s="3" t="s">
        <v>13</v>
      </c>
      <c r="Q149" s="3" t="s">
        <v>150</v>
      </c>
      <c r="R149" s="3">
        <v>22</v>
      </c>
      <c r="S149" s="3">
        <v>51</v>
      </c>
      <c r="T149" s="3">
        <v>30</v>
      </c>
      <c r="U149" s="3">
        <v>94</v>
      </c>
      <c r="V149" s="3">
        <v>12</v>
      </c>
      <c r="W149" s="3">
        <v>0</v>
      </c>
      <c r="X149" s="3">
        <v>2</v>
      </c>
      <c r="Y149" s="3">
        <v>3</v>
      </c>
      <c r="Z149" s="3">
        <v>28</v>
      </c>
    </row>
    <row r="150" spans="1:26">
      <c r="A150" s="94" t="str">
        <f t="shared" si="2"/>
        <v>20190921IWST</v>
      </c>
      <c r="B150" s="3">
        <v>2019</v>
      </c>
      <c r="C150" s="3">
        <v>4</v>
      </c>
      <c r="D150" s="3">
        <v>20190921</v>
      </c>
      <c r="E150" s="3" t="s">
        <v>144</v>
      </c>
      <c r="F150" s="3" t="s">
        <v>122</v>
      </c>
      <c r="G150" s="3" t="s">
        <v>209</v>
      </c>
      <c r="H150" s="3">
        <v>37</v>
      </c>
      <c r="I150" s="3">
        <v>270</v>
      </c>
      <c r="J150" s="3">
        <v>30</v>
      </c>
      <c r="K150" s="3">
        <v>444</v>
      </c>
      <c r="L150" s="3">
        <v>13</v>
      </c>
      <c r="M150" s="3">
        <v>35</v>
      </c>
      <c r="N150" s="3">
        <v>3</v>
      </c>
      <c r="O150" s="3">
        <v>72</v>
      </c>
      <c r="P150" s="3" t="s">
        <v>25</v>
      </c>
      <c r="Q150" s="3" t="s">
        <v>145</v>
      </c>
      <c r="R150" s="3">
        <v>43</v>
      </c>
      <c r="S150" s="3">
        <v>228</v>
      </c>
      <c r="T150" s="3">
        <v>37</v>
      </c>
      <c r="U150" s="3">
        <v>197</v>
      </c>
      <c r="V150" s="3">
        <v>0</v>
      </c>
      <c r="W150" s="3">
        <v>171</v>
      </c>
      <c r="X150" s="3">
        <v>2</v>
      </c>
      <c r="Y150" s="3">
        <v>20</v>
      </c>
      <c r="Z150" s="3">
        <v>20.5</v>
      </c>
    </row>
    <row r="151" spans="1:26">
      <c r="A151" s="94" t="str">
        <f t="shared" si="2"/>
        <v>20190921KAN</v>
      </c>
      <c r="B151" s="3">
        <v>2019</v>
      </c>
      <c r="C151" s="3">
        <v>4</v>
      </c>
      <c r="D151" s="3">
        <v>20190921</v>
      </c>
      <c r="E151" s="3" t="s">
        <v>144</v>
      </c>
      <c r="F151" s="3" t="s">
        <v>64</v>
      </c>
      <c r="G151" s="3" t="s">
        <v>209</v>
      </c>
      <c r="H151" s="3">
        <v>30</v>
      </c>
      <c r="I151" s="3">
        <v>142</v>
      </c>
      <c r="J151" s="3">
        <v>25</v>
      </c>
      <c r="K151" s="3">
        <v>275</v>
      </c>
      <c r="L151" s="3">
        <v>0</v>
      </c>
      <c r="M151" s="3">
        <v>37</v>
      </c>
      <c r="N151" s="3">
        <v>0</v>
      </c>
      <c r="O151" s="3">
        <v>24</v>
      </c>
      <c r="P151" s="3" t="s">
        <v>133</v>
      </c>
      <c r="Q151" s="3" t="s">
        <v>209</v>
      </c>
      <c r="R151" s="3">
        <v>48</v>
      </c>
      <c r="S151" s="3">
        <v>192</v>
      </c>
      <c r="T151" s="3">
        <v>37</v>
      </c>
      <c r="U151" s="3">
        <v>202</v>
      </c>
      <c r="V151" s="3">
        <v>16</v>
      </c>
      <c r="W151" s="3">
        <v>38</v>
      </c>
      <c r="X151" s="3">
        <v>2</v>
      </c>
      <c r="Y151" s="3">
        <v>29</v>
      </c>
      <c r="Z151" s="3">
        <v>4.5</v>
      </c>
    </row>
    <row r="152" spans="1:26">
      <c r="A152" s="94" t="str">
        <f t="shared" si="2"/>
        <v>20190921KEST</v>
      </c>
      <c r="B152" s="3">
        <v>2019</v>
      </c>
      <c r="C152" s="3">
        <v>4</v>
      </c>
      <c r="D152" s="3">
        <v>20190921</v>
      </c>
      <c r="E152" s="3" t="s">
        <v>144</v>
      </c>
      <c r="F152" s="3" t="s">
        <v>61</v>
      </c>
      <c r="G152" s="3" t="s">
        <v>149</v>
      </c>
      <c r="H152" s="3">
        <v>48</v>
      </c>
      <c r="I152" s="3">
        <v>375</v>
      </c>
      <c r="J152" s="3">
        <v>36</v>
      </c>
      <c r="K152" s="3">
        <v>375</v>
      </c>
      <c r="L152" s="3">
        <v>10</v>
      </c>
      <c r="M152" s="3">
        <v>32</v>
      </c>
      <c r="N152" s="3">
        <v>2</v>
      </c>
      <c r="O152" s="3">
        <v>62</v>
      </c>
      <c r="P152" s="3" t="s">
        <v>87</v>
      </c>
      <c r="Q152" s="3" t="s">
        <v>149</v>
      </c>
      <c r="R152" s="3">
        <v>40</v>
      </c>
      <c r="S152" s="3">
        <v>156</v>
      </c>
      <c r="T152" s="3">
        <v>33</v>
      </c>
      <c r="U152" s="3">
        <v>206</v>
      </c>
      <c r="V152" s="3">
        <v>0</v>
      </c>
      <c r="W152" s="3">
        <v>71</v>
      </c>
      <c r="X152" s="3">
        <v>0</v>
      </c>
      <c r="Y152" s="3">
        <v>20</v>
      </c>
      <c r="Z152" s="3">
        <v>11.5</v>
      </c>
    </row>
    <row r="153" spans="1:26">
      <c r="A153" s="94" t="str">
        <f t="shared" si="2"/>
        <v>20190921MIAF</v>
      </c>
      <c r="B153" s="3">
        <v>2019</v>
      </c>
      <c r="C153" s="3">
        <v>4</v>
      </c>
      <c r="D153" s="3">
        <v>20190921</v>
      </c>
      <c r="E153" s="3" t="s">
        <v>144</v>
      </c>
      <c r="F153" s="3" t="s">
        <v>125</v>
      </c>
      <c r="G153" s="3" t="s">
        <v>146</v>
      </c>
      <c r="H153" s="3">
        <v>33</v>
      </c>
      <c r="I153" s="3">
        <v>53</v>
      </c>
      <c r="J153" s="3">
        <v>24</v>
      </c>
      <c r="K153" s="3">
        <v>250</v>
      </c>
      <c r="L153" s="3">
        <v>16</v>
      </c>
      <c r="M153" s="3">
        <v>21</v>
      </c>
      <c r="N153" s="3">
        <v>3</v>
      </c>
      <c r="O153" s="3">
        <v>17</v>
      </c>
      <c r="P153" s="3" t="s">
        <v>67</v>
      </c>
      <c r="Q153" s="3" t="s">
        <v>149</v>
      </c>
      <c r="R153" s="3">
        <v>27</v>
      </c>
      <c r="S153" s="3">
        <v>31</v>
      </c>
      <c r="T153" s="3">
        <v>51</v>
      </c>
      <c r="U153" s="3">
        <v>217</v>
      </c>
      <c r="V153" s="3">
        <v>16</v>
      </c>
      <c r="W153" s="3">
        <v>70</v>
      </c>
      <c r="X153" s="3">
        <v>1</v>
      </c>
      <c r="Y153" s="3">
        <v>12</v>
      </c>
      <c r="Z153" s="3">
        <v>29</v>
      </c>
    </row>
    <row r="154" spans="1:26">
      <c r="A154" s="94" t="str">
        <f t="shared" si="2"/>
        <v>20190921MIS</v>
      </c>
      <c r="B154" s="3">
        <v>2019</v>
      </c>
      <c r="C154" s="3">
        <v>4</v>
      </c>
      <c r="D154" s="3">
        <v>20190921</v>
      </c>
      <c r="E154" s="3" t="s">
        <v>144</v>
      </c>
      <c r="F154" s="3" t="s">
        <v>126</v>
      </c>
      <c r="G154" s="3" t="s">
        <v>147</v>
      </c>
      <c r="H154" s="3">
        <v>38</v>
      </c>
      <c r="I154" s="3">
        <v>177</v>
      </c>
      <c r="J154" s="3">
        <v>48</v>
      </c>
      <c r="K154" s="3">
        <v>348</v>
      </c>
      <c r="L154" s="3">
        <v>11</v>
      </c>
      <c r="M154" s="3">
        <v>12</v>
      </c>
      <c r="N154" s="3">
        <v>1</v>
      </c>
      <c r="O154" s="3">
        <v>20</v>
      </c>
      <c r="P154" s="3" t="s">
        <v>48</v>
      </c>
      <c r="Q154" s="3" t="s">
        <v>151</v>
      </c>
      <c r="R154" s="3">
        <v>33</v>
      </c>
      <c r="S154" s="3">
        <v>60</v>
      </c>
      <c r="T154" s="3">
        <v>36</v>
      </c>
      <c r="U154" s="3">
        <v>373</v>
      </c>
      <c r="V154" s="3">
        <v>0</v>
      </c>
      <c r="W154" s="3">
        <v>17</v>
      </c>
      <c r="X154" s="3">
        <v>0</v>
      </c>
      <c r="Y154" s="3">
        <v>28</v>
      </c>
      <c r="Z154" s="3">
        <v>0</v>
      </c>
    </row>
    <row r="155" spans="1:26">
      <c r="A155" s="94" t="str">
        <f t="shared" si="2"/>
        <v>20190921MIZ</v>
      </c>
      <c r="B155" s="3">
        <v>2019</v>
      </c>
      <c r="C155" s="3">
        <v>4</v>
      </c>
      <c r="D155" s="3">
        <v>20190921</v>
      </c>
      <c r="E155" s="3" t="s">
        <v>144</v>
      </c>
      <c r="F155" s="3" t="s">
        <v>73</v>
      </c>
      <c r="G155" s="3" t="s">
        <v>147</v>
      </c>
      <c r="H155" s="3">
        <v>54</v>
      </c>
      <c r="I155" s="3">
        <v>194</v>
      </c>
      <c r="J155" s="3">
        <v>33</v>
      </c>
      <c r="K155" s="3">
        <v>227</v>
      </c>
      <c r="L155" s="3">
        <v>35</v>
      </c>
      <c r="M155" s="3">
        <v>0</v>
      </c>
      <c r="N155" s="3">
        <v>3</v>
      </c>
      <c r="O155" s="3">
        <v>34</v>
      </c>
      <c r="P155" s="3" t="s">
        <v>96</v>
      </c>
      <c r="Q155" s="3" t="s">
        <v>147</v>
      </c>
      <c r="R155" s="3">
        <v>24</v>
      </c>
      <c r="S155" s="3">
        <v>16</v>
      </c>
      <c r="T155" s="3">
        <v>41</v>
      </c>
      <c r="U155" s="3">
        <v>255</v>
      </c>
      <c r="V155" s="3">
        <v>0</v>
      </c>
      <c r="W155" s="3">
        <v>0</v>
      </c>
      <c r="X155" s="3">
        <v>2</v>
      </c>
      <c r="Y155" s="3">
        <v>14</v>
      </c>
      <c r="Z155" s="3">
        <v>9.5</v>
      </c>
    </row>
    <row r="156" spans="1:26">
      <c r="A156" s="94" t="str">
        <f t="shared" si="2"/>
        <v>20190921MSST</v>
      </c>
      <c r="B156" s="3">
        <v>2019</v>
      </c>
      <c r="C156" s="3">
        <v>4</v>
      </c>
      <c r="D156" s="3">
        <v>20190921</v>
      </c>
      <c r="E156" s="3" t="s">
        <v>144</v>
      </c>
      <c r="F156" s="3" t="s">
        <v>74</v>
      </c>
      <c r="G156" s="3" t="s">
        <v>147</v>
      </c>
      <c r="H156" s="3">
        <v>40</v>
      </c>
      <c r="I156" s="3">
        <v>241</v>
      </c>
      <c r="J156" s="3">
        <v>22</v>
      </c>
      <c r="K156" s="3">
        <v>180</v>
      </c>
      <c r="L156" s="3">
        <v>0</v>
      </c>
      <c r="M156" s="3">
        <v>0</v>
      </c>
      <c r="N156" s="3">
        <v>1</v>
      </c>
      <c r="O156" s="3">
        <v>28</v>
      </c>
      <c r="P156" s="3" t="s">
        <v>66</v>
      </c>
      <c r="Q156" s="3" t="s">
        <v>147</v>
      </c>
      <c r="R156" s="3">
        <v>28</v>
      </c>
      <c r="S156" s="3">
        <v>154</v>
      </c>
      <c r="T156" s="3">
        <v>42</v>
      </c>
      <c r="U156" s="3">
        <v>232</v>
      </c>
      <c r="V156" s="3">
        <v>25</v>
      </c>
      <c r="W156" s="3">
        <v>22</v>
      </c>
      <c r="X156" s="3">
        <v>2</v>
      </c>
      <c r="Y156" s="3">
        <v>13</v>
      </c>
      <c r="Z156" s="3">
        <v>8.5</v>
      </c>
    </row>
    <row r="157" spans="1:26">
      <c r="A157" s="94" t="str">
        <f t="shared" si="2"/>
        <v>20190921NCAR</v>
      </c>
      <c r="B157" s="3">
        <v>2019</v>
      </c>
      <c r="C157" s="3">
        <v>4</v>
      </c>
      <c r="D157" s="3">
        <v>20190921</v>
      </c>
      <c r="E157" s="3" t="s">
        <v>144</v>
      </c>
      <c r="F157" s="3" t="s">
        <v>49</v>
      </c>
      <c r="G157" s="3" t="s">
        <v>146</v>
      </c>
      <c r="H157" s="3">
        <v>40</v>
      </c>
      <c r="I157" s="3">
        <v>146</v>
      </c>
      <c r="J157" s="3">
        <v>42</v>
      </c>
      <c r="K157" s="3">
        <v>323</v>
      </c>
      <c r="L157" s="3">
        <v>5</v>
      </c>
      <c r="M157" s="3">
        <v>129</v>
      </c>
      <c r="N157" s="3">
        <v>1</v>
      </c>
      <c r="O157" s="3">
        <v>31</v>
      </c>
      <c r="P157" s="3" t="s">
        <v>90</v>
      </c>
      <c r="Q157" s="3" t="s">
        <v>145</v>
      </c>
      <c r="R157" s="3">
        <v>35</v>
      </c>
      <c r="S157" s="3">
        <v>161</v>
      </c>
      <c r="T157" s="3">
        <v>29</v>
      </c>
      <c r="U157" s="3">
        <v>224</v>
      </c>
      <c r="V157" s="3">
        <v>0</v>
      </c>
      <c r="W157" s="3">
        <v>19</v>
      </c>
      <c r="X157" s="3">
        <v>3</v>
      </c>
      <c r="Y157" s="3">
        <v>34</v>
      </c>
      <c r="Z157" s="3">
        <v>2.5</v>
      </c>
    </row>
    <row r="158" spans="1:26">
      <c r="A158" s="94" t="str">
        <f t="shared" si="2"/>
        <v>20190921NCST</v>
      </c>
      <c r="B158" s="3">
        <v>2019</v>
      </c>
      <c r="C158" s="3">
        <v>4</v>
      </c>
      <c r="D158" s="3">
        <v>20190921</v>
      </c>
      <c r="E158" s="3" t="s">
        <v>144</v>
      </c>
      <c r="F158" s="3" t="s">
        <v>75</v>
      </c>
      <c r="G158" s="3" t="s">
        <v>146</v>
      </c>
      <c r="H158" s="3">
        <v>41</v>
      </c>
      <c r="I158" s="3">
        <v>204</v>
      </c>
      <c r="J158" s="3">
        <v>34</v>
      </c>
      <c r="K158" s="3">
        <v>185</v>
      </c>
      <c r="L158" s="3">
        <v>112</v>
      </c>
      <c r="M158" s="3">
        <v>100</v>
      </c>
      <c r="N158" s="3">
        <v>1</v>
      </c>
      <c r="O158" s="3">
        <v>34</v>
      </c>
      <c r="P158" s="3" t="s">
        <v>12</v>
      </c>
      <c r="Q158" s="3" t="s">
        <v>149</v>
      </c>
      <c r="R158" s="3">
        <v>30</v>
      </c>
      <c r="S158" s="3">
        <v>84</v>
      </c>
      <c r="T158" s="3">
        <v>57</v>
      </c>
      <c r="U158" s="3">
        <v>333</v>
      </c>
      <c r="V158" s="3">
        <v>11</v>
      </c>
      <c r="W158" s="3">
        <v>22</v>
      </c>
      <c r="X158" s="3">
        <v>3</v>
      </c>
      <c r="Y158" s="3">
        <v>23</v>
      </c>
      <c r="Z158" s="3">
        <v>19</v>
      </c>
    </row>
    <row r="159" spans="1:26">
      <c r="A159" s="94" t="str">
        <f t="shared" si="2"/>
        <v>20190921NMX</v>
      </c>
      <c r="B159" s="3">
        <v>2019</v>
      </c>
      <c r="C159" s="3">
        <v>4</v>
      </c>
      <c r="D159" s="3">
        <v>20190921</v>
      </c>
      <c r="E159" s="3" t="s">
        <v>144</v>
      </c>
      <c r="F159" s="3" t="s">
        <v>76</v>
      </c>
      <c r="G159" s="3" t="s">
        <v>148</v>
      </c>
      <c r="H159" s="3">
        <v>51</v>
      </c>
      <c r="I159" s="3">
        <v>243</v>
      </c>
      <c r="J159" s="3">
        <v>28</v>
      </c>
      <c r="K159" s="3">
        <v>355</v>
      </c>
      <c r="L159" s="3">
        <v>5</v>
      </c>
      <c r="M159" s="3">
        <v>36</v>
      </c>
      <c r="N159" s="3">
        <v>1</v>
      </c>
      <c r="O159" s="3">
        <v>55</v>
      </c>
      <c r="P159" s="3" t="s">
        <v>9</v>
      </c>
      <c r="Q159" s="3" t="s">
        <v>53</v>
      </c>
      <c r="R159" s="3">
        <v>34</v>
      </c>
      <c r="S159" s="3">
        <v>154</v>
      </c>
      <c r="T159" s="3">
        <v>47</v>
      </c>
      <c r="U159" s="3">
        <v>335</v>
      </c>
      <c r="V159" s="3">
        <v>0</v>
      </c>
      <c r="W159" s="3">
        <v>98</v>
      </c>
      <c r="X159" s="3">
        <v>1</v>
      </c>
      <c r="Y159" s="3">
        <v>52</v>
      </c>
      <c r="Z159" s="3">
        <v>3.5</v>
      </c>
    </row>
    <row r="160" spans="1:26">
      <c r="A160" s="94" t="str">
        <f t="shared" si="2"/>
        <v>20190921NORW</v>
      </c>
      <c r="B160" s="3">
        <v>2019</v>
      </c>
      <c r="C160" s="3">
        <v>4</v>
      </c>
      <c r="D160" s="3">
        <v>20190921</v>
      </c>
      <c r="E160" s="3" t="s">
        <v>144</v>
      </c>
      <c r="F160" s="3" t="s">
        <v>18</v>
      </c>
      <c r="G160" s="3" t="s">
        <v>152</v>
      </c>
      <c r="H160" s="3">
        <v>43</v>
      </c>
      <c r="I160" s="3">
        <v>140</v>
      </c>
      <c r="J160" s="3">
        <v>37</v>
      </c>
      <c r="K160" s="3">
        <v>126</v>
      </c>
      <c r="L160" s="3">
        <v>30</v>
      </c>
      <c r="M160" s="3">
        <v>22</v>
      </c>
      <c r="N160" s="3">
        <v>1</v>
      </c>
      <c r="O160" s="3">
        <v>10</v>
      </c>
      <c r="P160" s="3" t="s">
        <v>30</v>
      </c>
      <c r="Q160" s="3" t="s">
        <v>152</v>
      </c>
      <c r="R160" s="3">
        <v>39</v>
      </c>
      <c r="S160" s="3">
        <v>112</v>
      </c>
      <c r="T160" s="3">
        <v>31</v>
      </c>
      <c r="U160" s="3">
        <v>228</v>
      </c>
      <c r="V160" s="3">
        <v>32</v>
      </c>
      <c r="W160" s="3">
        <v>31</v>
      </c>
      <c r="X160" s="3">
        <v>3</v>
      </c>
      <c r="Y160" s="3">
        <v>31</v>
      </c>
      <c r="Z160" s="3">
        <v>9.5</v>
      </c>
    </row>
    <row r="161" spans="1:26">
      <c r="A161" s="94" t="str">
        <f t="shared" si="2"/>
        <v>20190921OHST</v>
      </c>
      <c r="B161" s="3">
        <v>2019</v>
      </c>
      <c r="C161" s="3">
        <v>4</v>
      </c>
      <c r="D161" s="3">
        <v>20190921</v>
      </c>
      <c r="E161" s="3" t="s">
        <v>144</v>
      </c>
      <c r="F161" s="3" t="s">
        <v>81</v>
      </c>
      <c r="G161" s="3" t="s">
        <v>152</v>
      </c>
      <c r="H161" s="3">
        <v>42</v>
      </c>
      <c r="I161" s="3">
        <v>227</v>
      </c>
      <c r="J161" s="3">
        <v>30</v>
      </c>
      <c r="K161" s="3">
        <v>374</v>
      </c>
      <c r="L161" s="3">
        <v>64</v>
      </c>
      <c r="M161" s="3">
        <v>0</v>
      </c>
      <c r="N161" s="3">
        <v>3</v>
      </c>
      <c r="O161" s="3">
        <v>76</v>
      </c>
      <c r="P161" s="3" t="s">
        <v>71</v>
      </c>
      <c r="Q161" s="3" t="s">
        <v>149</v>
      </c>
      <c r="R161" s="3">
        <v>41</v>
      </c>
      <c r="S161" s="3">
        <v>72</v>
      </c>
      <c r="T161" s="3">
        <v>20</v>
      </c>
      <c r="U161" s="3">
        <v>60</v>
      </c>
      <c r="V161" s="3">
        <v>0</v>
      </c>
      <c r="W161" s="3">
        <v>11</v>
      </c>
      <c r="X161" s="3">
        <v>1</v>
      </c>
      <c r="Y161" s="3">
        <v>5</v>
      </c>
      <c r="Z161" s="3">
        <v>40</v>
      </c>
    </row>
    <row r="162" spans="1:26">
      <c r="A162" s="94" t="str">
        <f t="shared" si="2"/>
        <v>20190921OHU</v>
      </c>
      <c r="B162" s="3">
        <v>2019</v>
      </c>
      <c r="C162" s="3">
        <v>4</v>
      </c>
      <c r="D162" s="3">
        <v>20190921</v>
      </c>
      <c r="E162" s="3" t="s">
        <v>144</v>
      </c>
      <c r="F162" s="3" t="s">
        <v>83</v>
      </c>
      <c r="G162" s="3" t="s">
        <v>149</v>
      </c>
      <c r="H162" s="3">
        <v>28</v>
      </c>
      <c r="I162" s="3">
        <v>103</v>
      </c>
      <c r="J162" s="3">
        <v>38</v>
      </c>
      <c r="K162" s="3">
        <v>277</v>
      </c>
      <c r="L162" s="3">
        <v>3</v>
      </c>
      <c r="M162" s="3">
        <v>64</v>
      </c>
      <c r="N162" s="3">
        <v>1</v>
      </c>
      <c r="O162" s="3">
        <v>25</v>
      </c>
      <c r="P162" s="3" t="s">
        <v>69</v>
      </c>
      <c r="Q162" s="3" t="s">
        <v>145</v>
      </c>
      <c r="R162" s="3">
        <v>46</v>
      </c>
      <c r="S162" s="3">
        <v>285</v>
      </c>
      <c r="T162" s="3">
        <v>30</v>
      </c>
      <c r="U162" s="3">
        <v>204</v>
      </c>
      <c r="V162" s="3">
        <v>4</v>
      </c>
      <c r="W162" s="3">
        <v>30</v>
      </c>
      <c r="X162" s="3">
        <v>5</v>
      </c>
      <c r="Y162" s="3">
        <v>45</v>
      </c>
      <c r="Z162" s="3">
        <v>3</v>
      </c>
    </row>
    <row r="163" spans="1:26">
      <c r="A163" s="94" t="str">
        <f t="shared" si="2"/>
        <v>20190921PIT</v>
      </c>
      <c r="B163" s="3">
        <v>2019</v>
      </c>
      <c r="C163" s="3">
        <v>4</v>
      </c>
      <c r="D163" s="3">
        <v>20190921</v>
      </c>
      <c r="E163" s="3" t="s">
        <v>144</v>
      </c>
      <c r="F163" s="3" t="s">
        <v>88</v>
      </c>
      <c r="G163" s="3" t="s">
        <v>146</v>
      </c>
      <c r="H163" s="3">
        <v>37</v>
      </c>
      <c r="I163" s="3">
        <v>196</v>
      </c>
      <c r="J163" s="3">
        <v>51</v>
      </c>
      <c r="K163" s="3">
        <v>243</v>
      </c>
      <c r="L163" s="3">
        <v>36</v>
      </c>
      <c r="M163" s="3">
        <v>63</v>
      </c>
      <c r="N163" s="3">
        <v>2</v>
      </c>
      <c r="O163" s="3">
        <v>35</v>
      </c>
      <c r="P163" s="3" t="s">
        <v>14</v>
      </c>
      <c r="Q163" s="3" t="s">
        <v>150</v>
      </c>
      <c r="R163" s="3">
        <v>34</v>
      </c>
      <c r="S163" s="3">
        <v>85</v>
      </c>
      <c r="T163" s="3">
        <v>42</v>
      </c>
      <c r="U163" s="3">
        <v>338</v>
      </c>
      <c r="V163" s="3">
        <v>87</v>
      </c>
      <c r="W163" s="3">
        <v>26</v>
      </c>
      <c r="X163" s="3">
        <v>1</v>
      </c>
      <c r="Y163" s="3">
        <v>34</v>
      </c>
      <c r="Z163" s="3">
        <v>11</v>
      </c>
    </row>
    <row r="164" spans="1:26">
      <c r="A164" s="94" t="str">
        <f t="shared" si="2"/>
        <v>20190921RICE</v>
      </c>
      <c r="B164" s="3">
        <v>2019</v>
      </c>
      <c r="C164" s="3">
        <v>4</v>
      </c>
      <c r="D164" s="3">
        <v>20190921</v>
      </c>
      <c r="E164" s="3" t="s">
        <v>144</v>
      </c>
      <c r="F164" s="3" t="s">
        <v>11</v>
      </c>
      <c r="G164" s="3" t="s">
        <v>153</v>
      </c>
      <c r="H164" s="3">
        <v>35</v>
      </c>
      <c r="I164" s="3">
        <v>64</v>
      </c>
      <c r="J164" s="3">
        <v>31</v>
      </c>
      <c r="K164" s="3">
        <v>178</v>
      </c>
      <c r="L164" s="3">
        <v>0</v>
      </c>
      <c r="M164" s="3">
        <v>41</v>
      </c>
      <c r="N164" s="3">
        <v>2</v>
      </c>
      <c r="O164" s="3">
        <v>13</v>
      </c>
      <c r="P164" s="3" t="s">
        <v>45</v>
      </c>
      <c r="Q164" s="3" t="s">
        <v>209</v>
      </c>
      <c r="R164" s="3">
        <v>35</v>
      </c>
      <c r="S164" s="3">
        <v>124</v>
      </c>
      <c r="T164" s="3">
        <v>28</v>
      </c>
      <c r="U164" s="3">
        <v>303</v>
      </c>
      <c r="V164" s="3">
        <v>0</v>
      </c>
      <c r="W164" s="3">
        <v>45</v>
      </c>
      <c r="X164" s="3">
        <v>1</v>
      </c>
      <c r="Y164" s="3">
        <v>21</v>
      </c>
      <c r="Z164" s="3">
        <v>26.5</v>
      </c>
    </row>
    <row r="165" spans="1:26">
      <c r="A165" s="94" t="str">
        <f t="shared" si="2"/>
        <v>20190921RUT</v>
      </c>
      <c r="B165" s="3">
        <v>2019</v>
      </c>
      <c r="C165" s="3">
        <v>4</v>
      </c>
      <c r="D165" s="3">
        <v>20190921</v>
      </c>
      <c r="E165" s="3" t="s">
        <v>144</v>
      </c>
      <c r="F165" s="3" t="s">
        <v>92</v>
      </c>
      <c r="G165" s="3" t="s">
        <v>152</v>
      </c>
      <c r="H165" s="3">
        <v>26</v>
      </c>
      <c r="I165" s="3">
        <v>76</v>
      </c>
      <c r="J165" s="3">
        <v>34</v>
      </c>
      <c r="K165" s="3">
        <v>304</v>
      </c>
      <c r="L165" s="3">
        <v>15</v>
      </c>
      <c r="M165" s="3">
        <v>50</v>
      </c>
      <c r="N165" s="3">
        <v>0</v>
      </c>
      <c r="O165" s="3">
        <v>16</v>
      </c>
      <c r="P165" s="3" t="s">
        <v>46</v>
      </c>
      <c r="Q165" s="3" t="s">
        <v>146</v>
      </c>
      <c r="R165" s="3">
        <v>58</v>
      </c>
      <c r="S165" s="3">
        <v>281</v>
      </c>
      <c r="T165" s="3">
        <v>25</v>
      </c>
      <c r="U165" s="3">
        <v>159</v>
      </c>
      <c r="V165" s="3">
        <v>6</v>
      </c>
      <c r="W165" s="3">
        <v>18</v>
      </c>
      <c r="X165" s="3">
        <v>2</v>
      </c>
      <c r="Y165" s="3">
        <v>30</v>
      </c>
      <c r="Z165" s="3">
        <v>8.5</v>
      </c>
    </row>
    <row r="166" spans="1:26">
      <c r="A166" s="94" t="str">
        <f t="shared" si="2"/>
        <v>20190921SDST</v>
      </c>
      <c r="B166" s="3">
        <v>2019</v>
      </c>
      <c r="C166" s="3">
        <v>4</v>
      </c>
      <c r="D166" s="3">
        <v>20190921</v>
      </c>
      <c r="E166" s="3" t="s">
        <v>144</v>
      </c>
      <c r="F166" s="3" t="s">
        <v>34</v>
      </c>
      <c r="G166" s="3" t="s">
        <v>148</v>
      </c>
      <c r="H166" s="3">
        <v>46</v>
      </c>
      <c r="I166" s="3">
        <v>91</v>
      </c>
      <c r="J166" s="3">
        <v>37</v>
      </c>
      <c r="K166" s="3">
        <v>281</v>
      </c>
      <c r="L166" s="3">
        <v>13</v>
      </c>
      <c r="M166" s="3">
        <v>88</v>
      </c>
      <c r="N166" s="3">
        <v>0</v>
      </c>
      <c r="O166" s="3">
        <v>17</v>
      </c>
      <c r="P166" s="3" t="s">
        <v>31</v>
      </c>
      <c r="Q166" s="3" t="s">
        <v>148</v>
      </c>
      <c r="R166" s="3">
        <v>27</v>
      </c>
      <c r="S166" s="3">
        <v>82</v>
      </c>
      <c r="T166" s="3">
        <v>47</v>
      </c>
      <c r="U166" s="3">
        <v>293</v>
      </c>
      <c r="V166" s="3">
        <v>0</v>
      </c>
      <c r="W166" s="3">
        <v>59</v>
      </c>
      <c r="X166" s="3">
        <v>1</v>
      </c>
      <c r="Y166" s="3">
        <v>23</v>
      </c>
      <c r="Z166" s="3">
        <v>4</v>
      </c>
    </row>
    <row r="167" spans="1:26">
      <c r="A167" s="94" t="str">
        <f t="shared" si="2"/>
        <v>20190921STAN</v>
      </c>
      <c r="B167" s="3">
        <v>2019</v>
      </c>
      <c r="C167" s="3">
        <v>4</v>
      </c>
      <c r="D167" s="3">
        <v>20190921</v>
      </c>
      <c r="E167" s="3" t="s">
        <v>144</v>
      </c>
      <c r="F167" s="3" t="s">
        <v>33</v>
      </c>
      <c r="G167" s="3" t="s">
        <v>151</v>
      </c>
      <c r="H167" s="3">
        <v>33</v>
      </c>
      <c r="I167" s="3">
        <v>114</v>
      </c>
      <c r="J167" s="3">
        <v>30</v>
      </c>
      <c r="K167" s="3">
        <v>120</v>
      </c>
      <c r="L167" s="3">
        <v>9</v>
      </c>
      <c r="M167" s="3">
        <v>64</v>
      </c>
      <c r="N167" s="3">
        <v>0</v>
      </c>
      <c r="O167" s="3">
        <v>6</v>
      </c>
      <c r="P167" s="3" t="s">
        <v>86</v>
      </c>
      <c r="Q167" s="3" t="s">
        <v>151</v>
      </c>
      <c r="R167" s="3">
        <v>30</v>
      </c>
      <c r="S167" s="3">
        <v>61</v>
      </c>
      <c r="T167" s="3">
        <v>24</v>
      </c>
      <c r="U167" s="3">
        <v>259</v>
      </c>
      <c r="V167" s="3">
        <v>0</v>
      </c>
      <c r="W167" s="3">
        <v>22</v>
      </c>
      <c r="X167" s="3">
        <v>1</v>
      </c>
      <c r="Y167" s="3">
        <v>21</v>
      </c>
      <c r="Z167" s="3">
        <v>13</v>
      </c>
    </row>
    <row r="168" spans="1:26">
      <c r="A168" s="94" t="str">
        <f t="shared" si="2"/>
        <v>20190921SYR</v>
      </c>
      <c r="B168" s="3">
        <v>2019</v>
      </c>
      <c r="C168" s="3">
        <v>4</v>
      </c>
      <c r="D168" s="3">
        <v>20190921</v>
      </c>
      <c r="E168" s="3" t="s">
        <v>144</v>
      </c>
      <c r="F168" s="3" t="s">
        <v>38</v>
      </c>
      <c r="G168" s="3" t="s">
        <v>146</v>
      </c>
      <c r="H168" s="3">
        <v>47</v>
      </c>
      <c r="I168" s="3">
        <v>258</v>
      </c>
      <c r="J168" s="3">
        <v>35</v>
      </c>
      <c r="K168" s="3">
        <v>287</v>
      </c>
      <c r="L168" s="3">
        <v>12</v>
      </c>
      <c r="M168" s="3">
        <v>79</v>
      </c>
      <c r="N168" s="3">
        <v>4</v>
      </c>
      <c r="O168" s="3">
        <v>52</v>
      </c>
      <c r="P168" s="3" t="s">
        <v>37</v>
      </c>
      <c r="Q168" s="3" t="s">
        <v>149</v>
      </c>
      <c r="R168" s="3">
        <v>34</v>
      </c>
      <c r="S168" s="3">
        <v>201</v>
      </c>
      <c r="T168" s="3">
        <v>46</v>
      </c>
      <c r="U168" s="3">
        <v>356</v>
      </c>
      <c r="V168" s="3">
        <v>2</v>
      </c>
      <c r="W168" s="3">
        <v>52</v>
      </c>
      <c r="X168" s="3">
        <v>2</v>
      </c>
      <c r="Y168" s="3">
        <v>33</v>
      </c>
      <c r="Z168" s="3">
        <v>6.5</v>
      </c>
    </row>
    <row r="169" spans="1:26">
      <c r="A169" s="94" t="str">
        <f t="shared" si="2"/>
        <v>20190921TCU</v>
      </c>
      <c r="B169" s="3">
        <v>2019</v>
      </c>
      <c r="C169" s="3">
        <v>4</v>
      </c>
      <c r="D169" s="3">
        <v>20190921</v>
      </c>
      <c r="E169" s="3" t="s">
        <v>144</v>
      </c>
      <c r="F169" s="3" t="s">
        <v>100</v>
      </c>
      <c r="G169" s="3" t="s">
        <v>209</v>
      </c>
      <c r="H169" s="3">
        <v>42</v>
      </c>
      <c r="I169" s="3">
        <v>236</v>
      </c>
      <c r="J169" s="3">
        <v>36</v>
      </c>
      <c r="K169" s="3">
        <v>188</v>
      </c>
      <c r="L169" s="3">
        <v>30</v>
      </c>
      <c r="M169" s="3">
        <v>74</v>
      </c>
      <c r="N169" s="3">
        <v>1</v>
      </c>
      <c r="O169" s="3">
        <v>38</v>
      </c>
      <c r="P169" s="3" t="s">
        <v>80</v>
      </c>
      <c r="Q169" s="3" t="s">
        <v>150</v>
      </c>
      <c r="R169" s="3">
        <v>48</v>
      </c>
      <c r="S169" s="3">
        <v>118</v>
      </c>
      <c r="T169" s="3">
        <v>34</v>
      </c>
      <c r="U169" s="3">
        <v>288</v>
      </c>
      <c r="V169" s="3">
        <v>3</v>
      </c>
      <c r="W169" s="3">
        <v>45</v>
      </c>
      <c r="X169" s="3">
        <v>3</v>
      </c>
      <c r="Y169" s="3">
        <v>41</v>
      </c>
      <c r="Z169" s="3">
        <v>8</v>
      </c>
    </row>
    <row r="170" spans="1:26">
      <c r="A170" s="94" t="str">
        <f t="shared" si="2"/>
        <v>20190921TEX</v>
      </c>
      <c r="B170" s="3">
        <v>2019</v>
      </c>
      <c r="C170" s="3">
        <v>4</v>
      </c>
      <c r="D170" s="3">
        <v>20190921</v>
      </c>
      <c r="E170" s="3" t="s">
        <v>144</v>
      </c>
      <c r="F170" s="3" t="s">
        <v>130</v>
      </c>
      <c r="G170" s="3" t="s">
        <v>209</v>
      </c>
      <c r="H170" s="3">
        <v>41</v>
      </c>
      <c r="I170" s="3">
        <v>222</v>
      </c>
      <c r="J170" s="3">
        <v>28</v>
      </c>
      <c r="K170" s="3">
        <v>281</v>
      </c>
      <c r="L170" s="3">
        <v>6</v>
      </c>
      <c r="M170" s="3">
        <v>45</v>
      </c>
      <c r="N170" s="3">
        <v>2</v>
      </c>
      <c r="O170" s="3">
        <v>36</v>
      </c>
      <c r="P170" s="3" t="s">
        <v>26</v>
      </c>
      <c r="Q170" s="3" t="s">
        <v>209</v>
      </c>
      <c r="R170" s="3">
        <v>56</v>
      </c>
      <c r="S170" s="3">
        <v>226</v>
      </c>
      <c r="T170" s="3">
        <v>33</v>
      </c>
      <c r="U170" s="3">
        <v>268</v>
      </c>
      <c r="V170" s="3">
        <v>0</v>
      </c>
      <c r="W170" s="3">
        <v>36</v>
      </c>
      <c r="X170" s="3">
        <v>3</v>
      </c>
      <c r="Y170" s="3">
        <v>30</v>
      </c>
      <c r="Z170" s="3">
        <v>6.5</v>
      </c>
    </row>
    <row r="171" spans="1:26">
      <c r="A171" s="94" t="str">
        <f t="shared" si="2"/>
        <v>20190921TLS</v>
      </c>
      <c r="B171" s="3">
        <v>2019</v>
      </c>
      <c r="C171" s="3">
        <v>4</v>
      </c>
      <c r="D171" s="3">
        <v>20190921</v>
      </c>
      <c r="E171" s="3" t="s">
        <v>144</v>
      </c>
      <c r="F171" s="3" t="s">
        <v>102</v>
      </c>
      <c r="G171" s="3" t="s">
        <v>150</v>
      </c>
      <c r="H171" s="3">
        <v>41</v>
      </c>
      <c r="I171" s="3">
        <v>85</v>
      </c>
      <c r="J171" s="3">
        <v>50</v>
      </c>
      <c r="K171" s="3">
        <v>354</v>
      </c>
      <c r="L171" s="3">
        <v>19</v>
      </c>
      <c r="M171" s="3">
        <v>0</v>
      </c>
      <c r="N171" s="3">
        <v>1</v>
      </c>
      <c r="O171" s="3">
        <v>24</v>
      </c>
      <c r="P171" s="3" t="s">
        <v>10</v>
      </c>
      <c r="Q171" s="3" t="s">
        <v>148</v>
      </c>
      <c r="R171" s="3">
        <v>34</v>
      </c>
      <c r="S171" s="3">
        <v>143</v>
      </c>
      <c r="T171" s="3">
        <v>32</v>
      </c>
      <c r="U171" s="3">
        <v>214</v>
      </c>
      <c r="V171" s="3">
        <v>1</v>
      </c>
      <c r="W171" s="3">
        <v>36</v>
      </c>
      <c r="X171" s="3">
        <v>1</v>
      </c>
      <c r="Y171" s="3">
        <v>21</v>
      </c>
      <c r="Z171" s="3">
        <v>3.5</v>
      </c>
    </row>
    <row r="172" spans="1:26">
      <c r="A172" s="94" t="str">
        <f t="shared" si="2"/>
        <v>20190921TXAM</v>
      </c>
      <c r="B172" s="3">
        <v>2019</v>
      </c>
      <c r="C172" s="3">
        <v>4</v>
      </c>
      <c r="D172" s="3">
        <v>20190921</v>
      </c>
      <c r="E172" s="3" t="s">
        <v>144</v>
      </c>
      <c r="F172" s="3" t="s">
        <v>22</v>
      </c>
      <c r="G172" s="3" t="s">
        <v>147</v>
      </c>
      <c r="H172" s="3">
        <v>21</v>
      </c>
      <c r="I172" s="3">
        <v>56</v>
      </c>
      <c r="J172" s="3">
        <v>49</v>
      </c>
      <c r="K172" s="3">
        <v>335</v>
      </c>
      <c r="L172" s="3">
        <v>0</v>
      </c>
      <c r="M172" s="3">
        <v>20</v>
      </c>
      <c r="N172" s="3">
        <v>0</v>
      </c>
      <c r="O172" s="3">
        <v>20</v>
      </c>
      <c r="P172" s="3" t="s">
        <v>120</v>
      </c>
      <c r="Q172" s="3" t="s">
        <v>147</v>
      </c>
      <c r="R172" s="3">
        <v>41</v>
      </c>
      <c r="S172" s="3">
        <v>195</v>
      </c>
      <c r="T172" s="3">
        <v>21</v>
      </c>
      <c r="U172" s="3">
        <v>106</v>
      </c>
      <c r="V172" s="3">
        <v>52</v>
      </c>
      <c r="W172" s="3">
        <v>31</v>
      </c>
      <c r="X172" s="3">
        <v>1</v>
      </c>
      <c r="Y172" s="3">
        <v>28</v>
      </c>
      <c r="Z172" s="3">
        <v>3</v>
      </c>
    </row>
    <row r="173" spans="1:26">
      <c r="A173" s="94" t="str">
        <f t="shared" si="2"/>
        <v>20190921UAB</v>
      </c>
      <c r="B173" s="3">
        <v>2019</v>
      </c>
      <c r="C173" s="3">
        <v>4</v>
      </c>
      <c r="D173" s="3">
        <v>20190921</v>
      </c>
      <c r="E173" s="3" t="s">
        <v>144</v>
      </c>
      <c r="F173" s="3" t="s">
        <v>23</v>
      </c>
      <c r="G173" s="3" t="s">
        <v>153</v>
      </c>
      <c r="H173" s="3">
        <v>45</v>
      </c>
      <c r="I173" s="3">
        <v>201</v>
      </c>
      <c r="J173" s="3">
        <v>28</v>
      </c>
      <c r="K173" s="3">
        <v>313</v>
      </c>
      <c r="L173" s="3">
        <v>3</v>
      </c>
      <c r="M173" s="3">
        <v>33</v>
      </c>
      <c r="N173" s="3">
        <v>0</v>
      </c>
      <c r="O173" s="3">
        <v>35</v>
      </c>
      <c r="P173" s="3" t="s">
        <v>94</v>
      </c>
      <c r="Q173" s="3" t="s">
        <v>145</v>
      </c>
      <c r="R173" s="3">
        <v>31</v>
      </c>
      <c r="S173" s="3">
        <v>107</v>
      </c>
      <c r="T173" s="3">
        <v>16</v>
      </c>
      <c r="U173" s="3">
        <v>83</v>
      </c>
      <c r="V173" s="3">
        <v>10</v>
      </c>
      <c r="W173" s="3">
        <v>0</v>
      </c>
      <c r="X173" s="3">
        <v>2</v>
      </c>
      <c r="Y173" s="3">
        <v>3</v>
      </c>
      <c r="Z173" s="3">
        <v>12</v>
      </c>
    </row>
    <row r="174" spans="1:26">
      <c r="A174" s="94" t="str">
        <f t="shared" si="2"/>
        <v>20190921UTEP</v>
      </c>
      <c r="B174" s="3">
        <v>2019</v>
      </c>
      <c r="C174" s="3">
        <v>4</v>
      </c>
      <c r="D174" s="3">
        <v>20190921</v>
      </c>
      <c r="E174" s="3" t="s">
        <v>144</v>
      </c>
      <c r="F174" s="3" t="s">
        <v>110</v>
      </c>
      <c r="G174" s="3" t="s">
        <v>153</v>
      </c>
      <c r="H174" s="3">
        <v>47</v>
      </c>
      <c r="I174" s="3">
        <v>162</v>
      </c>
      <c r="J174" s="3">
        <v>17</v>
      </c>
      <c r="K174" s="3">
        <v>116</v>
      </c>
      <c r="L174" s="3">
        <v>3</v>
      </c>
      <c r="M174" s="3">
        <v>14</v>
      </c>
      <c r="N174" s="3">
        <v>2</v>
      </c>
      <c r="O174" s="3">
        <v>21</v>
      </c>
      <c r="P174" s="3" t="s">
        <v>32</v>
      </c>
      <c r="Q174" s="3" t="s">
        <v>148</v>
      </c>
      <c r="R174" s="3">
        <v>38</v>
      </c>
      <c r="S174" s="3">
        <v>200</v>
      </c>
      <c r="T174" s="3">
        <v>21</v>
      </c>
      <c r="U174" s="3">
        <v>203</v>
      </c>
      <c r="V174" s="3">
        <v>1</v>
      </c>
      <c r="W174" s="3">
        <v>0</v>
      </c>
      <c r="X174" s="3">
        <v>3</v>
      </c>
      <c r="Y174" s="3">
        <v>37</v>
      </c>
      <c r="Z174" s="3">
        <v>15</v>
      </c>
    </row>
    <row r="175" spans="1:26">
      <c r="A175" s="94" t="str">
        <f t="shared" si="2"/>
        <v>20190921VAN</v>
      </c>
      <c r="B175" s="3">
        <v>2019</v>
      </c>
      <c r="C175" s="3">
        <v>4</v>
      </c>
      <c r="D175" s="3">
        <v>20190921</v>
      </c>
      <c r="E175" s="3" t="s">
        <v>144</v>
      </c>
      <c r="F175" s="3" t="s">
        <v>111</v>
      </c>
      <c r="G175" s="3" t="s">
        <v>147</v>
      </c>
      <c r="H175" s="3">
        <v>34</v>
      </c>
      <c r="I175" s="3">
        <v>145</v>
      </c>
      <c r="J175" s="3">
        <v>39</v>
      </c>
      <c r="K175" s="3">
        <v>229</v>
      </c>
      <c r="L175" s="3">
        <v>11</v>
      </c>
      <c r="M175" s="3">
        <v>0</v>
      </c>
      <c r="N175" s="3">
        <v>2</v>
      </c>
      <c r="O175" s="3">
        <v>38</v>
      </c>
      <c r="P175" s="3" t="s">
        <v>124</v>
      </c>
      <c r="Q175" s="3" t="s">
        <v>147</v>
      </c>
      <c r="R175" s="3">
        <v>36</v>
      </c>
      <c r="S175" s="3">
        <v>181</v>
      </c>
      <c r="T175" s="3">
        <v>38</v>
      </c>
      <c r="U175" s="3">
        <v>418</v>
      </c>
      <c r="V175" s="3">
        <v>25</v>
      </c>
      <c r="W175" s="3">
        <v>68</v>
      </c>
      <c r="X175" s="3">
        <v>2</v>
      </c>
      <c r="Y175" s="3">
        <v>66</v>
      </c>
      <c r="Z175" s="3">
        <v>24.5</v>
      </c>
    </row>
    <row r="176" spans="1:26">
      <c r="A176" s="94" t="str">
        <f t="shared" si="2"/>
        <v>20190921VIR</v>
      </c>
      <c r="B176" s="3">
        <v>2019</v>
      </c>
      <c r="C176" s="3">
        <v>4</v>
      </c>
      <c r="D176" s="3">
        <v>20190921</v>
      </c>
      <c r="E176" s="3" t="s">
        <v>144</v>
      </c>
      <c r="F176" s="3" t="s">
        <v>113</v>
      </c>
      <c r="G176" s="3" t="s">
        <v>146</v>
      </c>
      <c r="H176" s="3">
        <v>29</v>
      </c>
      <c r="I176" s="3">
        <v>69</v>
      </c>
      <c r="J176" s="3">
        <v>24</v>
      </c>
      <c r="K176" s="3">
        <v>175</v>
      </c>
      <c r="L176" s="3">
        <v>10</v>
      </c>
      <c r="M176" s="3">
        <v>119</v>
      </c>
      <c r="N176" s="3">
        <v>1</v>
      </c>
      <c r="O176" s="3">
        <v>28</v>
      </c>
      <c r="P176" s="3" t="s">
        <v>68</v>
      </c>
      <c r="Q176" s="3" t="s">
        <v>153</v>
      </c>
      <c r="R176" s="3">
        <v>44</v>
      </c>
      <c r="S176" s="3">
        <v>64</v>
      </c>
      <c r="T176" s="3">
        <v>26</v>
      </c>
      <c r="U176" s="3">
        <v>206</v>
      </c>
      <c r="V176" s="3">
        <v>0</v>
      </c>
      <c r="W176" s="3">
        <v>42</v>
      </c>
      <c r="X176" s="3">
        <v>0</v>
      </c>
      <c r="Y176" s="3">
        <v>17</v>
      </c>
      <c r="Z176" s="3">
        <v>28</v>
      </c>
    </row>
    <row r="177" spans="1:26">
      <c r="A177" s="94" t="str">
        <f t="shared" si="2"/>
        <v>20190921WAST</v>
      </c>
      <c r="B177" s="3">
        <v>2019</v>
      </c>
      <c r="C177" s="3">
        <v>4</v>
      </c>
      <c r="D177" s="3">
        <v>20190921</v>
      </c>
      <c r="E177" s="3" t="s">
        <v>144</v>
      </c>
      <c r="F177" s="3" t="s">
        <v>114</v>
      </c>
      <c r="G177" s="3" t="s">
        <v>151</v>
      </c>
      <c r="H177" s="3">
        <v>21</v>
      </c>
      <c r="I177" s="3">
        <v>160</v>
      </c>
      <c r="J177" s="3">
        <v>61</v>
      </c>
      <c r="K177" s="3">
        <v>570</v>
      </c>
      <c r="L177" s="3">
        <v>45</v>
      </c>
      <c r="M177" s="3">
        <v>23</v>
      </c>
      <c r="N177" s="3">
        <v>1</v>
      </c>
      <c r="O177" s="3">
        <v>63</v>
      </c>
      <c r="P177" s="3" t="s">
        <v>106</v>
      </c>
      <c r="Q177" s="3" t="s">
        <v>151</v>
      </c>
      <c r="R177" s="3">
        <v>35</v>
      </c>
      <c r="S177" s="3">
        <v>160</v>
      </c>
      <c r="T177" s="3">
        <v>38</v>
      </c>
      <c r="U177" s="3">
        <v>507</v>
      </c>
      <c r="V177" s="3">
        <v>69</v>
      </c>
      <c r="W177" s="3">
        <v>128</v>
      </c>
      <c r="X177" s="3">
        <v>6</v>
      </c>
      <c r="Y177" s="3">
        <v>67</v>
      </c>
      <c r="Z177" s="3">
        <v>18</v>
      </c>
    </row>
    <row r="178" spans="1:26">
      <c r="A178" s="94" t="str">
        <f t="shared" si="2"/>
        <v>20190921WIS</v>
      </c>
      <c r="B178" s="3">
        <v>2019</v>
      </c>
      <c r="C178" s="3">
        <v>4</v>
      </c>
      <c r="D178" s="3">
        <v>20190921</v>
      </c>
      <c r="E178" s="3" t="s">
        <v>144</v>
      </c>
      <c r="F178" s="3" t="s">
        <v>35</v>
      </c>
      <c r="G178" s="3" t="s">
        <v>152</v>
      </c>
      <c r="H178" s="3">
        <v>57</v>
      </c>
      <c r="I178" s="3">
        <v>359</v>
      </c>
      <c r="J178" s="3">
        <v>16</v>
      </c>
      <c r="K178" s="3">
        <v>128</v>
      </c>
      <c r="L178" s="3">
        <v>39</v>
      </c>
      <c r="M178" s="3">
        <v>11</v>
      </c>
      <c r="N178" s="3">
        <v>4</v>
      </c>
      <c r="O178" s="3">
        <v>35</v>
      </c>
      <c r="P178" s="3" t="s">
        <v>78</v>
      </c>
      <c r="Q178" s="3" t="s">
        <v>152</v>
      </c>
      <c r="R178" s="3">
        <v>19</v>
      </c>
      <c r="S178" s="3">
        <v>40</v>
      </c>
      <c r="T178" s="3">
        <v>42</v>
      </c>
      <c r="U178" s="3">
        <v>259</v>
      </c>
      <c r="V178" s="3">
        <v>20</v>
      </c>
      <c r="W178" s="3">
        <v>0</v>
      </c>
      <c r="X178" s="3">
        <v>0</v>
      </c>
      <c r="Y178" s="3">
        <v>14</v>
      </c>
      <c r="Z178" s="3">
        <v>3.5</v>
      </c>
    </row>
    <row r="179" spans="1:26">
      <c r="A179" s="94" t="str">
        <f t="shared" si="2"/>
        <v>20190921UTSA</v>
      </c>
      <c r="B179" s="3">
        <v>2019</v>
      </c>
      <c r="C179" s="3">
        <v>4</v>
      </c>
      <c r="D179" s="3">
        <v>20190921</v>
      </c>
      <c r="E179" s="3" t="s">
        <v>211</v>
      </c>
      <c r="F179" s="3" t="s">
        <v>206</v>
      </c>
      <c r="G179" s="3" t="s">
        <v>153</v>
      </c>
      <c r="H179" s="3">
        <v>42</v>
      </c>
      <c r="I179" s="3">
        <v>167</v>
      </c>
      <c r="J179" s="3">
        <v>40</v>
      </c>
      <c r="K179" s="3">
        <v>128</v>
      </c>
      <c r="L179" s="3">
        <v>11</v>
      </c>
      <c r="M179" s="3">
        <v>26</v>
      </c>
      <c r="N179" s="3">
        <v>0</v>
      </c>
      <c r="O179" s="3">
        <v>3</v>
      </c>
      <c r="P179" s="3" t="s">
        <v>79</v>
      </c>
      <c r="Q179" s="3" t="s">
        <v>153</v>
      </c>
      <c r="R179" s="3">
        <v>44</v>
      </c>
      <c r="S179" s="3">
        <v>295</v>
      </c>
      <c r="T179" s="3">
        <v>26</v>
      </c>
      <c r="U179" s="3">
        <v>211</v>
      </c>
      <c r="V179" s="3">
        <v>13</v>
      </c>
      <c r="W179" s="3">
        <v>0</v>
      </c>
      <c r="X179" s="3">
        <v>4</v>
      </c>
      <c r="Y179" s="3">
        <v>45</v>
      </c>
      <c r="Z179" s="3">
        <v>19</v>
      </c>
    </row>
    <row r="180" spans="1:26">
      <c r="A180" s="94" t="str">
        <f t="shared" si="2"/>
        <v>20190921MAS</v>
      </c>
      <c r="B180" s="3">
        <v>2019</v>
      </c>
      <c r="C180" s="3">
        <v>4</v>
      </c>
      <c r="D180" s="3">
        <v>20190921</v>
      </c>
      <c r="E180" s="3" t="s">
        <v>144</v>
      </c>
      <c r="F180" s="3" t="s">
        <v>207</v>
      </c>
      <c r="G180" s="3" t="s">
        <v>53</v>
      </c>
      <c r="H180" s="3">
        <v>37</v>
      </c>
      <c r="I180" s="3">
        <v>109</v>
      </c>
      <c r="J180" s="3">
        <v>36</v>
      </c>
      <c r="K180" s="3">
        <v>220</v>
      </c>
      <c r="L180" s="3">
        <v>1</v>
      </c>
      <c r="M180" s="3">
        <v>297</v>
      </c>
      <c r="N180" s="3">
        <v>1</v>
      </c>
      <c r="O180" s="3">
        <v>28</v>
      </c>
      <c r="P180" s="3" t="s">
        <v>97</v>
      </c>
      <c r="Q180" s="3" t="s">
        <v>145</v>
      </c>
      <c r="R180" s="3">
        <v>46</v>
      </c>
      <c r="S180" s="3">
        <v>334</v>
      </c>
      <c r="T180" s="3">
        <v>27</v>
      </c>
      <c r="U180" s="3">
        <v>302</v>
      </c>
      <c r="V180" s="3">
        <v>0</v>
      </c>
      <c r="W180" s="3">
        <v>45</v>
      </c>
      <c r="X180" s="3">
        <v>1</v>
      </c>
      <c r="Y180" s="3">
        <v>62</v>
      </c>
      <c r="Z180" s="3">
        <v>17</v>
      </c>
    </row>
    <row r="181" spans="1:26">
      <c r="A181" s="94" t="str">
        <f t="shared" si="2"/>
        <v>20190926MEM</v>
      </c>
      <c r="B181" s="3">
        <v>2019</v>
      </c>
      <c r="C181" s="3">
        <v>5</v>
      </c>
      <c r="D181" s="3">
        <v>20190926</v>
      </c>
      <c r="E181" s="3" t="s">
        <v>144</v>
      </c>
      <c r="F181" s="3" t="s">
        <v>70</v>
      </c>
      <c r="G181" s="3" t="s">
        <v>150</v>
      </c>
      <c r="H181" s="3">
        <v>25</v>
      </c>
      <c r="I181" s="3">
        <v>105</v>
      </c>
      <c r="J181" s="3">
        <v>18</v>
      </c>
      <c r="K181" s="3">
        <v>196</v>
      </c>
      <c r="L181" s="3">
        <v>5</v>
      </c>
      <c r="M181" s="3">
        <v>187</v>
      </c>
      <c r="N181" s="3">
        <v>2</v>
      </c>
      <c r="O181" s="3">
        <v>35</v>
      </c>
      <c r="P181" s="3" t="s">
        <v>59</v>
      </c>
      <c r="Q181" s="3" t="s">
        <v>150</v>
      </c>
      <c r="R181" s="3">
        <v>66</v>
      </c>
      <c r="S181" s="3">
        <v>291</v>
      </c>
      <c r="T181" s="3">
        <v>13</v>
      </c>
      <c r="U181" s="3">
        <v>82</v>
      </c>
      <c r="V181" s="3">
        <v>28</v>
      </c>
      <c r="W181" s="3">
        <v>15</v>
      </c>
      <c r="X181" s="3">
        <v>1</v>
      </c>
      <c r="Y181" s="3">
        <v>23</v>
      </c>
      <c r="Z181" s="3">
        <v>11.5</v>
      </c>
    </row>
    <row r="182" spans="1:26">
      <c r="A182" s="94" t="str">
        <f t="shared" si="2"/>
        <v>20190927AIR</v>
      </c>
      <c r="B182" s="3">
        <v>2019</v>
      </c>
      <c r="C182" s="3">
        <v>5</v>
      </c>
      <c r="D182" s="3">
        <v>20190927</v>
      </c>
      <c r="E182" s="3" t="s">
        <v>144</v>
      </c>
      <c r="F182" s="3" t="s">
        <v>39</v>
      </c>
      <c r="G182" s="3" t="s">
        <v>148</v>
      </c>
      <c r="H182" s="3">
        <v>69</v>
      </c>
      <c r="I182" s="3">
        <v>382</v>
      </c>
      <c r="J182" s="3">
        <v>10</v>
      </c>
      <c r="K182" s="3">
        <v>131</v>
      </c>
      <c r="L182" s="3">
        <v>0</v>
      </c>
      <c r="M182" s="3">
        <v>11</v>
      </c>
      <c r="N182" s="3">
        <v>0</v>
      </c>
      <c r="O182" s="3">
        <v>41</v>
      </c>
      <c r="P182" s="3" t="s">
        <v>19</v>
      </c>
      <c r="Q182" s="3" t="s">
        <v>148</v>
      </c>
      <c r="R182" s="3">
        <v>31</v>
      </c>
      <c r="S182" s="3">
        <v>98</v>
      </c>
      <c r="T182" s="3">
        <v>42</v>
      </c>
      <c r="U182" s="3">
        <v>280</v>
      </c>
      <c r="V182" s="3">
        <v>0</v>
      </c>
      <c r="W182" s="3">
        <v>0</v>
      </c>
      <c r="X182" s="3">
        <v>2</v>
      </c>
      <c r="Y182" s="3">
        <v>24</v>
      </c>
      <c r="Z182" s="3">
        <v>19</v>
      </c>
    </row>
    <row r="183" spans="1:26">
      <c r="A183" s="94" t="str">
        <f t="shared" si="2"/>
        <v>20190927CAL</v>
      </c>
      <c r="B183" s="3">
        <v>2019</v>
      </c>
      <c r="C183" s="3">
        <v>5</v>
      </c>
      <c r="D183" s="3">
        <v>20190927</v>
      </c>
      <c r="E183" s="3" t="s">
        <v>144</v>
      </c>
      <c r="F183" s="3" t="s">
        <v>48</v>
      </c>
      <c r="G183" s="3" t="s">
        <v>151</v>
      </c>
      <c r="H183" s="3">
        <v>37</v>
      </c>
      <c r="I183" s="3">
        <v>105</v>
      </c>
      <c r="J183" s="3">
        <v>26</v>
      </c>
      <c r="K183" s="3">
        <v>140</v>
      </c>
      <c r="L183" s="3">
        <v>0</v>
      </c>
      <c r="M183" s="3">
        <v>42</v>
      </c>
      <c r="N183" s="3">
        <v>1</v>
      </c>
      <c r="O183" s="3">
        <v>17</v>
      </c>
      <c r="P183" s="3" t="s">
        <v>44</v>
      </c>
      <c r="Q183" s="3" t="s">
        <v>151</v>
      </c>
      <c r="R183" s="3">
        <v>48</v>
      </c>
      <c r="S183" s="3">
        <v>191</v>
      </c>
      <c r="T183" s="3">
        <v>24</v>
      </c>
      <c r="U183" s="3">
        <v>174</v>
      </c>
      <c r="V183" s="3">
        <v>30</v>
      </c>
      <c r="W183" s="3">
        <v>59</v>
      </c>
      <c r="X183" s="3">
        <v>1</v>
      </c>
      <c r="Y183" s="3">
        <v>24</v>
      </c>
      <c r="Z183" s="3">
        <v>4</v>
      </c>
    </row>
    <row r="184" spans="1:26">
      <c r="A184" s="94" t="str">
        <f t="shared" si="2"/>
        <v>20190927MARY</v>
      </c>
      <c r="B184" s="3">
        <v>2019</v>
      </c>
      <c r="C184" s="3">
        <v>5</v>
      </c>
      <c r="D184" s="3">
        <v>20190927</v>
      </c>
      <c r="E184" s="3" t="s">
        <v>144</v>
      </c>
      <c r="F184" s="3" t="s">
        <v>121</v>
      </c>
      <c r="G184" s="3" t="s">
        <v>152</v>
      </c>
      <c r="H184" s="3">
        <v>34</v>
      </c>
      <c r="I184" s="3">
        <v>60</v>
      </c>
      <c r="J184" s="3">
        <v>24</v>
      </c>
      <c r="K184" s="3">
        <v>68</v>
      </c>
      <c r="L184" s="3">
        <v>0</v>
      </c>
      <c r="M184" s="3">
        <v>54</v>
      </c>
      <c r="N184" s="3">
        <v>1</v>
      </c>
      <c r="O184" s="3">
        <v>0</v>
      </c>
      <c r="P184" s="3" t="s">
        <v>89</v>
      </c>
      <c r="Q184" s="3" t="s">
        <v>152</v>
      </c>
      <c r="R184" s="3">
        <v>40</v>
      </c>
      <c r="S184" s="3">
        <v>201</v>
      </c>
      <c r="T184" s="3">
        <v>40</v>
      </c>
      <c r="U184" s="3">
        <v>421</v>
      </c>
      <c r="V184" s="3">
        <v>91</v>
      </c>
      <c r="W184" s="3">
        <v>0</v>
      </c>
      <c r="X184" s="3">
        <v>3</v>
      </c>
      <c r="Y184" s="3">
        <v>59</v>
      </c>
      <c r="Z184" s="3">
        <v>7.5</v>
      </c>
    </row>
    <row r="185" spans="1:26">
      <c r="A185" s="94" t="str">
        <f t="shared" si="2"/>
        <v>20190927VTCH</v>
      </c>
      <c r="B185" s="3">
        <v>2019</v>
      </c>
      <c r="C185" s="3">
        <v>5</v>
      </c>
      <c r="D185" s="3">
        <v>20190927</v>
      </c>
      <c r="E185" s="3" t="s">
        <v>144</v>
      </c>
      <c r="F185" s="3" t="s">
        <v>117</v>
      </c>
      <c r="G185" s="3" t="s">
        <v>146</v>
      </c>
      <c r="H185" s="3">
        <v>43</v>
      </c>
      <c r="I185" s="3">
        <v>139</v>
      </c>
      <c r="J185" s="3">
        <v>20</v>
      </c>
      <c r="K185" s="3">
        <v>120</v>
      </c>
      <c r="L185" s="3">
        <v>25</v>
      </c>
      <c r="M185" s="3">
        <v>97</v>
      </c>
      <c r="N185" s="3">
        <v>0</v>
      </c>
      <c r="O185" s="3">
        <v>10</v>
      </c>
      <c r="P185" s="3" t="s">
        <v>27</v>
      </c>
      <c r="Q185" s="3" t="s">
        <v>146</v>
      </c>
      <c r="R185" s="3">
        <v>41</v>
      </c>
      <c r="S185" s="3">
        <v>234</v>
      </c>
      <c r="T185" s="3">
        <v>28</v>
      </c>
      <c r="U185" s="3">
        <v>188</v>
      </c>
      <c r="V185" s="3">
        <v>20</v>
      </c>
      <c r="W185" s="3">
        <v>0</v>
      </c>
      <c r="X185" s="3">
        <v>2</v>
      </c>
      <c r="Y185" s="3">
        <v>45</v>
      </c>
      <c r="Z185" s="3">
        <v>2.5</v>
      </c>
    </row>
    <row r="186" spans="1:26">
      <c r="A186" s="94" t="str">
        <f t="shared" si="2"/>
        <v>20190928ALA</v>
      </c>
      <c r="B186" s="3">
        <v>2019</v>
      </c>
      <c r="C186" s="3">
        <v>5</v>
      </c>
      <c r="D186" s="3">
        <v>20190928</v>
      </c>
      <c r="E186" s="3" t="s">
        <v>144</v>
      </c>
      <c r="F186" s="3" t="s">
        <v>119</v>
      </c>
      <c r="G186" s="3" t="s">
        <v>147</v>
      </c>
      <c r="H186" s="3">
        <v>29</v>
      </c>
      <c r="I186" s="3">
        <v>157</v>
      </c>
      <c r="J186" s="3">
        <v>37</v>
      </c>
      <c r="K186" s="3">
        <v>418</v>
      </c>
      <c r="L186" s="3">
        <v>72</v>
      </c>
      <c r="M186" s="3">
        <v>57</v>
      </c>
      <c r="N186" s="3">
        <v>1</v>
      </c>
      <c r="O186" s="3">
        <v>59</v>
      </c>
      <c r="P186" s="3" t="s">
        <v>126</v>
      </c>
      <c r="Q186" s="3" t="s">
        <v>147</v>
      </c>
      <c r="R186" s="3">
        <v>57</v>
      </c>
      <c r="S186" s="3">
        <v>280</v>
      </c>
      <c r="T186" s="3">
        <v>30</v>
      </c>
      <c r="U186" s="3">
        <v>197</v>
      </c>
      <c r="V186" s="3">
        <v>0</v>
      </c>
      <c r="W186" s="3">
        <v>15</v>
      </c>
      <c r="X186" s="3">
        <v>1</v>
      </c>
      <c r="Y186" s="3">
        <v>31</v>
      </c>
      <c r="Z186" s="3">
        <v>34</v>
      </c>
    </row>
    <row r="187" spans="1:26">
      <c r="A187" s="94" t="str">
        <f t="shared" si="2"/>
        <v>20190928APP</v>
      </c>
      <c r="B187" s="3">
        <v>2019</v>
      </c>
      <c r="C187" s="3">
        <v>5</v>
      </c>
      <c r="D187" s="3">
        <v>20190928</v>
      </c>
      <c r="E187" s="3" t="s">
        <v>144</v>
      </c>
      <c r="F187" s="3" t="s">
        <v>90</v>
      </c>
      <c r="G187" s="3" t="s">
        <v>145</v>
      </c>
      <c r="H187" s="3">
        <v>40</v>
      </c>
      <c r="I187" s="3">
        <v>184</v>
      </c>
      <c r="J187" s="3">
        <v>24</v>
      </c>
      <c r="K187" s="3">
        <v>246</v>
      </c>
      <c r="L187" s="3">
        <v>37</v>
      </c>
      <c r="M187" s="3">
        <v>149</v>
      </c>
      <c r="N187" s="3">
        <v>1</v>
      </c>
      <c r="O187" s="3">
        <v>56</v>
      </c>
      <c r="P187" s="3" t="s">
        <v>97</v>
      </c>
      <c r="Q187" s="3" t="s">
        <v>145</v>
      </c>
      <c r="R187" s="3">
        <v>35</v>
      </c>
      <c r="S187" s="3">
        <v>153</v>
      </c>
      <c r="T187" s="3">
        <v>31</v>
      </c>
      <c r="U187" s="3">
        <v>240</v>
      </c>
      <c r="V187" s="3">
        <v>0</v>
      </c>
      <c r="W187" s="3">
        <v>4</v>
      </c>
      <c r="X187" s="3">
        <v>1</v>
      </c>
      <c r="Y187" s="3">
        <v>37</v>
      </c>
      <c r="Z187" s="3">
        <v>16.5</v>
      </c>
    </row>
    <row r="188" spans="1:26">
      <c r="A188" s="94" t="str">
        <f t="shared" si="2"/>
        <v>20190928ARZ</v>
      </c>
      <c r="B188" s="3">
        <v>2019</v>
      </c>
      <c r="C188" s="3">
        <v>5</v>
      </c>
      <c r="D188" s="3">
        <v>20190928</v>
      </c>
      <c r="E188" s="3" t="s">
        <v>144</v>
      </c>
      <c r="F188" s="3" t="s">
        <v>42</v>
      </c>
      <c r="G188" s="3" t="s">
        <v>151</v>
      </c>
      <c r="H188" s="3">
        <v>27</v>
      </c>
      <c r="I188" s="3">
        <v>113</v>
      </c>
      <c r="J188" s="3">
        <v>44</v>
      </c>
      <c r="K188" s="3">
        <v>352</v>
      </c>
      <c r="L188" s="3">
        <v>0</v>
      </c>
      <c r="M188" s="3">
        <v>0</v>
      </c>
      <c r="N188" s="3">
        <v>1</v>
      </c>
      <c r="O188" s="3">
        <v>20</v>
      </c>
      <c r="P188" s="3" t="s">
        <v>106</v>
      </c>
      <c r="Q188" s="3" t="s">
        <v>151</v>
      </c>
      <c r="R188" s="3">
        <v>43</v>
      </c>
      <c r="S188" s="3">
        <v>217</v>
      </c>
      <c r="T188" s="3">
        <v>42</v>
      </c>
      <c r="U188" s="3">
        <v>228</v>
      </c>
      <c r="V188" s="3">
        <v>7</v>
      </c>
      <c r="W188" s="3">
        <v>0</v>
      </c>
      <c r="X188" s="3">
        <v>0</v>
      </c>
      <c r="Y188" s="3">
        <v>17</v>
      </c>
      <c r="Z188" s="3">
        <v>6.5</v>
      </c>
    </row>
    <row r="189" spans="1:26">
      <c r="A189" s="94" t="str">
        <f t="shared" si="2"/>
        <v>20190928AUB</v>
      </c>
      <c r="B189" s="3">
        <v>2019</v>
      </c>
      <c r="C189" s="3">
        <v>5</v>
      </c>
      <c r="D189" s="3">
        <v>20190928</v>
      </c>
      <c r="E189" s="3" t="s">
        <v>144</v>
      </c>
      <c r="F189" s="3" t="s">
        <v>120</v>
      </c>
      <c r="G189" s="3" t="s">
        <v>147</v>
      </c>
      <c r="H189" s="3">
        <v>43</v>
      </c>
      <c r="I189" s="3">
        <v>219</v>
      </c>
      <c r="J189" s="3">
        <v>24</v>
      </c>
      <c r="K189" s="3">
        <v>361</v>
      </c>
      <c r="L189" s="3">
        <v>34</v>
      </c>
      <c r="M189" s="3">
        <v>21</v>
      </c>
      <c r="N189" s="3">
        <v>2</v>
      </c>
      <c r="O189" s="3">
        <v>56</v>
      </c>
      <c r="P189" s="3" t="s">
        <v>74</v>
      </c>
      <c r="Q189" s="3" t="s">
        <v>147</v>
      </c>
      <c r="R189" s="3">
        <v>38</v>
      </c>
      <c r="S189" s="3">
        <v>118</v>
      </c>
      <c r="T189" s="3">
        <v>26</v>
      </c>
      <c r="U189" s="3">
        <v>216</v>
      </c>
      <c r="V189" s="3">
        <v>0</v>
      </c>
      <c r="W189" s="3">
        <v>16</v>
      </c>
      <c r="X189" s="3">
        <v>3</v>
      </c>
      <c r="Y189" s="3">
        <v>23</v>
      </c>
      <c r="Z189" s="3">
        <v>11</v>
      </c>
    </row>
    <row r="190" spans="1:26">
      <c r="A190" s="94" t="str">
        <f t="shared" si="2"/>
        <v>20190928BAY</v>
      </c>
      <c r="B190" s="3">
        <v>2019</v>
      </c>
      <c r="C190" s="3">
        <v>5</v>
      </c>
      <c r="D190" s="3">
        <v>20190928</v>
      </c>
      <c r="E190" s="3" t="s">
        <v>144</v>
      </c>
      <c r="F190" s="3" t="s">
        <v>45</v>
      </c>
      <c r="G190" s="3" t="s">
        <v>209</v>
      </c>
      <c r="H190" s="3">
        <v>34</v>
      </c>
      <c r="I190" s="3">
        <v>104</v>
      </c>
      <c r="J190" s="3">
        <v>45</v>
      </c>
      <c r="K190" s="3">
        <v>307</v>
      </c>
      <c r="L190" s="3">
        <v>3</v>
      </c>
      <c r="M190" s="3">
        <v>25</v>
      </c>
      <c r="N190" s="3">
        <v>2</v>
      </c>
      <c r="O190" s="3">
        <v>23</v>
      </c>
      <c r="P190" s="3" t="s">
        <v>122</v>
      </c>
      <c r="Q190" s="3" t="s">
        <v>209</v>
      </c>
      <c r="R190" s="3">
        <v>28</v>
      </c>
      <c r="S190" s="3">
        <v>63</v>
      </c>
      <c r="T190" s="3">
        <v>45</v>
      </c>
      <c r="U190" s="3">
        <v>342</v>
      </c>
      <c r="V190" s="3">
        <v>9</v>
      </c>
      <c r="W190" s="3">
        <v>23</v>
      </c>
      <c r="X190" s="3">
        <v>0</v>
      </c>
      <c r="Y190" s="3">
        <v>21</v>
      </c>
      <c r="Z190" s="3">
        <v>2</v>
      </c>
    </row>
    <row r="191" spans="1:26">
      <c r="A191" s="94" t="str">
        <f t="shared" si="2"/>
        <v>20190928BCOL</v>
      </c>
      <c r="B191" s="3">
        <v>2019</v>
      </c>
      <c r="C191" s="3">
        <v>5</v>
      </c>
      <c r="D191" s="3">
        <v>20190928</v>
      </c>
      <c r="E191" s="3" t="s">
        <v>144</v>
      </c>
      <c r="F191" s="3" t="s">
        <v>46</v>
      </c>
      <c r="G191" s="3" t="s">
        <v>146</v>
      </c>
      <c r="H191" s="3">
        <v>44</v>
      </c>
      <c r="I191" s="3">
        <v>252</v>
      </c>
      <c r="J191" s="3">
        <v>31</v>
      </c>
      <c r="K191" s="3">
        <v>281</v>
      </c>
      <c r="L191" s="3">
        <v>29</v>
      </c>
      <c r="M191" s="3">
        <v>78</v>
      </c>
      <c r="N191" s="3">
        <v>1</v>
      </c>
      <c r="O191" s="3">
        <v>24</v>
      </c>
      <c r="P191" s="3" t="s">
        <v>21</v>
      </c>
      <c r="Q191" s="3" t="s">
        <v>146</v>
      </c>
      <c r="R191" s="3">
        <v>54</v>
      </c>
      <c r="S191" s="3">
        <v>197</v>
      </c>
      <c r="T191" s="3">
        <v>33</v>
      </c>
      <c r="U191" s="3">
        <v>243</v>
      </c>
      <c r="V191" s="3">
        <v>17</v>
      </c>
      <c r="W191" s="3">
        <v>0</v>
      </c>
      <c r="X191" s="3">
        <v>2</v>
      </c>
      <c r="Y191" s="3">
        <v>27</v>
      </c>
      <c r="Z191" s="3">
        <v>4</v>
      </c>
    </row>
    <row r="192" spans="1:26">
      <c r="A192" s="94" t="str">
        <f t="shared" si="2"/>
        <v>20190928CFL</v>
      </c>
      <c r="B192" s="3">
        <v>2019</v>
      </c>
      <c r="C192" s="3">
        <v>5</v>
      </c>
      <c r="D192" s="3">
        <v>20190928</v>
      </c>
      <c r="E192" s="3" t="s">
        <v>144</v>
      </c>
      <c r="F192" s="3" t="s">
        <v>14</v>
      </c>
      <c r="G192" s="3" t="s">
        <v>150</v>
      </c>
      <c r="H192" s="3">
        <v>37</v>
      </c>
      <c r="I192" s="3">
        <v>230</v>
      </c>
      <c r="J192" s="3">
        <v>30</v>
      </c>
      <c r="K192" s="3">
        <v>377</v>
      </c>
      <c r="L192" s="3">
        <v>0</v>
      </c>
      <c r="M192" s="3">
        <v>22</v>
      </c>
      <c r="N192" s="3">
        <v>4</v>
      </c>
      <c r="O192" s="3">
        <v>56</v>
      </c>
      <c r="P192" s="3" t="s">
        <v>13</v>
      </c>
      <c r="Q192" s="3" t="s">
        <v>150</v>
      </c>
      <c r="R192" s="3">
        <v>40</v>
      </c>
      <c r="S192" s="3">
        <v>145</v>
      </c>
      <c r="T192" s="3">
        <v>36</v>
      </c>
      <c r="U192" s="3">
        <v>281</v>
      </c>
      <c r="V192" s="3">
        <v>0</v>
      </c>
      <c r="W192" s="3">
        <v>84</v>
      </c>
      <c r="X192" s="3">
        <v>1</v>
      </c>
      <c r="Y192" s="3">
        <v>21</v>
      </c>
      <c r="Z192" s="3">
        <v>39</v>
      </c>
    </row>
    <row r="193" spans="1:26">
      <c r="A193" s="94" t="str">
        <f t="shared" si="2"/>
        <v>20190928CHAR</v>
      </c>
      <c r="B193" s="3">
        <v>2019</v>
      </c>
      <c r="C193" s="3">
        <v>5</v>
      </c>
      <c r="D193" s="3">
        <v>20190928</v>
      </c>
      <c r="E193" s="3" t="s">
        <v>144</v>
      </c>
      <c r="F193" s="3" t="s">
        <v>50</v>
      </c>
      <c r="G193" s="3" t="s">
        <v>153</v>
      </c>
      <c r="H193" s="3">
        <v>26</v>
      </c>
      <c r="I193" s="3">
        <v>62</v>
      </c>
      <c r="J193" s="3">
        <v>37</v>
      </c>
      <c r="K193" s="3">
        <v>284</v>
      </c>
      <c r="L193" s="3">
        <v>7</v>
      </c>
      <c r="M193" s="3">
        <v>69</v>
      </c>
      <c r="N193" s="3">
        <v>1</v>
      </c>
      <c r="O193" s="3">
        <v>27</v>
      </c>
      <c r="P193" s="3" t="s">
        <v>85</v>
      </c>
      <c r="Q193" s="3" t="s">
        <v>153</v>
      </c>
      <c r="R193" s="3">
        <v>50</v>
      </c>
      <c r="S193" s="3">
        <v>238</v>
      </c>
      <c r="T193" s="3">
        <v>28</v>
      </c>
      <c r="U193" s="3">
        <v>321</v>
      </c>
      <c r="V193" s="3">
        <v>1</v>
      </c>
      <c r="W193" s="3">
        <v>2</v>
      </c>
      <c r="X193" s="3">
        <v>3</v>
      </c>
      <c r="Y193" s="3">
        <v>45</v>
      </c>
      <c r="Z193" s="3">
        <v>0</v>
      </c>
    </row>
    <row r="194" spans="1:26">
      <c r="A194" s="94" t="str">
        <f t="shared" ref="A194:A257" si="3">D194&amp;F194</f>
        <v>20190928FLST</v>
      </c>
      <c r="B194" s="3">
        <v>2019</v>
      </c>
      <c r="C194" s="3">
        <v>5</v>
      </c>
      <c r="D194" s="3">
        <v>20190928</v>
      </c>
      <c r="E194" s="3" t="s">
        <v>144</v>
      </c>
      <c r="F194" s="3" t="s">
        <v>116</v>
      </c>
      <c r="G194" s="3" t="s">
        <v>146</v>
      </c>
      <c r="H194" s="3">
        <v>32</v>
      </c>
      <c r="I194" s="3">
        <v>53</v>
      </c>
      <c r="J194" s="3">
        <v>40</v>
      </c>
      <c r="K194" s="3">
        <v>316</v>
      </c>
      <c r="L194" s="3">
        <v>24</v>
      </c>
      <c r="M194" s="3">
        <v>58</v>
      </c>
      <c r="N194" s="3">
        <v>2</v>
      </c>
      <c r="O194" s="3">
        <v>31</v>
      </c>
      <c r="P194" s="3" t="s">
        <v>75</v>
      </c>
      <c r="Q194" s="3" t="s">
        <v>146</v>
      </c>
      <c r="R194" s="3">
        <v>28</v>
      </c>
      <c r="S194" s="3">
        <v>88</v>
      </c>
      <c r="T194" s="3">
        <v>52</v>
      </c>
      <c r="U194" s="3">
        <v>282</v>
      </c>
      <c r="V194" s="3">
        <v>10</v>
      </c>
      <c r="W194" s="3">
        <v>0</v>
      </c>
      <c r="X194" s="3">
        <v>0</v>
      </c>
      <c r="Y194" s="3">
        <v>13</v>
      </c>
      <c r="Z194" s="3">
        <v>7</v>
      </c>
    </row>
    <row r="195" spans="1:26">
      <c r="A195" s="94" t="str">
        <f t="shared" si="3"/>
        <v>20190928GSOU</v>
      </c>
      <c r="B195" s="3">
        <v>2019</v>
      </c>
      <c r="C195" s="3">
        <v>5</v>
      </c>
      <c r="D195" s="3">
        <v>20190928</v>
      </c>
      <c r="E195" s="3" t="s">
        <v>144</v>
      </c>
      <c r="F195" s="3" t="s">
        <v>57</v>
      </c>
      <c r="G195" s="3" t="s">
        <v>145</v>
      </c>
      <c r="H195" s="3">
        <v>56</v>
      </c>
      <c r="I195" s="3">
        <v>215</v>
      </c>
      <c r="J195" s="3">
        <v>12</v>
      </c>
      <c r="K195" s="3">
        <v>37</v>
      </c>
      <c r="L195" s="3">
        <v>0</v>
      </c>
      <c r="M195" s="3">
        <v>0</v>
      </c>
      <c r="N195" s="3">
        <v>2</v>
      </c>
      <c r="O195" s="3">
        <v>24</v>
      </c>
      <c r="P195" s="3" t="s">
        <v>69</v>
      </c>
      <c r="Q195" s="3" t="s">
        <v>145</v>
      </c>
      <c r="R195" s="3">
        <v>41</v>
      </c>
      <c r="S195" s="3">
        <v>275</v>
      </c>
      <c r="T195" s="3">
        <v>18</v>
      </c>
      <c r="U195" s="3">
        <v>165</v>
      </c>
      <c r="V195" s="3">
        <v>11</v>
      </c>
      <c r="W195" s="3">
        <v>0</v>
      </c>
      <c r="X195" s="3">
        <v>0</v>
      </c>
      <c r="Y195" s="3">
        <v>37</v>
      </c>
      <c r="Z195" s="3">
        <v>3.5</v>
      </c>
    </row>
    <row r="196" spans="1:26">
      <c r="A196" s="94" t="str">
        <f t="shared" si="3"/>
        <v>20190928IOWA</v>
      </c>
      <c r="B196" s="3">
        <v>2019</v>
      </c>
      <c r="C196" s="3">
        <v>5</v>
      </c>
      <c r="D196" s="3">
        <v>20190928</v>
      </c>
      <c r="E196" s="3" t="s">
        <v>144</v>
      </c>
      <c r="F196" s="3" t="s">
        <v>62</v>
      </c>
      <c r="G196" s="3" t="s">
        <v>152</v>
      </c>
      <c r="H196" s="3">
        <v>51</v>
      </c>
      <c r="I196" s="3">
        <v>351</v>
      </c>
      <c r="J196" s="3">
        <v>29</v>
      </c>
      <c r="K196" s="3">
        <v>293</v>
      </c>
      <c r="L196" s="3">
        <v>0</v>
      </c>
      <c r="M196" s="3">
        <v>20</v>
      </c>
      <c r="N196" s="3">
        <v>0</v>
      </c>
      <c r="O196" s="3">
        <v>48</v>
      </c>
      <c r="P196" s="3" t="s">
        <v>112</v>
      </c>
      <c r="Q196" s="3" t="s">
        <v>153</v>
      </c>
      <c r="R196" s="3">
        <v>24</v>
      </c>
      <c r="S196" s="3">
        <v>80</v>
      </c>
      <c r="T196" s="3">
        <v>27</v>
      </c>
      <c r="U196" s="3">
        <v>136</v>
      </c>
      <c r="V196" s="3">
        <v>0</v>
      </c>
      <c r="W196" s="3">
        <v>0</v>
      </c>
      <c r="X196" s="3">
        <v>0</v>
      </c>
      <c r="Y196" s="3">
        <v>3</v>
      </c>
      <c r="Z196" s="3">
        <v>24</v>
      </c>
    </row>
    <row r="197" spans="1:26">
      <c r="A197" s="94" t="str">
        <f t="shared" si="3"/>
        <v>20190928LMON</v>
      </c>
      <c r="B197" s="3">
        <v>2019</v>
      </c>
      <c r="C197" s="3">
        <v>5</v>
      </c>
      <c r="D197" s="3">
        <v>20190928</v>
      </c>
      <c r="E197" s="3" t="s">
        <v>144</v>
      </c>
      <c r="F197" s="3" t="s">
        <v>25</v>
      </c>
      <c r="G197" s="3" t="s">
        <v>145</v>
      </c>
      <c r="H197" s="3">
        <v>30</v>
      </c>
      <c r="I197" s="3">
        <v>144</v>
      </c>
      <c r="J197" s="3">
        <v>25</v>
      </c>
      <c r="K197" s="3">
        <v>286</v>
      </c>
      <c r="L197" s="3">
        <v>7</v>
      </c>
      <c r="M197" s="3">
        <v>22</v>
      </c>
      <c r="N197" s="3">
        <v>1</v>
      </c>
      <c r="O197" s="3">
        <v>30</v>
      </c>
      <c r="P197" s="3" t="s">
        <v>94</v>
      </c>
      <c r="Q197" s="3" t="s">
        <v>145</v>
      </c>
      <c r="R197" s="3">
        <v>52</v>
      </c>
      <c r="S197" s="3">
        <v>263</v>
      </c>
      <c r="T197" s="3">
        <v>26</v>
      </c>
      <c r="U197" s="3">
        <v>114</v>
      </c>
      <c r="V197" s="3">
        <v>7</v>
      </c>
      <c r="W197" s="3">
        <v>22</v>
      </c>
      <c r="X197" s="3">
        <v>0</v>
      </c>
      <c r="Y197" s="3">
        <v>17</v>
      </c>
      <c r="Z197" s="3">
        <v>15.5</v>
      </c>
    </row>
    <row r="198" spans="1:26">
      <c r="A198" s="94" t="str">
        <f t="shared" si="3"/>
        <v>20190928MCST</v>
      </c>
      <c r="B198" s="3">
        <v>2019</v>
      </c>
      <c r="C198" s="3">
        <v>5</v>
      </c>
      <c r="D198" s="3">
        <v>20190928</v>
      </c>
      <c r="E198" s="3" t="s">
        <v>144</v>
      </c>
      <c r="F198" s="3" t="s">
        <v>30</v>
      </c>
      <c r="G198" s="3" t="s">
        <v>152</v>
      </c>
      <c r="H198" s="3">
        <v>33</v>
      </c>
      <c r="I198" s="3">
        <v>145</v>
      </c>
      <c r="J198" s="3">
        <v>36</v>
      </c>
      <c r="K198" s="3">
        <v>300</v>
      </c>
      <c r="L198" s="3">
        <v>22</v>
      </c>
      <c r="M198" s="3">
        <v>42</v>
      </c>
      <c r="N198" s="3">
        <v>1</v>
      </c>
      <c r="O198" s="3">
        <v>40</v>
      </c>
      <c r="P198" s="3" t="s">
        <v>53</v>
      </c>
      <c r="Q198" s="3" t="s">
        <v>152</v>
      </c>
      <c r="R198" s="3">
        <v>27</v>
      </c>
      <c r="S198" s="3">
        <v>72</v>
      </c>
      <c r="T198" s="3">
        <v>42</v>
      </c>
      <c r="U198" s="3">
        <v>286</v>
      </c>
      <c r="V198" s="3">
        <v>12</v>
      </c>
      <c r="W198" s="3">
        <v>113</v>
      </c>
      <c r="X198" s="3">
        <v>0</v>
      </c>
      <c r="Y198" s="3">
        <v>31</v>
      </c>
      <c r="Z198" s="3">
        <v>14</v>
      </c>
    </row>
    <row r="199" spans="1:26">
      <c r="A199" s="94" t="str">
        <f t="shared" si="3"/>
        <v>20190928MIAO</v>
      </c>
      <c r="B199" s="3">
        <v>2019</v>
      </c>
      <c r="C199" s="3">
        <v>5</v>
      </c>
      <c r="D199" s="3">
        <v>20190928</v>
      </c>
      <c r="E199" s="3" t="s">
        <v>144</v>
      </c>
      <c r="F199" s="3" t="s">
        <v>71</v>
      </c>
      <c r="G199" s="3" t="s">
        <v>149</v>
      </c>
      <c r="H199" s="3">
        <v>55</v>
      </c>
      <c r="I199" s="3">
        <v>145</v>
      </c>
      <c r="J199" s="3">
        <v>18</v>
      </c>
      <c r="K199" s="3">
        <v>120</v>
      </c>
      <c r="L199" s="3">
        <v>68</v>
      </c>
      <c r="M199" s="3">
        <v>75</v>
      </c>
      <c r="N199" s="3">
        <v>4</v>
      </c>
      <c r="O199" s="3">
        <v>34</v>
      </c>
      <c r="P199" s="3" t="s">
        <v>47</v>
      </c>
      <c r="Q199" s="3" t="s">
        <v>149</v>
      </c>
      <c r="R199" s="3">
        <v>49</v>
      </c>
      <c r="S199" s="3">
        <v>309</v>
      </c>
      <c r="T199" s="3">
        <v>20</v>
      </c>
      <c r="U199" s="3">
        <v>89</v>
      </c>
      <c r="V199" s="3">
        <v>20</v>
      </c>
      <c r="W199" s="3">
        <v>0</v>
      </c>
      <c r="X199" s="3">
        <v>0</v>
      </c>
      <c r="Y199" s="3">
        <v>20</v>
      </c>
      <c r="Z199" s="3">
        <v>1.5</v>
      </c>
    </row>
    <row r="200" spans="1:26">
      <c r="A200" s="94" t="str">
        <f t="shared" si="3"/>
        <v>20190928MICH</v>
      </c>
      <c r="B200" s="3">
        <v>2019</v>
      </c>
      <c r="C200" s="3">
        <v>5</v>
      </c>
      <c r="D200" s="3">
        <v>20190928</v>
      </c>
      <c r="E200" s="3" t="s">
        <v>144</v>
      </c>
      <c r="F200" s="3" t="s">
        <v>78</v>
      </c>
      <c r="G200" s="3" t="s">
        <v>152</v>
      </c>
      <c r="H200" s="3">
        <v>41</v>
      </c>
      <c r="I200" s="3">
        <v>141</v>
      </c>
      <c r="J200" s="3">
        <v>27</v>
      </c>
      <c r="K200" s="3">
        <v>335</v>
      </c>
      <c r="L200" s="3">
        <v>29</v>
      </c>
      <c r="M200" s="3">
        <v>13</v>
      </c>
      <c r="N200" s="3">
        <v>1</v>
      </c>
      <c r="O200" s="3">
        <v>52</v>
      </c>
      <c r="P200" s="3" t="s">
        <v>92</v>
      </c>
      <c r="Q200" s="3" t="s">
        <v>152</v>
      </c>
      <c r="R200" s="3">
        <v>28</v>
      </c>
      <c r="S200" s="3">
        <v>48</v>
      </c>
      <c r="T200" s="3">
        <v>24</v>
      </c>
      <c r="U200" s="3">
        <v>106</v>
      </c>
      <c r="V200" s="3">
        <v>0</v>
      </c>
      <c r="W200" s="3">
        <v>74</v>
      </c>
      <c r="X200" s="3">
        <v>1</v>
      </c>
      <c r="Y200" s="3">
        <v>0</v>
      </c>
      <c r="Z200" s="3">
        <v>27.5</v>
      </c>
    </row>
    <row r="201" spans="1:26">
      <c r="A201" s="94" t="str">
        <f t="shared" si="3"/>
        <v>20190928MRSH</v>
      </c>
      <c r="B201" s="3">
        <v>2019</v>
      </c>
      <c r="C201" s="3">
        <v>5</v>
      </c>
      <c r="D201" s="3">
        <v>20190928</v>
      </c>
      <c r="E201" s="3" t="s">
        <v>144</v>
      </c>
      <c r="F201" s="3" t="s">
        <v>72</v>
      </c>
      <c r="G201" s="3" t="s">
        <v>153</v>
      </c>
      <c r="H201" s="3">
        <v>29</v>
      </c>
      <c r="I201" s="3">
        <v>125</v>
      </c>
      <c r="J201" s="3">
        <v>30</v>
      </c>
      <c r="K201" s="3">
        <v>131</v>
      </c>
      <c r="L201" s="3">
        <v>5</v>
      </c>
      <c r="M201" s="3">
        <v>104</v>
      </c>
      <c r="N201" s="3">
        <v>1</v>
      </c>
      <c r="O201" s="3">
        <v>14</v>
      </c>
      <c r="P201" s="3" t="s">
        <v>107</v>
      </c>
      <c r="Q201" s="3" t="s">
        <v>150</v>
      </c>
      <c r="R201" s="3">
        <v>51</v>
      </c>
      <c r="S201" s="3">
        <v>230</v>
      </c>
      <c r="T201" s="3">
        <v>26</v>
      </c>
      <c r="U201" s="3">
        <v>295</v>
      </c>
      <c r="V201" s="3">
        <v>14</v>
      </c>
      <c r="W201" s="3">
        <v>32</v>
      </c>
      <c r="X201" s="3">
        <v>0</v>
      </c>
      <c r="Y201" s="3">
        <v>52</v>
      </c>
      <c r="Z201" s="3">
        <v>3.5</v>
      </c>
    </row>
    <row r="202" spans="1:26">
      <c r="A202" s="94" t="str">
        <f t="shared" si="3"/>
        <v>20190928NCAR</v>
      </c>
      <c r="B202" s="3">
        <v>2019</v>
      </c>
      <c r="C202" s="3">
        <v>5</v>
      </c>
      <c r="D202" s="3">
        <v>20190928</v>
      </c>
      <c r="E202" s="3" t="s">
        <v>144</v>
      </c>
      <c r="F202" s="3" t="s">
        <v>49</v>
      </c>
      <c r="G202" s="3" t="s">
        <v>146</v>
      </c>
      <c r="H202" s="3">
        <v>36</v>
      </c>
      <c r="I202" s="3">
        <v>146</v>
      </c>
      <c r="J202" s="3">
        <v>27</v>
      </c>
      <c r="K202" s="3">
        <v>144</v>
      </c>
      <c r="L202" s="3">
        <v>0</v>
      </c>
      <c r="M202" s="3">
        <v>25</v>
      </c>
      <c r="N202" s="3">
        <v>1</v>
      </c>
      <c r="O202" s="3">
        <v>20</v>
      </c>
      <c r="P202" s="3" t="s">
        <v>51</v>
      </c>
      <c r="Q202" s="3" t="s">
        <v>146</v>
      </c>
      <c r="R202" s="3">
        <v>31</v>
      </c>
      <c r="S202" s="3">
        <v>125</v>
      </c>
      <c r="T202" s="3">
        <v>30</v>
      </c>
      <c r="U202" s="3">
        <v>206</v>
      </c>
      <c r="V202" s="3">
        <v>0</v>
      </c>
      <c r="W202" s="3">
        <v>67</v>
      </c>
      <c r="X202" s="3">
        <v>0</v>
      </c>
      <c r="Y202" s="3">
        <v>21</v>
      </c>
      <c r="Z202" s="3">
        <v>26.5</v>
      </c>
    </row>
    <row r="203" spans="1:26">
      <c r="A203" s="94" t="str">
        <f t="shared" si="3"/>
        <v>20190928NEB</v>
      </c>
      <c r="B203" s="3">
        <v>2019</v>
      </c>
      <c r="C203" s="3">
        <v>5</v>
      </c>
      <c r="D203" s="3">
        <v>20190928</v>
      </c>
      <c r="E203" s="3" t="s">
        <v>144</v>
      </c>
      <c r="F203" s="3" t="s">
        <v>127</v>
      </c>
      <c r="G203" s="3" t="s">
        <v>152</v>
      </c>
      <c r="H203" s="3">
        <v>39</v>
      </c>
      <c r="I203" s="3">
        <v>184</v>
      </c>
      <c r="J203" s="3">
        <v>17</v>
      </c>
      <c r="K203" s="3">
        <v>47</v>
      </c>
      <c r="L203" s="3">
        <v>0</v>
      </c>
      <c r="M203" s="3">
        <v>51</v>
      </c>
      <c r="N203" s="3">
        <v>0</v>
      </c>
      <c r="O203" s="3">
        <v>7</v>
      </c>
      <c r="P203" s="3" t="s">
        <v>81</v>
      </c>
      <c r="Q203" s="3" t="s">
        <v>152</v>
      </c>
      <c r="R203" s="3">
        <v>53</v>
      </c>
      <c r="S203" s="3">
        <v>368</v>
      </c>
      <c r="T203" s="3">
        <v>22</v>
      </c>
      <c r="U203" s="3">
        <v>212</v>
      </c>
      <c r="V203" s="3">
        <v>3</v>
      </c>
      <c r="W203" s="3">
        <v>46</v>
      </c>
      <c r="X203" s="3">
        <v>3</v>
      </c>
      <c r="Y203" s="3">
        <v>48</v>
      </c>
      <c r="Z203" s="3">
        <v>17.5</v>
      </c>
    </row>
    <row r="204" spans="1:26">
      <c r="A204" s="94" t="str">
        <f t="shared" si="3"/>
        <v>20190928NEV</v>
      </c>
      <c r="B204" s="3">
        <v>2019</v>
      </c>
      <c r="C204" s="3">
        <v>5</v>
      </c>
      <c r="D204" s="3">
        <v>20190928</v>
      </c>
      <c r="E204" s="3" t="s">
        <v>144</v>
      </c>
      <c r="F204" s="3" t="s">
        <v>32</v>
      </c>
      <c r="G204" s="3" t="s">
        <v>148</v>
      </c>
      <c r="H204" s="3">
        <v>36</v>
      </c>
      <c r="I204" s="3">
        <v>98</v>
      </c>
      <c r="J204" s="3">
        <v>31</v>
      </c>
      <c r="K204" s="3">
        <v>106</v>
      </c>
      <c r="L204" s="3">
        <v>0</v>
      </c>
      <c r="M204" s="3">
        <v>87</v>
      </c>
      <c r="N204" s="3">
        <v>0</v>
      </c>
      <c r="O204" s="3">
        <v>3</v>
      </c>
      <c r="P204" s="3" t="s">
        <v>8</v>
      </c>
      <c r="Q204" s="3" t="s">
        <v>148</v>
      </c>
      <c r="R204" s="3">
        <v>27</v>
      </c>
      <c r="S204" s="3">
        <v>139</v>
      </c>
      <c r="T204" s="3">
        <v>36</v>
      </c>
      <c r="U204" s="3">
        <v>373</v>
      </c>
      <c r="V204" s="3">
        <v>27</v>
      </c>
      <c r="W204" s="3">
        <v>44</v>
      </c>
      <c r="X204" s="3">
        <v>4</v>
      </c>
      <c r="Y204" s="3">
        <v>54</v>
      </c>
      <c r="Z204" s="3">
        <v>2</v>
      </c>
    </row>
    <row r="205" spans="1:26">
      <c r="A205" s="94" t="str">
        <f t="shared" si="3"/>
        <v>20190928NMST</v>
      </c>
      <c r="B205" s="3">
        <v>2019</v>
      </c>
      <c r="C205" s="3">
        <v>5</v>
      </c>
      <c r="D205" s="3">
        <v>20190928</v>
      </c>
      <c r="E205" s="3" t="s">
        <v>144</v>
      </c>
      <c r="F205" s="3" t="s">
        <v>9</v>
      </c>
      <c r="G205" s="3" t="s">
        <v>53</v>
      </c>
      <c r="H205" s="3">
        <v>22</v>
      </c>
      <c r="I205" s="3">
        <v>105</v>
      </c>
      <c r="J205" s="3">
        <v>47</v>
      </c>
      <c r="K205" s="3">
        <v>210</v>
      </c>
      <c r="L205" s="3">
        <v>0</v>
      </c>
      <c r="M205" s="3">
        <v>13</v>
      </c>
      <c r="N205" s="3">
        <v>1</v>
      </c>
      <c r="O205" s="3">
        <v>17</v>
      </c>
      <c r="P205" s="3" t="s">
        <v>55</v>
      </c>
      <c r="Q205" s="3" t="s">
        <v>148</v>
      </c>
      <c r="R205" s="3">
        <v>38</v>
      </c>
      <c r="S205" s="3">
        <v>239</v>
      </c>
      <c r="T205" s="3">
        <v>31</v>
      </c>
      <c r="U205" s="3">
        <v>147</v>
      </c>
      <c r="V205" s="3">
        <v>0</v>
      </c>
      <c r="W205" s="3">
        <v>0</v>
      </c>
      <c r="X205" s="3">
        <v>0</v>
      </c>
      <c r="Y205" s="3">
        <v>30</v>
      </c>
      <c r="Z205" s="3">
        <v>17.5</v>
      </c>
    </row>
    <row r="206" spans="1:26">
      <c r="A206" s="94" t="str">
        <f t="shared" si="3"/>
        <v>20190928NOTD</v>
      </c>
      <c r="B206" s="3">
        <v>2019</v>
      </c>
      <c r="C206" s="3">
        <v>5</v>
      </c>
      <c r="D206" s="3">
        <v>20190928</v>
      </c>
      <c r="E206" s="3" t="s">
        <v>144</v>
      </c>
      <c r="F206" s="3" t="s">
        <v>77</v>
      </c>
      <c r="G206" s="3" t="s">
        <v>53</v>
      </c>
      <c r="H206" s="3">
        <v>35</v>
      </c>
      <c r="I206" s="3">
        <v>178</v>
      </c>
      <c r="J206" s="3">
        <v>25</v>
      </c>
      <c r="K206" s="3">
        <v>165</v>
      </c>
      <c r="L206" s="3">
        <v>1</v>
      </c>
      <c r="M206" s="3">
        <v>16</v>
      </c>
      <c r="N206" s="3">
        <v>5</v>
      </c>
      <c r="O206" s="3">
        <v>35</v>
      </c>
      <c r="P206" s="3" t="s">
        <v>113</v>
      </c>
      <c r="Q206" s="3" t="s">
        <v>146</v>
      </c>
      <c r="R206" s="3">
        <v>29</v>
      </c>
      <c r="S206" s="3">
        <v>4</v>
      </c>
      <c r="T206" s="3">
        <v>43</v>
      </c>
      <c r="U206" s="3">
        <v>334</v>
      </c>
      <c r="V206" s="3">
        <v>17</v>
      </c>
      <c r="W206" s="3">
        <v>39</v>
      </c>
      <c r="X206" s="3">
        <v>1</v>
      </c>
      <c r="Y206" s="3">
        <v>20</v>
      </c>
      <c r="Z206" s="3">
        <v>12.5</v>
      </c>
    </row>
    <row r="207" spans="1:26">
      <c r="A207" s="94" t="str">
        <f t="shared" si="3"/>
        <v>20190928NTX</v>
      </c>
      <c r="B207" s="3">
        <v>2019</v>
      </c>
      <c r="C207" s="3">
        <v>5</v>
      </c>
      <c r="D207" s="3">
        <v>20190928</v>
      </c>
      <c r="E207" s="3" t="s">
        <v>144</v>
      </c>
      <c r="F207" s="3" t="s">
        <v>79</v>
      </c>
      <c r="G207" s="3" t="s">
        <v>153</v>
      </c>
      <c r="H207" s="3">
        <v>30</v>
      </c>
      <c r="I207" s="3">
        <v>96</v>
      </c>
      <c r="J207" s="3">
        <v>58</v>
      </c>
      <c r="K207" s="3">
        <v>360</v>
      </c>
      <c r="L207" s="3">
        <v>15</v>
      </c>
      <c r="M207" s="3">
        <v>71</v>
      </c>
      <c r="N207" s="3">
        <v>0</v>
      </c>
      <c r="O207" s="3">
        <v>25</v>
      </c>
      <c r="P207" s="3" t="s">
        <v>91</v>
      </c>
      <c r="Q207" s="3" t="s">
        <v>150</v>
      </c>
      <c r="R207" s="3">
        <v>30</v>
      </c>
      <c r="S207" s="3">
        <v>246</v>
      </c>
      <c r="T207" s="3">
        <v>20</v>
      </c>
      <c r="U207" s="3">
        <v>124</v>
      </c>
      <c r="V207" s="3">
        <v>63</v>
      </c>
      <c r="W207" s="3">
        <v>125</v>
      </c>
      <c r="X207" s="3">
        <v>0</v>
      </c>
      <c r="Y207" s="3">
        <v>46</v>
      </c>
      <c r="Z207" s="3">
        <v>6</v>
      </c>
    </row>
    <row r="208" spans="1:26">
      <c r="A208" s="94" t="str">
        <f t="shared" si="3"/>
        <v>20190928OKLA</v>
      </c>
      <c r="B208" s="3">
        <v>2019</v>
      </c>
      <c r="C208" s="3">
        <v>5</v>
      </c>
      <c r="D208" s="3">
        <v>20190928</v>
      </c>
      <c r="E208" s="3" t="s">
        <v>144</v>
      </c>
      <c r="F208" s="3" t="s">
        <v>84</v>
      </c>
      <c r="G208" s="3" t="s">
        <v>209</v>
      </c>
      <c r="H208" s="3">
        <v>29</v>
      </c>
      <c r="I208" s="3">
        <v>203</v>
      </c>
      <c r="J208" s="3">
        <v>34</v>
      </c>
      <c r="K208" s="3">
        <v>443</v>
      </c>
      <c r="L208" s="3">
        <v>9</v>
      </c>
      <c r="M208" s="3">
        <v>29</v>
      </c>
      <c r="N208" s="3">
        <v>1</v>
      </c>
      <c r="O208" s="3">
        <v>55</v>
      </c>
      <c r="P208" s="3" t="s">
        <v>131</v>
      </c>
      <c r="Q208" s="3" t="s">
        <v>209</v>
      </c>
      <c r="R208" s="3">
        <v>37</v>
      </c>
      <c r="S208" s="3">
        <v>192</v>
      </c>
      <c r="T208" s="3">
        <v>26</v>
      </c>
      <c r="U208" s="3">
        <v>122</v>
      </c>
      <c r="V208" s="3">
        <v>27</v>
      </c>
      <c r="W208" s="3">
        <v>46</v>
      </c>
      <c r="X208" s="3">
        <v>1</v>
      </c>
      <c r="Y208" s="3">
        <v>16</v>
      </c>
      <c r="Z208" s="3">
        <v>27.5</v>
      </c>
    </row>
    <row r="209" spans="1:26">
      <c r="A209" s="94" t="str">
        <f t="shared" si="3"/>
        <v>20190928OKST</v>
      </c>
      <c r="B209" s="3">
        <v>2019</v>
      </c>
      <c r="C209" s="3">
        <v>5</v>
      </c>
      <c r="D209" s="3">
        <v>20190928</v>
      </c>
      <c r="E209" s="3" t="s">
        <v>144</v>
      </c>
      <c r="F209" s="3" t="s">
        <v>26</v>
      </c>
      <c r="G209" s="3" t="s">
        <v>209</v>
      </c>
      <c r="H209" s="3">
        <v>44</v>
      </c>
      <c r="I209" s="3">
        <v>373</v>
      </c>
      <c r="J209" s="3">
        <v>25</v>
      </c>
      <c r="K209" s="3">
        <v>153</v>
      </c>
      <c r="L209" s="3">
        <v>5</v>
      </c>
      <c r="M209" s="3">
        <v>0</v>
      </c>
      <c r="N209" s="3">
        <v>1</v>
      </c>
      <c r="O209" s="3">
        <v>26</v>
      </c>
      <c r="P209" s="3" t="s">
        <v>65</v>
      </c>
      <c r="Q209" s="3" t="s">
        <v>209</v>
      </c>
      <c r="R209" s="3">
        <v>32</v>
      </c>
      <c r="S209" s="3">
        <v>126</v>
      </c>
      <c r="T209" s="3">
        <v>23</v>
      </c>
      <c r="U209" s="3">
        <v>118</v>
      </c>
      <c r="V209" s="3">
        <v>0</v>
      </c>
      <c r="W209" s="3">
        <v>76</v>
      </c>
      <c r="X209" s="3">
        <v>2</v>
      </c>
      <c r="Y209" s="3">
        <v>13</v>
      </c>
      <c r="Z209" s="3">
        <v>6.5</v>
      </c>
    </row>
    <row r="210" spans="1:26">
      <c r="A210" s="94" t="str">
        <f t="shared" si="3"/>
        <v>20190928OLDD</v>
      </c>
      <c r="B210" s="3">
        <v>2019</v>
      </c>
      <c r="C210" s="3">
        <v>5</v>
      </c>
      <c r="D210" s="3">
        <v>20190928</v>
      </c>
      <c r="E210" s="3" t="s">
        <v>144</v>
      </c>
      <c r="F210" s="3" t="s">
        <v>68</v>
      </c>
      <c r="G210" s="3" t="s">
        <v>153</v>
      </c>
      <c r="H210" s="3">
        <v>42</v>
      </c>
      <c r="I210" s="3">
        <v>90</v>
      </c>
      <c r="J210" s="3">
        <v>30</v>
      </c>
      <c r="K210" s="3">
        <v>203</v>
      </c>
      <c r="L210" s="3">
        <v>20</v>
      </c>
      <c r="M210" s="3">
        <v>20</v>
      </c>
      <c r="N210" s="3">
        <v>3</v>
      </c>
      <c r="O210" s="3">
        <v>21</v>
      </c>
      <c r="P210" s="3" t="s">
        <v>115</v>
      </c>
      <c r="Q210" s="3" t="s">
        <v>150</v>
      </c>
      <c r="R210" s="3">
        <v>36</v>
      </c>
      <c r="S210" s="3">
        <v>107</v>
      </c>
      <c r="T210" s="3">
        <v>21</v>
      </c>
      <c r="U210" s="3">
        <v>202</v>
      </c>
      <c r="V210" s="3">
        <v>22</v>
      </c>
      <c r="W210" s="3">
        <v>16</v>
      </c>
      <c r="X210" s="3">
        <v>3</v>
      </c>
      <c r="Y210" s="3">
        <v>24</v>
      </c>
      <c r="Z210" s="3">
        <v>1.5</v>
      </c>
    </row>
    <row r="211" spans="1:26">
      <c r="A211" s="94" t="str">
        <f t="shared" si="3"/>
        <v>20190928ORST</v>
      </c>
      <c r="B211" s="3">
        <v>2019</v>
      </c>
      <c r="C211" s="3">
        <v>5</v>
      </c>
      <c r="D211" s="3">
        <v>20190928</v>
      </c>
      <c r="E211" s="3" t="s">
        <v>144</v>
      </c>
      <c r="F211" s="3" t="s">
        <v>82</v>
      </c>
      <c r="G211" s="3" t="s">
        <v>151</v>
      </c>
      <c r="H211" s="3">
        <v>33</v>
      </c>
      <c r="I211" s="3">
        <v>164</v>
      </c>
      <c r="J211" s="3">
        <v>39</v>
      </c>
      <c r="K211" s="3">
        <v>337</v>
      </c>
      <c r="L211" s="3">
        <v>0</v>
      </c>
      <c r="M211" s="3">
        <v>57</v>
      </c>
      <c r="N211" s="3">
        <v>0</v>
      </c>
      <c r="O211" s="3">
        <v>28</v>
      </c>
      <c r="P211" s="3" t="s">
        <v>33</v>
      </c>
      <c r="Q211" s="3" t="s">
        <v>151</v>
      </c>
      <c r="R211" s="3">
        <v>31</v>
      </c>
      <c r="S211" s="3">
        <v>100</v>
      </c>
      <c r="T211" s="3">
        <v>27</v>
      </c>
      <c r="U211" s="3">
        <v>253</v>
      </c>
      <c r="V211" s="3">
        <v>27</v>
      </c>
      <c r="W211" s="3">
        <v>147</v>
      </c>
      <c r="X211" s="3">
        <v>0</v>
      </c>
      <c r="Y211" s="3">
        <v>31</v>
      </c>
      <c r="Z211" s="3">
        <v>3.5</v>
      </c>
    </row>
    <row r="212" spans="1:26">
      <c r="A212" s="94" t="str">
        <f t="shared" si="3"/>
        <v>20190928PUR</v>
      </c>
      <c r="B212" s="3">
        <v>2019</v>
      </c>
      <c r="C212" s="3">
        <v>5</v>
      </c>
      <c r="D212" s="3">
        <v>20190928</v>
      </c>
      <c r="E212" s="3" t="s">
        <v>144</v>
      </c>
      <c r="F212" s="3" t="s">
        <v>17</v>
      </c>
      <c r="G212" s="3" t="s">
        <v>152</v>
      </c>
      <c r="H212" s="3">
        <v>33</v>
      </c>
      <c r="I212" s="3">
        <v>123</v>
      </c>
      <c r="J212" s="3">
        <v>49</v>
      </c>
      <c r="K212" s="3">
        <v>291</v>
      </c>
      <c r="L212" s="3">
        <v>0</v>
      </c>
      <c r="M212" s="3">
        <v>50</v>
      </c>
      <c r="N212" s="3">
        <v>0</v>
      </c>
      <c r="O212" s="3">
        <v>31</v>
      </c>
      <c r="P212" s="3" t="s">
        <v>16</v>
      </c>
      <c r="Q212" s="3" t="s">
        <v>152</v>
      </c>
      <c r="R212" s="3">
        <v>34</v>
      </c>
      <c r="S212" s="3">
        <v>92</v>
      </c>
      <c r="T212" s="3">
        <v>22</v>
      </c>
      <c r="U212" s="3">
        <v>396</v>
      </c>
      <c r="V212" s="3">
        <v>0</v>
      </c>
      <c r="W212" s="3">
        <v>0</v>
      </c>
      <c r="X212" s="3">
        <v>2</v>
      </c>
      <c r="Y212" s="3">
        <v>38</v>
      </c>
      <c r="Z212" s="3">
        <v>1</v>
      </c>
    </row>
    <row r="213" spans="1:26">
      <c r="A213" s="94" t="str">
        <f t="shared" si="3"/>
        <v>20190928RICE</v>
      </c>
      <c r="B213" s="3">
        <v>2019</v>
      </c>
      <c r="C213" s="3">
        <v>5</v>
      </c>
      <c r="D213" s="3">
        <v>20190928</v>
      </c>
      <c r="E213" s="3" t="s">
        <v>144</v>
      </c>
      <c r="F213" s="3" t="s">
        <v>11</v>
      </c>
      <c r="G213" s="3" t="s">
        <v>153</v>
      </c>
      <c r="H213" s="3">
        <v>47</v>
      </c>
      <c r="I213" s="3">
        <v>204</v>
      </c>
      <c r="J213" s="3">
        <v>26</v>
      </c>
      <c r="K213" s="3">
        <v>148</v>
      </c>
      <c r="L213" s="3">
        <v>31</v>
      </c>
      <c r="M213" s="3">
        <v>36</v>
      </c>
      <c r="N213" s="3">
        <v>0</v>
      </c>
      <c r="O213" s="3">
        <v>20</v>
      </c>
      <c r="P213" s="3" t="s">
        <v>95</v>
      </c>
      <c r="Q213" s="3" t="s">
        <v>153</v>
      </c>
      <c r="R213" s="3">
        <v>22</v>
      </c>
      <c r="S213" s="3">
        <v>110</v>
      </c>
      <c r="T213" s="3">
        <v>39</v>
      </c>
      <c r="U213" s="3">
        <v>210</v>
      </c>
      <c r="V213" s="3">
        <v>2</v>
      </c>
      <c r="W213" s="3">
        <v>65</v>
      </c>
      <c r="X213" s="3">
        <v>1</v>
      </c>
      <c r="Y213" s="3">
        <v>23</v>
      </c>
      <c r="Z213" s="3">
        <v>9</v>
      </c>
    </row>
    <row r="214" spans="1:26">
      <c r="A214" s="94" t="str">
        <f t="shared" si="3"/>
        <v>20190928SCAR</v>
      </c>
      <c r="B214" s="3">
        <v>2019</v>
      </c>
      <c r="C214" s="3">
        <v>5</v>
      </c>
      <c r="D214" s="3">
        <v>20190928</v>
      </c>
      <c r="E214" s="3" t="s">
        <v>144</v>
      </c>
      <c r="F214" s="3" t="s">
        <v>96</v>
      </c>
      <c r="G214" s="3" t="s">
        <v>147</v>
      </c>
      <c r="H214" s="3">
        <v>46</v>
      </c>
      <c r="I214" s="3">
        <v>247</v>
      </c>
      <c r="J214" s="3">
        <v>27</v>
      </c>
      <c r="K214" s="3">
        <v>140</v>
      </c>
      <c r="L214" s="3">
        <v>2</v>
      </c>
      <c r="M214" s="3">
        <v>0</v>
      </c>
      <c r="N214" s="3">
        <v>2</v>
      </c>
      <c r="O214" s="3">
        <v>24</v>
      </c>
      <c r="P214" s="3" t="s">
        <v>66</v>
      </c>
      <c r="Q214" s="3" t="s">
        <v>147</v>
      </c>
      <c r="R214" s="3">
        <v>28</v>
      </c>
      <c r="S214" s="3">
        <v>115</v>
      </c>
      <c r="T214" s="3">
        <v>34</v>
      </c>
      <c r="U214" s="3">
        <v>97</v>
      </c>
      <c r="V214" s="3">
        <v>9</v>
      </c>
      <c r="W214" s="3">
        <v>84</v>
      </c>
      <c r="X214" s="3">
        <v>1</v>
      </c>
      <c r="Y214" s="3">
        <v>7</v>
      </c>
      <c r="Z214" s="3">
        <v>3</v>
      </c>
    </row>
    <row r="215" spans="1:26">
      <c r="A215" s="94" t="str">
        <f t="shared" si="3"/>
        <v>20190928SFL</v>
      </c>
      <c r="B215" s="3">
        <v>2019</v>
      </c>
      <c r="C215" s="3">
        <v>5</v>
      </c>
      <c r="D215" s="3">
        <v>20190928</v>
      </c>
      <c r="E215" s="3" t="s">
        <v>144</v>
      </c>
      <c r="F215" s="3" t="s">
        <v>98</v>
      </c>
      <c r="G215" s="3" t="s">
        <v>150</v>
      </c>
      <c r="H215" s="3">
        <v>31</v>
      </c>
      <c r="I215" s="3">
        <v>81</v>
      </c>
      <c r="J215" s="3">
        <v>40</v>
      </c>
      <c r="K215" s="3">
        <v>288</v>
      </c>
      <c r="L215" s="3">
        <v>5</v>
      </c>
      <c r="M215" s="3">
        <v>105</v>
      </c>
      <c r="N215" s="3">
        <v>2</v>
      </c>
      <c r="O215" s="3">
        <v>21</v>
      </c>
      <c r="P215" s="3" t="s">
        <v>80</v>
      </c>
      <c r="Q215" s="3" t="s">
        <v>150</v>
      </c>
      <c r="R215" s="3">
        <v>47</v>
      </c>
      <c r="S215" s="3">
        <v>246</v>
      </c>
      <c r="T215" s="3">
        <v>29</v>
      </c>
      <c r="U215" s="3">
        <v>252</v>
      </c>
      <c r="V215" s="3">
        <v>51</v>
      </c>
      <c r="W215" s="3">
        <v>25</v>
      </c>
      <c r="X215" s="3">
        <v>2</v>
      </c>
      <c r="Y215" s="3">
        <v>48</v>
      </c>
      <c r="Z215" s="3">
        <v>8.5</v>
      </c>
    </row>
    <row r="216" spans="1:26">
      <c r="A216" s="94" t="str">
        <f t="shared" si="3"/>
        <v>20190928SMIS</v>
      </c>
      <c r="B216" s="3">
        <v>2019</v>
      </c>
      <c r="C216" s="3">
        <v>5</v>
      </c>
      <c r="D216" s="3">
        <v>20190928</v>
      </c>
      <c r="E216" s="3" t="s">
        <v>144</v>
      </c>
      <c r="F216" s="3" t="s">
        <v>99</v>
      </c>
      <c r="G216" s="3" t="s">
        <v>153</v>
      </c>
      <c r="H216" s="3">
        <v>36</v>
      </c>
      <c r="I216" s="3">
        <v>169</v>
      </c>
      <c r="J216" s="3">
        <v>28</v>
      </c>
      <c r="K216" s="3">
        <v>351</v>
      </c>
      <c r="L216" s="3">
        <v>26</v>
      </c>
      <c r="M216" s="3">
        <v>49</v>
      </c>
      <c r="N216" s="3">
        <v>0</v>
      </c>
      <c r="O216" s="3">
        <v>31</v>
      </c>
      <c r="P216" s="3" t="s">
        <v>110</v>
      </c>
      <c r="Q216" s="3" t="s">
        <v>153</v>
      </c>
      <c r="R216" s="3">
        <v>25</v>
      </c>
      <c r="S216" s="3">
        <v>126</v>
      </c>
      <c r="T216" s="3">
        <v>28</v>
      </c>
      <c r="U216" s="3">
        <v>168</v>
      </c>
      <c r="V216" s="3">
        <v>8</v>
      </c>
      <c r="W216" s="3">
        <v>91</v>
      </c>
      <c r="X216" s="3">
        <v>1</v>
      </c>
      <c r="Y216" s="3">
        <v>13</v>
      </c>
      <c r="Z216" s="3">
        <v>25.5</v>
      </c>
    </row>
    <row r="217" spans="1:26">
      <c r="A217" s="94" t="str">
        <f t="shared" si="3"/>
        <v>20190928TCU</v>
      </c>
      <c r="B217" s="3">
        <v>2019</v>
      </c>
      <c r="C217" s="3">
        <v>5</v>
      </c>
      <c r="D217" s="3">
        <v>20190928</v>
      </c>
      <c r="E217" s="3" t="s">
        <v>144</v>
      </c>
      <c r="F217" s="3" t="s">
        <v>100</v>
      </c>
      <c r="G217" s="3" t="s">
        <v>209</v>
      </c>
      <c r="H217" s="3">
        <v>61</v>
      </c>
      <c r="I217" s="3">
        <v>319</v>
      </c>
      <c r="J217" s="3">
        <v>27</v>
      </c>
      <c r="K217" s="3">
        <v>306</v>
      </c>
      <c r="L217" s="3">
        <v>139</v>
      </c>
      <c r="M217" s="3">
        <v>0</v>
      </c>
      <c r="N217" s="3">
        <v>0</v>
      </c>
      <c r="O217" s="3">
        <v>51</v>
      </c>
      <c r="P217" s="3" t="s">
        <v>64</v>
      </c>
      <c r="Q217" s="3" t="s">
        <v>209</v>
      </c>
      <c r="R217" s="3">
        <v>18</v>
      </c>
      <c r="S217" s="3">
        <v>75</v>
      </c>
      <c r="T217" s="3">
        <v>29</v>
      </c>
      <c r="U217" s="3">
        <v>84</v>
      </c>
      <c r="V217" s="3">
        <v>0</v>
      </c>
      <c r="W217" s="3">
        <v>101</v>
      </c>
      <c r="X217" s="3">
        <v>0</v>
      </c>
      <c r="Y217" s="3">
        <v>14</v>
      </c>
      <c r="Z217" s="3">
        <v>16.5</v>
      </c>
    </row>
    <row r="218" spans="1:26">
      <c r="A218" s="94" t="str">
        <f t="shared" si="3"/>
        <v>20190928TEM</v>
      </c>
      <c r="B218" s="3">
        <v>2019</v>
      </c>
      <c r="C218" s="3">
        <v>5</v>
      </c>
      <c r="D218" s="3">
        <v>20190928</v>
      </c>
      <c r="E218" s="3" t="s">
        <v>144</v>
      </c>
      <c r="F218" s="3" t="s">
        <v>101</v>
      </c>
      <c r="G218" s="3" t="s">
        <v>150</v>
      </c>
      <c r="H218" s="3">
        <v>48</v>
      </c>
      <c r="I218" s="3">
        <v>198</v>
      </c>
      <c r="J218" s="3">
        <v>22</v>
      </c>
      <c r="K218" s="3">
        <v>127</v>
      </c>
      <c r="L218" s="3">
        <v>16</v>
      </c>
      <c r="M218" s="3">
        <v>0</v>
      </c>
      <c r="N218" s="3">
        <v>3</v>
      </c>
      <c r="O218" s="3">
        <v>24</v>
      </c>
      <c r="P218" s="3" t="s">
        <v>58</v>
      </c>
      <c r="Q218" s="3" t="s">
        <v>146</v>
      </c>
      <c r="R218" s="3">
        <v>34</v>
      </c>
      <c r="S218" s="3">
        <v>133</v>
      </c>
      <c r="T218" s="3">
        <v>35</v>
      </c>
      <c r="U218" s="3">
        <v>174</v>
      </c>
      <c r="V218" s="3">
        <v>0</v>
      </c>
      <c r="W218" s="3">
        <v>50</v>
      </c>
      <c r="X218" s="3">
        <v>1</v>
      </c>
      <c r="Y218" s="3">
        <v>2</v>
      </c>
      <c r="Z218" s="3">
        <v>10.5</v>
      </c>
    </row>
    <row r="219" spans="1:26">
      <c r="A219" s="94" t="str">
        <f t="shared" si="3"/>
        <v>20190928TOL</v>
      </c>
      <c r="B219" s="3">
        <v>2019</v>
      </c>
      <c r="C219" s="3">
        <v>5</v>
      </c>
      <c r="D219" s="3">
        <v>20190928</v>
      </c>
      <c r="E219" s="3" t="s">
        <v>144</v>
      </c>
      <c r="F219" s="3" t="s">
        <v>103</v>
      </c>
      <c r="G219" s="3" t="s">
        <v>149</v>
      </c>
      <c r="H219" s="3">
        <v>56</v>
      </c>
      <c r="I219" s="3">
        <v>242</v>
      </c>
      <c r="J219" s="3">
        <v>28</v>
      </c>
      <c r="K219" s="3">
        <v>206</v>
      </c>
      <c r="L219" s="3">
        <v>12</v>
      </c>
      <c r="M219" s="3">
        <v>43</v>
      </c>
      <c r="N219" s="3">
        <v>1</v>
      </c>
      <c r="O219" s="3">
        <v>28</v>
      </c>
      <c r="P219" s="3" t="s">
        <v>43</v>
      </c>
      <c r="Q219" s="3" t="s">
        <v>53</v>
      </c>
      <c r="R219" s="3">
        <v>26</v>
      </c>
      <c r="S219" s="3">
        <v>101</v>
      </c>
      <c r="T219" s="3">
        <v>44</v>
      </c>
      <c r="U219" s="3">
        <v>354</v>
      </c>
      <c r="V219" s="3">
        <v>70</v>
      </c>
      <c r="W219" s="3">
        <v>41</v>
      </c>
      <c r="X219" s="3">
        <v>3</v>
      </c>
      <c r="Y219" s="3">
        <v>21</v>
      </c>
      <c r="Z219" s="3">
        <v>2</v>
      </c>
    </row>
    <row r="220" spans="1:26">
      <c r="A220" s="94" t="str">
        <f t="shared" si="3"/>
        <v>20190928TROY</v>
      </c>
      <c r="B220" s="3">
        <v>2019</v>
      </c>
      <c r="C220" s="3">
        <v>5</v>
      </c>
      <c r="D220" s="3">
        <v>20190928</v>
      </c>
      <c r="E220" s="3" t="s">
        <v>144</v>
      </c>
      <c r="F220" s="3" t="s">
        <v>104</v>
      </c>
      <c r="G220" s="3" t="s">
        <v>145</v>
      </c>
      <c r="H220" s="3">
        <v>33</v>
      </c>
      <c r="I220" s="3">
        <v>145</v>
      </c>
      <c r="J220" s="3">
        <v>58</v>
      </c>
      <c r="K220" s="3">
        <v>367</v>
      </c>
      <c r="L220" s="3">
        <v>0</v>
      </c>
      <c r="M220" s="3">
        <v>130</v>
      </c>
      <c r="N220" s="3">
        <v>4</v>
      </c>
      <c r="O220" s="3">
        <v>43</v>
      </c>
      <c r="P220" s="3" t="s">
        <v>40</v>
      </c>
      <c r="Q220" s="3" t="s">
        <v>145</v>
      </c>
      <c r="R220" s="3">
        <v>34</v>
      </c>
      <c r="S220" s="3">
        <v>103</v>
      </c>
      <c r="T220" s="3">
        <v>36</v>
      </c>
      <c r="U220" s="3">
        <v>455</v>
      </c>
      <c r="V220" s="3">
        <v>0</v>
      </c>
      <c r="W220" s="3">
        <v>64</v>
      </c>
      <c r="X220" s="3">
        <v>2</v>
      </c>
      <c r="Y220" s="3">
        <v>50</v>
      </c>
      <c r="Z220" s="3">
        <v>5.5</v>
      </c>
    </row>
    <row r="221" spans="1:26">
      <c r="A221" s="94" t="str">
        <f t="shared" si="3"/>
        <v>20190928UTAH</v>
      </c>
      <c r="B221" s="3">
        <v>2019</v>
      </c>
      <c r="C221" s="3">
        <v>5</v>
      </c>
      <c r="D221" s="3">
        <v>20190928</v>
      </c>
      <c r="E221" s="3" t="s">
        <v>144</v>
      </c>
      <c r="F221" s="3" t="s">
        <v>24</v>
      </c>
      <c r="G221" s="3" t="s">
        <v>151</v>
      </c>
      <c r="H221" s="3">
        <v>41</v>
      </c>
      <c r="I221" s="3">
        <v>192</v>
      </c>
      <c r="J221" s="3">
        <v>30</v>
      </c>
      <c r="K221" s="3">
        <v>334</v>
      </c>
      <c r="L221" s="3">
        <v>0</v>
      </c>
      <c r="M221" s="3">
        <v>0</v>
      </c>
      <c r="N221" s="3">
        <v>1</v>
      </c>
      <c r="O221" s="3">
        <v>38</v>
      </c>
      <c r="P221" s="3" t="s">
        <v>114</v>
      </c>
      <c r="Q221" s="3" t="s">
        <v>151</v>
      </c>
      <c r="R221" s="3">
        <v>13</v>
      </c>
      <c r="S221" s="3">
        <v>59</v>
      </c>
      <c r="T221" s="3">
        <v>44</v>
      </c>
      <c r="U221" s="3">
        <v>229</v>
      </c>
      <c r="V221" s="3">
        <v>0</v>
      </c>
      <c r="W221" s="3">
        <v>52</v>
      </c>
      <c r="X221" s="3">
        <v>0</v>
      </c>
      <c r="Y221" s="3">
        <v>13</v>
      </c>
      <c r="Z221" s="3">
        <v>7</v>
      </c>
    </row>
    <row r="222" spans="1:26">
      <c r="A222" s="94" t="str">
        <f t="shared" si="3"/>
        <v>20190928UTST</v>
      </c>
      <c r="B222" s="3">
        <v>2019</v>
      </c>
      <c r="C222" s="3">
        <v>5</v>
      </c>
      <c r="D222" s="3">
        <v>20190928</v>
      </c>
      <c r="E222" s="3" t="s">
        <v>144</v>
      </c>
      <c r="F222" s="3" t="s">
        <v>31</v>
      </c>
      <c r="G222" s="3" t="s">
        <v>148</v>
      </c>
      <c r="H222" s="3">
        <v>54</v>
      </c>
      <c r="I222" s="3">
        <v>242</v>
      </c>
      <c r="J222" s="3">
        <v>33</v>
      </c>
      <c r="K222" s="3">
        <v>204</v>
      </c>
      <c r="L222" s="3">
        <v>2</v>
      </c>
      <c r="M222" s="3">
        <v>100</v>
      </c>
      <c r="N222" s="3">
        <v>3</v>
      </c>
      <c r="O222" s="3">
        <v>34</v>
      </c>
      <c r="P222" s="3" t="s">
        <v>7</v>
      </c>
      <c r="Q222" s="3" t="s">
        <v>148</v>
      </c>
      <c r="R222" s="3">
        <v>35</v>
      </c>
      <c r="S222" s="3">
        <v>79</v>
      </c>
      <c r="T222" s="3">
        <v>30</v>
      </c>
      <c r="U222" s="3">
        <v>217</v>
      </c>
      <c r="V222" s="3">
        <v>15</v>
      </c>
      <c r="W222" s="3">
        <v>23</v>
      </c>
      <c r="X222" s="3">
        <v>4</v>
      </c>
      <c r="Y222" s="3">
        <v>24</v>
      </c>
      <c r="Z222" s="3">
        <v>22</v>
      </c>
    </row>
    <row r="223" spans="1:26">
      <c r="A223" s="94" t="str">
        <f t="shared" si="3"/>
        <v>20190928VAN</v>
      </c>
      <c r="B223" s="3">
        <v>2019</v>
      </c>
      <c r="C223" s="3">
        <v>5</v>
      </c>
      <c r="D223" s="3">
        <v>20190928</v>
      </c>
      <c r="E223" s="3" t="s">
        <v>144</v>
      </c>
      <c r="F223" s="3" t="s">
        <v>111</v>
      </c>
      <c r="G223" s="3" t="s">
        <v>147</v>
      </c>
      <c r="H223" s="3">
        <v>23</v>
      </c>
      <c r="I223" s="3">
        <v>189</v>
      </c>
      <c r="J223" s="3">
        <v>28</v>
      </c>
      <c r="K223" s="3">
        <v>189</v>
      </c>
      <c r="L223" s="3">
        <v>24</v>
      </c>
      <c r="M223" s="3">
        <v>20</v>
      </c>
      <c r="N223" s="3">
        <v>0</v>
      </c>
      <c r="O223" s="3">
        <v>24</v>
      </c>
      <c r="P223" s="3" t="s">
        <v>63</v>
      </c>
      <c r="Q223" s="3" t="s">
        <v>149</v>
      </c>
      <c r="R223" s="3">
        <v>31</v>
      </c>
      <c r="S223" s="3">
        <v>108</v>
      </c>
      <c r="T223" s="3">
        <v>32</v>
      </c>
      <c r="U223" s="3">
        <v>280</v>
      </c>
      <c r="V223" s="3">
        <v>6</v>
      </c>
      <c r="W223" s="3">
        <v>22</v>
      </c>
      <c r="X223" s="3">
        <v>0</v>
      </c>
      <c r="Y223" s="3">
        <v>18</v>
      </c>
      <c r="Z223" s="3">
        <v>6.5</v>
      </c>
    </row>
    <row r="224" spans="1:26">
      <c r="A224" s="94" t="str">
        <f t="shared" si="3"/>
        <v>20190928WAS</v>
      </c>
      <c r="B224" s="3">
        <v>2019</v>
      </c>
      <c r="C224" s="3">
        <v>5</v>
      </c>
      <c r="D224" s="3">
        <v>20190928</v>
      </c>
      <c r="E224" s="3" t="s">
        <v>144</v>
      </c>
      <c r="F224" s="3" t="s">
        <v>132</v>
      </c>
      <c r="G224" s="3" t="s">
        <v>151</v>
      </c>
      <c r="H224" s="3">
        <v>34</v>
      </c>
      <c r="I224" s="3">
        <v>194</v>
      </c>
      <c r="J224" s="3">
        <v>26</v>
      </c>
      <c r="K224" s="3">
        <v>180</v>
      </c>
      <c r="L224" s="3">
        <v>26</v>
      </c>
      <c r="M224" s="3">
        <v>49</v>
      </c>
      <c r="N224" s="3">
        <v>3</v>
      </c>
      <c r="O224" s="3">
        <v>28</v>
      </c>
      <c r="P224" s="3" t="s">
        <v>108</v>
      </c>
      <c r="Q224" s="3" t="s">
        <v>151</v>
      </c>
      <c r="R224" s="3">
        <v>33</v>
      </c>
      <c r="S224" s="3">
        <v>212</v>
      </c>
      <c r="T224" s="3">
        <v>32</v>
      </c>
      <c r="U224" s="3">
        <v>163</v>
      </c>
      <c r="V224" s="3">
        <v>6</v>
      </c>
      <c r="W224" s="3">
        <v>78</v>
      </c>
      <c r="X224" s="3">
        <v>1</v>
      </c>
      <c r="Y224" s="3">
        <v>14</v>
      </c>
      <c r="Z224" s="3">
        <v>11</v>
      </c>
    </row>
    <row r="225" spans="1:26">
      <c r="A225" s="94" t="str">
        <f t="shared" si="3"/>
        <v>20190928WIS</v>
      </c>
      <c r="B225" s="3">
        <v>2019</v>
      </c>
      <c r="C225" s="3">
        <v>5</v>
      </c>
      <c r="D225" s="3">
        <v>20190928</v>
      </c>
      <c r="E225" s="3" t="s">
        <v>144</v>
      </c>
      <c r="F225" s="3" t="s">
        <v>35</v>
      </c>
      <c r="G225" s="3" t="s">
        <v>152</v>
      </c>
      <c r="H225" s="3">
        <v>33</v>
      </c>
      <c r="I225" s="3">
        <v>133</v>
      </c>
      <c r="J225" s="3">
        <v>24</v>
      </c>
      <c r="K225" s="3">
        <v>113</v>
      </c>
      <c r="L225" s="3">
        <v>3</v>
      </c>
      <c r="M225" s="3">
        <v>69</v>
      </c>
      <c r="N225" s="3">
        <v>3</v>
      </c>
      <c r="O225" s="3">
        <v>24</v>
      </c>
      <c r="P225" s="3" t="s">
        <v>18</v>
      </c>
      <c r="Q225" s="3" t="s">
        <v>152</v>
      </c>
      <c r="R225" s="3">
        <v>41</v>
      </c>
      <c r="S225" s="3">
        <v>97</v>
      </c>
      <c r="T225" s="3">
        <v>41</v>
      </c>
      <c r="U225" s="3">
        <v>158</v>
      </c>
      <c r="V225" s="3">
        <v>35</v>
      </c>
      <c r="W225" s="3">
        <v>18</v>
      </c>
      <c r="X225" s="3">
        <v>2</v>
      </c>
      <c r="Y225" s="3">
        <v>15</v>
      </c>
      <c r="Z225" s="3">
        <v>22.5</v>
      </c>
    </row>
    <row r="226" spans="1:26">
      <c r="A226" s="94" t="str">
        <f t="shared" si="3"/>
        <v>20190928WKY</v>
      </c>
      <c r="B226" s="3">
        <v>2019</v>
      </c>
      <c r="C226" s="3">
        <v>5</v>
      </c>
      <c r="D226" s="3">
        <v>20190928</v>
      </c>
      <c r="E226" s="3" t="s">
        <v>144</v>
      </c>
      <c r="F226" s="3" t="s">
        <v>36</v>
      </c>
      <c r="G226" s="3" t="s">
        <v>153</v>
      </c>
      <c r="H226" s="3">
        <v>29</v>
      </c>
      <c r="I226" s="3">
        <v>33</v>
      </c>
      <c r="J226" s="3">
        <v>24</v>
      </c>
      <c r="K226" s="3">
        <v>189</v>
      </c>
      <c r="L226" s="3">
        <v>4</v>
      </c>
      <c r="M226" s="3">
        <v>31</v>
      </c>
      <c r="N226" s="3">
        <v>4</v>
      </c>
      <c r="O226" s="3">
        <v>20</v>
      </c>
      <c r="P226" s="3" t="s">
        <v>23</v>
      </c>
      <c r="Q226" s="3" t="s">
        <v>153</v>
      </c>
      <c r="R226" s="3">
        <v>39</v>
      </c>
      <c r="S226" s="3">
        <v>117</v>
      </c>
      <c r="T226" s="3">
        <v>31</v>
      </c>
      <c r="U226" s="3">
        <v>181</v>
      </c>
      <c r="V226" s="3">
        <v>0</v>
      </c>
      <c r="W226" s="3">
        <v>61</v>
      </c>
      <c r="X226" s="3">
        <v>1</v>
      </c>
      <c r="Y226" s="3">
        <v>13</v>
      </c>
      <c r="Z226" s="3">
        <v>3</v>
      </c>
    </row>
    <row r="227" spans="1:26">
      <c r="A227" s="94" t="str">
        <f t="shared" si="3"/>
        <v>20190928WMCH</v>
      </c>
      <c r="B227" s="3">
        <v>2019</v>
      </c>
      <c r="C227" s="3">
        <v>5</v>
      </c>
      <c r="D227" s="3">
        <v>20190928</v>
      </c>
      <c r="E227" s="3" t="s">
        <v>144</v>
      </c>
      <c r="F227" s="3" t="s">
        <v>37</v>
      </c>
      <c r="G227" s="3" t="s">
        <v>149</v>
      </c>
      <c r="H227" s="3">
        <v>37</v>
      </c>
      <c r="I227" s="3">
        <v>188</v>
      </c>
      <c r="J227" s="3">
        <v>29</v>
      </c>
      <c r="K227" s="3">
        <v>244</v>
      </c>
      <c r="L227" s="3">
        <v>0</v>
      </c>
      <c r="M227" s="3">
        <v>22</v>
      </c>
      <c r="N227" s="3">
        <v>3</v>
      </c>
      <c r="O227" s="3">
        <v>31</v>
      </c>
      <c r="P227" s="3" t="s">
        <v>67</v>
      </c>
      <c r="Q227" s="3" t="s">
        <v>149</v>
      </c>
      <c r="R227" s="3">
        <v>32</v>
      </c>
      <c r="S227" s="3">
        <v>107</v>
      </c>
      <c r="T227" s="3">
        <v>48</v>
      </c>
      <c r="U227" s="3">
        <v>330</v>
      </c>
      <c r="V227" s="3">
        <v>35</v>
      </c>
      <c r="W227" s="3">
        <v>44</v>
      </c>
      <c r="X227" s="3">
        <v>1</v>
      </c>
      <c r="Y227" s="3">
        <v>15</v>
      </c>
      <c r="Z227" s="3">
        <v>16</v>
      </c>
    </row>
    <row r="228" spans="1:26">
      <c r="A228" s="94" t="str">
        <f t="shared" si="3"/>
        <v>20190928WYO</v>
      </c>
      <c r="B228" s="3">
        <v>2019</v>
      </c>
      <c r="C228" s="3">
        <v>5</v>
      </c>
      <c r="D228" s="3">
        <v>20190928</v>
      </c>
      <c r="E228" s="3" t="s">
        <v>144</v>
      </c>
      <c r="F228" s="3" t="s">
        <v>10</v>
      </c>
      <c r="G228" s="3" t="s">
        <v>148</v>
      </c>
      <c r="H228" s="3">
        <v>48</v>
      </c>
      <c r="I228" s="3">
        <v>374</v>
      </c>
      <c r="J228" s="3">
        <v>12</v>
      </c>
      <c r="K228" s="3">
        <v>124</v>
      </c>
      <c r="L228" s="3">
        <v>92</v>
      </c>
      <c r="M228" s="3">
        <v>1</v>
      </c>
      <c r="N228" s="3">
        <v>3</v>
      </c>
      <c r="O228" s="3">
        <v>53</v>
      </c>
      <c r="P228" s="3" t="s">
        <v>109</v>
      </c>
      <c r="Q228" s="3" t="s">
        <v>148</v>
      </c>
      <c r="R228" s="3">
        <v>33</v>
      </c>
      <c r="S228" s="3">
        <v>77</v>
      </c>
      <c r="T228" s="3">
        <v>44</v>
      </c>
      <c r="U228" s="3">
        <v>263</v>
      </c>
      <c r="V228" s="3">
        <v>6</v>
      </c>
      <c r="W228" s="3">
        <v>12</v>
      </c>
      <c r="X228" s="3">
        <v>0</v>
      </c>
      <c r="Y228" s="3">
        <v>17</v>
      </c>
      <c r="Z228" s="3">
        <v>10</v>
      </c>
    </row>
    <row r="229" spans="1:26">
      <c r="A229" s="94" t="str">
        <f t="shared" si="3"/>
        <v>20190928LIB</v>
      </c>
      <c r="B229" s="3">
        <v>2019</v>
      </c>
      <c r="C229" s="3">
        <v>5</v>
      </c>
      <c r="D229" s="3">
        <v>20190928</v>
      </c>
      <c r="E229" s="3" t="s">
        <v>144</v>
      </c>
      <c r="F229" s="3" t="s">
        <v>205</v>
      </c>
      <c r="G229" s="3" t="s">
        <v>53</v>
      </c>
      <c r="H229" s="3">
        <v>30</v>
      </c>
      <c r="I229" s="3">
        <v>161</v>
      </c>
      <c r="J229" s="3">
        <v>36</v>
      </c>
      <c r="K229" s="3">
        <v>306</v>
      </c>
      <c r="L229" s="3">
        <v>14</v>
      </c>
      <c r="M229" s="3">
        <v>45</v>
      </c>
      <c r="N229" s="3">
        <v>2</v>
      </c>
      <c r="O229" s="3">
        <v>17</v>
      </c>
      <c r="P229" s="3" t="s">
        <v>76</v>
      </c>
      <c r="Q229" s="3" t="s">
        <v>148</v>
      </c>
      <c r="R229" s="3">
        <v>42</v>
      </c>
      <c r="S229" s="3">
        <v>224</v>
      </c>
      <c r="T229" s="3">
        <v>26</v>
      </c>
      <c r="U229" s="3">
        <v>139</v>
      </c>
      <c r="V229" s="3">
        <v>2</v>
      </c>
      <c r="W229" s="3">
        <v>0</v>
      </c>
      <c r="X229" s="3">
        <v>1</v>
      </c>
      <c r="Y229" s="3">
        <v>10</v>
      </c>
      <c r="Z229" s="3">
        <v>7.5</v>
      </c>
    </row>
    <row r="230" spans="1:26">
      <c r="A230" s="94" t="str">
        <f t="shared" si="3"/>
        <v>20190928MAS</v>
      </c>
      <c r="B230" s="3">
        <v>2019</v>
      </c>
      <c r="C230" s="3">
        <v>5</v>
      </c>
      <c r="D230" s="3">
        <v>20190928</v>
      </c>
      <c r="E230" s="3" t="s">
        <v>144</v>
      </c>
      <c r="F230" s="3" t="s">
        <v>207</v>
      </c>
      <c r="G230" s="3" t="s">
        <v>53</v>
      </c>
      <c r="H230" s="3">
        <v>42</v>
      </c>
      <c r="I230" s="3">
        <v>220</v>
      </c>
      <c r="J230" s="3">
        <v>33</v>
      </c>
      <c r="K230" s="3">
        <v>213</v>
      </c>
      <c r="L230" s="3">
        <v>10</v>
      </c>
      <c r="M230" s="3">
        <v>26</v>
      </c>
      <c r="N230" s="3">
        <v>3</v>
      </c>
      <c r="O230" s="3">
        <v>37</v>
      </c>
      <c r="P230" s="3" t="s">
        <v>118</v>
      </c>
      <c r="Q230" s="3" t="s">
        <v>149</v>
      </c>
      <c r="R230" s="3">
        <v>27</v>
      </c>
      <c r="S230" s="3">
        <v>71</v>
      </c>
      <c r="T230" s="3">
        <v>42</v>
      </c>
      <c r="U230" s="3">
        <v>335</v>
      </c>
      <c r="V230" s="3">
        <v>0</v>
      </c>
      <c r="W230" s="3">
        <v>63</v>
      </c>
      <c r="X230" s="3">
        <v>1</v>
      </c>
      <c r="Y230" s="3">
        <v>29</v>
      </c>
      <c r="Z230" s="3">
        <v>6.5</v>
      </c>
    </row>
    <row r="231" spans="1:26">
      <c r="A231" s="94" t="str">
        <f t="shared" si="3"/>
        <v>20191003ECAR</v>
      </c>
      <c r="B231" s="3">
        <v>2019</v>
      </c>
      <c r="C231" s="3">
        <v>6</v>
      </c>
      <c r="D231" s="3">
        <v>20191003</v>
      </c>
      <c r="E231" s="3" t="s">
        <v>144</v>
      </c>
      <c r="F231" s="3" t="s">
        <v>115</v>
      </c>
      <c r="G231" s="3" t="s">
        <v>150</v>
      </c>
      <c r="H231" s="3">
        <v>34</v>
      </c>
      <c r="I231" s="3">
        <v>98</v>
      </c>
      <c r="J231" s="3">
        <v>39</v>
      </c>
      <c r="K231" s="3">
        <v>229</v>
      </c>
      <c r="L231" s="3">
        <v>1</v>
      </c>
      <c r="M231" s="3">
        <v>31</v>
      </c>
      <c r="N231" s="3">
        <v>1</v>
      </c>
      <c r="O231" s="3">
        <v>17</v>
      </c>
      <c r="P231" s="3" t="s">
        <v>101</v>
      </c>
      <c r="Q231" s="3" t="s">
        <v>150</v>
      </c>
      <c r="R231" s="3">
        <v>50</v>
      </c>
      <c r="S231" s="3">
        <v>237</v>
      </c>
      <c r="T231" s="3">
        <v>39</v>
      </c>
      <c r="U231" s="3">
        <v>253</v>
      </c>
      <c r="V231" s="3">
        <v>14</v>
      </c>
      <c r="W231" s="3">
        <v>55</v>
      </c>
      <c r="X231" s="3">
        <v>0</v>
      </c>
      <c r="Y231" s="3">
        <v>27</v>
      </c>
      <c r="Z231" s="3">
        <v>11</v>
      </c>
    </row>
    <row r="232" spans="1:26">
      <c r="A232" s="94" t="str">
        <f t="shared" si="3"/>
        <v>20191003SALA</v>
      </c>
      <c r="B232" s="3">
        <v>2019</v>
      </c>
      <c r="C232" s="3">
        <v>6</v>
      </c>
      <c r="D232" s="3">
        <v>20191003</v>
      </c>
      <c r="E232" s="3" t="s">
        <v>144</v>
      </c>
      <c r="F232" s="3" t="s">
        <v>94</v>
      </c>
      <c r="G232" s="3" t="s">
        <v>145</v>
      </c>
      <c r="H232" s="3">
        <v>24</v>
      </c>
      <c r="I232" s="3">
        <v>53</v>
      </c>
      <c r="J232" s="3">
        <v>15</v>
      </c>
      <c r="K232" s="3">
        <v>194</v>
      </c>
      <c r="L232" s="3">
        <v>7</v>
      </c>
      <c r="M232" s="3">
        <v>32</v>
      </c>
      <c r="N232" s="3">
        <v>0</v>
      </c>
      <c r="O232" s="3">
        <v>17</v>
      </c>
      <c r="P232" s="3" t="s">
        <v>57</v>
      </c>
      <c r="Q232" s="3" t="s">
        <v>145</v>
      </c>
      <c r="R232" s="3">
        <v>66</v>
      </c>
      <c r="S232" s="3">
        <v>310</v>
      </c>
      <c r="T232" s="3">
        <v>17</v>
      </c>
      <c r="U232" s="3">
        <v>78</v>
      </c>
      <c r="V232" s="3">
        <v>8</v>
      </c>
      <c r="W232" s="3">
        <v>0</v>
      </c>
      <c r="X232" s="3">
        <v>1</v>
      </c>
      <c r="Y232" s="3">
        <v>20</v>
      </c>
      <c r="Z232" s="3">
        <v>9.5</v>
      </c>
    </row>
    <row r="233" spans="1:26">
      <c r="A233" s="94" t="str">
        <f t="shared" si="3"/>
        <v>20191004CIN</v>
      </c>
      <c r="B233" s="3">
        <v>2019</v>
      </c>
      <c r="C233" s="3">
        <v>6</v>
      </c>
      <c r="D233" s="3">
        <v>20191004</v>
      </c>
      <c r="E233" s="3" t="s">
        <v>144</v>
      </c>
      <c r="F233" s="3" t="s">
        <v>107</v>
      </c>
      <c r="G233" s="3" t="s">
        <v>150</v>
      </c>
      <c r="H233" s="3">
        <v>40</v>
      </c>
      <c r="I233" s="3">
        <v>194</v>
      </c>
      <c r="J233" s="3">
        <v>31</v>
      </c>
      <c r="K233" s="3">
        <v>149</v>
      </c>
      <c r="L233" s="3">
        <v>3</v>
      </c>
      <c r="M233" s="3">
        <v>19</v>
      </c>
      <c r="N233" s="3">
        <v>4</v>
      </c>
      <c r="O233" s="3">
        <v>27</v>
      </c>
      <c r="P233" s="3" t="s">
        <v>14</v>
      </c>
      <c r="Q233" s="3" t="s">
        <v>150</v>
      </c>
      <c r="R233" s="3">
        <v>42</v>
      </c>
      <c r="S233" s="3">
        <v>126</v>
      </c>
      <c r="T233" s="3">
        <v>46</v>
      </c>
      <c r="U233" s="3">
        <v>297</v>
      </c>
      <c r="V233" s="3">
        <v>6</v>
      </c>
      <c r="W233" s="3">
        <v>73</v>
      </c>
      <c r="X233" s="3">
        <v>1</v>
      </c>
      <c r="Y233" s="3">
        <v>24</v>
      </c>
      <c r="Z233" s="3">
        <v>3.5</v>
      </c>
    </row>
    <row r="234" spans="1:26">
      <c r="A234" s="94" t="str">
        <f t="shared" si="3"/>
        <v>20191004SJST</v>
      </c>
      <c r="B234" s="3">
        <v>2019</v>
      </c>
      <c r="C234" s="3">
        <v>6</v>
      </c>
      <c r="D234" s="3">
        <v>20191004</v>
      </c>
      <c r="E234" s="3" t="s">
        <v>144</v>
      </c>
      <c r="F234" s="3" t="s">
        <v>19</v>
      </c>
      <c r="G234" s="3" t="s">
        <v>148</v>
      </c>
      <c r="H234" s="3">
        <v>34</v>
      </c>
      <c r="I234" s="3">
        <v>52</v>
      </c>
      <c r="J234" s="3">
        <v>39</v>
      </c>
      <c r="K234" s="3">
        <v>412</v>
      </c>
      <c r="L234" s="3">
        <v>4</v>
      </c>
      <c r="M234" s="3">
        <v>10</v>
      </c>
      <c r="N234" s="3">
        <v>6</v>
      </c>
      <c r="O234" s="3">
        <v>32</v>
      </c>
      <c r="P234" s="3" t="s">
        <v>76</v>
      </c>
      <c r="Q234" s="3" t="s">
        <v>148</v>
      </c>
      <c r="R234" s="3">
        <v>41</v>
      </c>
      <c r="S234" s="3">
        <v>238</v>
      </c>
      <c r="T234" s="3">
        <v>26</v>
      </c>
      <c r="U234" s="3">
        <v>161</v>
      </c>
      <c r="V234" s="3">
        <v>2</v>
      </c>
      <c r="W234" s="3">
        <v>120</v>
      </c>
      <c r="X234" s="3">
        <v>1</v>
      </c>
      <c r="Y234" s="3">
        <v>21</v>
      </c>
      <c r="Z234" s="3">
        <v>8</v>
      </c>
    </row>
    <row r="235" spans="1:26">
      <c r="A235" s="94" t="str">
        <f t="shared" si="3"/>
        <v>20191005ARMY</v>
      </c>
      <c r="B235" s="3">
        <v>2019</v>
      </c>
      <c r="C235" s="3">
        <v>6</v>
      </c>
      <c r="D235" s="3">
        <v>20191005</v>
      </c>
      <c r="E235" s="3" t="s">
        <v>144</v>
      </c>
      <c r="F235" s="3" t="s">
        <v>28</v>
      </c>
      <c r="G235" s="3" t="s">
        <v>53</v>
      </c>
      <c r="H235" s="3">
        <v>44</v>
      </c>
      <c r="I235" s="3">
        <v>193</v>
      </c>
      <c r="J235" s="3">
        <v>24</v>
      </c>
      <c r="K235" s="3">
        <v>170</v>
      </c>
      <c r="L235" s="3">
        <v>0</v>
      </c>
      <c r="M235" s="3">
        <v>59</v>
      </c>
      <c r="N235" s="3">
        <v>2</v>
      </c>
      <c r="O235" s="3">
        <v>33</v>
      </c>
      <c r="P235" s="3" t="s">
        <v>20</v>
      </c>
      <c r="Q235" s="3" t="s">
        <v>150</v>
      </c>
      <c r="R235" s="3">
        <v>53</v>
      </c>
      <c r="S235" s="3">
        <v>324</v>
      </c>
      <c r="T235" s="3">
        <v>21</v>
      </c>
      <c r="U235" s="3">
        <v>201</v>
      </c>
      <c r="V235" s="3">
        <v>0</v>
      </c>
      <c r="W235" s="3">
        <v>80</v>
      </c>
      <c r="X235" s="3">
        <v>1</v>
      </c>
      <c r="Y235" s="3">
        <v>42</v>
      </c>
      <c r="Z235" s="3">
        <v>3</v>
      </c>
    </row>
    <row r="236" spans="1:26">
      <c r="A236" s="94" t="str">
        <f t="shared" si="3"/>
        <v>20191005BUF</v>
      </c>
      <c r="B236" s="3">
        <v>2019</v>
      </c>
      <c r="C236" s="3">
        <v>6</v>
      </c>
      <c r="D236" s="3">
        <v>20191005</v>
      </c>
      <c r="E236" s="3" t="s">
        <v>144</v>
      </c>
      <c r="F236" s="3" t="s">
        <v>47</v>
      </c>
      <c r="G236" s="3" t="s">
        <v>149</v>
      </c>
      <c r="H236" s="3">
        <v>43</v>
      </c>
      <c r="I236" s="3">
        <v>181</v>
      </c>
      <c r="J236" s="3">
        <v>23</v>
      </c>
      <c r="K236" s="3">
        <v>197</v>
      </c>
      <c r="L236" s="3">
        <v>0</v>
      </c>
      <c r="M236" s="3">
        <v>0</v>
      </c>
      <c r="N236" s="3">
        <v>2</v>
      </c>
      <c r="O236" s="3">
        <v>20</v>
      </c>
      <c r="P236" s="3" t="s">
        <v>83</v>
      </c>
      <c r="Q236" s="3" t="s">
        <v>149</v>
      </c>
      <c r="R236" s="3">
        <v>47</v>
      </c>
      <c r="S236" s="3">
        <v>186</v>
      </c>
      <c r="T236" s="3">
        <v>19</v>
      </c>
      <c r="U236" s="3">
        <v>155</v>
      </c>
      <c r="V236" s="3">
        <v>3</v>
      </c>
      <c r="W236" s="3">
        <v>22</v>
      </c>
      <c r="X236" s="3">
        <v>1</v>
      </c>
      <c r="Y236" s="3">
        <v>21</v>
      </c>
      <c r="Z236" s="3">
        <v>2.5</v>
      </c>
    </row>
    <row r="237" spans="1:26">
      <c r="A237" s="94" t="str">
        <f t="shared" si="3"/>
        <v>20191005CMCH</v>
      </c>
      <c r="B237" s="3">
        <v>2019</v>
      </c>
      <c r="C237" s="3">
        <v>6</v>
      </c>
      <c r="D237" s="3">
        <v>20191005</v>
      </c>
      <c r="E237" s="3" t="s">
        <v>144</v>
      </c>
      <c r="F237" s="3" t="s">
        <v>67</v>
      </c>
      <c r="G237" s="3" t="s">
        <v>149</v>
      </c>
      <c r="H237" s="3">
        <v>45</v>
      </c>
      <c r="I237" s="3">
        <v>308</v>
      </c>
      <c r="J237" s="3">
        <v>24</v>
      </c>
      <c r="K237" s="3">
        <v>279</v>
      </c>
      <c r="L237" s="3">
        <v>2</v>
      </c>
      <c r="M237" s="3">
        <v>25</v>
      </c>
      <c r="N237" s="3">
        <v>1</v>
      </c>
      <c r="O237" s="3">
        <v>42</v>
      </c>
      <c r="P237" s="3" t="s">
        <v>29</v>
      </c>
      <c r="Q237" s="3" t="s">
        <v>149</v>
      </c>
      <c r="R237" s="3">
        <v>28</v>
      </c>
      <c r="S237" s="3">
        <v>77</v>
      </c>
      <c r="T237" s="3">
        <v>38</v>
      </c>
      <c r="U237" s="3">
        <v>208</v>
      </c>
      <c r="V237" s="3">
        <v>3</v>
      </c>
      <c r="W237" s="3">
        <v>24</v>
      </c>
      <c r="X237" s="3">
        <v>2</v>
      </c>
      <c r="Y237" s="3">
        <v>16</v>
      </c>
      <c r="Z237" s="3">
        <v>5</v>
      </c>
    </row>
    <row r="238" spans="1:26">
      <c r="A238" s="94" t="str">
        <f t="shared" si="3"/>
        <v>20191005COLO</v>
      </c>
      <c r="B238" s="3">
        <v>2019</v>
      </c>
      <c r="C238" s="3">
        <v>6</v>
      </c>
      <c r="D238" s="3">
        <v>20191005</v>
      </c>
      <c r="E238" s="3" t="s">
        <v>144</v>
      </c>
      <c r="F238" s="3" t="s">
        <v>128</v>
      </c>
      <c r="G238" s="3" t="s">
        <v>151</v>
      </c>
      <c r="H238" s="3">
        <v>37</v>
      </c>
      <c r="I238" s="3">
        <v>159</v>
      </c>
      <c r="J238" s="3">
        <v>44</v>
      </c>
      <c r="K238" s="3">
        <v>337</v>
      </c>
      <c r="L238" s="3">
        <v>15</v>
      </c>
      <c r="M238" s="3">
        <v>0</v>
      </c>
      <c r="N238" s="3">
        <v>1</v>
      </c>
      <c r="O238" s="3">
        <v>30</v>
      </c>
      <c r="P238" s="3" t="s">
        <v>42</v>
      </c>
      <c r="Q238" s="3" t="s">
        <v>151</v>
      </c>
      <c r="R238" s="3">
        <v>26</v>
      </c>
      <c r="S238" s="3">
        <v>83</v>
      </c>
      <c r="T238" s="3">
        <v>41</v>
      </c>
      <c r="U238" s="3">
        <v>404</v>
      </c>
      <c r="V238" s="3">
        <v>2</v>
      </c>
      <c r="W238" s="3">
        <v>78</v>
      </c>
      <c r="X238" s="3">
        <v>0</v>
      </c>
      <c r="Y238" s="3">
        <v>35</v>
      </c>
      <c r="Z238" s="3">
        <v>2.5</v>
      </c>
    </row>
    <row r="239" spans="1:26">
      <c r="A239" s="94" t="str">
        <f t="shared" si="3"/>
        <v>20191005CON</v>
      </c>
      <c r="B239" s="3">
        <v>2019</v>
      </c>
      <c r="C239" s="3">
        <v>6</v>
      </c>
      <c r="D239" s="3">
        <v>20191005</v>
      </c>
      <c r="E239" s="3" t="s">
        <v>144</v>
      </c>
      <c r="F239" s="3" t="s">
        <v>13</v>
      </c>
      <c r="G239" s="3" t="s">
        <v>150</v>
      </c>
      <c r="H239" s="3">
        <v>37</v>
      </c>
      <c r="I239" s="3">
        <v>84</v>
      </c>
      <c r="J239" s="3">
        <v>29</v>
      </c>
      <c r="K239" s="3">
        <v>209</v>
      </c>
      <c r="L239" s="3">
        <v>17</v>
      </c>
      <c r="M239" s="3">
        <v>171</v>
      </c>
      <c r="N239" s="3">
        <v>2</v>
      </c>
      <c r="O239" s="3">
        <v>22</v>
      </c>
      <c r="P239" s="3" t="s">
        <v>98</v>
      </c>
      <c r="Q239" s="3" t="s">
        <v>150</v>
      </c>
      <c r="R239" s="3">
        <v>42</v>
      </c>
      <c r="S239" s="3">
        <v>313</v>
      </c>
      <c r="T239" s="3">
        <v>22</v>
      </c>
      <c r="U239" s="3">
        <v>190</v>
      </c>
      <c r="V239" s="3">
        <v>2</v>
      </c>
      <c r="W239" s="3">
        <v>92</v>
      </c>
      <c r="X239" s="3">
        <v>1</v>
      </c>
      <c r="Y239" s="3">
        <v>48</v>
      </c>
      <c r="Z239" s="3">
        <v>13.5</v>
      </c>
    </row>
    <row r="240" spans="1:26">
      <c r="A240" s="94" t="str">
        <f t="shared" si="3"/>
        <v>20191005COST</v>
      </c>
      <c r="B240" s="3">
        <v>2019</v>
      </c>
      <c r="C240" s="3">
        <v>6</v>
      </c>
      <c r="D240" s="3">
        <v>20191005</v>
      </c>
      <c r="E240" s="3" t="s">
        <v>144</v>
      </c>
      <c r="F240" s="3" t="s">
        <v>7</v>
      </c>
      <c r="G240" s="3" t="s">
        <v>148</v>
      </c>
      <c r="H240" s="3">
        <v>25</v>
      </c>
      <c r="I240" s="3">
        <v>18</v>
      </c>
      <c r="J240" s="3">
        <v>32</v>
      </c>
      <c r="K240" s="3">
        <v>217</v>
      </c>
      <c r="L240" s="3">
        <v>5</v>
      </c>
      <c r="M240" s="3">
        <v>0</v>
      </c>
      <c r="N240" s="3">
        <v>3</v>
      </c>
      <c r="O240" s="3">
        <v>10</v>
      </c>
      <c r="P240" s="3" t="s">
        <v>34</v>
      </c>
      <c r="Q240" s="3" t="s">
        <v>148</v>
      </c>
      <c r="R240" s="3">
        <v>43</v>
      </c>
      <c r="S240" s="3">
        <v>91</v>
      </c>
      <c r="T240" s="3">
        <v>20</v>
      </c>
      <c r="U240" s="3">
        <v>147</v>
      </c>
      <c r="V240" s="3">
        <v>15</v>
      </c>
      <c r="W240" s="3">
        <v>33</v>
      </c>
      <c r="X240" s="3">
        <v>4</v>
      </c>
      <c r="Y240" s="3">
        <v>24</v>
      </c>
      <c r="Z240" s="3">
        <v>7.5</v>
      </c>
    </row>
    <row r="241" spans="1:26">
      <c r="A241" s="94" t="str">
        <f t="shared" si="3"/>
        <v>20191005DUKE</v>
      </c>
      <c r="B241" s="3">
        <v>2019</v>
      </c>
      <c r="C241" s="3">
        <v>6</v>
      </c>
      <c r="D241" s="3">
        <v>20191005</v>
      </c>
      <c r="E241" s="3" t="s">
        <v>144</v>
      </c>
      <c r="F241" s="3" t="s">
        <v>27</v>
      </c>
      <c r="G241" s="3" t="s">
        <v>146</v>
      </c>
      <c r="H241" s="3">
        <v>44</v>
      </c>
      <c r="I241" s="3">
        <v>123</v>
      </c>
      <c r="J241" s="3">
        <v>45</v>
      </c>
      <c r="K241" s="3">
        <v>165</v>
      </c>
      <c r="L241" s="3">
        <v>32</v>
      </c>
      <c r="M241" s="3">
        <v>59</v>
      </c>
      <c r="N241" s="3">
        <v>4</v>
      </c>
      <c r="O241" s="3">
        <v>30</v>
      </c>
      <c r="P241" s="3" t="s">
        <v>88</v>
      </c>
      <c r="Q241" s="3" t="s">
        <v>146</v>
      </c>
      <c r="R241" s="3">
        <v>35</v>
      </c>
      <c r="S241" s="3">
        <v>69</v>
      </c>
      <c r="T241" s="3">
        <v>48</v>
      </c>
      <c r="U241" s="3">
        <v>268</v>
      </c>
      <c r="V241" s="3">
        <v>47</v>
      </c>
      <c r="W241" s="3">
        <v>45</v>
      </c>
      <c r="X241" s="3">
        <v>6</v>
      </c>
      <c r="Y241" s="3">
        <v>33</v>
      </c>
      <c r="Z241" s="3">
        <v>4</v>
      </c>
    </row>
    <row r="242" spans="1:26">
      <c r="A242" s="94" t="str">
        <f t="shared" si="3"/>
        <v>20191005FLA</v>
      </c>
      <c r="B242" s="3">
        <v>2019</v>
      </c>
      <c r="C242" s="3">
        <v>6</v>
      </c>
      <c r="D242" s="3">
        <v>20191005</v>
      </c>
      <c r="E242" s="3" t="s">
        <v>144</v>
      </c>
      <c r="F242" s="3" t="s">
        <v>54</v>
      </c>
      <c r="G242" s="3" t="s">
        <v>147</v>
      </c>
      <c r="H242" s="3">
        <v>33</v>
      </c>
      <c r="I242" s="3">
        <v>132</v>
      </c>
      <c r="J242" s="3">
        <v>39</v>
      </c>
      <c r="K242" s="3">
        <v>266</v>
      </c>
      <c r="L242" s="3">
        <v>0</v>
      </c>
      <c r="M242" s="3">
        <v>0</v>
      </c>
      <c r="N242" s="3">
        <v>4</v>
      </c>
      <c r="O242" s="3">
        <v>24</v>
      </c>
      <c r="P242" s="3" t="s">
        <v>120</v>
      </c>
      <c r="Q242" s="3" t="s">
        <v>147</v>
      </c>
      <c r="R242" s="3">
        <v>34</v>
      </c>
      <c r="S242" s="3">
        <v>124</v>
      </c>
      <c r="T242" s="3">
        <v>27</v>
      </c>
      <c r="U242" s="3">
        <v>145</v>
      </c>
      <c r="V242" s="3">
        <v>0</v>
      </c>
      <c r="W242" s="3">
        <v>22</v>
      </c>
      <c r="X242" s="3">
        <v>4</v>
      </c>
      <c r="Y242" s="3">
        <v>13</v>
      </c>
      <c r="Z242" s="3">
        <v>2.5</v>
      </c>
    </row>
    <row r="243" spans="1:26">
      <c r="A243" s="94" t="str">
        <f t="shared" si="3"/>
        <v>20191005GAST</v>
      </c>
      <c r="B243" s="3">
        <v>2019</v>
      </c>
      <c r="C243" s="3">
        <v>6</v>
      </c>
      <c r="D243" s="3">
        <v>20191005</v>
      </c>
      <c r="E243" s="3" t="s">
        <v>144</v>
      </c>
      <c r="F243" s="3" t="s">
        <v>15</v>
      </c>
      <c r="G243" s="3" t="s">
        <v>145</v>
      </c>
      <c r="H243" s="3">
        <v>58</v>
      </c>
      <c r="I243" s="3">
        <v>340</v>
      </c>
      <c r="J243" s="3">
        <v>41</v>
      </c>
      <c r="K243" s="3">
        <v>382</v>
      </c>
      <c r="L243" s="3">
        <v>10</v>
      </c>
      <c r="M243" s="3">
        <v>0</v>
      </c>
      <c r="N243" s="3">
        <v>2</v>
      </c>
      <c r="O243" s="3">
        <v>52</v>
      </c>
      <c r="P243" s="3" t="s">
        <v>40</v>
      </c>
      <c r="Q243" s="3" t="s">
        <v>145</v>
      </c>
      <c r="R243" s="3">
        <v>22</v>
      </c>
      <c r="S243" s="3">
        <v>115</v>
      </c>
      <c r="T243" s="3">
        <v>34</v>
      </c>
      <c r="U243" s="3">
        <v>306</v>
      </c>
      <c r="V243" s="3">
        <v>46</v>
      </c>
      <c r="W243" s="3">
        <v>113</v>
      </c>
      <c r="X243" s="3">
        <v>0</v>
      </c>
      <c r="Y243" s="3">
        <v>38</v>
      </c>
      <c r="Z243" s="3">
        <v>7</v>
      </c>
    </row>
    <row r="244" spans="1:26">
      <c r="A244" s="94" t="str">
        <f t="shared" si="3"/>
        <v>20191005GTCH</v>
      </c>
      <c r="B244" s="3">
        <v>2019</v>
      </c>
      <c r="C244" s="3">
        <v>6</v>
      </c>
      <c r="D244" s="3">
        <v>20191005</v>
      </c>
      <c r="E244" s="3" t="s">
        <v>144</v>
      </c>
      <c r="F244" s="3" t="s">
        <v>58</v>
      </c>
      <c r="G244" s="3" t="s">
        <v>146</v>
      </c>
      <c r="H244" s="3">
        <v>29</v>
      </c>
      <c r="I244" s="3">
        <v>150</v>
      </c>
      <c r="J244" s="3">
        <v>24</v>
      </c>
      <c r="K244" s="3">
        <v>171</v>
      </c>
      <c r="L244" s="3">
        <v>16</v>
      </c>
      <c r="M244" s="3">
        <v>160</v>
      </c>
      <c r="N244" s="3">
        <v>1</v>
      </c>
      <c r="O244" s="3">
        <v>22</v>
      </c>
      <c r="P244" s="3" t="s">
        <v>49</v>
      </c>
      <c r="Q244" s="3" t="s">
        <v>146</v>
      </c>
      <c r="R244" s="3">
        <v>46</v>
      </c>
      <c r="S244" s="3">
        <v>211</v>
      </c>
      <c r="T244" s="3">
        <v>51</v>
      </c>
      <c r="U244" s="3">
        <v>376</v>
      </c>
      <c r="V244" s="3">
        <v>20</v>
      </c>
      <c r="W244" s="3">
        <v>65</v>
      </c>
      <c r="X244" s="3">
        <v>2</v>
      </c>
      <c r="Y244" s="3">
        <v>38</v>
      </c>
      <c r="Z244" s="3">
        <v>10.5</v>
      </c>
    </row>
    <row r="245" spans="1:26">
      <c r="A245" s="94" t="str">
        <f t="shared" si="3"/>
        <v>20191005IWST</v>
      </c>
      <c r="B245" s="3">
        <v>2019</v>
      </c>
      <c r="C245" s="3">
        <v>6</v>
      </c>
      <c r="D245" s="3">
        <v>20191005</v>
      </c>
      <c r="E245" s="3" t="s">
        <v>144</v>
      </c>
      <c r="F245" s="3" t="s">
        <v>122</v>
      </c>
      <c r="G245" s="3" t="s">
        <v>209</v>
      </c>
      <c r="H245" s="3">
        <v>37</v>
      </c>
      <c r="I245" s="3">
        <v>189</v>
      </c>
      <c r="J245" s="3">
        <v>24</v>
      </c>
      <c r="K245" s="3">
        <v>247</v>
      </c>
      <c r="L245" s="3">
        <v>0</v>
      </c>
      <c r="M245" s="3">
        <v>49</v>
      </c>
      <c r="N245" s="3">
        <v>2</v>
      </c>
      <c r="O245" s="3">
        <v>49</v>
      </c>
      <c r="P245" s="3" t="s">
        <v>100</v>
      </c>
      <c r="Q245" s="3" t="s">
        <v>209</v>
      </c>
      <c r="R245" s="3">
        <v>33</v>
      </c>
      <c r="S245" s="3">
        <v>108</v>
      </c>
      <c r="T245" s="3">
        <v>30</v>
      </c>
      <c r="U245" s="3">
        <v>221</v>
      </c>
      <c r="V245" s="3">
        <v>0</v>
      </c>
      <c r="W245" s="3">
        <v>108</v>
      </c>
      <c r="X245" s="3">
        <v>0</v>
      </c>
      <c r="Y245" s="3">
        <v>24</v>
      </c>
      <c r="Z245" s="3">
        <v>3.5</v>
      </c>
    </row>
    <row r="246" spans="1:26">
      <c r="A246" s="94" t="str">
        <f t="shared" si="3"/>
        <v>20191005KAN</v>
      </c>
      <c r="B246" s="3">
        <v>2019</v>
      </c>
      <c r="C246" s="3">
        <v>6</v>
      </c>
      <c r="D246" s="3">
        <v>20191005</v>
      </c>
      <c r="E246" s="3" t="s">
        <v>144</v>
      </c>
      <c r="F246" s="3" t="s">
        <v>64</v>
      </c>
      <c r="G246" s="3" t="s">
        <v>209</v>
      </c>
      <c r="H246" s="3">
        <v>32</v>
      </c>
      <c r="I246" s="3">
        <v>130</v>
      </c>
      <c r="J246" s="3">
        <v>28</v>
      </c>
      <c r="K246" s="3">
        <v>230</v>
      </c>
      <c r="L246" s="3">
        <v>0</v>
      </c>
      <c r="M246" s="3">
        <v>108</v>
      </c>
      <c r="N246" s="3">
        <v>1</v>
      </c>
      <c r="O246" s="3">
        <v>20</v>
      </c>
      <c r="P246" s="3" t="s">
        <v>84</v>
      </c>
      <c r="Q246" s="3" t="s">
        <v>209</v>
      </c>
      <c r="R246" s="3">
        <v>37</v>
      </c>
      <c r="S246" s="3">
        <v>268</v>
      </c>
      <c r="T246" s="3">
        <v>29</v>
      </c>
      <c r="U246" s="3">
        <v>277</v>
      </c>
      <c r="V246" s="3">
        <v>46</v>
      </c>
      <c r="W246" s="3">
        <v>34</v>
      </c>
      <c r="X246" s="3">
        <v>0</v>
      </c>
      <c r="Y246" s="3">
        <v>45</v>
      </c>
      <c r="Z246" s="3">
        <v>32.5</v>
      </c>
    </row>
    <row r="247" spans="1:26">
      <c r="A247" s="94" t="str">
        <f t="shared" si="3"/>
        <v>20191005KAST</v>
      </c>
      <c r="B247" s="3">
        <v>2019</v>
      </c>
      <c r="C247" s="3">
        <v>6</v>
      </c>
      <c r="D247" s="3">
        <v>20191005</v>
      </c>
      <c r="E247" s="3" t="s">
        <v>144</v>
      </c>
      <c r="F247" s="3" t="s">
        <v>65</v>
      </c>
      <c r="G247" s="3" t="s">
        <v>209</v>
      </c>
      <c r="H247" s="3">
        <v>40</v>
      </c>
      <c r="I247" s="3">
        <v>123</v>
      </c>
      <c r="J247" s="3">
        <v>34</v>
      </c>
      <c r="K247" s="3">
        <v>218</v>
      </c>
      <c r="L247" s="3">
        <v>0</v>
      </c>
      <c r="M247" s="3">
        <v>74</v>
      </c>
      <c r="N247" s="3">
        <v>0</v>
      </c>
      <c r="O247" s="3">
        <v>12</v>
      </c>
      <c r="P247" s="3" t="s">
        <v>45</v>
      </c>
      <c r="Q247" s="3" t="s">
        <v>209</v>
      </c>
      <c r="R247" s="3">
        <v>31</v>
      </c>
      <c r="S247" s="3">
        <v>158</v>
      </c>
      <c r="T247" s="3">
        <v>24</v>
      </c>
      <c r="U247" s="3">
        <v>268</v>
      </c>
      <c r="V247" s="3">
        <v>0</v>
      </c>
      <c r="W247" s="3">
        <v>21</v>
      </c>
      <c r="X247" s="3">
        <v>2</v>
      </c>
      <c r="Y247" s="3">
        <v>31</v>
      </c>
      <c r="Z247" s="3">
        <v>1.5</v>
      </c>
    </row>
    <row r="248" spans="1:26">
      <c r="A248" s="94" t="str">
        <f t="shared" si="3"/>
        <v>20191005LMON</v>
      </c>
      <c r="B248" s="3">
        <v>2019</v>
      </c>
      <c r="C248" s="3">
        <v>6</v>
      </c>
      <c r="D248" s="3">
        <v>20191005</v>
      </c>
      <c r="E248" s="3" t="s">
        <v>144</v>
      </c>
      <c r="F248" s="3" t="s">
        <v>25</v>
      </c>
      <c r="G248" s="3" t="s">
        <v>145</v>
      </c>
      <c r="H248" s="3">
        <v>44</v>
      </c>
      <c r="I248" s="3">
        <v>256</v>
      </c>
      <c r="J248" s="3">
        <v>45</v>
      </c>
      <c r="K248" s="3">
        <v>319</v>
      </c>
      <c r="L248" s="3">
        <v>3</v>
      </c>
      <c r="M248" s="3">
        <v>41</v>
      </c>
      <c r="N248" s="3">
        <v>2</v>
      </c>
      <c r="O248" s="3">
        <v>33</v>
      </c>
      <c r="P248" s="3" t="s">
        <v>70</v>
      </c>
      <c r="Q248" s="3" t="s">
        <v>150</v>
      </c>
      <c r="R248" s="3">
        <v>36</v>
      </c>
      <c r="S248" s="3">
        <v>286</v>
      </c>
      <c r="T248" s="3">
        <v>24</v>
      </c>
      <c r="U248" s="3">
        <v>249</v>
      </c>
      <c r="V248" s="3">
        <v>0</v>
      </c>
      <c r="W248" s="3">
        <v>76</v>
      </c>
      <c r="X248" s="3">
        <v>1</v>
      </c>
      <c r="Y248" s="3">
        <v>52</v>
      </c>
      <c r="Z248" s="3">
        <v>16</v>
      </c>
    </row>
    <row r="249" spans="1:26">
      <c r="A249" s="94" t="str">
        <f t="shared" si="3"/>
        <v>20191005LOU</v>
      </c>
      <c r="B249" s="3">
        <v>2019</v>
      </c>
      <c r="C249" s="3">
        <v>6</v>
      </c>
      <c r="D249" s="3">
        <v>20191005</v>
      </c>
      <c r="E249" s="3" t="s">
        <v>144</v>
      </c>
      <c r="F249" s="3" t="s">
        <v>123</v>
      </c>
      <c r="G249" s="3" t="s">
        <v>146</v>
      </c>
      <c r="H249" s="3">
        <v>44</v>
      </c>
      <c r="I249" s="3">
        <v>236</v>
      </c>
      <c r="J249" s="3">
        <v>34</v>
      </c>
      <c r="K249" s="3">
        <v>428</v>
      </c>
      <c r="L249" s="3">
        <v>11</v>
      </c>
      <c r="M249" s="3">
        <v>43</v>
      </c>
      <c r="N249" s="3">
        <v>2</v>
      </c>
      <c r="O249" s="3">
        <v>41</v>
      </c>
      <c r="P249" s="3" t="s">
        <v>46</v>
      </c>
      <c r="Q249" s="3" t="s">
        <v>146</v>
      </c>
      <c r="R249" s="3">
        <v>45</v>
      </c>
      <c r="S249" s="3">
        <v>259</v>
      </c>
      <c r="T249" s="3">
        <v>33</v>
      </c>
      <c r="U249" s="3">
        <v>304</v>
      </c>
      <c r="V249" s="3">
        <v>20</v>
      </c>
      <c r="W249" s="3">
        <v>158</v>
      </c>
      <c r="X249" s="3">
        <v>0</v>
      </c>
      <c r="Y249" s="3">
        <v>39</v>
      </c>
      <c r="Z249" s="3">
        <v>4</v>
      </c>
    </row>
    <row r="250" spans="1:26">
      <c r="A250" s="94" t="str">
        <f t="shared" si="3"/>
        <v>20191005LSU</v>
      </c>
      <c r="B250" s="3">
        <v>2019</v>
      </c>
      <c r="C250" s="3">
        <v>6</v>
      </c>
      <c r="D250" s="3">
        <v>20191005</v>
      </c>
      <c r="E250" s="3" t="s">
        <v>144</v>
      </c>
      <c r="F250" s="3" t="s">
        <v>124</v>
      </c>
      <c r="G250" s="3" t="s">
        <v>147</v>
      </c>
      <c r="H250" s="3">
        <v>51</v>
      </c>
      <c r="I250" s="3">
        <v>248</v>
      </c>
      <c r="J250" s="3">
        <v>39</v>
      </c>
      <c r="K250" s="3">
        <v>353</v>
      </c>
      <c r="L250" s="3">
        <v>10</v>
      </c>
      <c r="M250" s="3">
        <v>38</v>
      </c>
      <c r="N250" s="3">
        <v>3</v>
      </c>
      <c r="O250" s="3">
        <v>42</v>
      </c>
      <c r="P250" s="3" t="s">
        <v>31</v>
      </c>
      <c r="Q250" s="3" t="s">
        <v>148</v>
      </c>
      <c r="R250" s="3">
        <v>21</v>
      </c>
      <c r="S250" s="3">
        <v>28</v>
      </c>
      <c r="T250" s="3">
        <v>31</v>
      </c>
      <c r="U250" s="3">
        <v>140</v>
      </c>
      <c r="V250" s="3">
        <v>0</v>
      </c>
      <c r="W250" s="3">
        <v>21</v>
      </c>
      <c r="X250" s="3">
        <v>2</v>
      </c>
      <c r="Y250" s="3">
        <v>6</v>
      </c>
      <c r="Z250" s="3">
        <v>28</v>
      </c>
    </row>
    <row r="251" spans="1:26">
      <c r="A251" s="94" t="str">
        <f t="shared" si="3"/>
        <v>20191005MIAF</v>
      </c>
      <c r="B251" s="3">
        <v>2019</v>
      </c>
      <c r="C251" s="3">
        <v>6</v>
      </c>
      <c r="D251" s="3">
        <v>20191005</v>
      </c>
      <c r="E251" s="3" t="s">
        <v>144</v>
      </c>
      <c r="F251" s="3" t="s">
        <v>125</v>
      </c>
      <c r="G251" s="3" t="s">
        <v>146</v>
      </c>
      <c r="H251" s="3">
        <v>23</v>
      </c>
      <c r="I251" s="3">
        <v>94</v>
      </c>
      <c r="J251" s="3">
        <v>52</v>
      </c>
      <c r="K251" s="3">
        <v>469</v>
      </c>
      <c r="L251" s="3">
        <v>29</v>
      </c>
      <c r="M251" s="3">
        <v>22</v>
      </c>
      <c r="N251" s="3">
        <v>0</v>
      </c>
      <c r="O251" s="3">
        <v>35</v>
      </c>
      <c r="P251" s="3" t="s">
        <v>117</v>
      </c>
      <c r="Q251" s="3" t="s">
        <v>146</v>
      </c>
      <c r="R251" s="3">
        <v>43</v>
      </c>
      <c r="S251" s="3">
        <v>153</v>
      </c>
      <c r="T251" s="3">
        <v>20</v>
      </c>
      <c r="U251" s="3">
        <v>184</v>
      </c>
      <c r="V251" s="3">
        <v>3</v>
      </c>
      <c r="W251" s="3">
        <v>28</v>
      </c>
      <c r="X251" s="3">
        <v>5</v>
      </c>
      <c r="Y251" s="3">
        <v>42</v>
      </c>
      <c r="Z251" s="3">
        <v>10</v>
      </c>
    </row>
    <row r="252" spans="1:26">
      <c r="A252" s="94" t="str">
        <f t="shared" si="3"/>
        <v>20191005MICH</v>
      </c>
      <c r="B252" s="3">
        <v>2019</v>
      </c>
      <c r="C252" s="3">
        <v>6</v>
      </c>
      <c r="D252" s="3">
        <v>20191005</v>
      </c>
      <c r="E252" s="3" t="s">
        <v>144</v>
      </c>
      <c r="F252" s="3" t="s">
        <v>78</v>
      </c>
      <c r="G252" s="3" t="s">
        <v>152</v>
      </c>
      <c r="H252" s="3">
        <v>32</v>
      </c>
      <c r="I252" s="3">
        <v>124</v>
      </c>
      <c r="J252" s="3">
        <v>26</v>
      </c>
      <c r="K252" s="3">
        <v>147</v>
      </c>
      <c r="L252" s="3">
        <v>36</v>
      </c>
      <c r="M252" s="3">
        <v>19</v>
      </c>
      <c r="N252" s="3">
        <v>4</v>
      </c>
      <c r="O252" s="3">
        <v>10</v>
      </c>
      <c r="P252" s="3" t="s">
        <v>62</v>
      </c>
      <c r="Q252" s="3" t="s">
        <v>152</v>
      </c>
      <c r="R252" s="3">
        <v>30</v>
      </c>
      <c r="S252" s="3">
        <v>1</v>
      </c>
      <c r="T252" s="3">
        <v>42</v>
      </c>
      <c r="U252" s="3">
        <v>260</v>
      </c>
      <c r="V252" s="3">
        <v>54</v>
      </c>
      <c r="W252" s="3">
        <v>37</v>
      </c>
      <c r="X252" s="3">
        <v>1</v>
      </c>
      <c r="Y252" s="3">
        <v>3</v>
      </c>
      <c r="Z252" s="3">
        <v>4</v>
      </c>
    </row>
    <row r="253" spans="1:26">
      <c r="A253" s="94" t="str">
        <f t="shared" si="3"/>
        <v>20191005MIN</v>
      </c>
      <c r="B253" s="3">
        <v>2019</v>
      </c>
      <c r="C253" s="3">
        <v>6</v>
      </c>
      <c r="D253" s="3">
        <v>20191005</v>
      </c>
      <c r="E253" s="3" t="s">
        <v>144</v>
      </c>
      <c r="F253" s="3" t="s">
        <v>16</v>
      </c>
      <c r="G253" s="3" t="s">
        <v>152</v>
      </c>
      <c r="H253" s="3">
        <v>51</v>
      </c>
      <c r="I253" s="3">
        <v>333</v>
      </c>
      <c r="J253" s="3">
        <v>17</v>
      </c>
      <c r="K253" s="3">
        <v>155</v>
      </c>
      <c r="L253" s="3">
        <v>0</v>
      </c>
      <c r="M253" s="3">
        <v>22</v>
      </c>
      <c r="N253" s="3">
        <v>1</v>
      </c>
      <c r="O253" s="3">
        <v>40</v>
      </c>
      <c r="P253" s="3" t="s">
        <v>60</v>
      </c>
      <c r="Q253" s="3" t="s">
        <v>152</v>
      </c>
      <c r="R253" s="3">
        <v>27</v>
      </c>
      <c r="S253" s="3">
        <v>91</v>
      </c>
      <c r="T253" s="3">
        <v>39</v>
      </c>
      <c r="U253" s="3">
        <v>157</v>
      </c>
      <c r="V253" s="3">
        <v>5</v>
      </c>
      <c r="W253" s="3">
        <v>58</v>
      </c>
      <c r="X253" s="3">
        <v>2</v>
      </c>
      <c r="Y253" s="3">
        <v>17</v>
      </c>
      <c r="Z253" s="3">
        <v>14.5</v>
      </c>
    </row>
    <row r="254" spans="1:26">
      <c r="A254" s="94" t="str">
        <f t="shared" si="3"/>
        <v>20191005MIS</v>
      </c>
      <c r="B254" s="3">
        <v>2019</v>
      </c>
      <c r="C254" s="3">
        <v>6</v>
      </c>
      <c r="D254" s="3">
        <v>20191005</v>
      </c>
      <c r="E254" s="3" t="s">
        <v>144</v>
      </c>
      <c r="F254" s="3" t="s">
        <v>126</v>
      </c>
      <c r="G254" s="3" t="s">
        <v>147</v>
      </c>
      <c r="H254" s="3">
        <v>44</v>
      </c>
      <c r="I254" s="3">
        <v>413</v>
      </c>
      <c r="J254" s="3">
        <v>18</v>
      </c>
      <c r="K254" s="3">
        <v>99</v>
      </c>
      <c r="L254" s="3">
        <v>6</v>
      </c>
      <c r="M254" s="3">
        <v>0</v>
      </c>
      <c r="N254" s="3">
        <v>0</v>
      </c>
      <c r="O254" s="3">
        <v>31</v>
      </c>
      <c r="P254" s="3" t="s">
        <v>111</v>
      </c>
      <c r="Q254" s="3" t="s">
        <v>147</v>
      </c>
      <c r="R254" s="3">
        <v>27</v>
      </c>
      <c r="S254" s="3">
        <v>62</v>
      </c>
      <c r="T254" s="3">
        <v>46</v>
      </c>
      <c r="U254" s="3">
        <v>202</v>
      </c>
      <c r="V254" s="3">
        <v>9</v>
      </c>
      <c r="W254" s="3">
        <v>19</v>
      </c>
      <c r="X254" s="3">
        <v>0</v>
      </c>
      <c r="Y254" s="3">
        <v>6</v>
      </c>
      <c r="Z254" s="3">
        <v>7.5</v>
      </c>
    </row>
    <row r="255" spans="1:26">
      <c r="A255" s="94" t="str">
        <f t="shared" si="3"/>
        <v>20191005MIZ</v>
      </c>
      <c r="B255" s="3">
        <v>2019</v>
      </c>
      <c r="C255" s="3">
        <v>6</v>
      </c>
      <c r="D255" s="3">
        <v>20191005</v>
      </c>
      <c r="E255" s="3" t="s">
        <v>144</v>
      </c>
      <c r="F255" s="3" t="s">
        <v>73</v>
      </c>
      <c r="G255" s="3" t="s">
        <v>147</v>
      </c>
      <c r="H255" s="3">
        <v>36</v>
      </c>
      <c r="I255" s="3">
        <v>165</v>
      </c>
      <c r="J255" s="3">
        <v>27</v>
      </c>
      <c r="K255" s="3">
        <v>278</v>
      </c>
      <c r="L255" s="3">
        <v>2</v>
      </c>
      <c r="M255" s="3">
        <v>41</v>
      </c>
      <c r="N255" s="3">
        <v>3</v>
      </c>
      <c r="O255" s="3">
        <v>42</v>
      </c>
      <c r="P255" s="3" t="s">
        <v>104</v>
      </c>
      <c r="Q255" s="3" t="s">
        <v>145</v>
      </c>
      <c r="R255" s="3">
        <v>31</v>
      </c>
      <c r="S255" s="3">
        <v>61</v>
      </c>
      <c r="T255" s="3">
        <v>35</v>
      </c>
      <c r="U255" s="3">
        <v>150</v>
      </c>
      <c r="V255" s="3">
        <v>0</v>
      </c>
      <c r="W255" s="3">
        <v>27</v>
      </c>
      <c r="X255" s="3">
        <v>0</v>
      </c>
      <c r="Y255" s="3">
        <v>10</v>
      </c>
      <c r="Z255" s="3">
        <v>26</v>
      </c>
    </row>
    <row r="256" spans="1:26">
      <c r="A256" s="94" t="str">
        <f t="shared" si="3"/>
        <v>20191005MTEN</v>
      </c>
      <c r="B256" s="3">
        <v>2019</v>
      </c>
      <c r="C256" s="3">
        <v>6</v>
      </c>
      <c r="D256" s="3">
        <v>20191005</v>
      </c>
      <c r="E256" s="3" t="s">
        <v>144</v>
      </c>
      <c r="F256" s="3" t="s">
        <v>112</v>
      </c>
      <c r="G256" s="3" t="s">
        <v>153</v>
      </c>
      <c r="H256" s="3">
        <v>37</v>
      </c>
      <c r="I256" s="3">
        <v>140</v>
      </c>
      <c r="J256" s="3">
        <v>30</v>
      </c>
      <c r="K256" s="3">
        <v>261</v>
      </c>
      <c r="L256" s="3">
        <v>0</v>
      </c>
      <c r="M256" s="3">
        <v>0</v>
      </c>
      <c r="N256" s="3">
        <v>4</v>
      </c>
      <c r="O256" s="3">
        <v>24</v>
      </c>
      <c r="P256" s="3" t="s">
        <v>72</v>
      </c>
      <c r="Q256" s="3" t="s">
        <v>153</v>
      </c>
      <c r="R256" s="3">
        <v>39</v>
      </c>
      <c r="S256" s="3">
        <v>202</v>
      </c>
      <c r="T256" s="3">
        <v>43</v>
      </c>
      <c r="U256" s="3">
        <v>376</v>
      </c>
      <c r="V256" s="3">
        <v>0</v>
      </c>
      <c r="W256" s="3">
        <v>15</v>
      </c>
      <c r="X256" s="3">
        <v>0</v>
      </c>
      <c r="Y256" s="3">
        <v>13</v>
      </c>
      <c r="Z256" s="3">
        <v>4</v>
      </c>
    </row>
    <row r="257" spans="1:26">
      <c r="A257" s="94" t="str">
        <f t="shared" si="3"/>
        <v>20191005NAVY</v>
      </c>
      <c r="B257" s="3">
        <v>2019</v>
      </c>
      <c r="C257" s="3">
        <v>6</v>
      </c>
      <c r="D257" s="3">
        <v>20191005</v>
      </c>
      <c r="E257" s="3" t="s">
        <v>144</v>
      </c>
      <c r="F257" s="3" t="s">
        <v>59</v>
      </c>
      <c r="G257" s="3" t="s">
        <v>150</v>
      </c>
      <c r="H257" s="3">
        <v>49</v>
      </c>
      <c r="I257" s="3">
        <v>215</v>
      </c>
      <c r="J257" s="3">
        <v>8</v>
      </c>
      <c r="K257" s="3">
        <v>162</v>
      </c>
      <c r="L257" s="3">
        <v>1</v>
      </c>
      <c r="M257" s="3">
        <v>89</v>
      </c>
      <c r="N257" s="3">
        <v>3</v>
      </c>
      <c r="O257" s="3">
        <v>34</v>
      </c>
      <c r="P257" s="3" t="s">
        <v>39</v>
      </c>
      <c r="Q257" s="3" t="s">
        <v>148</v>
      </c>
      <c r="R257" s="3">
        <v>43</v>
      </c>
      <c r="S257" s="3">
        <v>111</v>
      </c>
      <c r="T257" s="3">
        <v>26</v>
      </c>
      <c r="U257" s="3">
        <v>246</v>
      </c>
      <c r="V257" s="3">
        <v>0</v>
      </c>
      <c r="W257" s="3">
        <v>18</v>
      </c>
      <c r="X257" s="3">
        <v>2</v>
      </c>
      <c r="Y257" s="3">
        <v>25</v>
      </c>
      <c r="Z257" s="3">
        <v>2.5</v>
      </c>
    </row>
    <row r="258" spans="1:26">
      <c r="A258" s="94" t="str">
        <f t="shared" ref="A258:A261" si="4">D258&amp;F258</f>
        <v>20191005NEB</v>
      </c>
      <c r="B258" s="3">
        <v>2019</v>
      </c>
      <c r="C258" s="3">
        <v>6</v>
      </c>
      <c r="D258" s="3">
        <v>20191005</v>
      </c>
      <c r="E258" s="3" t="s">
        <v>144</v>
      </c>
      <c r="F258" s="3" t="s">
        <v>127</v>
      </c>
      <c r="G258" s="3" t="s">
        <v>152</v>
      </c>
      <c r="H258" s="3">
        <v>40</v>
      </c>
      <c r="I258" s="3">
        <v>133</v>
      </c>
      <c r="J258" s="3">
        <v>25</v>
      </c>
      <c r="K258" s="3">
        <v>186</v>
      </c>
      <c r="L258" s="3">
        <v>3</v>
      </c>
      <c r="M258" s="3">
        <v>19</v>
      </c>
      <c r="N258" s="3">
        <v>1</v>
      </c>
      <c r="O258" s="3">
        <v>13</v>
      </c>
      <c r="P258" s="3" t="s">
        <v>18</v>
      </c>
      <c r="Q258" s="3" t="s">
        <v>152</v>
      </c>
      <c r="R258" s="3">
        <v>41</v>
      </c>
      <c r="S258" s="3">
        <v>157</v>
      </c>
      <c r="T258" s="3">
        <v>32</v>
      </c>
      <c r="U258" s="3">
        <v>136</v>
      </c>
      <c r="V258" s="3">
        <v>3</v>
      </c>
      <c r="W258" s="3">
        <v>50</v>
      </c>
      <c r="X258" s="3">
        <v>0</v>
      </c>
      <c r="Y258" s="3">
        <v>10</v>
      </c>
      <c r="Z258" s="3">
        <v>7</v>
      </c>
    </row>
    <row r="259" spans="1:26">
      <c r="A259" s="94" t="str">
        <f t="shared" si="4"/>
        <v>20191005NIL</v>
      </c>
      <c r="B259" s="3">
        <v>2019</v>
      </c>
      <c r="C259" s="3">
        <v>6</v>
      </c>
      <c r="D259" s="3">
        <v>20191005</v>
      </c>
      <c r="E259" s="3" t="s">
        <v>144</v>
      </c>
      <c r="F259" s="3" t="s">
        <v>63</v>
      </c>
      <c r="G259" s="3" t="s">
        <v>149</v>
      </c>
      <c r="H259" s="3">
        <v>30</v>
      </c>
      <c r="I259" s="3">
        <v>148</v>
      </c>
      <c r="J259" s="3">
        <v>43</v>
      </c>
      <c r="K259" s="3">
        <v>241</v>
      </c>
      <c r="L259" s="3">
        <v>9</v>
      </c>
      <c r="M259" s="3">
        <v>20</v>
      </c>
      <c r="N259" s="3">
        <v>2</v>
      </c>
      <c r="O259" s="3">
        <v>20</v>
      </c>
      <c r="P259" s="3" t="s">
        <v>12</v>
      </c>
      <c r="Q259" s="3" t="s">
        <v>149</v>
      </c>
      <c r="R259" s="3">
        <v>60</v>
      </c>
      <c r="S259" s="3">
        <v>235</v>
      </c>
      <c r="T259" s="3">
        <v>14</v>
      </c>
      <c r="U259" s="3">
        <v>34</v>
      </c>
      <c r="V259" s="3">
        <v>1</v>
      </c>
      <c r="W259" s="3">
        <v>49</v>
      </c>
      <c r="X259" s="3">
        <v>3</v>
      </c>
      <c r="Y259" s="3">
        <v>27</v>
      </c>
      <c r="Z259" s="3">
        <v>4.5</v>
      </c>
    </row>
    <row r="260" spans="1:26">
      <c r="A260" s="94" t="str">
        <f t="shared" si="4"/>
        <v>20191005NOTD</v>
      </c>
      <c r="B260" s="3">
        <v>2019</v>
      </c>
      <c r="C260" s="3">
        <v>6</v>
      </c>
      <c r="D260" s="3">
        <v>20191005</v>
      </c>
      <c r="E260" s="3" t="s">
        <v>144</v>
      </c>
      <c r="F260" s="3" t="s">
        <v>77</v>
      </c>
      <c r="G260" s="3" t="s">
        <v>53</v>
      </c>
      <c r="H260" s="3">
        <v>34</v>
      </c>
      <c r="I260" s="3">
        <v>233</v>
      </c>
      <c r="J260" s="3">
        <v>27</v>
      </c>
      <c r="K260" s="3">
        <v>340</v>
      </c>
      <c r="L260" s="3">
        <v>36</v>
      </c>
      <c r="M260" s="3">
        <v>0</v>
      </c>
      <c r="N260" s="3">
        <v>1</v>
      </c>
      <c r="O260" s="3">
        <v>52</v>
      </c>
      <c r="P260" s="3" t="s">
        <v>87</v>
      </c>
      <c r="Q260" s="3" t="s">
        <v>149</v>
      </c>
      <c r="R260" s="3">
        <v>42</v>
      </c>
      <c r="S260" s="3">
        <v>118</v>
      </c>
      <c r="T260" s="3">
        <v>27</v>
      </c>
      <c r="U260" s="3">
        <v>110</v>
      </c>
      <c r="V260" s="3">
        <v>4</v>
      </c>
      <c r="W260" s="3">
        <v>25</v>
      </c>
      <c r="X260" s="3">
        <v>0</v>
      </c>
      <c r="Y260" s="3">
        <v>0</v>
      </c>
      <c r="Z260" s="3">
        <v>45.5</v>
      </c>
    </row>
    <row r="261" spans="1:26">
      <c r="A261" s="94" t="str">
        <f t="shared" si="4"/>
        <v>20191005OHST</v>
      </c>
      <c r="B261" s="3">
        <v>2019</v>
      </c>
      <c r="C261" s="3">
        <v>6</v>
      </c>
      <c r="D261" s="3">
        <v>20191005</v>
      </c>
      <c r="E261" s="3" t="s">
        <v>144</v>
      </c>
      <c r="F261" s="3" t="s">
        <v>81</v>
      </c>
      <c r="G261" s="3" t="s">
        <v>152</v>
      </c>
      <c r="H261" s="3">
        <v>49</v>
      </c>
      <c r="I261" s="3">
        <v>323</v>
      </c>
      <c r="J261" s="3">
        <v>25</v>
      </c>
      <c r="K261" s="3">
        <v>206</v>
      </c>
      <c r="L261" s="3">
        <v>0</v>
      </c>
      <c r="M261" s="3">
        <v>0</v>
      </c>
      <c r="N261" s="3">
        <v>3</v>
      </c>
      <c r="O261" s="3">
        <v>34</v>
      </c>
      <c r="P261" s="3" t="s">
        <v>30</v>
      </c>
      <c r="Q261" s="3" t="s">
        <v>152</v>
      </c>
      <c r="R261" s="3">
        <v>26</v>
      </c>
      <c r="S261" s="3">
        <v>69</v>
      </c>
      <c r="T261" s="3">
        <v>38</v>
      </c>
      <c r="U261" s="3">
        <v>218</v>
      </c>
      <c r="V261" s="3">
        <v>0</v>
      </c>
      <c r="W261" s="3">
        <v>0</v>
      </c>
      <c r="X261" s="3">
        <v>2</v>
      </c>
      <c r="Y261" s="3">
        <v>10</v>
      </c>
      <c r="Z261" s="3">
        <v>20</v>
      </c>
    </row>
    <row r="262" spans="1:26">
      <c r="A262" s="94" t="str">
        <f t="shared" ref="A262:A325" si="5">D262&amp;F262</f>
        <v>20191005OLDD</v>
      </c>
      <c r="B262" s="94">
        <v>2019</v>
      </c>
      <c r="C262" s="94">
        <v>6</v>
      </c>
      <c r="D262" s="94">
        <v>20191005</v>
      </c>
      <c r="E262" s="94" t="s">
        <v>144</v>
      </c>
      <c r="F262" s="94" t="s">
        <v>68</v>
      </c>
      <c r="G262" s="94" t="s">
        <v>153</v>
      </c>
      <c r="H262" s="94">
        <v>31</v>
      </c>
      <c r="I262" s="94">
        <v>55</v>
      </c>
      <c r="J262" s="94">
        <v>27</v>
      </c>
      <c r="K262" s="94">
        <v>105</v>
      </c>
      <c r="L262" s="94">
        <v>0</v>
      </c>
      <c r="M262" s="94">
        <v>20</v>
      </c>
      <c r="N262" s="94">
        <v>2</v>
      </c>
      <c r="O262" s="94">
        <v>3</v>
      </c>
      <c r="P262" s="94" t="s">
        <v>36</v>
      </c>
      <c r="Q262" s="94" t="s">
        <v>153</v>
      </c>
      <c r="R262" s="94">
        <v>37</v>
      </c>
      <c r="S262" s="94">
        <v>127</v>
      </c>
      <c r="T262" s="94">
        <v>29</v>
      </c>
      <c r="U262" s="94">
        <v>193</v>
      </c>
      <c r="V262" s="94">
        <v>7</v>
      </c>
      <c r="W262" s="94">
        <v>40</v>
      </c>
      <c r="X262" s="94">
        <v>1</v>
      </c>
      <c r="Y262" s="94">
        <v>20</v>
      </c>
      <c r="Z262" s="94">
        <v>3.5</v>
      </c>
    </row>
    <row r="263" spans="1:26">
      <c r="A263" s="94" t="str">
        <f t="shared" si="5"/>
        <v>20191005ORE</v>
      </c>
      <c r="B263" s="94">
        <v>2019</v>
      </c>
      <c r="C263" s="94">
        <v>6</v>
      </c>
      <c r="D263" s="94">
        <v>20191005</v>
      </c>
      <c r="E263" s="94" t="s">
        <v>144</v>
      </c>
      <c r="F263" s="94" t="s">
        <v>86</v>
      </c>
      <c r="G263" s="94" t="s">
        <v>151</v>
      </c>
      <c r="H263" s="94">
        <v>40</v>
      </c>
      <c r="I263" s="94">
        <v>190</v>
      </c>
      <c r="J263" s="94">
        <v>33</v>
      </c>
      <c r="K263" s="94">
        <v>214</v>
      </c>
      <c r="L263" s="94">
        <v>24</v>
      </c>
      <c r="M263" s="94">
        <v>52</v>
      </c>
      <c r="N263" s="94">
        <v>2</v>
      </c>
      <c r="O263" s="94">
        <v>17</v>
      </c>
      <c r="P263" s="94" t="s">
        <v>48</v>
      </c>
      <c r="Q263" s="94" t="s">
        <v>151</v>
      </c>
      <c r="R263" s="94">
        <v>30</v>
      </c>
      <c r="S263" s="94">
        <v>66</v>
      </c>
      <c r="T263" s="94">
        <v>34</v>
      </c>
      <c r="U263" s="94">
        <v>190</v>
      </c>
      <c r="V263" s="94">
        <v>3</v>
      </c>
      <c r="W263" s="94">
        <v>38</v>
      </c>
      <c r="X263" s="94">
        <v>3</v>
      </c>
      <c r="Y263" s="94">
        <v>7</v>
      </c>
      <c r="Z263" s="94">
        <v>15</v>
      </c>
    </row>
    <row r="264" spans="1:26">
      <c r="A264" s="94" t="str">
        <f t="shared" si="5"/>
        <v>20191005PNST</v>
      </c>
      <c r="B264" s="94">
        <v>2019</v>
      </c>
      <c r="C264" s="94">
        <v>6</v>
      </c>
      <c r="D264" s="94">
        <v>20191005</v>
      </c>
      <c r="E264" s="94" t="s">
        <v>144</v>
      </c>
      <c r="F264" s="94" t="s">
        <v>89</v>
      </c>
      <c r="G264" s="94" t="s">
        <v>152</v>
      </c>
      <c r="H264" s="94">
        <v>46</v>
      </c>
      <c r="I264" s="94">
        <v>196</v>
      </c>
      <c r="J264" s="94">
        <v>29</v>
      </c>
      <c r="K264" s="94">
        <v>264</v>
      </c>
      <c r="L264" s="94">
        <v>37</v>
      </c>
      <c r="M264" s="94">
        <v>0</v>
      </c>
      <c r="N264" s="94">
        <v>1</v>
      </c>
      <c r="O264" s="94">
        <v>35</v>
      </c>
      <c r="P264" s="94" t="s">
        <v>17</v>
      </c>
      <c r="Q264" s="94" t="s">
        <v>152</v>
      </c>
      <c r="R264" s="94">
        <v>28</v>
      </c>
      <c r="S264" s="94">
        <v>19</v>
      </c>
      <c r="T264" s="94">
        <v>28</v>
      </c>
      <c r="U264" s="94">
        <v>123</v>
      </c>
      <c r="V264" s="94">
        <v>7</v>
      </c>
      <c r="W264" s="94">
        <v>25</v>
      </c>
      <c r="X264" s="94">
        <v>3</v>
      </c>
      <c r="Y264" s="94">
        <v>7</v>
      </c>
      <c r="Z264" s="94">
        <v>28.5</v>
      </c>
    </row>
    <row r="265" spans="1:26">
      <c r="A265" s="94" t="str">
        <f t="shared" si="5"/>
        <v>20191005RUT</v>
      </c>
      <c r="B265" s="94">
        <v>2019</v>
      </c>
      <c r="C265" s="94">
        <v>6</v>
      </c>
      <c r="D265" s="94">
        <v>20191005</v>
      </c>
      <c r="E265" s="94" t="s">
        <v>144</v>
      </c>
      <c r="F265" s="94" t="s">
        <v>92</v>
      </c>
      <c r="G265" s="94" t="s">
        <v>152</v>
      </c>
      <c r="H265" s="94">
        <v>47</v>
      </c>
      <c r="I265" s="94">
        <v>151</v>
      </c>
      <c r="J265" s="94">
        <v>25</v>
      </c>
      <c r="K265" s="94">
        <v>163</v>
      </c>
      <c r="L265" s="94">
        <v>0</v>
      </c>
      <c r="M265" s="94">
        <v>175</v>
      </c>
      <c r="N265" s="94">
        <v>0</v>
      </c>
      <c r="O265" s="94">
        <v>7</v>
      </c>
      <c r="P265" s="94" t="s">
        <v>121</v>
      </c>
      <c r="Q265" s="94" t="s">
        <v>152</v>
      </c>
      <c r="R265" s="94">
        <v>28</v>
      </c>
      <c r="S265" s="94">
        <v>200</v>
      </c>
      <c r="T265" s="94">
        <v>34</v>
      </c>
      <c r="U265" s="94">
        <v>290</v>
      </c>
      <c r="V265" s="94">
        <v>0</v>
      </c>
      <c r="W265" s="94">
        <v>122</v>
      </c>
      <c r="X265" s="94">
        <v>2</v>
      </c>
      <c r="Y265" s="94">
        <v>48</v>
      </c>
      <c r="Z265" s="94">
        <v>14.5</v>
      </c>
    </row>
    <row r="266" spans="1:26">
      <c r="A266" s="94" t="str">
        <f t="shared" si="5"/>
        <v>20191005SMU</v>
      </c>
      <c r="B266" s="94">
        <v>2019</v>
      </c>
      <c r="C266" s="94">
        <v>6</v>
      </c>
      <c r="D266" s="94">
        <v>20191005</v>
      </c>
      <c r="E266" s="94" t="s">
        <v>144</v>
      </c>
      <c r="F266" s="94" t="s">
        <v>80</v>
      </c>
      <c r="G266" s="94" t="s">
        <v>150</v>
      </c>
      <c r="H266" s="94">
        <v>49</v>
      </c>
      <c r="I266" s="94">
        <v>130</v>
      </c>
      <c r="J266" s="94">
        <v>42</v>
      </c>
      <c r="K266" s="94">
        <v>310</v>
      </c>
      <c r="L266" s="94">
        <v>0</v>
      </c>
      <c r="M266" s="94">
        <v>119</v>
      </c>
      <c r="N266" s="94">
        <v>3</v>
      </c>
      <c r="O266" s="94">
        <v>43</v>
      </c>
      <c r="P266" s="94" t="s">
        <v>102</v>
      </c>
      <c r="Q266" s="94" t="s">
        <v>150</v>
      </c>
      <c r="R266" s="94">
        <v>35</v>
      </c>
      <c r="S266" s="94">
        <v>154</v>
      </c>
      <c r="T266" s="94">
        <v>41</v>
      </c>
      <c r="U266" s="94">
        <v>346</v>
      </c>
      <c r="V266" s="94">
        <v>0</v>
      </c>
      <c r="W266" s="94">
        <v>100</v>
      </c>
      <c r="X266" s="94">
        <v>2</v>
      </c>
      <c r="Y266" s="94">
        <v>37</v>
      </c>
      <c r="Z266" s="94">
        <v>13</v>
      </c>
    </row>
    <row r="267" spans="1:26">
      <c r="A267" s="94" t="str">
        <f t="shared" si="5"/>
        <v>20191005STAN</v>
      </c>
      <c r="B267" s="94">
        <v>2019</v>
      </c>
      <c r="C267" s="94">
        <v>6</v>
      </c>
      <c r="D267" s="94">
        <v>20191005</v>
      </c>
      <c r="E267" s="94" t="s">
        <v>144</v>
      </c>
      <c r="F267" s="94" t="s">
        <v>33</v>
      </c>
      <c r="G267" s="94" t="s">
        <v>151</v>
      </c>
      <c r="H267" s="94">
        <v>34</v>
      </c>
      <c r="I267" s="94">
        <v>160</v>
      </c>
      <c r="J267" s="94">
        <v>30</v>
      </c>
      <c r="K267" s="94">
        <v>293</v>
      </c>
      <c r="L267" s="94">
        <v>3</v>
      </c>
      <c r="M267" s="94">
        <v>35</v>
      </c>
      <c r="N267" s="94">
        <v>0</v>
      </c>
      <c r="O267" s="94">
        <v>23</v>
      </c>
      <c r="P267" s="94" t="s">
        <v>132</v>
      </c>
      <c r="Q267" s="94" t="s">
        <v>151</v>
      </c>
      <c r="R267" s="94">
        <v>22</v>
      </c>
      <c r="S267" s="94">
        <v>88</v>
      </c>
      <c r="T267" s="94">
        <v>36</v>
      </c>
      <c r="U267" s="94">
        <v>206</v>
      </c>
      <c r="V267" s="94">
        <v>0</v>
      </c>
      <c r="W267" s="94">
        <v>0</v>
      </c>
      <c r="X267" s="94">
        <v>0</v>
      </c>
      <c r="Y267" s="94">
        <v>13</v>
      </c>
      <c r="Z267" s="94">
        <v>16.5</v>
      </c>
    </row>
    <row r="268" spans="1:26">
      <c r="A268" s="94" t="str">
        <f t="shared" si="5"/>
        <v>20191005TEN</v>
      </c>
      <c r="B268" s="94">
        <v>2019</v>
      </c>
      <c r="C268" s="94">
        <v>6</v>
      </c>
      <c r="D268" s="94">
        <v>20191005</v>
      </c>
      <c r="E268" s="94" t="s">
        <v>144</v>
      </c>
      <c r="F268" s="94" t="s">
        <v>129</v>
      </c>
      <c r="G268" s="94" t="s">
        <v>147</v>
      </c>
      <c r="H268" s="94">
        <v>29</v>
      </c>
      <c r="I268" s="94">
        <v>70</v>
      </c>
      <c r="J268" s="94">
        <v>33</v>
      </c>
      <c r="K268" s="94">
        <v>273</v>
      </c>
      <c r="L268" s="94">
        <v>0</v>
      </c>
      <c r="M268" s="94">
        <v>0</v>
      </c>
      <c r="N268" s="94">
        <v>0</v>
      </c>
      <c r="O268" s="94">
        <v>14</v>
      </c>
      <c r="P268" s="94" t="s">
        <v>56</v>
      </c>
      <c r="Q268" s="94" t="s">
        <v>147</v>
      </c>
      <c r="R268" s="94">
        <v>41</v>
      </c>
      <c r="S268" s="94">
        <v>238</v>
      </c>
      <c r="T268" s="94">
        <v>29</v>
      </c>
      <c r="U268" s="94">
        <v>288</v>
      </c>
      <c r="V268" s="94">
        <v>6</v>
      </c>
      <c r="W268" s="94">
        <v>0</v>
      </c>
      <c r="X268" s="94">
        <v>2</v>
      </c>
      <c r="Y268" s="94">
        <v>43</v>
      </c>
      <c r="Z268" s="94">
        <v>26</v>
      </c>
    </row>
    <row r="269" spans="1:26">
      <c r="A269" s="94" t="str">
        <f t="shared" si="5"/>
        <v>20191005TOL</v>
      </c>
      <c r="B269" s="94">
        <v>2019</v>
      </c>
      <c r="C269" s="94">
        <v>6</v>
      </c>
      <c r="D269" s="94">
        <v>20191005</v>
      </c>
      <c r="E269" s="94" t="s">
        <v>144</v>
      </c>
      <c r="F269" s="94" t="s">
        <v>103</v>
      </c>
      <c r="G269" s="94" t="s">
        <v>149</v>
      </c>
      <c r="H269" s="94">
        <v>53</v>
      </c>
      <c r="I269" s="94">
        <v>275</v>
      </c>
      <c r="J269" s="94">
        <v>22</v>
      </c>
      <c r="K269" s="94">
        <v>200</v>
      </c>
      <c r="L269" s="94">
        <v>48</v>
      </c>
      <c r="M269" s="94">
        <v>66</v>
      </c>
      <c r="N269" s="94">
        <v>1</v>
      </c>
      <c r="O269" s="94">
        <v>31</v>
      </c>
      <c r="P269" s="94" t="s">
        <v>37</v>
      </c>
      <c r="Q269" s="94" t="s">
        <v>149</v>
      </c>
      <c r="R269" s="94">
        <v>29</v>
      </c>
      <c r="S269" s="94">
        <v>117</v>
      </c>
      <c r="T269" s="94">
        <v>51</v>
      </c>
      <c r="U269" s="94">
        <v>303</v>
      </c>
      <c r="V269" s="94">
        <v>16</v>
      </c>
      <c r="W269" s="94">
        <v>94</v>
      </c>
      <c r="X269" s="94">
        <v>2</v>
      </c>
      <c r="Y269" s="94">
        <v>24</v>
      </c>
      <c r="Z269" s="94">
        <v>3.5</v>
      </c>
    </row>
    <row r="270" spans="1:26">
      <c r="A270" s="94" t="str">
        <f t="shared" si="5"/>
        <v>20191005TXT</v>
      </c>
      <c r="B270" s="94">
        <v>2019</v>
      </c>
      <c r="C270" s="94">
        <v>6</v>
      </c>
      <c r="D270" s="94">
        <v>20191005</v>
      </c>
      <c r="E270" s="94" t="s">
        <v>144</v>
      </c>
      <c r="F270" s="94" t="s">
        <v>131</v>
      </c>
      <c r="G270" s="94" t="s">
        <v>209</v>
      </c>
      <c r="H270" s="94">
        <v>35</v>
      </c>
      <c r="I270" s="94">
        <v>162</v>
      </c>
      <c r="J270" s="94">
        <v>44</v>
      </c>
      <c r="K270" s="94">
        <v>424</v>
      </c>
      <c r="L270" s="94">
        <v>2</v>
      </c>
      <c r="M270" s="94">
        <v>27</v>
      </c>
      <c r="N270" s="94">
        <v>5</v>
      </c>
      <c r="O270" s="94">
        <v>45</v>
      </c>
      <c r="P270" s="94" t="s">
        <v>26</v>
      </c>
      <c r="Q270" s="94" t="s">
        <v>209</v>
      </c>
      <c r="R270" s="94">
        <v>56</v>
      </c>
      <c r="S270" s="94">
        <v>219</v>
      </c>
      <c r="T270" s="94">
        <v>37</v>
      </c>
      <c r="U270" s="94">
        <v>290</v>
      </c>
      <c r="V270" s="94">
        <v>9</v>
      </c>
      <c r="W270" s="94">
        <v>36</v>
      </c>
      <c r="X270" s="94">
        <v>0</v>
      </c>
      <c r="Y270" s="94">
        <v>35</v>
      </c>
      <c r="Z270" s="94">
        <v>7</v>
      </c>
    </row>
    <row r="271" spans="1:26">
      <c r="A271" s="94" t="str">
        <f t="shared" si="5"/>
        <v>20191005UAB</v>
      </c>
      <c r="B271" s="94">
        <v>2019</v>
      </c>
      <c r="C271" s="94">
        <v>6</v>
      </c>
      <c r="D271" s="94">
        <v>20191005</v>
      </c>
      <c r="E271" s="94" t="s">
        <v>144</v>
      </c>
      <c r="F271" s="94" t="s">
        <v>23</v>
      </c>
      <c r="G271" s="94" t="s">
        <v>153</v>
      </c>
      <c r="H271" s="94">
        <v>37</v>
      </c>
      <c r="I271" s="94">
        <v>127</v>
      </c>
      <c r="J271" s="94">
        <v>26</v>
      </c>
      <c r="K271" s="94">
        <v>282</v>
      </c>
      <c r="L271" s="94">
        <v>0</v>
      </c>
      <c r="M271" s="94">
        <v>50</v>
      </c>
      <c r="N271" s="94">
        <v>6</v>
      </c>
      <c r="O271" s="94">
        <v>35</v>
      </c>
      <c r="P271" s="94" t="s">
        <v>11</v>
      </c>
      <c r="Q271" s="94" t="s">
        <v>153</v>
      </c>
      <c r="R271" s="94">
        <v>37</v>
      </c>
      <c r="S271" s="94">
        <v>174</v>
      </c>
      <c r="T271" s="94">
        <v>36</v>
      </c>
      <c r="U271" s="94">
        <v>171</v>
      </c>
      <c r="V271" s="94">
        <v>3</v>
      </c>
      <c r="W271" s="94">
        <v>33</v>
      </c>
      <c r="X271" s="94">
        <v>0</v>
      </c>
      <c r="Y271" s="94">
        <v>20</v>
      </c>
      <c r="Z271" s="94">
        <v>9.5</v>
      </c>
    </row>
    <row r="272" spans="1:26">
      <c r="A272" s="94" t="str">
        <f t="shared" si="5"/>
        <v>20191005UCLA</v>
      </c>
      <c r="B272" s="94">
        <v>2019</v>
      </c>
      <c r="C272" s="94">
        <v>6</v>
      </c>
      <c r="D272" s="94">
        <v>20191005</v>
      </c>
      <c r="E272" s="94" t="s">
        <v>144</v>
      </c>
      <c r="F272" s="94" t="s">
        <v>106</v>
      </c>
      <c r="G272" s="94" t="s">
        <v>151</v>
      </c>
      <c r="H272" s="94">
        <v>48</v>
      </c>
      <c r="I272" s="94">
        <v>256</v>
      </c>
      <c r="J272" s="94">
        <v>41</v>
      </c>
      <c r="K272" s="94">
        <v>236</v>
      </c>
      <c r="L272" s="94">
        <v>15</v>
      </c>
      <c r="M272" s="94">
        <v>23</v>
      </c>
      <c r="N272" s="94">
        <v>0</v>
      </c>
      <c r="O272" s="94">
        <v>31</v>
      </c>
      <c r="P272" s="94" t="s">
        <v>82</v>
      </c>
      <c r="Q272" s="94" t="s">
        <v>151</v>
      </c>
      <c r="R272" s="94">
        <v>32</v>
      </c>
      <c r="S272" s="94">
        <v>163</v>
      </c>
      <c r="T272" s="94">
        <v>26</v>
      </c>
      <c r="U272" s="94">
        <v>285</v>
      </c>
      <c r="V272" s="94">
        <v>0</v>
      </c>
      <c r="W272" s="94">
        <v>0</v>
      </c>
      <c r="X272" s="94">
        <v>0</v>
      </c>
      <c r="Y272" s="94">
        <v>48</v>
      </c>
      <c r="Z272" s="94">
        <v>4.5</v>
      </c>
    </row>
    <row r="273" spans="1:26">
      <c r="A273" s="94" t="str">
        <f t="shared" si="5"/>
        <v>20191005UNLV</v>
      </c>
      <c r="B273" s="94">
        <v>2019</v>
      </c>
      <c r="C273" s="94">
        <v>6</v>
      </c>
      <c r="D273" s="94">
        <v>20191005</v>
      </c>
      <c r="E273" s="94" t="s">
        <v>144</v>
      </c>
      <c r="F273" s="94" t="s">
        <v>109</v>
      </c>
      <c r="G273" s="94" t="s">
        <v>148</v>
      </c>
      <c r="H273" s="94">
        <v>27</v>
      </c>
      <c r="I273" s="94">
        <v>78</v>
      </c>
      <c r="J273" s="94">
        <v>33</v>
      </c>
      <c r="K273" s="94">
        <v>113</v>
      </c>
      <c r="L273" s="94">
        <v>1</v>
      </c>
      <c r="M273" s="94">
        <v>0</v>
      </c>
      <c r="N273" s="94">
        <v>1</v>
      </c>
      <c r="O273" s="94">
        <v>13</v>
      </c>
      <c r="P273" s="94" t="s">
        <v>105</v>
      </c>
      <c r="Q273" s="94" t="s">
        <v>148</v>
      </c>
      <c r="R273" s="94">
        <v>28</v>
      </c>
      <c r="S273" s="94">
        <v>182</v>
      </c>
      <c r="T273" s="94">
        <v>36</v>
      </c>
      <c r="U273" s="94">
        <v>325</v>
      </c>
      <c r="V273" s="94">
        <v>58</v>
      </c>
      <c r="W273" s="94">
        <v>34</v>
      </c>
      <c r="X273" s="94">
        <v>0</v>
      </c>
      <c r="Y273" s="94">
        <v>38</v>
      </c>
      <c r="Z273" s="94">
        <v>23.5</v>
      </c>
    </row>
    <row r="274" spans="1:26">
      <c r="A274" s="94" t="str">
        <f t="shared" si="5"/>
        <v>20191005WIS</v>
      </c>
      <c r="B274" s="94">
        <v>2019</v>
      </c>
      <c r="C274" s="94">
        <v>6</v>
      </c>
      <c r="D274" s="94">
        <v>20191005</v>
      </c>
      <c r="E274" s="94" t="s">
        <v>144</v>
      </c>
      <c r="F274" s="94" t="s">
        <v>35</v>
      </c>
      <c r="G274" s="94" t="s">
        <v>152</v>
      </c>
      <c r="H274" s="94">
        <v>55</v>
      </c>
      <c r="I274" s="94">
        <v>348</v>
      </c>
      <c r="J274" s="94">
        <v>20</v>
      </c>
      <c r="K274" s="94">
        <v>172</v>
      </c>
      <c r="L274" s="94">
        <v>20</v>
      </c>
      <c r="M274" s="94">
        <v>28</v>
      </c>
      <c r="N274" s="94">
        <v>1</v>
      </c>
      <c r="O274" s="94">
        <v>48</v>
      </c>
      <c r="P274" s="94" t="s">
        <v>61</v>
      </c>
      <c r="Q274" s="94" t="s">
        <v>149</v>
      </c>
      <c r="R274" s="94">
        <v>28</v>
      </c>
      <c r="S274" s="94">
        <v>60</v>
      </c>
      <c r="T274" s="94">
        <v>17</v>
      </c>
      <c r="U274" s="94">
        <v>64</v>
      </c>
      <c r="V274" s="94">
        <v>0</v>
      </c>
      <c r="W274" s="94">
        <v>10</v>
      </c>
      <c r="X274" s="94">
        <v>1</v>
      </c>
      <c r="Y274" s="94">
        <v>0</v>
      </c>
      <c r="Z274" s="94">
        <v>37</v>
      </c>
    </row>
    <row r="275" spans="1:26">
      <c r="A275" s="94" t="str">
        <f t="shared" si="5"/>
        <v>20191005WVA</v>
      </c>
      <c r="B275" s="94">
        <v>2019</v>
      </c>
      <c r="C275" s="94">
        <v>6</v>
      </c>
      <c r="D275" s="94">
        <v>20191005</v>
      </c>
      <c r="E275" s="94" t="s">
        <v>144</v>
      </c>
      <c r="F275" s="94" t="s">
        <v>133</v>
      </c>
      <c r="G275" s="94" t="s">
        <v>209</v>
      </c>
      <c r="H275" s="94">
        <v>23</v>
      </c>
      <c r="I275" s="94">
        <v>96</v>
      </c>
      <c r="J275" s="94">
        <v>46</v>
      </c>
      <c r="K275" s="94">
        <v>367</v>
      </c>
      <c r="L275" s="94">
        <v>2</v>
      </c>
      <c r="M275" s="94">
        <v>61</v>
      </c>
      <c r="N275" s="94">
        <v>1</v>
      </c>
      <c r="O275" s="94">
        <v>31</v>
      </c>
      <c r="P275" s="94" t="s">
        <v>130</v>
      </c>
      <c r="Q275" s="94" t="s">
        <v>209</v>
      </c>
      <c r="R275" s="94">
        <v>47</v>
      </c>
      <c r="S275" s="94">
        <v>224</v>
      </c>
      <c r="T275" s="94">
        <v>33</v>
      </c>
      <c r="U275" s="94">
        <v>211</v>
      </c>
      <c r="V275" s="94">
        <v>0</v>
      </c>
      <c r="W275" s="94">
        <v>36</v>
      </c>
      <c r="X275" s="94">
        <v>4</v>
      </c>
      <c r="Y275" s="94">
        <v>42</v>
      </c>
      <c r="Z275" s="94">
        <v>11</v>
      </c>
    </row>
    <row r="276" spans="1:26">
      <c r="A276" s="94" t="str">
        <f t="shared" si="5"/>
        <v>20191005UTSA</v>
      </c>
      <c r="B276" s="94">
        <v>2019</v>
      </c>
      <c r="C276" s="94">
        <v>6</v>
      </c>
      <c r="D276" s="94">
        <v>20191005</v>
      </c>
      <c r="E276" s="94" t="s">
        <v>211</v>
      </c>
      <c r="F276" s="94" t="s">
        <v>206</v>
      </c>
      <c r="G276" s="94" t="s">
        <v>153</v>
      </c>
      <c r="H276" s="94">
        <v>48</v>
      </c>
      <c r="I276" s="94">
        <v>320</v>
      </c>
      <c r="J276" s="94">
        <v>14</v>
      </c>
      <c r="K276" s="94">
        <v>46</v>
      </c>
      <c r="L276" s="94">
        <v>10</v>
      </c>
      <c r="M276" s="94">
        <v>0</v>
      </c>
      <c r="N276" s="94">
        <v>0</v>
      </c>
      <c r="O276" s="94">
        <v>26</v>
      </c>
      <c r="P276" s="94" t="s">
        <v>110</v>
      </c>
      <c r="Q276" s="94" t="s">
        <v>153</v>
      </c>
      <c r="R276" s="94">
        <v>30</v>
      </c>
      <c r="S276" s="94">
        <v>99</v>
      </c>
      <c r="T276" s="94">
        <v>31</v>
      </c>
      <c r="U276" s="94">
        <v>181</v>
      </c>
      <c r="V276" s="94">
        <v>8</v>
      </c>
      <c r="W276" s="94">
        <v>20</v>
      </c>
      <c r="X276" s="94">
        <v>0</v>
      </c>
      <c r="Y276" s="94">
        <v>16</v>
      </c>
      <c r="Z276" s="94">
        <v>2.5</v>
      </c>
    </row>
    <row r="277" spans="1:26">
      <c r="A277" s="94" t="str">
        <f t="shared" si="5"/>
        <v>20191005LIB</v>
      </c>
      <c r="B277" s="94">
        <v>2019</v>
      </c>
      <c r="C277" s="94">
        <v>6</v>
      </c>
      <c r="D277" s="94">
        <v>20191005</v>
      </c>
      <c r="E277" s="94" t="s">
        <v>211</v>
      </c>
      <c r="F277" s="94" t="s">
        <v>205</v>
      </c>
      <c r="G277" s="94" t="s">
        <v>53</v>
      </c>
      <c r="H277" s="94">
        <v>37</v>
      </c>
      <c r="I277" s="94">
        <v>164</v>
      </c>
      <c r="J277" s="94">
        <v>31</v>
      </c>
      <c r="K277" s="94">
        <v>173</v>
      </c>
      <c r="L277" s="94">
        <v>1</v>
      </c>
      <c r="M277" s="94">
        <v>40</v>
      </c>
      <c r="N277" s="94">
        <v>3</v>
      </c>
      <c r="O277" s="94">
        <v>20</v>
      </c>
      <c r="P277" s="94" t="s">
        <v>9</v>
      </c>
      <c r="Q277" s="94" t="s">
        <v>53</v>
      </c>
      <c r="R277" s="94">
        <v>34</v>
      </c>
      <c r="S277" s="94">
        <v>131</v>
      </c>
      <c r="T277" s="94">
        <v>31</v>
      </c>
      <c r="U277" s="94">
        <v>265</v>
      </c>
      <c r="V277" s="94">
        <v>79</v>
      </c>
      <c r="W277" s="94">
        <v>63</v>
      </c>
      <c r="X277" s="94">
        <v>0</v>
      </c>
      <c r="Y277" s="94">
        <v>13</v>
      </c>
      <c r="Z277" s="94">
        <v>6.5</v>
      </c>
    </row>
    <row r="278" spans="1:26">
      <c r="A278" s="94" t="str">
        <f t="shared" si="5"/>
        <v>20191005MAS</v>
      </c>
      <c r="B278" s="94">
        <v>2019</v>
      </c>
      <c r="C278" s="94">
        <v>6</v>
      </c>
      <c r="D278" s="94">
        <v>20191005</v>
      </c>
      <c r="E278" s="94" t="s">
        <v>211</v>
      </c>
      <c r="F278" s="94" t="s">
        <v>207</v>
      </c>
      <c r="G278" s="94" t="s">
        <v>53</v>
      </c>
      <c r="H278" s="94">
        <v>24</v>
      </c>
      <c r="I278" s="94">
        <v>38</v>
      </c>
      <c r="J278" s="94">
        <v>24</v>
      </c>
      <c r="K278" s="94">
        <v>77</v>
      </c>
      <c r="L278" s="94">
        <v>5</v>
      </c>
      <c r="M278" s="94">
        <v>15</v>
      </c>
      <c r="N278" s="94">
        <v>1</v>
      </c>
      <c r="O278" s="94">
        <v>0</v>
      </c>
      <c r="P278" s="94" t="s">
        <v>52</v>
      </c>
      <c r="Q278" s="94" t="s">
        <v>153</v>
      </c>
      <c r="R278" s="94">
        <v>55</v>
      </c>
      <c r="S278" s="94">
        <v>278</v>
      </c>
      <c r="T278" s="94">
        <v>33</v>
      </c>
      <c r="U278" s="94">
        <v>263</v>
      </c>
      <c r="V278" s="94">
        <v>140</v>
      </c>
      <c r="W278" s="94">
        <v>0</v>
      </c>
      <c r="X278" s="94">
        <v>3</v>
      </c>
      <c r="Y278" s="94">
        <v>44</v>
      </c>
      <c r="Z278" s="94">
        <v>26.5</v>
      </c>
    </row>
    <row r="279" spans="1:26">
      <c r="A279" s="94" t="str">
        <f t="shared" si="5"/>
        <v>20191009LLAF</v>
      </c>
      <c r="B279" s="94">
        <v>2019</v>
      </c>
      <c r="C279" s="94">
        <v>7</v>
      </c>
      <c r="D279" s="94">
        <v>20191009</v>
      </c>
      <c r="E279" s="94" t="s">
        <v>144</v>
      </c>
      <c r="F279" s="94" t="s">
        <v>69</v>
      </c>
      <c r="G279" s="94" t="s">
        <v>145</v>
      </c>
      <c r="H279" s="94">
        <v>33</v>
      </c>
      <c r="I279" s="94">
        <v>123</v>
      </c>
      <c r="J279" s="94">
        <v>24</v>
      </c>
      <c r="K279" s="94">
        <v>131</v>
      </c>
      <c r="L279" s="94">
        <v>26</v>
      </c>
      <c r="M279" s="94">
        <v>109</v>
      </c>
      <c r="N279" s="94">
        <v>0</v>
      </c>
      <c r="O279" s="94">
        <v>7</v>
      </c>
      <c r="P279" s="94" t="s">
        <v>90</v>
      </c>
      <c r="Q279" s="94" t="s">
        <v>145</v>
      </c>
      <c r="R279" s="94">
        <v>52</v>
      </c>
      <c r="S279" s="94">
        <v>197</v>
      </c>
      <c r="T279" s="94">
        <v>17</v>
      </c>
      <c r="U279" s="94">
        <v>147</v>
      </c>
      <c r="V279" s="94">
        <v>1</v>
      </c>
      <c r="W279" s="94">
        <v>11</v>
      </c>
      <c r="X279" s="94">
        <v>0</v>
      </c>
      <c r="Y279" s="94">
        <v>17</v>
      </c>
      <c r="Z279" s="94">
        <v>1.5</v>
      </c>
    </row>
    <row r="280" spans="1:26">
      <c r="A280" s="94" t="str">
        <f t="shared" si="5"/>
        <v>20191010NCST</v>
      </c>
      <c r="B280" s="94">
        <v>2019</v>
      </c>
      <c r="C280" s="94">
        <v>7</v>
      </c>
      <c r="D280" s="94">
        <v>20191010</v>
      </c>
      <c r="E280" s="94" t="s">
        <v>144</v>
      </c>
      <c r="F280" s="94" t="s">
        <v>75</v>
      </c>
      <c r="G280" s="94" t="s">
        <v>146</v>
      </c>
      <c r="H280" s="94">
        <v>34</v>
      </c>
      <c r="I280" s="94">
        <v>104</v>
      </c>
      <c r="J280" s="94">
        <v>31</v>
      </c>
      <c r="K280" s="94">
        <v>260</v>
      </c>
      <c r="L280" s="94">
        <v>0</v>
      </c>
      <c r="M280" s="94">
        <v>41</v>
      </c>
      <c r="N280" s="94">
        <v>0</v>
      </c>
      <c r="O280" s="94">
        <v>16</v>
      </c>
      <c r="P280" s="94" t="s">
        <v>38</v>
      </c>
      <c r="Q280" s="94" t="s">
        <v>146</v>
      </c>
      <c r="R280" s="94">
        <v>37</v>
      </c>
      <c r="S280" s="94">
        <v>41</v>
      </c>
      <c r="T280" s="94">
        <v>39</v>
      </c>
      <c r="U280" s="94">
        <v>300</v>
      </c>
      <c r="V280" s="94">
        <v>0</v>
      </c>
      <c r="W280" s="94">
        <v>33</v>
      </c>
      <c r="X280" s="94">
        <v>1</v>
      </c>
      <c r="Y280" s="94">
        <v>10</v>
      </c>
      <c r="Z280" s="94">
        <v>4.5</v>
      </c>
    </row>
    <row r="281" spans="1:26">
      <c r="A281" s="94" t="str">
        <f t="shared" si="5"/>
        <v>20191010TXST</v>
      </c>
      <c r="B281" s="94">
        <v>2019</v>
      </c>
      <c r="C281" s="94">
        <v>7</v>
      </c>
      <c r="D281" s="94">
        <v>20191010</v>
      </c>
      <c r="E281" s="94" t="s">
        <v>144</v>
      </c>
      <c r="F281" s="94" t="s">
        <v>93</v>
      </c>
      <c r="G281" s="94" t="s">
        <v>145</v>
      </c>
      <c r="H281" s="94">
        <v>28</v>
      </c>
      <c r="I281" s="94">
        <v>92</v>
      </c>
      <c r="J281" s="94">
        <v>39</v>
      </c>
      <c r="K281" s="94">
        <v>246</v>
      </c>
      <c r="L281" s="94">
        <v>0</v>
      </c>
      <c r="M281" s="94">
        <v>32</v>
      </c>
      <c r="N281" s="94">
        <v>2</v>
      </c>
      <c r="O281" s="94">
        <v>14</v>
      </c>
      <c r="P281" s="94" t="s">
        <v>25</v>
      </c>
      <c r="Q281" s="94" t="s">
        <v>145</v>
      </c>
      <c r="R281" s="94">
        <v>42</v>
      </c>
      <c r="S281" s="94">
        <v>204</v>
      </c>
      <c r="T281" s="94">
        <v>33</v>
      </c>
      <c r="U281" s="94">
        <v>225</v>
      </c>
      <c r="V281" s="94">
        <v>0</v>
      </c>
      <c r="W281" s="94">
        <v>29</v>
      </c>
      <c r="X281" s="94">
        <v>2</v>
      </c>
      <c r="Y281" s="94">
        <v>24</v>
      </c>
      <c r="Z281" s="94">
        <v>3</v>
      </c>
    </row>
    <row r="282" spans="1:26">
      <c r="A282" s="94" t="str">
        <f t="shared" si="5"/>
        <v>20191011MIAF</v>
      </c>
      <c r="B282" s="94">
        <v>2019</v>
      </c>
      <c r="C282" s="94">
        <v>7</v>
      </c>
      <c r="D282" s="94">
        <v>20191011</v>
      </c>
      <c r="E282" s="94" t="s">
        <v>144</v>
      </c>
      <c r="F282" s="94" t="s">
        <v>125</v>
      </c>
      <c r="G282" s="94" t="s">
        <v>146</v>
      </c>
      <c r="H282" s="94">
        <v>25</v>
      </c>
      <c r="I282" s="94">
        <v>83</v>
      </c>
      <c r="J282" s="94">
        <v>27</v>
      </c>
      <c r="K282" s="94">
        <v>182</v>
      </c>
      <c r="L282" s="94">
        <v>0</v>
      </c>
      <c r="M282" s="94">
        <v>21</v>
      </c>
      <c r="N282" s="94">
        <v>1</v>
      </c>
      <c r="O282" s="94">
        <v>17</v>
      </c>
      <c r="P282" s="94" t="s">
        <v>113</v>
      </c>
      <c r="Q282" s="94" t="s">
        <v>146</v>
      </c>
      <c r="R282" s="94">
        <v>31</v>
      </c>
      <c r="S282" s="94">
        <v>74</v>
      </c>
      <c r="T282" s="94">
        <v>42</v>
      </c>
      <c r="U282" s="94">
        <v>252</v>
      </c>
      <c r="V282" s="94">
        <v>18</v>
      </c>
      <c r="W282" s="94">
        <v>112</v>
      </c>
      <c r="X282" s="94">
        <v>0</v>
      </c>
      <c r="Y282" s="94">
        <v>9</v>
      </c>
      <c r="Z282" s="94">
        <v>2.5</v>
      </c>
    </row>
    <row r="283" spans="1:26">
      <c r="A283" s="94" t="str">
        <f t="shared" si="5"/>
        <v>20191011NMX</v>
      </c>
      <c r="B283" s="94">
        <v>2019</v>
      </c>
      <c r="C283" s="94">
        <v>7</v>
      </c>
      <c r="D283" s="94">
        <v>20191011</v>
      </c>
      <c r="E283" s="94" t="s">
        <v>144</v>
      </c>
      <c r="F283" s="94" t="s">
        <v>76</v>
      </c>
      <c r="G283" s="94" t="s">
        <v>148</v>
      </c>
      <c r="H283" s="94">
        <v>49</v>
      </c>
      <c r="I283" s="94">
        <v>256</v>
      </c>
      <c r="J283" s="94">
        <v>17</v>
      </c>
      <c r="K283" s="94">
        <v>89</v>
      </c>
      <c r="L283" s="94">
        <v>0</v>
      </c>
      <c r="M283" s="94">
        <v>0</v>
      </c>
      <c r="N283" s="94">
        <v>2</v>
      </c>
      <c r="O283" s="94">
        <v>21</v>
      </c>
      <c r="P283" s="94" t="s">
        <v>7</v>
      </c>
      <c r="Q283" s="94" t="s">
        <v>148</v>
      </c>
      <c r="R283" s="94">
        <v>38</v>
      </c>
      <c r="S283" s="94">
        <v>131</v>
      </c>
      <c r="T283" s="94">
        <v>34</v>
      </c>
      <c r="U283" s="94">
        <v>420</v>
      </c>
      <c r="V283" s="94">
        <v>0</v>
      </c>
      <c r="W283" s="94">
        <v>62</v>
      </c>
      <c r="X283" s="94">
        <v>3</v>
      </c>
      <c r="Y283" s="94">
        <v>35</v>
      </c>
      <c r="Z283" s="94">
        <v>4.5</v>
      </c>
    </row>
    <row r="284" spans="1:26">
      <c r="A284" s="94" t="str">
        <f t="shared" si="5"/>
        <v>20191011ORE</v>
      </c>
      <c r="B284" s="94">
        <v>2019</v>
      </c>
      <c r="C284" s="94">
        <v>7</v>
      </c>
      <c r="D284" s="94">
        <v>20191011</v>
      </c>
      <c r="E284" s="94" t="s">
        <v>144</v>
      </c>
      <c r="F284" s="94" t="s">
        <v>86</v>
      </c>
      <c r="G284" s="94" t="s">
        <v>151</v>
      </c>
      <c r="H284" s="94">
        <v>36</v>
      </c>
      <c r="I284" s="94">
        <v>252</v>
      </c>
      <c r="J284" s="94">
        <v>35</v>
      </c>
      <c r="K284" s="94">
        <v>275</v>
      </c>
      <c r="L284" s="94">
        <v>24</v>
      </c>
      <c r="M284" s="94">
        <v>39</v>
      </c>
      <c r="N284" s="94">
        <v>4</v>
      </c>
      <c r="O284" s="94">
        <v>45</v>
      </c>
      <c r="P284" s="94" t="s">
        <v>128</v>
      </c>
      <c r="Q284" s="94" t="s">
        <v>151</v>
      </c>
      <c r="R284" s="94">
        <v>40</v>
      </c>
      <c r="S284" s="94">
        <v>168</v>
      </c>
      <c r="T284" s="94">
        <v>34</v>
      </c>
      <c r="U284" s="94">
        <v>131</v>
      </c>
      <c r="V284" s="94">
        <v>9</v>
      </c>
      <c r="W284" s="94">
        <v>118</v>
      </c>
      <c r="X284" s="94">
        <v>0</v>
      </c>
      <c r="Y284" s="94">
        <v>3</v>
      </c>
      <c r="Z284" s="94">
        <v>22</v>
      </c>
    </row>
    <row r="285" spans="1:26">
      <c r="A285" s="94" t="str">
        <f t="shared" si="5"/>
        <v>20191012AIR</v>
      </c>
      <c r="B285" s="94">
        <v>2019</v>
      </c>
      <c r="C285" s="94">
        <v>7</v>
      </c>
      <c r="D285" s="94">
        <v>20191012</v>
      </c>
      <c r="E285" s="94" t="s">
        <v>144</v>
      </c>
      <c r="F285" s="94" t="s">
        <v>39</v>
      </c>
      <c r="G285" s="94" t="s">
        <v>148</v>
      </c>
      <c r="H285" s="94">
        <v>67</v>
      </c>
      <c r="I285" s="94">
        <v>344</v>
      </c>
      <c r="J285" s="94">
        <v>3</v>
      </c>
      <c r="K285" s="94">
        <v>81</v>
      </c>
      <c r="L285" s="94">
        <v>0</v>
      </c>
      <c r="M285" s="94">
        <v>0</v>
      </c>
      <c r="N285" s="94">
        <v>1</v>
      </c>
      <c r="O285" s="94">
        <v>43</v>
      </c>
      <c r="P285" s="94" t="s">
        <v>55</v>
      </c>
      <c r="Q285" s="94" t="s">
        <v>148</v>
      </c>
      <c r="R285" s="94">
        <v>15</v>
      </c>
      <c r="S285" s="94">
        <v>59</v>
      </c>
      <c r="T285" s="94">
        <v>27</v>
      </c>
      <c r="U285" s="94">
        <v>209</v>
      </c>
      <c r="V285" s="94">
        <v>0</v>
      </c>
      <c r="W285" s="94">
        <v>51</v>
      </c>
      <c r="X285" s="94">
        <v>0</v>
      </c>
      <c r="Y285" s="94">
        <v>24</v>
      </c>
      <c r="Z285" s="94">
        <v>3.5</v>
      </c>
    </row>
    <row r="286" spans="1:26">
      <c r="A286" s="94" t="str">
        <f t="shared" si="5"/>
        <v>20191012AKRON</v>
      </c>
      <c r="B286" s="94">
        <v>2019</v>
      </c>
      <c r="C286" s="94">
        <v>7</v>
      </c>
      <c r="D286" s="94">
        <v>20191012</v>
      </c>
      <c r="E286" s="94" t="s">
        <v>144</v>
      </c>
      <c r="F286" s="94" t="s">
        <v>118</v>
      </c>
      <c r="G286" s="94" t="s">
        <v>149</v>
      </c>
      <c r="H286" s="94">
        <v>32</v>
      </c>
      <c r="I286" s="94">
        <v>95</v>
      </c>
      <c r="J286" s="94">
        <v>29</v>
      </c>
      <c r="K286" s="94">
        <v>202</v>
      </c>
      <c r="L286" s="94">
        <v>4</v>
      </c>
      <c r="M286" s="94">
        <v>120</v>
      </c>
      <c r="N286" s="94">
        <v>0</v>
      </c>
      <c r="O286" s="94">
        <v>3</v>
      </c>
      <c r="P286" s="94" t="s">
        <v>61</v>
      </c>
      <c r="Q286" s="94" t="s">
        <v>149</v>
      </c>
      <c r="R286" s="94">
        <v>48</v>
      </c>
      <c r="S286" s="94">
        <v>233</v>
      </c>
      <c r="T286" s="94">
        <v>21</v>
      </c>
      <c r="U286" s="94">
        <v>149</v>
      </c>
      <c r="V286" s="94">
        <v>0</v>
      </c>
      <c r="W286" s="94">
        <v>0</v>
      </c>
      <c r="X286" s="94">
        <v>1</v>
      </c>
      <c r="Y286" s="94">
        <v>26</v>
      </c>
      <c r="Z286" s="94">
        <v>14.5</v>
      </c>
    </row>
    <row r="287" spans="1:26">
      <c r="A287" s="94" t="str">
        <f t="shared" si="5"/>
        <v>20191012ARZ</v>
      </c>
      <c r="B287" s="94">
        <v>2019</v>
      </c>
      <c r="C287" s="94">
        <v>7</v>
      </c>
      <c r="D287" s="94">
        <v>20191012</v>
      </c>
      <c r="E287" s="94" t="s">
        <v>144</v>
      </c>
      <c r="F287" s="94" t="s">
        <v>42</v>
      </c>
      <c r="G287" s="94" t="s">
        <v>151</v>
      </c>
      <c r="H287" s="94">
        <v>39</v>
      </c>
      <c r="I287" s="94">
        <v>151</v>
      </c>
      <c r="J287" s="94">
        <v>25</v>
      </c>
      <c r="K287" s="94">
        <v>184</v>
      </c>
      <c r="L287" s="94">
        <v>10</v>
      </c>
      <c r="M287" s="94">
        <v>21</v>
      </c>
      <c r="N287" s="94">
        <v>1</v>
      </c>
      <c r="O287" s="94">
        <v>27</v>
      </c>
      <c r="P287" s="94" t="s">
        <v>132</v>
      </c>
      <c r="Q287" s="94" t="s">
        <v>151</v>
      </c>
      <c r="R287" s="94">
        <v>42</v>
      </c>
      <c r="S287" s="94">
        <v>211</v>
      </c>
      <c r="T287" s="94">
        <v>22</v>
      </c>
      <c r="U287" s="94">
        <v>243</v>
      </c>
      <c r="V287" s="94">
        <v>37</v>
      </c>
      <c r="W287" s="94">
        <v>2</v>
      </c>
      <c r="X287" s="94">
        <v>3</v>
      </c>
      <c r="Y287" s="94">
        <v>51</v>
      </c>
      <c r="Z287" s="94">
        <v>6.5</v>
      </c>
    </row>
    <row r="288" spans="1:26">
      <c r="A288" s="94" t="str">
        <f t="shared" si="5"/>
        <v>20191012AZST</v>
      </c>
      <c r="B288" s="94">
        <v>2019</v>
      </c>
      <c r="C288" s="94">
        <v>7</v>
      </c>
      <c r="D288" s="94">
        <v>20191012</v>
      </c>
      <c r="E288" s="94" t="s">
        <v>144</v>
      </c>
      <c r="F288" s="94" t="s">
        <v>44</v>
      </c>
      <c r="G288" s="94" t="s">
        <v>151</v>
      </c>
      <c r="H288" s="94">
        <v>32</v>
      </c>
      <c r="I288" s="94">
        <v>169</v>
      </c>
      <c r="J288" s="94">
        <v>36</v>
      </c>
      <c r="K288" s="94">
        <v>363</v>
      </c>
      <c r="L288" s="94">
        <v>7</v>
      </c>
      <c r="M288" s="94">
        <v>44</v>
      </c>
      <c r="N288" s="94">
        <v>0</v>
      </c>
      <c r="O288" s="94">
        <v>38</v>
      </c>
      <c r="P288" s="94" t="s">
        <v>114</v>
      </c>
      <c r="Q288" s="94" t="s">
        <v>151</v>
      </c>
      <c r="R288" s="94">
        <v>10</v>
      </c>
      <c r="S288" s="94">
        <v>32</v>
      </c>
      <c r="T288" s="94">
        <v>66</v>
      </c>
      <c r="U288" s="94">
        <v>466</v>
      </c>
      <c r="V288" s="94">
        <v>0</v>
      </c>
      <c r="W288" s="94">
        <v>80</v>
      </c>
      <c r="X288" s="94">
        <v>0</v>
      </c>
      <c r="Y288" s="94">
        <v>34</v>
      </c>
      <c r="Z288" s="94">
        <v>2</v>
      </c>
    </row>
    <row r="289" spans="1:26">
      <c r="A289" s="94" t="str">
        <f t="shared" si="5"/>
        <v>20191012BAY</v>
      </c>
      <c r="B289" s="94">
        <v>2019</v>
      </c>
      <c r="C289" s="94">
        <v>7</v>
      </c>
      <c r="D289" s="94">
        <v>20191012</v>
      </c>
      <c r="E289" s="94" t="s">
        <v>144</v>
      </c>
      <c r="F289" s="94" t="s">
        <v>45</v>
      </c>
      <c r="G289" s="94" t="s">
        <v>209</v>
      </c>
      <c r="H289" s="94">
        <v>38</v>
      </c>
      <c r="I289" s="94">
        <v>173</v>
      </c>
      <c r="J289" s="94">
        <v>38</v>
      </c>
      <c r="K289" s="94">
        <v>352</v>
      </c>
      <c r="L289" s="94">
        <v>12</v>
      </c>
      <c r="M289" s="94">
        <v>111</v>
      </c>
      <c r="N289" s="94">
        <v>3</v>
      </c>
      <c r="O289" s="94">
        <v>33</v>
      </c>
      <c r="P289" s="94" t="s">
        <v>131</v>
      </c>
      <c r="Q289" s="94" t="s">
        <v>209</v>
      </c>
      <c r="R289" s="94">
        <v>43</v>
      </c>
      <c r="S289" s="94">
        <v>148</v>
      </c>
      <c r="T289" s="94">
        <v>42</v>
      </c>
      <c r="U289" s="94">
        <v>362</v>
      </c>
      <c r="V289" s="94">
        <v>0</v>
      </c>
      <c r="W289" s="94">
        <v>63</v>
      </c>
      <c r="X289" s="94">
        <v>3</v>
      </c>
      <c r="Y289" s="94">
        <v>30</v>
      </c>
      <c r="Z289" s="94">
        <v>11</v>
      </c>
    </row>
    <row r="290" spans="1:26">
      <c r="A290" s="94" t="str">
        <f t="shared" si="5"/>
        <v>20191012BOIS</v>
      </c>
      <c r="B290" s="94">
        <v>2019</v>
      </c>
      <c r="C290" s="94">
        <v>7</v>
      </c>
      <c r="D290" s="94">
        <v>20191012</v>
      </c>
      <c r="E290" s="94" t="s">
        <v>144</v>
      </c>
      <c r="F290" s="94" t="s">
        <v>105</v>
      </c>
      <c r="G290" s="94" t="s">
        <v>148</v>
      </c>
      <c r="H290" s="94">
        <v>39</v>
      </c>
      <c r="I290" s="94">
        <v>203</v>
      </c>
      <c r="J290" s="94">
        <v>37</v>
      </c>
      <c r="K290" s="94">
        <v>315</v>
      </c>
      <c r="L290" s="94">
        <v>4</v>
      </c>
      <c r="M290" s="94">
        <v>34</v>
      </c>
      <c r="N290" s="94">
        <v>3</v>
      </c>
      <c r="O290" s="94">
        <v>59</v>
      </c>
      <c r="P290" s="94" t="s">
        <v>8</v>
      </c>
      <c r="Q290" s="94" t="s">
        <v>148</v>
      </c>
      <c r="R290" s="94">
        <v>19</v>
      </c>
      <c r="S290" s="94">
        <v>113</v>
      </c>
      <c r="T290" s="94">
        <v>50</v>
      </c>
      <c r="U290" s="94">
        <v>325</v>
      </c>
      <c r="V290" s="94">
        <v>0</v>
      </c>
      <c r="W290" s="94">
        <v>136</v>
      </c>
      <c r="X290" s="94">
        <v>2</v>
      </c>
      <c r="Y290" s="94">
        <v>37</v>
      </c>
      <c r="Z290" s="94">
        <v>13</v>
      </c>
    </row>
    <row r="291" spans="1:26">
      <c r="A291" s="94" t="str">
        <f t="shared" si="5"/>
        <v>20191012BOWL</v>
      </c>
      <c r="B291" s="94">
        <v>2019</v>
      </c>
      <c r="C291" s="94">
        <v>7</v>
      </c>
      <c r="D291" s="94">
        <v>20191012</v>
      </c>
      <c r="E291" s="94" t="s">
        <v>144</v>
      </c>
      <c r="F291" s="94" t="s">
        <v>87</v>
      </c>
      <c r="G291" s="94" t="s">
        <v>149</v>
      </c>
      <c r="H291" s="94">
        <v>41</v>
      </c>
      <c r="I291" s="94">
        <v>240</v>
      </c>
      <c r="J291" s="94">
        <v>21</v>
      </c>
      <c r="K291" s="94">
        <v>185</v>
      </c>
      <c r="L291" s="94">
        <v>8</v>
      </c>
      <c r="M291" s="94">
        <v>46</v>
      </c>
      <c r="N291" s="94">
        <v>2</v>
      </c>
      <c r="O291" s="94">
        <v>20</v>
      </c>
      <c r="P291" s="94" t="s">
        <v>103</v>
      </c>
      <c r="Q291" s="94" t="s">
        <v>149</v>
      </c>
      <c r="R291" s="94">
        <v>39</v>
      </c>
      <c r="S291" s="94">
        <v>132</v>
      </c>
      <c r="T291" s="94">
        <v>35</v>
      </c>
      <c r="U291" s="94">
        <v>260</v>
      </c>
      <c r="V291" s="94">
        <v>1</v>
      </c>
      <c r="W291" s="94">
        <v>21</v>
      </c>
      <c r="X291" s="94">
        <v>1</v>
      </c>
      <c r="Y291" s="94">
        <v>7</v>
      </c>
      <c r="Z291" s="94">
        <v>24.5</v>
      </c>
    </row>
    <row r="292" spans="1:26">
      <c r="A292" s="94" t="str">
        <f t="shared" si="5"/>
        <v>20191012CLEM</v>
      </c>
      <c r="B292" s="94">
        <v>2019</v>
      </c>
      <c r="C292" s="94">
        <v>7</v>
      </c>
      <c r="D292" s="94">
        <v>20191012</v>
      </c>
      <c r="E292" s="94" t="s">
        <v>144</v>
      </c>
      <c r="F292" s="94" t="s">
        <v>51</v>
      </c>
      <c r="G292" s="94" t="s">
        <v>146</v>
      </c>
      <c r="H292" s="94">
        <v>53</v>
      </c>
      <c r="I292" s="94">
        <v>320</v>
      </c>
      <c r="J292" s="94">
        <v>38</v>
      </c>
      <c r="K292" s="94">
        <v>232</v>
      </c>
      <c r="L292" s="94">
        <v>0</v>
      </c>
      <c r="M292" s="94">
        <v>0</v>
      </c>
      <c r="N292" s="94">
        <v>4</v>
      </c>
      <c r="O292" s="94">
        <v>45</v>
      </c>
      <c r="P292" s="94" t="s">
        <v>116</v>
      </c>
      <c r="Q292" s="94" t="s">
        <v>146</v>
      </c>
      <c r="R292" s="94">
        <v>23</v>
      </c>
      <c r="S292" s="94">
        <v>103</v>
      </c>
      <c r="T292" s="94">
        <v>35</v>
      </c>
      <c r="U292" s="94">
        <v>150</v>
      </c>
      <c r="V292" s="94">
        <v>9</v>
      </c>
      <c r="W292" s="94">
        <v>42</v>
      </c>
      <c r="X292" s="94">
        <v>2</v>
      </c>
      <c r="Y292" s="94">
        <v>14</v>
      </c>
      <c r="Z292" s="94">
        <v>27</v>
      </c>
    </row>
    <row r="293" spans="1:26">
      <c r="A293" s="94" t="str">
        <f t="shared" si="5"/>
        <v>20191012CMCH</v>
      </c>
      <c r="B293" s="94">
        <v>2019</v>
      </c>
      <c r="C293" s="94">
        <v>7</v>
      </c>
      <c r="D293" s="94">
        <v>20191012</v>
      </c>
      <c r="E293" s="94" t="s">
        <v>144</v>
      </c>
      <c r="F293" s="94" t="s">
        <v>67</v>
      </c>
      <c r="G293" s="94" t="s">
        <v>149</v>
      </c>
      <c r="H293" s="94">
        <v>56</v>
      </c>
      <c r="I293" s="94">
        <v>352</v>
      </c>
      <c r="J293" s="94">
        <v>24</v>
      </c>
      <c r="K293" s="94">
        <v>134</v>
      </c>
      <c r="L293" s="94">
        <v>68</v>
      </c>
      <c r="M293" s="94">
        <v>73</v>
      </c>
      <c r="N293" s="94">
        <v>2</v>
      </c>
      <c r="O293" s="94">
        <v>42</v>
      </c>
      <c r="P293" s="94" t="s">
        <v>9</v>
      </c>
      <c r="Q293" s="94" t="s">
        <v>53</v>
      </c>
      <c r="R293" s="94">
        <v>27</v>
      </c>
      <c r="S293" s="94">
        <v>121</v>
      </c>
      <c r="T293" s="94">
        <v>40</v>
      </c>
      <c r="U293" s="94">
        <v>263</v>
      </c>
      <c r="V293" s="94">
        <v>25</v>
      </c>
      <c r="W293" s="94">
        <v>43</v>
      </c>
      <c r="X293" s="94">
        <v>1</v>
      </c>
      <c r="Y293" s="94">
        <v>28</v>
      </c>
      <c r="Z293" s="94">
        <v>12.5</v>
      </c>
    </row>
    <row r="294" spans="1:26">
      <c r="A294" s="94" t="str">
        <f t="shared" si="5"/>
        <v>20191012CSTC</v>
      </c>
      <c r="B294" s="94">
        <v>2019</v>
      </c>
      <c r="C294" s="94">
        <v>7</v>
      </c>
      <c r="D294" s="94">
        <v>20191012</v>
      </c>
      <c r="E294" s="94" t="s">
        <v>144</v>
      </c>
      <c r="F294" s="94" t="s">
        <v>97</v>
      </c>
      <c r="G294" s="94" t="s">
        <v>145</v>
      </c>
      <c r="H294" s="94">
        <v>26</v>
      </c>
      <c r="I294" s="94">
        <v>105</v>
      </c>
      <c r="J294" s="94">
        <v>31</v>
      </c>
      <c r="K294" s="94">
        <v>217</v>
      </c>
      <c r="L294" s="94">
        <v>10</v>
      </c>
      <c r="M294" s="94">
        <v>12</v>
      </c>
      <c r="N294" s="94">
        <v>1</v>
      </c>
      <c r="O294" s="94">
        <v>0</v>
      </c>
      <c r="P294" s="94" t="s">
        <v>15</v>
      </c>
      <c r="Q294" s="94" t="s">
        <v>145</v>
      </c>
      <c r="R294" s="94">
        <v>55</v>
      </c>
      <c r="S294" s="94">
        <v>352</v>
      </c>
      <c r="T294" s="94">
        <v>24</v>
      </c>
      <c r="U294" s="94">
        <v>122</v>
      </c>
      <c r="V294" s="94">
        <v>2</v>
      </c>
      <c r="W294" s="94">
        <v>0</v>
      </c>
      <c r="X294" s="94">
        <v>2</v>
      </c>
      <c r="Y294" s="94">
        <v>0</v>
      </c>
      <c r="Z294" s="94">
        <v>4.5</v>
      </c>
    </row>
    <row r="295" spans="1:26">
      <c r="A295" s="94" t="str">
        <f t="shared" si="5"/>
        <v>20191012DUKE</v>
      </c>
      <c r="B295" s="94">
        <v>2019</v>
      </c>
      <c r="C295" s="94">
        <v>7</v>
      </c>
      <c r="D295" s="94">
        <v>20191012</v>
      </c>
      <c r="E295" s="94" t="s">
        <v>144</v>
      </c>
      <c r="F295" s="94" t="s">
        <v>27</v>
      </c>
      <c r="G295" s="94" t="s">
        <v>146</v>
      </c>
      <c r="H295" s="94">
        <v>55</v>
      </c>
      <c r="I295" s="94">
        <v>197</v>
      </c>
      <c r="J295" s="94">
        <v>20</v>
      </c>
      <c r="K295" s="94">
        <v>176</v>
      </c>
      <c r="L295" s="94">
        <v>75</v>
      </c>
      <c r="M295" s="94">
        <v>59</v>
      </c>
      <c r="N295" s="94">
        <v>0</v>
      </c>
      <c r="O295" s="94">
        <v>41</v>
      </c>
      <c r="P295" s="94" t="s">
        <v>58</v>
      </c>
      <c r="Q295" s="94" t="s">
        <v>146</v>
      </c>
      <c r="R295" s="94">
        <v>40</v>
      </c>
      <c r="S295" s="94">
        <v>173</v>
      </c>
      <c r="T295" s="94">
        <v>35</v>
      </c>
      <c r="U295" s="94">
        <v>206</v>
      </c>
      <c r="V295" s="94">
        <v>9</v>
      </c>
      <c r="W295" s="94">
        <v>37</v>
      </c>
      <c r="X295" s="94">
        <v>0</v>
      </c>
      <c r="Y295" s="94">
        <v>23</v>
      </c>
      <c r="Z295" s="94">
        <v>18</v>
      </c>
    </row>
    <row r="296" spans="1:26">
      <c r="A296" s="94" t="str">
        <f t="shared" si="5"/>
        <v>20191012EMCH</v>
      </c>
      <c r="B296" s="94">
        <v>2019</v>
      </c>
      <c r="C296" s="94">
        <v>7</v>
      </c>
      <c r="D296" s="94">
        <v>20191012</v>
      </c>
      <c r="E296" s="94" t="s">
        <v>144</v>
      </c>
      <c r="F296" s="94" t="s">
        <v>29</v>
      </c>
      <c r="G296" s="94" t="s">
        <v>149</v>
      </c>
      <c r="H296" s="94">
        <v>33</v>
      </c>
      <c r="I296" s="94">
        <v>89</v>
      </c>
      <c r="J296" s="94">
        <v>36</v>
      </c>
      <c r="K296" s="94">
        <v>283</v>
      </c>
      <c r="L296" s="94">
        <v>29</v>
      </c>
      <c r="M296" s="94">
        <v>54</v>
      </c>
      <c r="N296" s="94">
        <v>1</v>
      </c>
      <c r="O296" s="94">
        <v>23</v>
      </c>
      <c r="P296" s="94" t="s">
        <v>12</v>
      </c>
      <c r="Q296" s="94" t="s">
        <v>149</v>
      </c>
      <c r="R296" s="94">
        <v>47</v>
      </c>
      <c r="S296" s="94">
        <v>196</v>
      </c>
      <c r="T296" s="94">
        <v>32</v>
      </c>
      <c r="U296" s="94">
        <v>255</v>
      </c>
      <c r="V296" s="94">
        <v>0</v>
      </c>
      <c r="W296" s="94">
        <v>85</v>
      </c>
      <c r="X296" s="94">
        <v>4</v>
      </c>
      <c r="Y296" s="94">
        <v>29</v>
      </c>
      <c r="Z296" s="94">
        <v>1</v>
      </c>
    </row>
    <row r="297" spans="1:26">
      <c r="A297" s="94" t="str">
        <f t="shared" si="5"/>
        <v>20191012FATL</v>
      </c>
      <c r="B297" s="94">
        <v>2019</v>
      </c>
      <c r="C297" s="94">
        <v>7</v>
      </c>
      <c r="D297" s="94">
        <v>20191012</v>
      </c>
      <c r="E297" s="94" t="s">
        <v>144</v>
      </c>
      <c r="F297" s="94" t="s">
        <v>85</v>
      </c>
      <c r="G297" s="94" t="s">
        <v>153</v>
      </c>
      <c r="H297" s="94">
        <v>40</v>
      </c>
      <c r="I297" s="94">
        <v>203</v>
      </c>
      <c r="J297" s="94">
        <v>31</v>
      </c>
      <c r="K297" s="94">
        <v>161</v>
      </c>
      <c r="L297" s="94">
        <v>0</v>
      </c>
      <c r="M297" s="94">
        <v>78</v>
      </c>
      <c r="N297" s="94">
        <v>3</v>
      </c>
      <c r="O297" s="94">
        <v>28</v>
      </c>
      <c r="P297" s="94" t="s">
        <v>112</v>
      </c>
      <c r="Q297" s="94" t="s">
        <v>153</v>
      </c>
      <c r="R297" s="94">
        <v>29</v>
      </c>
      <c r="S297" s="94">
        <v>124</v>
      </c>
      <c r="T297" s="94">
        <v>42</v>
      </c>
      <c r="U297" s="94">
        <v>335</v>
      </c>
      <c r="V297" s="94">
        <v>1</v>
      </c>
      <c r="W297" s="94">
        <v>18</v>
      </c>
      <c r="X297" s="94">
        <v>0</v>
      </c>
      <c r="Y297" s="94">
        <v>13</v>
      </c>
      <c r="Z297" s="94">
        <v>13</v>
      </c>
    </row>
    <row r="298" spans="1:26">
      <c r="A298" s="94" t="str">
        <f t="shared" si="5"/>
        <v>20191012FINT</v>
      </c>
      <c r="B298" s="94">
        <v>2019</v>
      </c>
      <c r="C298" s="94">
        <v>7</v>
      </c>
      <c r="D298" s="94">
        <v>20191012</v>
      </c>
      <c r="E298" s="94" t="s">
        <v>144</v>
      </c>
      <c r="F298" s="94" t="s">
        <v>52</v>
      </c>
      <c r="G298" s="94" t="s">
        <v>153</v>
      </c>
      <c r="H298" s="94">
        <v>52</v>
      </c>
      <c r="I298" s="94">
        <v>352</v>
      </c>
      <c r="J298" s="94">
        <v>16</v>
      </c>
      <c r="K298" s="94">
        <v>160</v>
      </c>
      <c r="L298" s="94">
        <v>0</v>
      </c>
      <c r="M298" s="94">
        <v>0</v>
      </c>
      <c r="N298" s="94">
        <v>1</v>
      </c>
      <c r="O298" s="94">
        <v>48</v>
      </c>
      <c r="P298" s="94" t="s">
        <v>50</v>
      </c>
      <c r="Q298" s="94" t="s">
        <v>153</v>
      </c>
      <c r="R298" s="94">
        <v>41</v>
      </c>
      <c r="S298" s="94">
        <v>217</v>
      </c>
      <c r="T298" s="94">
        <v>13</v>
      </c>
      <c r="U298" s="94">
        <v>113</v>
      </c>
      <c r="V298" s="94">
        <v>4</v>
      </c>
      <c r="W298" s="94">
        <v>47</v>
      </c>
      <c r="X298" s="94">
        <v>0</v>
      </c>
      <c r="Y298" s="94">
        <v>23</v>
      </c>
      <c r="Z298" s="94">
        <v>6</v>
      </c>
    </row>
    <row r="299" spans="1:26">
      <c r="A299" s="94" t="str">
        <f t="shared" si="5"/>
        <v>20191012GEO</v>
      </c>
      <c r="B299" s="94">
        <v>2019</v>
      </c>
      <c r="C299" s="94">
        <v>7</v>
      </c>
      <c r="D299" s="94">
        <v>20191012</v>
      </c>
      <c r="E299" s="94" t="s">
        <v>144</v>
      </c>
      <c r="F299" s="94" t="s">
        <v>56</v>
      </c>
      <c r="G299" s="94" t="s">
        <v>147</v>
      </c>
      <c r="H299" s="94">
        <v>43</v>
      </c>
      <c r="I299" s="94">
        <v>173</v>
      </c>
      <c r="J299" s="94">
        <v>52</v>
      </c>
      <c r="K299" s="94">
        <v>295</v>
      </c>
      <c r="L299" s="94">
        <v>0</v>
      </c>
      <c r="M299" s="94">
        <v>0</v>
      </c>
      <c r="N299" s="94">
        <v>0</v>
      </c>
      <c r="O299" s="94">
        <v>17</v>
      </c>
      <c r="P299" s="94" t="s">
        <v>96</v>
      </c>
      <c r="Q299" s="94" t="s">
        <v>147</v>
      </c>
      <c r="R299" s="94">
        <v>36</v>
      </c>
      <c r="S299" s="94">
        <v>142</v>
      </c>
      <c r="T299" s="94">
        <v>32</v>
      </c>
      <c r="U299" s="94">
        <v>155</v>
      </c>
      <c r="V299" s="94">
        <v>0</v>
      </c>
      <c r="W299" s="94">
        <v>0</v>
      </c>
      <c r="X299" s="94">
        <v>4</v>
      </c>
      <c r="Y299" s="94">
        <v>20</v>
      </c>
      <c r="Z299" s="94">
        <v>21.5</v>
      </c>
    </row>
    <row r="300" spans="1:26">
      <c r="A300" s="94" t="str">
        <f t="shared" si="5"/>
        <v>20191012HOU</v>
      </c>
      <c r="B300" s="94">
        <v>2019</v>
      </c>
      <c r="C300" s="94">
        <v>7</v>
      </c>
      <c r="D300" s="94">
        <v>20191012</v>
      </c>
      <c r="E300" s="94" t="s">
        <v>144</v>
      </c>
      <c r="F300" s="94" t="s">
        <v>91</v>
      </c>
      <c r="G300" s="94" t="s">
        <v>150</v>
      </c>
      <c r="H300" s="94">
        <v>37</v>
      </c>
      <c r="I300" s="94">
        <v>190</v>
      </c>
      <c r="J300" s="94">
        <v>30</v>
      </c>
      <c r="K300" s="94">
        <v>234</v>
      </c>
      <c r="L300" s="94">
        <v>3</v>
      </c>
      <c r="M300" s="94">
        <v>107</v>
      </c>
      <c r="N300" s="94">
        <v>1</v>
      </c>
      <c r="O300" s="94">
        <v>23</v>
      </c>
      <c r="P300" s="94" t="s">
        <v>107</v>
      </c>
      <c r="Q300" s="94" t="s">
        <v>150</v>
      </c>
      <c r="R300" s="94">
        <v>34</v>
      </c>
      <c r="S300" s="94">
        <v>131</v>
      </c>
      <c r="T300" s="94">
        <v>24</v>
      </c>
      <c r="U300" s="94">
        <v>263</v>
      </c>
      <c r="V300" s="94">
        <v>11</v>
      </c>
      <c r="W300" s="94">
        <v>71</v>
      </c>
      <c r="X300" s="94">
        <v>5</v>
      </c>
      <c r="Y300" s="94">
        <v>38</v>
      </c>
      <c r="Z300" s="94">
        <v>7</v>
      </c>
    </row>
    <row r="301" spans="1:26">
      <c r="A301" s="94" t="str">
        <f t="shared" si="5"/>
        <v>20191012ILL</v>
      </c>
      <c r="B301" s="94">
        <v>2019</v>
      </c>
      <c r="C301" s="94">
        <v>7</v>
      </c>
      <c r="D301" s="94">
        <v>20191012</v>
      </c>
      <c r="E301" s="94" t="s">
        <v>144</v>
      </c>
      <c r="F301" s="94" t="s">
        <v>60</v>
      </c>
      <c r="G301" s="94" t="s">
        <v>152</v>
      </c>
      <c r="H301" s="94">
        <v>42</v>
      </c>
      <c r="I301" s="94">
        <v>64</v>
      </c>
      <c r="J301" s="94">
        <v>29</v>
      </c>
      <c r="K301" s="94">
        <v>192</v>
      </c>
      <c r="L301" s="94">
        <v>0</v>
      </c>
      <c r="M301" s="94">
        <v>38</v>
      </c>
      <c r="N301" s="94">
        <v>2</v>
      </c>
      <c r="O301" s="94">
        <v>25</v>
      </c>
      <c r="P301" s="94" t="s">
        <v>78</v>
      </c>
      <c r="Q301" s="94" t="s">
        <v>152</v>
      </c>
      <c r="R301" s="94">
        <v>46</v>
      </c>
      <c r="S301" s="94">
        <v>300</v>
      </c>
      <c r="T301" s="94">
        <v>22</v>
      </c>
      <c r="U301" s="94">
        <v>194</v>
      </c>
      <c r="V301" s="94">
        <v>3</v>
      </c>
      <c r="W301" s="94">
        <v>20</v>
      </c>
      <c r="X301" s="94">
        <v>0</v>
      </c>
      <c r="Y301" s="94">
        <v>42</v>
      </c>
      <c r="Z301" s="94">
        <v>21.5</v>
      </c>
    </row>
    <row r="302" spans="1:26">
      <c r="A302" s="94" t="str">
        <f t="shared" si="5"/>
        <v>20191012IND</v>
      </c>
      <c r="B302" s="94">
        <v>2019</v>
      </c>
      <c r="C302" s="94">
        <v>7</v>
      </c>
      <c r="D302" s="94">
        <v>20191012</v>
      </c>
      <c r="E302" s="94" t="s">
        <v>144</v>
      </c>
      <c r="F302" s="94" t="s">
        <v>53</v>
      </c>
      <c r="G302" s="94" t="s">
        <v>152</v>
      </c>
      <c r="H302" s="94">
        <v>38</v>
      </c>
      <c r="I302" s="94">
        <v>260</v>
      </c>
      <c r="J302" s="94">
        <v>35</v>
      </c>
      <c r="K302" s="94">
        <v>297</v>
      </c>
      <c r="L302" s="94">
        <v>8</v>
      </c>
      <c r="M302" s="94">
        <v>13</v>
      </c>
      <c r="N302" s="94">
        <v>1</v>
      </c>
      <c r="O302" s="94">
        <v>35</v>
      </c>
      <c r="P302" s="94" t="s">
        <v>92</v>
      </c>
      <c r="Q302" s="94" t="s">
        <v>152</v>
      </c>
      <c r="R302" s="94">
        <v>33</v>
      </c>
      <c r="S302" s="94">
        <v>74</v>
      </c>
      <c r="T302" s="94">
        <v>13</v>
      </c>
      <c r="U302" s="94">
        <v>1</v>
      </c>
      <c r="V302" s="94">
        <v>0</v>
      </c>
      <c r="W302" s="94">
        <v>75</v>
      </c>
      <c r="X302" s="94">
        <v>2</v>
      </c>
      <c r="Y302" s="94">
        <v>0</v>
      </c>
      <c r="Z302" s="94">
        <v>28</v>
      </c>
    </row>
    <row r="303" spans="1:26">
      <c r="A303" s="94" t="str">
        <f t="shared" si="5"/>
        <v>20191012IOWA</v>
      </c>
      <c r="B303" s="94">
        <v>2019</v>
      </c>
      <c r="C303" s="94">
        <v>7</v>
      </c>
      <c r="D303" s="94">
        <v>20191012</v>
      </c>
      <c r="E303" s="94" t="s">
        <v>144</v>
      </c>
      <c r="F303" s="94" t="s">
        <v>62</v>
      </c>
      <c r="G303" s="94" t="s">
        <v>152</v>
      </c>
      <c r="H303" s="94">
        <v>30</v>
      </c>
      <c r="I303" s="94">
        <v>70</v>
      </c>
      <c r="J303" s="94">
        <v>43</v>
      </c>
      <c r="K303" s="94">
        <v>286</v>
      </c>
      <c r="L303" s="94">
        <v>0</v>
      </c>
      <c r="M303" s="94">
        <v>42</v>
      </c>
      <c r="N303" s="94">
        <v>0</v>
      </c>
      <c r="O303" s="94">
        <v>12</v>
      </c>
      <c r="P303" s="94" t="s">
        <v>89</v>
      </c>
      <c r="Q303" s="94" t="s">
        <v>152</v>
      </c>
      <c r="R303" s="94">
        <v>51</v>
      </c>
      <c r="S303" s="94">
        <v>191</v>
      </c>
      <c r="T303" s="94">
        <v>24</v>
      </c>
      <c r="U303" s="94">
        <v>117</v>
      </c>
      <c r="V303" s="94">
        <v>5</v>
      </c>
      <c r="W303" s="94">
        <v>48</v>
      </c>
      <c r="X303" s="94">
        <v>2</v>
      </c>
      <c r="Y303" s="94">
        <v>17</v>
      </c>
      <c r="Z303" s="94">
        <v>3.5</v>
      </c>
    </row>
    <row r="304" spans="1:26">
      <c r="A304" s="94" t="str">
        <f t="shared" si="5"/>
        <v>20191012KTKY</v>
      </c>
      <c r="B304" s="94">
        <v>2019</v>
      </c>
      <c r="C304" s="94">
        <v>7</v>
      </c>
      <c r="D304" s="94">
        <v>20191012</v>
      </c>
      <c r="E304" s="94" t="s">
        <v>144</v>
      </c>
      <c r="F304" s="94" t="s">
        <v>66</v>
      </c>
      <c r="G304" s="94" t="s">
        <v>147</v>
      </c>
      <c r="H304" s="94">
        <v>52</v>
      </c>
      <c r="I304" s="94">
        <v>333</v>
      </c>
      <c r="J304" s="94">
        <v>12</v>
      </c>
      <c r="K304" s="94">
        <v>88</v>
      </c>
      <c r="L304" s="94">
        <v>18</v>
      </c>
      <c r="M304" s="94">
        <v>48</v>
      </c>
      <c r="N304" s="94">
        <v>0</v>
      </c>
      <c r="O304" s="94">
        <v>24</v>
      </c>
      <c r="P304" s="94" t="s">
        <v>41</v>
      </c>
      <c r="Q304" s="94" t="s">
        <v>147</v>
      </c>
      <c r="R304" s="94">
        <v>30</v>
      </c>
      <c r="S304" s="94">
        <v>183</v>
      </c>
      <c r="T304" s="94">
        <v>27</v>
      </c>
      <c r="U304" s="94">
        <v>122</v>
      </c>
      <c r="V304" s="94">
        <v>26</v>
      </c>
      <c r="W304" s="94">
        <v>38</v>
      </c>
      <c r="X304" s="94">
        <v>1</v>
      </c>
      <c r="Y304" s="94">
        <v>20</v>
      </c>
      <c r="Z304" s="94">
        <v>6.5</v>
      </c>
    </row>
    <row r="305" spans="1:26">
      <c r="A305" s="94" t="str">
        <f t="shared" si="5"/>
        <v>20191012LSU</v>
      </c>
      <c r="B305" s="94">
        <v>2019</v>
      </c>
      <c r="C305" s="94">
        <v>7</v>
      </c>
      <c r="D305" s="94">
        <v>20191012</v>
      </c>
      <c r="E305" s="94" t="s">
        <v>144</v>
      </c>
      <c r="F305" s="94" t="s">
        <v>124</v>
      </c>
      <c r="G305" s="94" t="s">
        <v>147</v>
      </c>
      <c r="H305" s="94">
        <v>23</v>
      </c>
      <c r="I305" s="94">
        <v>219</v>
      </c>
      <c r="J305" s="94">
        <v>24</v>
      </c>
      <c r="K305" s="94">
        <v>293</v>
      </c>
      <c r="L305" s="94">
        <v>0</v>
      </c>
      <c r="M305" s="94">
        <v>20</v>
      </c>
      <c r="N305" s="94">
        <v>1</v>
      </c>
      <c r="O305" s="94">
        <v>42</v>
      </c>
      <c r="P305" s="94" t="s">
        <v>54</v>
      </c>
      <c r="Q305" s="94" t="s">
        <v>147</v>
      </c>
      <c r="R305" s="94">
        <v>40</v>
      </c>
      <c r="S305" s="94">
        <v>146</v>
      </c>
      <c r="T305" s="94">
        <v>43</v>
      </c>
      <c r="U305" s="94">
        <v>311</v>
      </c>
      <c r="V305" s="94">
        <v>0</v>
      </c>
      <c r="W305" s="94">
        <v>0</v>
      </c>
      <c r="X305" s="94">
        <v>0</v>
      </c>
      <c r="Y305" s="94">
        <v>28</v>
      </c>
      <c r="Z305" s="94">
        <v>14.5</v>
      </c>
    </row>
    <row r="306" spans="1:26">
      <c r="A306" s="94" t="str">
        <f t="shared" si="5"/>
        <v>20191012MIN</v>
      </c>
      <c r="B306" s="94">
        <v>2019</v>
      </c>
      <c r="C306" s="94">
        <v>7</v>
      </c>
      <c r="D306" s="94">
        <v>20191012</v>
      </c>
      <c r="E306" s="94" t="s">
        <v>144</v>
      </c>
      <c r="F306" s="94" t="s">
        <v>16</v>
      </c>
      <c r="G306" s="94" t="s">
        <v>152</v>
      </c>
      <c r="H306" s="94">
        <v>49</v>
      </c>
      <c r="I306" s="94">
        <v>322</v>
      </c>
      <c r="J306" s="94">
        <v>13</v>
      </c>
      <c r="K306" s="94">
        <v>128</v>
      </c>
      <c r="L306" s="94">
        <v>4</v>
      </c>
      <c r="M306" s="94">
        <v>32</v>
      </c>
      <c r="N306" s="94">
        <v>0</v>
      </c>
      <c r="O306" s="94">
        <v>34</v>
      </c>
      <c r="P306" s="94" t="s">
        <v>127</v>
      </c>
      <c r="Q306" s="94" t="s">
        <v>152</v>
      </c>
      <c r="R306" s="94">
        <v>43</v>
      </c>
      <c r="S306" s="94">
        <v>151</v>
      </c>
      <c r="T306" s="94">
        <v>29</v>
      </c>
      <c r="U306" s="94">
        <v>148</v>
      </c>
      <c r="V306" s="94">
        <v>7</v>
      </c>
      <c r="W306" s="94">
        <v>43</v>
      </c>
      <c r="X306" s="94">
        <v>0</v>
      </c>
      <c r="Y306" s="94">
        <v>7</v>
      </c>
      <c r="Z306" s="94">
        <v>7.5</v>
      </c>
    </row>
    <row r="307" spans="1:26">
      <c r="A307" s="94" t="str">
        <f t="shared" si="5"/>
        <v>20191012MIZ</v>
      </c>
      <c r="B307" s="94">
        <v>2019</v>
      </c>
      <c r="C307" s="94">
        <v>7</v>
      </c>
      <c r="D307" s="94">
        <v>20191012</v>
      </c>
      <c r="E307" s="94" t="s">
        <v>144</v>
      </c>
      <c r="F307" s="94" t="s">
        <v>73</v>
      </c>
      <c r="G307" s="94" t="s">
        <v>147</v>
      </c>
      <c r="H307" s="94">
        <v>42</v>
      </c>
      <c r="I307" s="94">
        <v>234</v>
      </c>
      <c r="J307" s="94">
        <v>35</v>
      </c>
      <c r="K307" s="94">
        <v>329</v>
      </c>
      <c r="L307" s="94">
        <v>10</v>
      </c>
      <c r="M307" s="94">
        <v>21</v>
      </c>
      <c r="N307" s="94">
        <v>1</v>
      </c>
      <c r="O307" s="94">
        <v>38</v>
      </c>
      <c r="P307" s="94" t="s">
        <v>126</v>
      </c>
      <c r="Q307" s="94" t="s">
        <v>147</v>
      </c>
      <c r="R307" s="94">
        <v>45</v>
      </c>
      <c r="S307" s="94">
        <v>204</v>
      </c>
      <c r="T307" s="94">
        <v>33</v>
      </c>
      <c r="U307" s="94">
        <v>236</v>
      </c>
      <c r="V307" s="94">
        <v>0</v>
      </c>
      <c r="W307" s="94">
        <v>0</v>
      </c>
      <c r="X307" s="94">
        <v>2</v>
      </c>
      <c r="Y307" s="94">
        <v>27</v>
      </c>
      <c r="Z307" s="94">
        <v>11.5</v>
      </c>
    </row>
    <row r="308" spans="1:26">
      <c r="A308" s="94" t="str">
        <f t="shared" si="5"/>
        <v>20191012MRSH</v>
      </c>
      <c r="B308" s="94">
        <v>2019</v>
      </c>
      <c r="C308" s="94">
        <v>7</v>
      </c>
      <c r="D308" s="94">
        <v>20191012</v>
      </c>
      <c r="E308" s="94" t="s">
        <v>144</v>
      </c>
      <c r="F308" s="94" t="s">
        <v>72</v>
      </c>
      <c r="G308" s="94" t="s">
        <v>153</v>
      </c>
      <c r="H308" s="94">
        <v>46</v>
      </c>
      <c r="I308" s="94">
        <v>236</v>
      </c>
      <c r="J308" s="94">
        <v>32</v>
      </c>
      <c r="K308" s="94">
        <v>208</v>
      </c>
      <c r="L308" s="94">
        <v>21</v>
      </c>
      <c r="M308" s="94">
        <v>23</v>
      </c>
      <c r="N308" s="94">
        <v>0</v>
      </c>
      <c r="O308" s="94">
        <v>31</v>
      </c>
      <c r="P308" s="94" t="s">
        <v>68</v>
      </c>
      <c r="Q308" s="94" t="s">
        <v>153</v>
      </c>
      <c r="R308" s="94">
        <v>36</v>
      </c>
      <c r="S308" s="94">
        <v>83</v>
      </c>
      <c r="T308" s="94">
        <v>16</v>
      </c>
      <c r="U308" s="94">
        <v>123</v>
      </c>
      <c r="V308" s="94">
        <v>21</v>
      </c>
      <c r="W308" s="94">
        <v>166</v>
      </c>
      <c r="X308" s="94">
        <v>0</v>
      </c>
      <c r="Y308" s="94">
        <v>17</v>
      </c>
      <c r="Z308" s="94">
        <v>14.5</v>
      </c>
    </row>
    <row r="309" spans="1:26">
      <c r="A309" s="94" t="str">
        <f t="shared" si="5"/>
        <v>20191012NEV</v>
      </c>
      <c r="B309" s="94">
        <v>2019</v>
      </c>
      <c r="C309" s="94">
        <v>7</v>
      </c>
      <c r="D309" s="94">
        <v>20191012</v>
      </c>
      <c r="E309" s="94" t="s">
        <v>144</v>
      </c>
      <c r="F309" s="94" t="s">
        <v>32</v>
      </c>
      <c r="G309" s="94" t="s">
        <v>148</v>
      </c>
      <c r="H309" s="94">
        <v>50</v>
      </c>
      <c r="I309" s="94">
        <v>189</v>
      </c>
      <c r="J309" s="94">
        <v>37</v>
      </c>
      <c r="K309" s="94">
        <v>352</v>
      </c>
      <c r="L309" s="94">
        <v>15</v>
      </c>
      <c r="M309" s="94">
        <v>93</v>
      </c>
      <c r="N309" s="94">
        <v>2</v>
      </c>
      <c r="O309" s="94">
        <v>41</v>
      </c>
      <c r="P309" s="94" t="s">
        <v>19</v>
      </c>
      <c r="Q309" s="94" t="s">
        <v>148</v>
      </c>
      <c r="R309" s="94">
        <v>15</v>
      </c>
      <c r="S309" s="94">
        <v>34</v>
      </c>
      <c r="T309" s="94">
        <v>45</v>
      </c>
      <c r="U309" s="94">
        <v>405</v>
      </c>
      <c r="V309" s="94">
        <v>17</v>
      </c>
      <c r="W309" s="94">
        <v>18</v>
      </c>
      <c r="X309" s="94">
        <v>3</v>
      </c>
      <c r="Y309" s="94">
        <v>38</v>
      </c>
      <c r="Z309" s="94">
        <v>2.5</v>
      </c>
    </row>
    <row r="310" spans="1:26">
      <c r="A310" s="94" t="str">
        <f t="shared" si="5"/>
        <v>20191012NOTD</v>
      </c>
      <c r="B310" s="94">
        <v>2019</v>
      </c>
      <c r="C310" s="94">
        <v>7</v>
      </c>
      <c r="D310" s="94">
        <v>20191012</v>
      </c>
      <c r="E310" s="94" t="s">
        <v>144</v>
      </c>
      <c r="F310" s="94" t="s">
        <v>77</v>
      </c>
      <c r="G310" s="94" t="s">
        <v>53</v>
      </c>
      <c r="H310" s="94">
        <v>48</v>
      </c>
      <c r="I310" s="94">
        <v>308</v>
      </c>
      <c r="J310" s="94">
        <v>32</v>
      </c>
      <c r="K310" s="94">
        <v>165</v>
      </c>
      <c r="L310" s="94">
        <v>0</v>
      </c>
      <c r="M310" s="94">
        <v>48</v>
      </c>
      <c r="N310" s="94">
        <v>0</v>
      </c>
      <c r="O310" s="94">
        <v>30</v>
      </c>
      <c r="P310" s="94" t="s">
        <v>108</v>
      </c>
      <c r="Q310" s="94" t="s">
        <v>151</v>
      </c>
      <c r="R310" s="94">
        <v>35</v>
      </c>
      <c r="S310" s="94">
        <v>171</v>
      </c>
      <c r="T310" s="94">
        <v>35</v>
      </c>
      <c r="U310" s="94">
        <v>255</v>
      </c>
      <c r="V310" s="94">
        <v>16</v>
      </c>
      <c r="W310" s="94">
        <v>68</v>
      </c>
      <c r="X310" s="94">
        <v>0</v>
      </c>
      <c r="Y310" s="94">
        <v>27</v>
      </c>
      <c r="Z310" s="94">
        <v>10.5</v>
      </c>
    </row>
    <row r="311" spans="1:26">
      <c r="A311" s="94" t="str">
        <f t="shared" si="5"/>
        <v>20191012OHU</v>
      </c>
      <c r="B311" s="94">
        <v>2019</v>
      </c>
      <c r="C311" s="94">
        <v>7</v>
      </c>
      <c r="D311" s="94">
        <v>20191012</v>
      </c>
      <c r="E311" s="94" t="s">
        <v>144</v>
      </c>
      <c r="F311" s="94" t="s">
        <v>83</v>
      </c>
      <c r="G311" s="94" t="s">
        <v>149</v>
      </c>
      <c r="H311" s="94">
        <v>34</v>
      </c>
      <c r="I311" s="94">
        <v>178</v>
      </c>
      <c r="J311" s="94">
        <v>33</v>
      </c>
      <c r="K311" s="94">
        <v>260</v>
      </c>
      <c r="L311" s="94">
        <v>17</v>
      </c>
      <c r="M311" s="94">
        <v>157</v>
      </c>
      <c r="N311" s="94">
        <v>1</v>
      </c>
      <c r="O311" s="94">
        <v>36</v>
      </c>
      <c r="P311" s="94" t="s">
        <v>63</v>
      </c>
      <c r="Q311" s="94" t="s">
        <v>149</v>
      </c>
      <c r="R311" s="94">
        <v>31</v>
      </c>
      <c r="S311" s="94">
        <v>169</v>
      </c>
      <c r="T311" s="94">
        <v>40</v>
      </c>
      <c r="U311" s="94">
        <v>341</v>
      </c>
      <c r="V311" s="94">
        <v>23</v>
      </c>
      <c r="W311" s="94">
        <v>0</v>
      </c>
      <c r="X311" s="94">
        <v>0</v>
      </c>
      <c r="Y311" s="94">
        <v>39</v>
      </c>
      <c r="Z311" s="94">
        <v>4.5</v>
      </c>
    </row>
    <row r="312" spans="1:26">
      <c r="A312" s="94" t="str">
        <f t="shared" si="5"/>
        <v>20191012ORST</v>
      </c>
      <c r="B312" s="94">
        <v>2019</v>
      </c>
      <c r="C312" s="94">
        <v>7</v>
      </c>
      <c r="D312" s="94">
        <v>20191012</v>
      </c>
      <c r="E312" s="94" t="s">
        <v>144</v>
      </c>
      <c r="F312" s="94" t="s">
        <v>82</v>
      </c>
      <c r="G312" s="94" t="s">
        <v>151</v>
      </c>
      <c r="H312" s="94">
        <v>22</v>
      </c>
      <c r="I312" s="94">
        <v>48</v>
      </c>
      <c r="J312" s="94">
        <v>42</v>
      </c>
      <c r="K312" s="94">
        <v>169</v>
      </c>
      <c r="L312" s="94">
        <v>0</v>
      </c>
      <c r="M312" s="94">
        <v>94</v>
      </c>
      <c r="N312" s="94">
        <v>1</v>
      </c>
      <c r="O312" s="94">
        <v>7</v>
      </c>
      <c r="P312" s="94" t="s">
        <v>24</v>
      </c>
      <c r="Q312" s="94" t="s">
        <v>151</v>
      </c>
      <c r="R312" s="94">
        <v>42</v>
      </c>
      <c r="S312" s="94">
        <v>256</v>
      </c>
      <c r="T312" s="94">
        <v>18</v>
      </c>
      <c r="U312" s="94">
        <v>247</v>
      </c>
      <c r="V312" s="94">
        <v>1</v>
      </c>
      <c r="W312" s="94">
        <v>27</v>
      </c>
      <c r="X312" s="94">
        <v>1</v>
      </c>
      <c r="Y312" s="94">
        <v>52</v>
      </c>
      <c r="Z312" s="94">
        <v>15</v>
      </c>
    </row>
    <row r="313" spans="1:26">
      <c r="A313" s="94" t="str">
        <f t="shared" si="5"/>
        <v>20191012PUR</v>
      </c>
      <c r="B313" s="94">
        <v>2019</v>
      </c>
      <c r="C313" s="94">
        <v>7</v>
      </c>
      <c r="D313" s="94">
        <v>20191012</v>
      </c>
      <c r="E313" s="94" t="s">
        <v>144</v>
      </c>
      <c r="F313" s="94" t="s">
        <v>17</v>
      </c>
      <c r="G313" s="94" t="s">
        <v>152</v>
      </c>
      <c r="H313" s="94">
        <v>37</v>
      </c>
      <c r="I313" s="94">
        <v>127</v>
      </c>
      <c r="J313" s="94">
        <v>41</v>
      </c>
      <c r="K313" s="94">
        <v>420</v>
      </c>
      <c r="L313" s="94">
        <v>5</v>
      </c>
      <c r="M313" s="94">
        <v>11</v>
      </c>
      <c r="N313" s="94">
        <v>2</v>
      </c>
      <c r="O313" s="94">
        <v>40</v>
      </c>
      <c r="P313" s="94" t="s">
        <v>121</v>
      </c>
      <c r="Q313" s="94" t="s">
        <v>152</v>
      </c>
      <c r="R313" s="94">
        <v>26</v>
      </c>
      <c r="S313" s="94">
        <v>185</v>
      </c>
      <c r="T313" s="94">
        <v>39</v>
      </c>
      <c r="U313" s="94">
        <v>218</v>
      </c>
      <c r="V313" s="94">
        <v>0</v>
      </c>
      <c r="W313" s="94">
        <v>84</v>
      </c>
      <c r="X313" s="94">
        <v>1</v>
      </c>
      <c r="Y313" s="94">
        <v>14</v>
      </c>
      <c r="Z313" s="94">
        <v>3.5</v>
      </c>
    </row>
    <row r="314" spans="1:26">
      <c r="A314" s="94" t="str">
        <f t="shared" si="5"/>
        <v>20191012SDST</v>
      </c>
      <c r="B314" s="94">
        <v>2019</v>
      </c>
      <c r="C314" s="94">
        <v>7</v>
      </c>
      <c r="D314" s="94">
        <v>20191012</v>
      </c>
      <c r="E314" s="94" t="s">
        <v>144</v>
      </c>
      <c r="F314" s="94" t="s">
        <v>34</v>
      </c>
      <c r="G314" s="94" t="s">
        <v>148</v>
      </c>
      <c r="H314" s="94">
        <v>36</v>
      </c>
      <c r="I314" s="94">
        <v>120</v>
      </c>
      <c r="J314" s="94">
        <v>32</v>
      </c>
      <c r="K314" s="94">
        <v>209</v>
      </c>
      <c r="L314" s="94">
        <v>63</v>
      </c>
      <c r="M314" s="94">
        <v>21</v>
      </c>
      <c r="N314" s="94">
        <v>1</v>
      </c>
      <c r="O314" s="94">
        <v>26</v>
      </c>
      <c r="P314" s="94" t="s">
        <v>10</v>
      </c>
      <c r="Q314" s="94" t="s">
        <v>148</v>
      </c>
      <c r="R314" s="94">
        <v>39</v>
      </c>
      <c r="S314" s="94">
        <v>157</v>
      </c>
      <c r="T314" s="94">
        <v>14</v>
      </c>
      <c r="U314" s="94">
        <v>109</v>
      </c>
      <c r="V314" s="94">
        <v>28</v>
      </c>
      <c r="W314" s="94">
        <v>0</v>
      </c>
      <c r="X314" s="94">
        <v>1</v>
      </c>
      <c r="Y314" s="94">
        <v>22</v>
      </c>
      <c r="Z314" s="94">
        <v>4</v>
      </c>
    </row>
    <row r="315" spans="1:26">
      <c r="A315" s="94" t="str">
        <f t="shared" si="5"/>
        <v>20191012SFL</v>
      </c>
      <c r="B315" s="94">
        <v>2019</v>
      </c>
      <c r="C315" s="94">
        <v>7</v>
      </c>
      <c r="D315" s="94">
        <v>20191012</v>
      </c>
      <c r="E315" s="94" t="s">
        <v>144</v>
      </c>
      <c r="F315" s="94" t="s">
        <v>98</v>
      </c>
      <c r="G315" s="94" t="s">
        <v>150</v>
      </c>
      <c r="H315" s="94">
        <v>44</v>
      </c>
      <c r="I315" s="94">
        <v>243</v>
      </c>
      <c r="J315" s="94">
        <v>14</v>
      </c>
      <c r="K315" s="94">
        <v>72</v>
      </c>
      <c r="L315" s="94">
        <v>22</v>
      </c>
      <c r="M315" s="94">
        <v>151</v>
      </c>
      <c r="N315" s="94">
        <v>0</v>
      </c>
      <c r="O315" s="94">
        <v>27</v>
      </c>
      <c r="P315" s="94" t="s">
        <v>43</v>
      </c>
      <c r="Q315" s="94" t="s">
        <v>53</v>
      </c>
      <c r="R315" s="94">
        <v>55</v>
      </c>
      <c r="S315" s="94">
        <v>233</v>
      </c>
      <c r="T315" s="94">
        <v>33</v>
      </c>
      <c r="U315" s="94">
        <v>221</v>
      </c>
      <c r="V315" s="94">
        <v>26</v>
      </c>
      <c r="W315" s="94">
        <v>70</v>
      </c>
      <c r="X315" s="94">
        <v>2</v>
      </c>
      <c r="Y315" s="94">
        <v>23</v>
      </c>
      <c r="Z315" s="94">
        <v>4</v>
      </c>
    </row>
    <row r="316" spans="1:26">
      <c r="A316" s="94" t="str">
        <f t="shared" si="5"/>
        <v>20191012SMIS</v>
      </c>
      <c r="B316" s="94">
        <v>2019</v>
      </c>
      <c r="C316" s="94">
        <v>7</v>
      </c>
      <c r="D316" s="94">
        <v>20191012</v>
      </c>
      <c r="E316" s="94" t="s">
        <v>144</v>
      </c>
      <c r="F316" s="94" t="s">
        <v>99</v>
      </c>
      <c r="G316" s="94" t="s">
        <v>153</v>
      </c>
      <c r="H316" s="94">
        <v>37</v>
      </c>
      <c r="I316" s="94">
        <v>142</v>
      </c>
      <c r="J316" s="94">
        <v>36</v>
      </c>
      <c r="K316" s="94">
        <v>421</v>
      </c>
      <c r="L316" s="94">
        <v>3</v>
      </c>
      <c r="M316" s="94">
        <v>1</v>
      </c>
      <c r="N316" s="94">
        <v>2</v>
      </c>
      <c r="O316" s="94">
        <v>45</v>
      </c>
      <c r="P316" s="94" t="s">
        <v>79</v>
      </c>
      <c r="Q316" s="94" t="s">
        <v>153</v>
      </c>
      <c r="R316" s="94">
        <v>32</v>
      </c>
      <c r="S316" s="94">
        <v>122</v>
      </c>
      <c r="T316" s="94">
        <v>31</v>
      </c>
      <c r="U316" s="94">
        <v>256</v>
      </c>
      <c r="V316" s="94">
        <v>0</v>
      </c>
      <c r="W316" s="94">
        <v>112</v>
      </c>
      <c r="X316" s="94">
        <v>0</v>
      </c>
      <c r="Y316" s="94">
        <v>27</v>
      </c>
      <c r="Z316" s="94">
        <v>3</v>
      </c>
    </row>
    <row r="317" spans="1:26">
      <c r="A317" s="94" t="str">
        <f t="shared" si="5"/>
        <v>20191012TEM</v>
      </c>
      <c r="B317" s="94">
        <v>2019</v>
      </c>
      <c r="C317" s="94">
        <v>7</v>
      </c>
      <c r="D317" s="94">
        <v>20191012</v>
      </c>
      <c r="E317" s="94" t="s">
        <v>144</v>
      </c>
      <c r="F317" s="94" t="s">
        <v>101</v>
      </c>
      <c r="G317" s="94" t="s">
        <v>150</v>
      </c>
      <c r="H317" s="94">
        <v>48</v>
      </c>
      <c r="I317" s="94">
        <v>193</v>
      </c>
      <c r="J317" s="94">
        <v>37</v>
      </c>
      <c r="K317" s="94">
        <v>263</v>
      </c>
      <c r="L317" s="94">
        <v>0</v>
      </c>
      <c r="M317" s="94">
        <v>61</v>
      </c>
      <c r="N317" s="94">
        <v>4</v>
      </c>
      <c r="O317" s="94">
        <v>30</v>
      </c>
      <c r="P317" s="94" t="s">
        <v>70</v>
      </c>
      <c r="Q317" s="94" t="s">
        <v>150</v>
      </c>
      <c r="R317" s="94">
        <v>33</v>
      </c>
      <c r="S317" s="94">
        <v>129</v>
      </c>
      <c r="T317" s="94">
        <v>44</v>
      </c>
      <c r="U317" s="94">
        <v>363</v>
      </c>
      <c r="V317" s="94">
        <v>0</v>
      </c>
      <c r="W317" s="94">
        <v>0</v>
      </c>
      <c r="X317" s="94">
        <v>2</v>
      </c>
      <c r="Y317" s="94">
        <v>28</v>
      </c>
      <c r="Z317" s="94">
        <v>3.5</v>
      </c>
    </row>
    <row r="318" spans="1:26">
      <c r="A318" s="94" t="str">
        <f t="shared" si="5"/>
        <v>20191012TEN</v>
      </c>
      <c r="B318" s="94">
        <v>2019</v>
      </c>
      <c r="C318" s="94">
        <v>7</v>
      </c>
      <c r="D318" s="94">
        <v>20191012</v>
      </c>
      <c r="E318" s="94" t="s">
        <v>144</v>
      </c>
      <c r="F318" s="94" t="s">
        <v>129</v>
      </c>
      <c r="G318" s="94" t="s">
        <v>147</v>
      </c>
      <c r="H318" s="94">
        <v>44</v>
      </c>
      <c r="I318" s="94">
        <v>190</v>
      </c>
      <c r="J318" s="94">
        <v>14</v>
      </c>
      <c r="K318" s="94">
        <v>167</v>
      </c>
      <c r="L318" s="94">
        <v>13</v>
      </c>
      <c r="M318" s="94">
        <v>14</v>
      </c>
      <c r="N318" s="94">
        <v>3</v>
      </c>
      <c r="O318" s="94">
        <v>20</v>
      </c>
      <c r="P318" s="94" t="s">
        <v>74</v>
      </c>
      <c r="Q318" s="94" t="s">
        <v>147</v>
      </c>
      <c r="R318" s="94">
        <v>37</v>
      </c>
      <c r="S318" s="94">
        <v>121</v>
      </c>
      <c r="T318" s="94">
        <v>21</v>
      </c>
      <c r="U318" s="94">
        <v>146</v>
      </c>
      <c r="V318" s="94">
        <v>0</v>
      </c>
      <c r="W318" s="94">
        <v>9</v>
      </c>
      <c r="X318" s="94">
        <v>2</v>
      </c>
      <c r="Y318" s="94">
        <v>10</v>
      </c>
      <c r="Z318" s="94">
        <v>5.5</v>
      </c>
    </row>
    <row r="319" spans="1:26">
      <c r="A319" s="94" t="str">
        <f t="shared" si="5"/>
        <v>20191012TLN</v>
      </c>
      <c r="B319" s="94">
        <v>2019</v>
      </c>
      <c r="C319" s="94">
        <v>7</v>
      </c>
      <c r="D319" s="94">
        <v>20191012</v>
      </c>
      <c r="E319" s="94" t="s">
        <v>144</v>
      </c>
      <c r="F319" s="94" t="s">
        <v>20</v>
      </c>
      <c r="G319" s="94" t="s">
        <v>150</v>
      </c>
      <c r="H319" s="94">
        <v>46</v>
      </c>
      <c r="I319" s="94">
        <v>311</v>
      </c>
      <c r="J319" s="94">
        <v>34</v>
      </c>
      <c r="K319" s="94">
        <v>323</v>
      </c>
      <c r="L319" s="94">
        <v>34</v>
      </c>
      <c r="M319" s="94">
        <v>0</v>
      </c>
      <c r="N319" s="94">
        <v>1</v>
      </c>
      <c r="O319" s="94">
        <v>49</v>
      </c>
      <c r="P319" s="94" t="s">
        <v>13</v>
      </c>
      <c r="Q319" s="94" t="s">
        <v>150</v>
      </c>
      <c r="R319" s="94">
        <v>29</v>
      </c>
      <c r="S319" s="94">
        <v>100</v>
      </c>
      <c r="T319" s="94">
        <v>31</v>
      </c>
      <c r="U319" s="94">
        <v>134</v>
      </c>
      <c r="V319" s="94">
        <v>0</v>
      </c>
      <c r="W319" s="94">
        <v>68</v>
      </c>
      <c r="X319" s="94">
        <v>0</v>
      </c>
      <c r="Y319" s="94">
        <v>7</v>
      </c>
      <c r="Z319" s="94">
        <v>34</v>
      </c>
    </row>
    <row r="320" spans="1:26">
      <c r="A320" s="94" t="str">
        <f t="shared" si="5"/>
        <v>20191012TLS</v>
      </c>
      <c r="B320" s="94">
        <v>2019</v>
      </c>
      <c r="C320" s="94">
        <v>7</v>
      </c>
      <c r="D320" s="94">
        <v>20191012</v>
      </c>
      <c r="E320" s="94" t="s">
        <v>144</v>
      </c>
      <c r="F320" s="94" t="s">
        <v>102</v>
      </c>
      <c r="G320" s="94" t="s">
        <v>150</v>
      </c>
      <c r="H320" s="94">
        <v>29</v>
      </c>
      <c r="I320" s="94">
        <v>69</v>
      </c>
      <c r="J320" s="94">
        <v>49</v>
      </c>
      <c r="K320" s="94">
        <v>254</v>
      </c>
      <c r="L320" s="94">
        <v>0</v>
      </c>
      <c r="M320" s="94">
        <v>62</v>
      </c>
      <c r="N320" s="94">
        <v>1</v>
      </c>
      <c r="O320" s="94">
        <v>17</v>
      </c>
      <c r="P320" s="94" t="s">
        <v>59</v>
      </c>
      <c r="Q320" s="94" t="s">
        <v>150</v>
      </c>
      <c r="R320" s="94">
        <v>58</v>
      </c>
      <c r="S320" s="94">
        <v>388</v>
      </c>
      <c r="T320" s="94">
        <v>5</v>
      </c>
      <c r="U320" s="94">
        <v>35</v>
      </c>
      <c r="V320" s="94">
        <v>26</v>
      </c>
      <c r="W320" s="94">
        <v>30</v>
      </c>
      <c r="X320" s="94">
        <v>0</v>
      </c>
      <c r="Y320" s="94">
        <v>45</v>
      </c>
      <c r="Z320" s="94">
        <v>1</v>
      </c>
    </row>
    <row r="321" spans="1:26">
      <c r="A321" s="94" t="str">
        <f t="shared" si="5"/>
        <v>20191012TXAM</v>
      </c>
      <c r="B321" s="94">
        <v>2019</v>
      </c>
      <c r="C321" s="94">
        <v>7</v>
      </c>
      <c r="D321" s="94">
        <v>20191012</v>
      </c>
      <c r="E321" s="94" t="s">
        <v>144</v>
      </c>
      <c r="F321" s="94" t="s">
        <v>22</v>
      </c>
      <c r="G321" s="94" t="s">
        <v>147</v>
      </c>
      <c r="H321" s="94">
        <v>28</v>
      </c>
      <c r="I321" s="94">
        <v>125</v>
      </c>
      <c r="J321" s="94">
        <v>42</v>
      </c>
      <c r="K321" s="94">
        <v>264</v>
      </c>
      <c r="L321" s="94">
        <v>10</v>
      </c>
      <c r="M321" s="94">
        <v>14</v>
      </c>
      <c r="N321" s="94">
        <v>1</v>
      </c>
      <c r="O321" s="94">
        <v>28</v>
      </c>
      <c r="P321" s="94" t="s">
        <v>119</v>
      </c>
      <c r="Q321" s="94" t="s">
        <v>147</v>
      </c>
      <c r="R321" s="94">
        <v>31</v>
      </c>
      <c r="S321" s="94">
        <v>155</v>
      </c>
      <c r="T321" s="94">
        <v>34</v>
      </c>
      <c r="U321" s="94">
        <v>293</v>
      </c>
      <c r="V321" s="94">
        <v>152</v>
      </c>
      <c r="W321" s="94">
        <v>159</v>
      </c>
      <c r="X321" s="94">
        <v>1</v>
      </c>
      <c r="Y321" s="94">
        <v>47</v>
      </c>
      <c r="Z321" s="94">
        <v>17</v>
      </c>
    </row>
    <row r="322" spans="1:26">
      <c r="A322" s="94" t="str">
        <f t="shared" si="5"/>
        <v>20191012VAN</v>
      </c>
      <c r="B322" s="94">
        <v>2019</v>
      </c>
      <c r="C322" s="94">
        <v>7</v>
      </c>
      <c r="D322" s="94">
        <v>20191012</v>
      </c>
      <c r="E322" s="94" t="s">
        <v>144</v>
      </c>
      <c r="F322" s="94" t="s">
        <v>111</v>
      </c>
      <c r="G322" s="94" t="s">
        <v>147</v>
      </c>
      <c r="H322" s="94">
        <v>22</v>
      </c>
      <c r="I322" s="94">
        <v>166</v>
      </c>
      <c r="J322" s="94">
        <v>41</v>
      </c>
      <c r="K322" s="94">
        <v>140</v>
      </c>
      <c r="L322" s="94">
        <v>14</v>
      </c>
      <c r="M322" s="94">
        <v>139</v>
      </c>
      <c r="N322" s="94">
        <v>1</v>
      </c>
      <c r="O322" s="94">
        <v>10</v>
      </c>
      <c r="P322" s="94" t="s">
        <v>109</v>
      </c>
      <c r="Q322" s="94" t="s">
        <v>148</v>
      </c>
      <c r="R322" s="94">
        <v>53</v>
      </c>
      <c r="S322" s="94">
        <v>206</v>
      </c>
      <c r="T322" s="94">
        <v>16</v>
      </c>
      <c r="U322" s="94">
        <v>172</v>
      </c>
      <c r="V322" s="94">
        <v>0</v>
      </c>
      <c r="W322" s="94">
        <v>21</v>
      </c>
      <c r="X322" s="94">
        <v>2</v>
      </c>
      <c r="Y322" s="94">
        <v>34</v>
      </c>
      <c r="Z322" s="94">
        <v>15.5</v>
      </c>
    </row>
    <row r="323" spans="1:26">
      <c r="A323" s="94" t="str">
        <f t="shared" si="5"/>
        <v>20191012WAKE</v>
      </c>
      <c r="B323" s="94">
        <v>2019</v>
      </c>
      <c r="C323" s="94">
        <v>7</v>
      </c>
      <c r="D323" s="94">
        <v>20191012</v>
      </c>
      <c r="E323" s="94" t="s">
        <v>144</v>
      </c>
      <c r="F323" s="94" t="s">
        <v>21</v>
      </c>
      <c r="G323" s="94" t="s">
        <v>146</v>
      </c>
      <c r="H323" s="94">
        <v>46</v>
      </c>
      <c r="I323" s="94">
        <v>245</v>
      </c>
      <c r="J323" s="94">
        <v>56</v>
      </c>
      <c r="K323" s="94">
        <v>423</v>
      </c>
      <c r="L323" s="94">
        <v>0</v>
      </c>
      <c r="M323" s="94">
        <v>120</v>
      </c>
      <c r="N323" s="94">
        <v>2</v>
      </c>
      <c r="O323" s="94">
        <v>59</v>
      </c>
      <c r="P323" s="94" t="s">
        <v>123</v>
      </c>
      <c r="Q323" s="94" t="s">
        <v>146</v>
      </c>
      <c r="R323" s="94">
        <v>44</v>
      </c>
      <c r="S323" s="94">
        <v>225</v>
      </c>
      <c r="T323" s="94">
        <v>25</v>
      </c>
      <c r="U323" s="94">
        <v>295</v>
      </c>
      <c r="V323" s="94">
        <v>50</v>
      </c>
      <c r="W323" s="94">
        <v>230</v>
      </c>
      <c r="X323" s="94">
        <v>3</v>
      </c>
      <c r="Y323" s="94">
        <v>62</v>
      </c>
      <c r="Z323" s="94">
        <v>6</v>
      </c>
    </row>
    <row r="324" spans="1:26">
      <c r="A324" s="94" t="str">
        <f t="shared" si="5"/>
        <v>20191012WIS</v>
      </c>
      <c r="B324" s="94">
        <v>2019</v>
      </c>
      <c r="C324" s="94">
        <v>7</v>
      </c>
      <c r="D324" s="94">
        <v>20191012</v>
      </c>
      <c r="E324" s="94" t="s">
        <v>144</v>
      </c>
      <c r="F324" s="94" t="s">
        <v>35</v>
      </c>
      <c r="G324" s="94" t="s">
        <v>152</v>
      </c>
      <c r="H324" s="94">
        <v>45</v>
      </c>
      <c r="I324" s="94">
        <v>223</v>
      </c>
      <c r="J324" s="94">
        <v>21</v>
      </c>
      <c r="K324" s="94">
        <v>180</v>
      </c>
      <c r="L324" s="94">
        <v>9</v>
      </c>
      <c r="M324" s="94">
        <v>38</v>
      </c>
      <c r="N324" s="94">
        <v>2</v>
      </c>
      <c r="O324" s="94">
        <v>38</v>
      </c>
      <c r="P324" s="94" t="s">
        <v>30</v>
      </c>
      <c r="Q324" s="94" t="s">
        <v>152</v>
      </c>
      <c r="R324" s="94">
        <v>21</v>
      </c>
      <c r="S324" s="94">
        <v>30</v>
      </c>
      <c r="T324" s="94">
        <v>30</v>
      </c>
      <c r="U324" s="94">
        <v>119</v>
      </c>
      <c r="V324" s="94">
        <v>1</v>
      </c>
      <c r="W324" s="94">
        <v>18</v>
      </c>
      <c r="X324" s="94">
        <v>0</v>
      </c>
      <c r="Y324" s="94">
        <v>0</v>
      </c>
      <c r="Z324" s="94">
        <v>10</v>
      </c>
    </row>
    <row r="325" spans="1:26">
      <c r="A325" s="94" t="str">
        <f t="shared" si="5"/>
        <v>20191012WKY</v>
      </c>
      <c r="B325" s="94">
        <v>2019</v>
      </c>
      <c r="C325" s="94">
        <v>7</v>
      </c>
      <c r="D325" s="94">
        <v>20191012</v>
      </c>
      <c r="E325" s="94" t="s">
        <v>144</v>
      </c>
      <c r="F325" s="94" t="s">
        <v>36</v>
      </c>
      <c r="G325" s="94" t="s">
        <v>153</v>
      </c>
      <c r="H325" s="94">
        <v>51</v>
      </c>
      <c r="I325" s="94">
        <v>225</v>
      </c>
      <c r="J325" s="94">
        <v>30</v>
      </c>
      <c r="K325" s="94">
        <v>140</v>
      </c>
      <c r="L325" s="94">
        <v>7</v>
      </c>
      <c r="M325" s="94">
        <v>16</v>
      </c>
      <c r="N325" s="94">
        <v>0</v>
      </c>
      <c r="O325" s="94">
        <v>17</v>
      </c>
      <c r="P325" s="94" t="s">
        <v>28</v>
      </c>
      <c r="Q325" s="94" t="s">
        <v>53</v>
      </c>
      <c r="R325" s="94">
        <v>36</v>
      </c>
      <c r="S325" s="94">
        <v>137</v>
      </c>
      <c r="T325" s="94">
        <v>12</v>
      </c>
      <c r="U325" s="94">
        <v>71</v>
      </c>
      <c r="V325" s="94">
        <v>5</v>
      </c>
      <c r="W325" s="94">
        <v>0</v>
      </c>
      <c r="X325" s="94">
        <v>0</v>
      </c>
      <c r="Y325" s="94">
        <v>8</v>
      </c>
      <c r="Z325" s="94">
        <v>5</v>
      </c>
    </row>
    <row r="326" spans="1:26">
      <c r="A326" s="94" t="str">
        <f t="shared" ref="A326:A389" si="6">D326&amp;F326</f>
        <v>20191012WMCH</v>
      </c>
      <c r="B326" s="94">
        <v>2019</v>
      </c>
      <c r="C326" s="94">
        <v>7</v>
      </c>
      <c r="D326" s="94">
        <v>20191012</v>
      </c>
      <c r="E326" s="94" t="s">
        <v>144</v>
      </c>
      <c r="F326" s="94" t="s">
        <v>37</v>
      </c>
      <c r="G326" s="94" t="s">
        <v>149</v>
      </c>
      <c r="H326" s="94">
        <v>40</v>
      </c>
      <c r="I326" s="94">
        <v>173</v>
      </c>
      <c r="J326" s="94">
        <v>25</v>
      </c>
      <c r="K326" s="94">
        <v>137</v>
      </c>
      <c r="L326" s="94">
        <v>7</v>
      </c>
      <c r="M326" s="94">
        <v>17</v>
      </c>
      <c r="N326" s="94">
        <v>3</v>
      </c>
      <c r="O326" s="94">
        <v>38</v>
      </c>
      <c r="P326" s="94" t="s">
        <v>71</v>
      </c>
      <c r="Q326" s="94" t="s">
        <v>149</v>
      </c>
      <c r="R326" s="94">
        <v>34</v>
      </c>
      <c r="S326" s="94">
        <v>105</v>
      </c>
      <c r="T326" s="94">
        <v>46</v>
      </c>
      <c r="U326" s="94">
        <v>260</v>
      </c>
      <c r="V326" s="94">
        <v>1</v>
      </c>
      <c r="W326" s="94">
        <v>12</v>
      </c>
      <c r="X326" s="94">
        <v>1</v>
      </c>
      <c r="Y326" s="94">
        <v>16</v>
      </c>
      <c r="Z326" s="94">
        <v>13</v>
      </c>
    </row>
    <row r="327" spans="1:26">
      <c r="A327" s="94" t="str">
        <f t="shared" si="6"/>
        <v>20191012WVA</v>
      </c>
      <c r="B327" s="94">
        <v>2019</v>
      </c>
      <c r="C327" s="94">
        <v>7</v>
      </c>
      <c r="D327" s="94">
        <v>20191012</v>
      </c>
      <c r="E327" s="94" t="s">
        <v>144</v>
      </c>
      <c r="F327" s="94" t="s">
        <v>133</v>
      </c>
      <c r="G327" s="94" t="s">
        <v>209</v>
      </c>
      <c r="H327" s="94">
        <v>28</v>
      </c>
      <c r="I327" s="94">
        <v>41</v>
      </c>
      <c r="J327" s="94">
        <v>25</v>
      </c>
      <c r="K327" s="94">
        <v>149</v>
      </c>
      <c r="L327" s="94">
        <v>0</v>
      </c>
      <c r="M327" s="94">
        <v>110</v>
      </c>
      <c r="N327" s="94">
        <v>1</v>
      </c>
      <c r="O327" s="94">
        <v>14</v>
      </c>
      <c r="P327" s="94" t="s">
        <v>122</v>
      </c>
      <c r="Q327" s="94" t="s">
        <v>209</v>
      </c>
      <c r="R327" s="94">
        <v>40</v>
      </c>
      <c r="S327" s="94">
        <v>146</v>
      </c>
      <c r="T327" s="94">
        <v>30</v>
      </c>
      <c r="U327" s="94">
        <v>229</v>
      </c>
      <c r="V327" s="94">
        <v>0</v>
      </c>
      <c r="W327" s="94">
        <v>0</v>
      </c>
      <c r="X327" s="94">
        <v>3</v>
      </c>
      <c r="Y327" s="94">
        <v>38</v>
      </c>
      <c r="Z327" s="94">
        <v>10.5</v>
      </c>
    </row>
    <row r="328" spans="1:26">
      <c r="A328" s="94" t="str">
        <f t="shared" si="6"/>
        <v>20191012UTSA</v>
      </c>
      <c r="B328" s="94">
        <v>2019</v>
      </c>
      <c r="C328" s="94">
        <v>7</v>
      </c>
      <c r="D328" s="94">
        <v>20191012</v>
      </c>
      <c r="E328" s="94" t="s">
        <v>144</v>
      </c>
      <c r="F328" s="94" t="s">
        <v>206</v>
      </c>
      <c r="G328" s="94" t="s">
        <v>153</v>
      </c>
      <c r="H328" s="94">
        <v>34</v>
      </c>
      <c r="I328" s="94">
        <v>130</v>
      </c>
      <c r="J328" s="94">
        <v>20</v>
      </c>
      <c r="K328" s="94">
        <v>94</v>
      </c>
      <c r="L328" s="94">
        <v>0</v>
      </c>
      <c r="M328" s="94">
        <v>91</v>
      </c>
      <c r="N328" s="94">
        <v>2</v>
      </c>
      <c r="O328" s="94">
        <v>14</v>
      </c>
      <c r="P328" s="94" t="s">
        <v>23</v>
      </c>
      <c r="Q328" s="94" t="s">
        <v>153</v>
      </c>
      <c r="R328" s="94">
        <v>39</v>
      </c>
      <c r="S328" s="94">
        <v>202</v>
      </c>
      <c r="T328" s="94">
        <v>26</v>
      </c>
      <c r="U328" s="94">
        <v>294</v>
      </c>
      <c r="V328" s="94">
        <v>19</v>
      </c>
      <c r="W328" s="94">
        <v>24</v>
      </c>
      <c r="X328" s="94">
        <v>2</v>
      </c>
      <c r="Y328" s="94">
        <v>33</v>
      </c>
      <c r="Z328" s="94">
        <v>12</v>
      </c>
    </row>
    <row r="329" spans="1:26">
      <c r="A329" s="94" t="str">
        <f t="shared" si="6"/>
        <v>20191012MAS</v>
      </c>
      <c r="B329" s="94">
        <v>2019</v>
      </c>
      <c r="C329" s="94">
        <v>7</v>
      </c>
      <c r="D329" s="94">
        <v>20191012</v>
      </c>
      <c r="E329" s="94" t="s">
        <v>211</v>
      </c>
      <c r="F329" s="94" t="s">
        <v>207</v>
      </c>
      <c r="G329" s="94" t="s">
        <v>53</v>
      </c>
      <c r="H329" s="94">
        <v>41</v>
      </c>
      <c r="I329" s="94">
        <v>126</v>
      </c>
      <c r="J329" s="94">
        <v>43</v>
      </c>
      <c r="K329" s="94">
        <v>221</v>
      </c>
      <c r="L329" s="94">
        <v>0</v>
      </c>
      <c r="M329" s="94">
        <v>199</v>
      </c>
      <c r="N329" s="94">
        <v>3</v>
      </c>
      <c r="O329" s="94">
        <v>21</v>
      </c>
      <c r="P329" s="94" t="s">
        <v>95</v>
      </c>
      <c r="Q329" s="94" t="s">
        <v>153</v>
      </c>
      <c r="R329" s="94">
        <v>38</v>
      </c>
      <c r="S329" s="94">
        <v>385</v>
      </c>
      <c r="T329" s="94">
        <v>35</v>
      </c>
      <c r="U329" s="94">
        <v>304</v>
      </c>
      <c r="V329" s="94">
        <v>0</v>
      </c>
      <c r="W329" s="94">
        <v>102</v>
      </c>
      <c r="X329" s="94">
        <v>2</v>
      </c>
      <c r="Y329" s="94">
        <v>69</v>
      </c>
      <c r="Z329" s="94">
        <v>31.5</v>
      </c>
    </row>
    <row r="330" spans="1:26">
      <c r="A330" s="94" t="str">
        <f t="shared" si="6"/>
        <v>20191016TROY</v>
      </c>
      <c r="B330" s="94">
        <v>2019</v>
      </c>
      <c r="C330" s="94">
        <v>8</v>
      </c>
      <c r="D330" s="94">
        <v>20191016</v>
      </c>
      <c r="E330" s="94" t="s">
        <v>144</v>
      </c>
      <c r="F330" s="94" t="s">
        <v>104</v>
      </c>
      <c r="G330" s="94" t="s">
        <v>145</v>
      </c>
      <c r="H330" s="94">
        <v>51</v>
      </c>
      <c r="I330" s="94">
        <v>220</v>
      </c>
      <c r="J330" s="94">
        <v>31</v>
      </c>
      <c r="K330" s="94">
        <v>212</v>
      </c>
      <c r="L330" s="94">
        <v>0</v>
      </c>
      <c r="M330" s="94">
        <v>55</v>
      </c>
      <c r="N330" s="94">
        <v>3</v>
      </c>
      <c r="O330" s="94">
        <v>37</v>
      </c>
      <c r="P330" s="94" t="s">
        <v>94</v>
      </c>
      <c r="Q330" s="94" t="s">
        <v>145</v>
      </c>
      <c r="R330" s="94">
        <v>34</v>
      </c>
      <c r="S330" s="94">
        <v>91</v>
      </c>
      <c r="T330" s="94">
        <v>38</v>
      </c>
      <c r="U330" s="94">
        <v>183</v>
      </c>
      <c r="V330" s="94">
        <v>0</v>
      </c>
      <c r="W330" s="94">
        <v>80</v>
      </c>
      <c r="X330" s="94">
        <v>3</v>
      </c>
      <c r="Y330" s="94">
        <v>13</v>
      </c>
      <c r="Z330" s="94">
        <v>17.5</v>
      </c>
    </row>
    <row r="331" spans="1:26">
      <c r="A331" s="94" t="str">
        <f t="shared" si="6"/>
        <v>20191017AKST</v>
      </c>
      <c r="B331" s="94">
        <v>2019</v>
      </c>
      <c r="C331" s="94">
        <v>8</v>
      </c>
      <c r="D331" s="94">
        <v>20191017</v>
      </c>
      <c r="E331" s="94" t="s">
        <v>144</v>
      </c>
      <c r="F331" s="94" t="s">
        <v>40</v>
      </c>
      <c r="G331" s="94" t="s">
        <v>145</v>
      </c>
      <c r="H331" s="94">
        <v>49</v>
      </c>
      <c r="I331" s="94">
        <v>170</v>
      </c>
      <c r="J331" s="94">
        <v>34</v>
      </c>
      <c r="K331" s="94">
        <v>303</v>
      </c>
      <c r="L331" s="94">
        <v>2</v>
      </c>
      <c r="M331" s="94">
        <v>77</v>
      </c>
      <c r="N331" s="94">
        <v>1</v>
      </c>
      <c r="O331" s="94">
        <v>20</v>
      </c>
      <c r="P331" s="94" t="s">
        <v>69</v>
      </c>
      <c r="Q331" s="94" t="s">
        <v>145</v>
      </c>
      <c r="R331" s="94">
        <v>46</v>
      </c>
      <c r="S331" s="94">
        <v>315</v>
      </c>
      <c r="T331" s="94">
        <v>25</v>
      </c>
      <c r="U331" s="94">
        <v>181</v>
      </c>
      <c r="V331" s="94">
        <v>0</v>
      </c>
      <c r="W331" s="94">
        <v>90</v>
      </c>
      <c r="X331" s="94">
        <v>1</v>
      </c>
      <c r="Y331" s="94">
        <v>37</v>
      </c>
      <c r="Z331" s="94">
        <v>6.5</v>
      </c>
    </row>
    <row r="332" spans="1:26">
      <c r="A332" s="94" t="str">
        <f t="shared" si="6"/>
        <v>20191017STAN</v>
      </c>
      <c r="B332" s="94">
        <v>2019</v>
      </c>
      <c r="C332" s="94">
        <v>8</v>
      </c>
      <c r="D332" s="94">
        <v>20191017</v>
      </c>
      <c r="E332" s="94" t="s">
        <v>144</v>
      </c>
      <c r="F332" s="94" t="s">
        <v>33</v>
      </c>
      <c r="G332" s="94" t="s">
        <v>151</v>
      </c>
      <c r="H332" s="94">
        <v>30</v>
      </c>
      <c r="I332" s="94">
        <v>55</v>
      </c>
      <c r="J332" s="94">
        <v>32</v>
      </c>
      <c r="K332" s="94">
        <v>143</v>
      </c>
      <c r="L332" s="94">
        <v>21</v>
      </c>
      <c r="M332" s="94">
        <v>38</v>
      </c>
      <c r="N332" s="94">
        <v>1</v>
      </c>
      <c r="O332" s="94">
        <v>16</v>
      </c>
      <c r="P332" s="94" t="s">
        <v>106</v>
      </c>
      <c r="Q332" s="94" t="s">
        <v>151</v>
      </c>
      <c r="R332" s="94">
        <v>43</v>
      </c>
      <c r="S332" s="94">
        <v>263</v>
      </c>
      <c r="T332" s="94">
        <v>34</v>
      </c>
      <c r="U332" s="94">
        <v>192</v>
      </c>
      <c r="V332" s="94">
        <v>4</v>
      </c>
      <c r="W332" s="94">
        <v>21</v>
      </c>
      <c r="X332" s="94">
        <v>1</v>
      </c>
      <c r="Y332" s="94">
        <v>34</v>
      </c>
      <c r="Z332" s="94">
        <v>4</v>
      </c>
    </row>
    <row r="333" spans="1:26">
      <c r="A333" s="94" t="str">
        <f t="shared" si="6"/>
        <v>20191018FATL</v>
      </c>
      <c r="B333" s="94">
        <v>2019</v>
      </c>
      <c r="C333" s="94">
        <v>8</v>
      </c>
      <c r="D333" s="94">
        <v>20191018</v>
      </c>
      <c r="E333" s="94" t="s">
        <v>144</v>
      </c>
      <c r="F333" s="94" t="s">
        <v>85</v>
      </c>
      <c r="G333" s="94" t="s">
        <v>153</v>
      </c>
      <c r="H333" s="94">
        <v>36</v>
      </c>
      <c r="I333" s="94">
        <v>57</v>
      </c>
      <c r="J333" s="94">
        <v>39</v>
      </c>
      <c r="K333" s="94">
        <v>362</v>
      </c>
      <c r="L333" s="94">
        <v>2</v>
      </c>
      <c r="M333" s="94">
        <v>51</v>
      </c>
      <c r="N333" s="94">
        <v>1</v>
      </c>
      <c r="O333" s="94">
        <v>31</v>
      </c>
      <c r="P333" s="94" t="s">
        <v>72</v>
      </c>
      <c r="Q333" s="94" t="s">
        <v>153</v>
      </c>
      <c r="R333" s="94">
        <v>43</v>
      </c>
      <c r="S333" s="94">
        <v>255</v>
      </c>
      <c r="T333" s="94">
        <v>24</v>
      </c>
      <c r="U333" s="94">
        <v>206</v>
      </c>
      <c r="V333" s="94">
        <v>12</v>
      </c>
      <c r="W333" s="94">
        <v>33</v>
      </c>
      <c r="X333" s="94">
        <v>1</v>
      </c>
      <c r="Y333" s="94">
        <v>36</v>
      </c>
      <c r="Z333" s="94">
        <v>4.5</v>
      </c>
    </row>
    <row r="334" spans="1:26">
      <c r="A334" s="94" t="str">
        <f t="shared" si="6"/>
        <v>20191018FRES</v>
      </c>
      <c r="B334" s="94">
        <v>2019</v>
      </c>
      <c r="C334" s="94">
        <v>8</v>
      </c>
      <c r="D334" s="94">
        <v>20191018</v>
      </c>
      <c r="E334" s="94" t="s">
        <v>144</v>
      </c>
      <c r="F334" s="94" t="s">
        <v>55</v>
      </c>
      <c r="G334" s="94" t="s">
        <v>148</v>
      </c>
      <c r="H334" s="94">
        <v>36</v>
      </c>
      <c r="I334" s="94">
        <v>260</v>
      </c>
      <c r="J334" s="94">
        <v>23</v>
      </c>
      <c r="K334" s="94">
        <v>229</v>
      </c>
      <c r="L334" s="94">
        <v>19</v>
      </c>
      <c r="M334" s="94">
        <v>81</v>
      </c>
      <c r="N334" s="94">
        <v>5</v>
      </c>
      <c r="O334" s="94">
        <v>56</v>
      </c>
      <c r="P334" s="94" t="s">
        <v>109</v>
      </c>
      <c r="Q334" s="94" t="s">
        <v>148</v>
      </c>
      <c r="R334" s="94">
        <v>40</v>
      </c>
      <c r="S334" s="94">
        <v>157</v>
      </c>
      <c r="T334" s="94">
        <v>34</v>
      </c>
      <c r="U334" s="94">
        <v>257</v>
      </c>
      <c r="V334" s="94">
        <v>0</v>
      </c>
      <c r="W334" s="94">
        <v>162</v>
      </c>
      <c r="X334" s="94">
        <v>0</v>
      </c>
      <c r="Y334" s="94">
        <v>27</v>
      </c>
      <c r="Z334" s="94">
        <v>15.5</v>
      </c>
    </row>
    <row r="335" spans="1:26">
      <c r="A335" s="94" t="str">
        <f t="shared" si="6"/>
        <v>20191018NORW</v>
      </c>
      <c r="B335" s="94">
        <v>2019</v>
      </c>
      <c r="C335" s="94">
        <v>8</v>
      </c>
      <c r="D335" s="94">
        <v>20191018</v>
      </c>
      <c r="E335" s="94" t="s">
        <v>144</v>
      </c>
      <c r="F335" s="94" t="s">
        <v>18</v>
      </c>
      <c r="G335" s="94" t="s">
        <v>152</v>
      </c>
      <c r="H335" s="94">
        <v>47</v>
      </c>
      <c r="I335" s="94">
        <v>157</v>
      </c>
      <c r="J335" s="94">
        <v>21</v>
      </c>
      <c r="K335" s="94">
        <v>42</v>
      </c>
      <c r="L335" s="94">
        <v>12</v>
      </c>
      <c r="M335" s="94">
        <v>18</v>
      </c>
      <c r="N335" s="94">
        <v>0</v>
      </c>
      <c r="O335" s="94">
        <v>3</v>
      </c>
      <c r="P335" s="94" t="s">
        <v>81</v>
      </c>
      <c r="Q335" s="94" t="s">
        <v>152</v>
      </c>
      <c r="R335" s="94">
        <v>37</v>
      </c>
      <c r="S335" s="94">
        <v>279</v>
      </c>
      <c r="T335" s="94">
        <v>26</v>
      </c>
      <c r="U335" s="94">
        <v>201</v>
      </c>
      <c r="V335" s="94">
        <v>2</v>
      </c>
      <c r="W335" s="94">
        <v>0</v>
      </c>
      <c r="X335" s="94">
        <v>2</v>
      </c>
      <c r="Y335" s="94">
        <v>52</v>
      </c>
      <c r="Z335" s="94">
        <v>28.5</v>
      </c>
    </row>
    <row r="336" spans="1:26">
      <c r="A336" s="94" t="str">
        <f t="shared" si="6"/>
        <v>20191018SYR</v>
      </c>
      <c r="B336" s="94">
        <v>2019</v>
      </c>
      <c r="C336" s="94">
        <v>8</v>
      </c>
      <c r="D336" s="94">
        <v>20191018</v>
      </c>
      <c r="E336" s="94" t="s">
        <v>144</v>
      </c>
      <c r="F336" s="94" t="s">
        <v>38</v>
      </c>
      <c r="G336" s="94" t="s">
        <v>146</v>
      </c>
      <c r="H336" s="94">
        <v>34</v>
      </c>
      <c r="I336" s="94">
        <v>51</v>
      </c>
      <c r="J336" s="94">
        <v>44</v>
      </c>
      <c r="K336" s="94">
        <v>277</v>
      </c>
      <c r="L336" s="94">
        <v>22</v>
      </c>
      <c r="M336" s="94">
        <v>16</v>
      </c>
      <c r="N336" s="94">
        <v>1</v>
      </c>
      <c r="O336" s="94">
        <v>20</v>
      </c>
      <c r="P336" s="94" t="s">
        <v>88</v>
      </c>
      <c r="Q336" s="94" t="s">
        <v>146</v>
      </c>
      <c r="R336" s="94">
        <v>43</v>
      </c>
      <c r="S336" s="94">
        <v>145</v>
      </c>
      <c r="T336" s="94">
        <v>33</v>
      </c>
      <c r="U336" s="94">
        <v>232</v>
      </c>
      <c r="V336" s="94">
        <v>2</v>
      </c>
      <c r="W336" s="94">
        <v>13</v>
      </c>
      <c r="X336" s="94">
        <v>0</v>
      </c>
      <c r="Y336" s="94">
        <v>27</v>
      </c>
      <c r="Z336" s="94">
        <v>4</v>
      </c>
    </row>
    <row r="337" spans="1:26">
      <c r="A337" s="94" t="str">
        <f t="shared" si="6"/>
        <v>20191019AKRON</v>
      </c>
      <c r="B337" s="94">
        <v>2019</v>
      </c>
      <c r="C337" s="94">
        <v>8</v>
      </c>
      <c r="D337" s="94">
        <v>20191019</v>
      </c>
      <c r="E337" s="94" t="s">
        <v>144</v>
      </c>
      <c r="F337" s="94" t="s">
        <v>118</v>
      </c>
      <c r="G337" s="94" t="s">
        <v>149</v>
      </c>
      <c r="H337" s="94">
        <v>21</v>
      </c>
      <c r="I337" s="94">
        <v>2</v>
      </c>
      <c r="J337" s="94">
        <v>39</v>
      </c>
      <c r="K337" s="94">
        <v>193</v>
      </c>
      <c r="L337" s="94">
        <v>4</v>
      </c>
      <c r="M337" s="94">
        <v>0</v>
      </c>
      <c r="N337" s="94">
        <v>1</v>
      </c>
      <c r="O337" s="94">
        <v>0</v>
      </c>
      <c r="P337" s="94" t="s">
        <v>47</v>
      </c>
      <c r="Q337" s="94" t="s">
        <v>149</v>
      </c>
      <c r="R337" s="94">
        <v>42</v>
      </c>
      <c r="S337" s="94">
        <v>189</v>
      </c>
      <c r="T337" s="94">
        <v>23</v>
      </c>
      <c r="U337" s="94">
        <v>65</v>
      </c>
      <c r="V337" s="94">
        <v>0</v>
      </c>
      <c r="W337" s="94">
        <v>0</v>
      </c>
      <c r="X337" s="94">
        <v>4</v>
      </c>
      <c r="Y337" s="94">
        <v>21</v>
      </c>
      <c r="Z337" s="94">
        <v>19</v>
      </c>
    </row>
    <row r="338" spans="1:26">
      <c r="A338" s="94" t="str">
        <f t="shared" si="6"/>
        <v>20191019ALA</v>
      </c>
      <c r="B338" s="94">
        <v>2019</v>
      </c>
      <c r="C338" s="94">
        <v>8</v>
      </c>
      <c r="D338" s="94">
        <v>20191019</v>
      </c>
      <c r="E338" s="94" t="s">
        <v>144</v>
      </c>
      <c r="F338" s="94" t="s">
        <v>119</v>
      </c>
      <c r="G338" s="94" t="s">
        <v>147</v>
      </c>
      <c r="H338" s="94">
        <v>34</v>
      </c>
      <c r="I338" s="94">
        <v>140</v>
      </c>
      <c r="J338" s="94">
        <v>24</v>
      </c>
      <c r="K338" s="94">
        <v>233</v>
      </c>
      <c r="L338" s="94">
        <v>35</v>
      </c>
      <c r="M338" s="94">
        <v>43</v>
      </c>
      <c r="N338" s="94">
        <v>2</v>
      </c>
      <c r="O338" s="94">
        <v>35</v>
      </c>
      <c r="P338" s="94" t="s">
        <v>129</v>
      </c>
      <c r="Q338" s="94" t="s">
        <v>147</v>
      </c>
      <c r="R338" s="94">
        <v>36</v>
      </c>
      <c r="S338" s="94">
        <v>116</v>
      </c>
      <c r="T338" s="94">
        <v>24</v>
      </c>
      <c r="U338" s="94">
        <v>117</v>
      </c>
      <c r="V338" s="94">
        <v>22</v>
      </c>
      <c r="W338" s="94">
        <v>79</v>
      </c>
      <c r="X338" s="94">
        <v>1</v>
      </c>
      <c r="Y338" s="94">
        <v>13</v>
      </c>
      <c r="Z338" s="94">
        <v>34.5</v>
      </c>
    </row>
    <row r="339" spans="1:26">
      <c r="A339" s="94" t="str">
        <f t="shared" si="6"/>
        <v>20191019APP</v>
      </c>
      <c r="B339" s="94">
        <v>2019</v>
      </c>
      <c r="C339" s="94">
        <v>8</v>
      </c>
      <c r="D339" s="94">
        <v>20191019</v>
      </c>
      <c r="E339" s="94" t="s">
        <v>144</v>
      </c>
      <c r="F339" s="94" t="s">
        <v>90</v>
      </c>
      <c r="G339" s="94" t="s">
        <v>145</v>
      </c>
      <c r="H339" s="94">
        <v>52</v>
      </c>
      <c r="I339" s="94">
        <v>302</v>
      </c>
      <c r="J339" s="94">
        <v>32</v>
      </c>
      <c r="K339" s="94">
        <v>270</v>
      </c>
      <c r="L339" s="94">
        <v>14</v>
      </c>
      <c r="M339" s="94">
        <v>0</v>
      </c>
      <c r="N339" s="94">
        <v>3</v>
      </c>
      <c r="O339" s="94">
        <v>52</v>
      </c>
      <c r="P339" s="94" t="s">
        <v>25</v>
      </c>
      <c r="Q339" s="94" t="s">
        <v>145</v>
      </c>
      <c r="R339" s="94">
        <v>29</v>
      </c>
      <c r="S339" s="94">
        <v>111</v>
      </c>
      <c r="T339" s="94">
        <v>27</v>
      </c>
      <c r="U339" s="94">
        <v>102</v>
      </c>
      <c r="V339" s="94">
        <v>0</v>
      </c>
      <c r="W339" s="94">
        <v>69</v>
      </c>
      <c r="X339" s="94">
        <v>2</v>
      </c>
      <c r="Y339" s="94">
        <v>7</v>
      </c>
      <c r="Z339" s="94">
        <v>16</v>
      </c>
    </row>
    <row r="340" spans="1:26">
      <c r="A340" s="94" t="str">
        <f t="shared" si="6"/>
        <v>20191019ARK</v>
      </c>
      <c r="B340" s="94">
        <v>2019</v>
      </c>
      <c r="C340" s="94">
        <v>8</v>
      </c>
      <c r="D340" s="94">
        <v>20191019</v>
      </c>
      <c r="E340" s="94" t="s">
        <v>144</v>
      </c>
      <c r="F340" s="94" t="s">
        <v>41</v>
      </c>
      <c r="G340" s="94" t="s">
        <v>147</v>
      </c>
      <c r="H340" s="94">
        <v>28</v>
      </c>
      <c r="I340" s="94">
        <v>52</v>
      </c>
      <c r="J340" s="94">
        <v>40</v>
      </c>
      <c r="K340" s="94">
        <v>182</v>
      </c>
      <c r="L340" s="94">
        <v>0</v>
      </c>
      <c r="M340" s="94">
        <v>55</v>
      </c>
      <c r="N340" s="94">
        <v>1</v>
      </c>
      <c r="O340" s="94">
        <v>10</v>
      </c>
      <c r="P340" s="94" t="s">
        <v>120</v>
      </c>
      <c r="Q340" s="94" t="s">
        <v>147</v>
      </c>
      <c r="R340" s="94">
        <v>51</v>
      </c>
      <c r="S340" s="94">
        <v>298</v>
      </c>
      <c r="T340" s="94">
        <v>19</v>
      </c>
      <c r="U340" s="94">
        <v>193</v>
      </c>
      <c r="V340" s="94">
        <v>0</v>
      </c>
      <c r="W340" s="94">
        <v>48</v>
      </c>
      <c r="X340" s="94">
        <v>4</v>
      </c>
      <c r="Y340" s="94">
        <v>51</v>
      </c>
      <c r="Z340" s="94">
        <v>20</v>
      </c>
    </row>
    <row r="341" spans="1:26">
      <c r="A341" s="94" t="str">
        <f t="shared" si="6"/>
        <v>20191019BALL</v>
      </c>
      <c r="B341" s="94">
        <v>2019</v>
      </c>
      <c r="C341" s="94">
        <v>8</v>
      </c>
      <c r="D341" s="94">
        <v>20191019</v>
      </c>
      <c r="E341" s="94" t="s">
        <v>144</v>
      </c>
      <c r="F341" s="94" t="s">
        <v>12</v>
      </c>
      <c r="G341" s="94" t="s">
        <v>149</v>
      </c>
      <c r="H341" s="94">
        <v>49</v>
      </c>
      <c r="I341" s="94">
        <v>376</v>
      </c>
      <c r="J341" s="94">
        <v>17</v>
      </c>
      <c r="K341" s="94">
        <v>206</v>
      </c>
      <c r="L341" s="94">
        <v>39</v>
      </c>
      <c r="M341" s="94">
        <v>35</v>
      </c>
      <c r="N341" s="94">
        <v>3</v>
      </c>
      <c r="O341" s="94">
        <v>52</v>
      </c>
      <c r="P341" s="94" t="s">
        <v>103</v>
      </c>
      <c r="Q341" s="94" t="s">
        <v>149</v>
      </c>
      <c r="R341" s="94">
        <v>38</v>
      </c>
      <c r="S341" s="94">
        <v>138</v>
      </c>
      <c r="T341" s="94">
        <v>38</v>
      </c>
      <c r="U341" s="94">
        <v>171</v>
      </c>
      <c r="V341" s="94">
        <v>28</v>
      </c>
      <c r="W341" s="94">
        <v>170</v>
      </c>
      <c r="X341" s="94">
        <v>1</v>
      </c>
      <c r="Y341" s="94">
        <v>14</v>
      </c>
      <c r="Z341" s="94">
        <v>3</v>
      </c>
    </row>
    <row r="342" spans="1:26">
      <c r="A342" s="94" t="str">
        <f t="shared" si="6"/>
        <v>20191019BCOL</v>
      </c>
      <c r="B342" s="94">
        <v>2019</v>
      </c>
      <c r="C342" s="94">
        <v>8</v>
      </c>
      <c r="D342" s="94">
        <v>20191019</v>
      </c>
      <c r="E342" s="94" t="s">
        <v>144</v>
      </c>
      <c r="F342" s="94" t="s">
        <v>46</v>
      </c>
      <c r="G342" s="94" t="s">
        <v>146</v>
      </c>
      <c r="H342" s="94">
        <v>60</v>
      </c>
      <c r="I342" s="94">
        <v>429</v>
      </c>
      <c r="J342" s="94">
        <v>15</v>
      </c>
      <c r="K342" s="94">
        <v>103</v>
      </c>
      <c r="L342" s="94">
        <v>29</v>
      </c>
      <c r="M342" s="94">
        <v>75</v>
      </c>
      <c r="N342" s="94">
        <v>1</v>
      </c>
      <c r="O342" s="94">
        <v>45</v>
      </c>
      <c r="P342" s="94" t="s">
        <v>75</v>
      </c>
      <c r="Q342" s="94" t="s">
        <v>146</v>
      </c>
      <c r="R342" s="94">
        <v>27</v>
      </c>
      <c r="S342" s="94">
        <v>56</v>
      </c>
      <c r="T342" s="94">
        <v>44</v>
      </c>
      <c r="U342" s="94">
        <v>310</v>
      </c>
      <c r="V342" s="94">
        <v>18</v>
      </c>
      <c r="W342" s="94">
        <v>0</v>
      </c>
      <c r="X342" s="94">
        <v>0</v>
      </c>
      <c r="Y342" s="94">
        <v>24</v>
      </c>
      <c r="Z342" s="94">
        <v>1.5</v>
      </c>
    </row>
    <row r="343" spans="1:26">
      <c r="A343" s="94" t="str">
        <f t="shared" si="6"/>
        <v>20191019BOWL</v>
      </c>
      <c r="B343" s="94">
        <v>2019</v>
      </c>
      <c r="C343" s="94">
        <v>8</v>
      </c>
      <c r="D343" s="94">
        <v>20191019</v>
      </c>
      <c r="E343" s="94" t="s">
        <v>144</v>
      </c>
      <c r="F343" s="94" t="s">
        <v>87</v>
      </c>
      <c r="G343" s="94" t="s">
        <v>149</v>
      </c>
      <c r="H343" s="94">
        <v>37</v>
      </c>
      <c r="I343" s="94">
        <v>178</v>
      </c>
      <c r="J343" s="94">
        <v>29</v>
      </c>
      <c r="K343" s="94">
        <v>166</v>
      </c>
      <c r="L343" s="94">
        <v>1</v>
      </c>
      <c r="M343" s="94">
        <v>51</v>
      </c>
      <c r="N343" s="94">
        <v>2</v>
      </c>
      <c r="O343" s="94">
        <v>20</v>
      </c>
      <c r="P343" s="94" t="s">
        <v>67</v>
      </c>
      <c r="Q343" s="94" t="s">
        <v>149</v>
      </c>
      <c r="R343" s="94">
        <v>40</v>
      </c>
      <c r="S343" s="94">
        <v>254</v>
      </c>
      <c r="T343" s="94">
        <v>37</v>
      </c>
      <c r="U343" s="94">
        <v>299</v>
      </c>
      <c r="V343" s="94">
        <v>12</v>
      </c>
      <c r="W343" s="94">
        <v>51</v>
      </c>
      <c r="X343" s="94">
        <v>3</v>
      </c>
      <c r="Y343" s="94">
        <v>38</v>
      </c>
      <c r="Z343" s="94">
        <v>10.5</v>
      </c>
    </row>
    <row r="344" spans="1:26">
      <c r="A344" s="94" t="str">
        <f t="shared" si="6"/>
        <v>20191019BYU</v>
      </c>
      <c r="B344" s="94">
        <v>2019</v>
      </c>
      <c r="C344" s="94">
        <v>8</v>
      </c>
      <c r="D344" s="94">
        <v>20191019</v>
      </c>
      <c r="E344" s="94" t="s">
        <v>144</v>
      </c>
      <c r="F344" s="94" t="s">
        <v>43</v>
      </c>
      <c r="G344" s="94" t="s">
        <v>53</v>
      </c>
      <c r="H344" s="94">
        <v>35</v>
      </c>
      <c r="I344" s="94">
        <v>121</v>
      </c>
      <c r="J344" s="94">
        <v>26</v>
      </c>
      <c r="K344" s="94">
        <v>221</v>
      </c>
      <c r="L344" s="94">
        <v>14</v>
      </c>
      <c r="M344" s="94">
        <v>48</v>
      </c>
      <c r="N344" s="94">
        <v>2</v>
      </c>
      <c r="O344" s="94">
        <v>28</v>
      </c>
      <c r="P344" s="94" t="s">
        <v>105</v>
      </c>
      <c r="Q344" s="94" t="s">
        <v>148</v>
      </c>
      <c r="R344" s="94">
        <v>40</v>
      </c>
      <c r="S344" s="94">
        <v>174</v>
      </c>
      <c r="T344" s="94">
        <v>31</v>
      </c>
      <c r="U344" s="94">
        <v>185</v>
      </c>
      <c r="V344" s="94">
        <v>0</v>
      </c>
      <c r="W344" s="94">
        <v>91</v>
      </c>
      <c r="X344" s="94">
        <v>0</v>
      </c>
      <c r="Y344" s="94">
        <v>25</v>
      </c>
      <c r="Z344" s="94">
        <v>5.5</v>
      </c>
    </row>
    <row r="345" spans="1:26">
      <c r="A345" s="94" t="str">
        <f t="shared" si="6"/>
        <v>20191019CAL</v>
      </c>
      <c r="B345" s="94">
        <v>2019</v>
      </c>
      <c r="C345" s="94">
        <v>8</v>
      </c>
      <c r="D345" s="94">
        <v>20191019</v>
      </c>
      <c r="E345" s="94" t="s">
        <v>144</v>
      </c>
      <c r="F345" s="94" t="s">
        <v>48</v>
      </c>
      <c r="G345" s="94" t="s">
        <v>151</v>
      </c>
      <c r="H345" s="94">
        <v>43</v>
      </c>
      <c r="I345" s="94">
        <v>107</v>
      </c>
      <c r="J345" s="94">
        <v>33</v>
      </c>
      <c r="K345" s="94">
        <v>175</v>
      </c>
      <c r="L345" s="94">
        <v>24</v>
      </c>
      <c r="M345" s="94">
        <v>48</v>
      </c>
      <c r="N345" s="94">
        <v>0</v>
      </c>
      <c r="O345" s="94">
        <v>17</v>
      </c>
      <c r="P345" s="94" t="s">
        <v>82</v>
      </c>
      <c r="Q345" s="94" t="s">
        <v>151</v>
      </c>
      <c r="R345" s="94">
        <v>41</v>
      </c>
      <c r="S345" s="94">
        <v>108</v>
      </c>
      <c r="T345" s="94">
        <v>34</v>
      </c>
      <c r="U345" s="94">
        <v>174</v>
      </c>
      <c r="V345" s="94">
        <v>9</v>
      </c>
      <c r="W345" s="94">
        <v>59</v>
      </c>
      <c r="X345" s="94">
        <v>1</v>
      </c>
      <c r="Y345" s="94">
        <v>21</v>
      </c>
      <c r="Z345" s="94">
        <v>9.5</v>
      </c>
    </row>
    <row r="346" spans="1:26">
      <c r="A346" s="94" t="str">
        <f t="shared" si="6"/>
        <v>20191019CFL</v>
      </c>
      <c r="B346" s="94">
        <v>2019</v>
      </c>
      <c r="C346" s="94">
        <v>8</v>
      </c>
      <c r="D346" s="94">
        <v>20191019</v>
      </c>
      <c r="E346" s="94" t="s">
        <v>144</v>
      </c>
      <c r="F346" s="94" t="s">
        <v>14</v>
      </c>
      <c r="G346" s="94" t="s">
        <v>150</v>
      </c>
      <c r="H346" s="94">
        <v>47</v>
      </c>
      <c r="I346" s="94">
        <v>197</v>
      </c>
      <c r="J346" s="94">
        <v>40</v>
      </c>
      <c r="K346" s="94">
        <v>414</v>
      </c>
      <c r="L346" s="94">
        <v>10</v>
      </c>
      <c r="M346" s="94">
        <v>0</v>
      </c>
      <c r="N346" s="94">
        <v>2</v>
      </c>
      <c r="O346" s="94">
        <v>41</v>
      </c>
      <c r="P346" s="94" t="s">
        <v>115</v>
      </c>
      <c r="Q346" s="94" t="s">
        <v>150</v>
      </c>
      <c r="R346" s="94">
        <v>49</v>
      </c>
      <c r="S346" s="94">
        <v>170</v>
      </c>
      <c r="T346" s="94">
        <v>37</v>
      </c>
      <c r="U346" s="94">
        <v>313</v>
      </c>
      <c r="V346" s="94">
        <v>41</v>
      </c>
      <c r="W346" s="94">
        <v>14</v>
      </c>
      <c r="X346" s="94">
        <v>1</v>
      </c>
      <c r="Y346" s="94">
        <v>28</v>
      </c>
      <c r="Z346" s="94">
        <v>33</v>
      </c>
    </row>
    <row r="347" spans="1:26">
      <c r="A347" s="94" t="str">
        <f t="shared" si="6"/>
        <v>20191019CIN</v>
      </c>
      <c r="B347" s="94">
        <v>2019</v>
      </c>
      <c r="C347" s="94">
        <v>8</v>
      </c>
      <c r="D347" s="94">
        <v>20191019</v>
      </c>
      <c r="E347" s="94" t="s">
        <v>144</v>
      </c>
      <c r="F347" s="94" t="s">
        <v>107</v>
      </c>
      <c r="G347" s="94" t="s">
        <v>150</v>
      </c>
      <c r="H347" s="94">
        <v>41</v>
      </c>
      <c r="I347" s="94">
        <v>145</v>
      </c>
      <c r="J347" s="94">
        <v>22</v>
      </c>
      <c r="K347" s="94">
        <v>172</v>
      </c>
      <c r="L347" s="94">
        <v>46</v>
      </c>
      <c r="M347" s="94">
        <v>67</v>
      </c>
      <c r="N347" s="94">
        <v>5</v>
      </c>
      <c r="O347" s="94">
        <v>24</v>
      </c>
      <c r="P347" s="94" t="s">
        <v>102</v>
      </c>
      <c r="Q347" s="94" t="s">
        <v>150</v>
      </c>
      <c r="R347" s="94">
        <v>43</v>
      </c>
      <c r="S347" s="94">
        <v>134</v>
      </c>
      <c r="T347" s="94">
        <v>43</v>
      </c>
      <c r="U347" s="94">
        <v>243</v>
      </c>
      <c r="V347" s="94">
        <v>4</v>
      </c>
      <c r="W347" s="94">
        <v>59</v>
      </c>
      <c r="X347" s="94">
        <v>2</v>
      </c>
      <c r="Y347" s="94">
        <v>13</v>
      </c>
      <c r="Z347" s="94">
        <v>14.5</v>
      </c>
    </row>
    <row r="348" spans="1:26">
      <c r="A348" s="94" t="str">
        <f t="shared" si="6"/>
        <v>20191019CON</v>
      </c>
      <c r="B348" s="94">
        <v>2019</v>
      </c>
      <c r="C348" s="94">
        <v>8</v>
      </c>
      <c r="D348" s="94">
        <v>20191019</v>
      </c>
      <c r="E348" s="94" t="s">
        <v>144</v>
      </c>
      <c r="F348" s="94" t="s">
        <v>13</v>
      </c>
      <c r="G348" s="94" t="s">
        <v>150</v>
      </c>
      <c r="H348" s="94">
        <v>31</v>
      </c>
      <c r="I348" s="94">
        <v>168</v>
      </c>
      <c r="J348" s="94">
        <v>44</v>
      </c>
      <c r="K348" s="94">
        <v>270</v>
      </c>
      <c r="L348" s="94">
        <v>3</v>
      </c>
      <c r="M348" s="94">
        <v>28</v>
      </c>
      <c r="N348" s="94">
        <v>0</v>
      </c>
      <c r="O348" s="94">
        <v>17</v>
      </c>
      <c r="P348" s="94" t="s">
        <v>91</v>
      </c>
      <c r="Q348" s="94" t="s">
        <v>150</v>
      </c>
      <c r="R348" s="94">
        <v>34</v>
      </c>
      <c r="S348" s="94">
        <v>108</v>
      </c>
      <c r="T348" s="94">
        <v>18</v>
      </c>
      <c r="U348" s="94">
        <v>178</v>
      </c>
      <c r="V348" s="94">
        <v>1</v>
      </c>
      <c r="W348" s="94">
        <v>0</v>
      </c>
      <c r="X348" s="94">
        <v>1</v>
      </c>
      <c r="Y348" s="94">
        <v>24</v>
      </c>
      <c r="Z348" s="94">
        <v>21</v>
      </c>
    </row>
    <row r="349" spans="1:26">
      <c r="A349" s="94" t="str">
        <f t="shared" si="6"/>
        <v>20191019EMCH</v>
      </c>
      <c r="B349" s="94">
        <v>2019</v>
      </c>
      <c r="C349" s="94">
        <v>8</v>
      </c>
      <c r="D349" s="94">
        <v>20191019</v>
      </c>
      <c r="E349" s="94" t="s">
        <v>144</v>
      </c>
      <c r="F349" s="94" t="s">
        <v>29</v>
      </c>
      <c r="G349" s="94" t="s">
        <v>149</v>
      </c>
      <c r="H349" s="94">
        <v>38</v>
      </c>
      <c r="I349" s="94">
        <v>140</v>
      </c>
      <c r="J349" s="94">
        <v>41</v>
      </c>
      <c r="K349" s="94">
        <v>407</v>
      </c>
      <c r="L349" s="94">
        <v>16</v>
      </c>
      <c r="M349" s="94">
        <v>21</v>
      </c>
      <c r="N349" s="94">
        <v>1</v>
      </c>
      <c r="O349" s="94">
        <v>34</v>
      </c>
      <c r="P349" s="94" t="s">
        <v>37</v>
      </c>
      <c r="Q349" s="94" t="s">
        <v>149</v>
      </c>
      <c r="R349" s="94">
        <v>36</v>
      </c>
      <c r="S349" s="94">
        <v>167</v>
      </c>
      <c r="T349" s="94">
        <v>24</v>
      </c>
      <c r="U349" s="94">
        <v>192</v>
      </c>
      <c r="V349" s="94">
        <v>1</v>
      </c>
      <c r="W349" s="94">
        <v>68</v>
      </c>
      <c r="X349" s="94">
        <v>0</v>
      </c>
      <c r="Y349" s="94">
        <v>27</v>
      </c>
      <c r="Z349" s="94">
        <v>9</v>
      </c>
    </row>
    <row r="350" spans="1:26">
      <c r="A350" s="94" t="str">
        <f t="shared" si="6"/>
        <v>20191019FINT</v>
      </c>
      <c r="B350" s="94">
        <v>2019</v>
      </c>
      <c r="C350" s="94">
        <v>8</v>
      </c>
      <c r="D350" s="94">
        <v>20191019</v>
      </c>
      <c r="E350" s="94" t="s">
        <v>144</v>
      </c>
      <c r="F350" s="94" t="s">
        <v>52</v>
      </c>
      <c r="G350" s="94" t="s">
        <v>153</v>
      </c>
      <c r="H350" s="94">
        <v>32</v>
      </c>
      <c r="I350" s="94">
        <v>185</v>
      </c>
      <c r="J350" s="94">
        <v>17</v>
      </c>
      <c r="K350" s="94">
        <v>150</v>
      </c>
      <c r="L350" s="94">
        <v>0</v>
      </c>
      <c r="M350" s="94">
        <v>91</v>
      </c>
      <c r="N350" s="94">
        <v>1</v>
      </c>
      <c r="O350" s="94">
        <v>32</v>
      </c>
      <c r="P350" s="94" t="s">
        <v>110</v>
      </c>
      <c r="Q350" s="94" t="s">
        <v>153</v>
      </c>
      <c r="R350" s="94">
        <v>43</v>
      </c>
      <c r="S350" s="94">
        <v>165</v>
      </c>
      <c r="T350" s="94">
        <v>21</v>
      </c>
      <c r="U350" s="94">
        <v>151</v>
      </c>
      <c r="V350" s="94">
        <v>0</v>
      </c>
      <c r="W350" s="94">
        <v>41</v>
      </c>
      <c r="X350" s="94">
        <v>0</v>
      </c>
      <c r="Y350" s="94">
        <v>17</v>
      </c>
      <c r="Z350" s="94">
        <v>20.5</v>
      </c>
    </row>
    <row r="351" spans="1:26">
      <c r="A351" s="94" t="str">
        <f t="shared" si="6"/>
        <v>20191019GAST</v>
      </c>
      <c r="B351" s="94">
        <v>2019</v>
      </c>
      <c r="C351" s="94">
        <v>8</v>
      </c>
      <c r="D351" s="94">
        <v>20191019</v>
      </c>
      <c r="E351" s="94" t="s">
        <v>144</v>
      </c>
      <c r="F351" s="94" t="s">
        <v>15</v>
      </c>
      <c r="G351" s="94" t="s">
        <v>145</v>
      </c>
      <c r="H351" s="94">
        <v>32</v>
      </c>
      <c r="I351" s="94">
        <v>147</v>
      </c>
      <c r="J351" s="94">
        <v>28</v>
      </c>
      <c r="K351" s="94">
        <v>232</v>
      </c>
      <c r="L351" s="94">
        <v>0</v>
      </c>
      <c r="M351" s="94">
        <v>0</v>
      </c>
      <c r="N351" s="94">
        <v>2</v>
      </c>
      <c r="O351" s="94">
        <v>28</v>
      </c>
      <c r="P351" s="94" t="s">
        <v>28</v>
      </c>
      <c r="Q351" s="94" t="s">
        <v>53</v>
      </c>
      <c r="R351" s="94">
        <v>61</v>
      </c>
      <c r="S351" s="94">
        <v>278</v>
      </c>
      <c r="T351" s="94">
        <v>11</v>
      </c>
      <c r="U351" s="94">
        <v>65</v>
      </c>
      <c r="V351" s="94">
        <v>0</v>
      </c>
      <c r="W351" s="94">
        <v>0</v>
      </c>
      <c r="X351" s="94">
        <v>1</v>
      </c>
      <c r="Y351" s="94">
        <v>21</v>
      </c>
      <c r="Z351" s="94">
        <v>5</v>
      </c>
    </row>
    <row r="352" spans="1:26">
      <c r="A352" s="94" t="str">
        <f t="shared" si="6"/>
        <v>20191019GEO</v>
      </c>
      <c r="B352" s="94">
        <v>2019</v>
      </c>
      <c r="C352" s="94">
        <v>8</v>
      </c>
      <c r="D352" s="94">
        <v>20191019</v>
      </c>
      <c r="E352" s="94" t="s">
        <v>144</v>
      </c>
      <c r="F352" s="94" t="s">
        <v>56</v>
      </c>
      <c r="G352" s="94" t="s">
        <v>147</v>
      </c>
      <c r="H352" s="94">
        <v>40</v>
      </c>
      <c r="I352" s="94">
        <v>244</v>
      </c>
      <c r="J352" s="94">
        <v>12</v>
      </c>
      <c r="K352" s="94">
        <v>35</v>
      </c>
      <c r="L352" s="94">
        <v>7</v>
      </c>
      <c r="M352" s="94">
        <v>0</v>
      </c>
      <c r="N352" s="94">
        <v>1</v>
      </c>
      <c r="O352" s="94">
        <v>21</v>
      </c>
      <c r="P352" s="94" t="s">
        <v>66</v>
      </c>
      <c r="Q352" s="94" t="s">
        <v>147</v>
      </c>
      <c r="R352" s="94">
        <v>34</v>
      </c>
      <c r="S352" s="94">
        <v>163</v>
      </c>
      <c r="T352" s="94">
        <v>16</v>
      </c>
      <c r="U352" s="94">
        <v>17</v>
      </c>
      <c r="V352" s="94">
        <v>13</v>
      </c>
      <c r="W352" s="94">
        <v>75</v>
      </c>
      <c r="X352" s="94">
        <v>0</v>
      </c>
      <c r="Y352" s="94">
        <v>0</v>
      </c>
      <c r="Z352" s="94">
        <v>24</v>
      </c>
    </row>
    <row r="353" spans="1:26">
      <c r="A353" s="94" t="str">
        <f t="shared" si="6"/>
        <v>20191019GSOU</v>
      </c>
      <c r="B353" s="94">
        <v>2019</v>
      </c>
      <c r="C353" s="94">
        <v>8</v>
      </c>
      <c r="D353" s="94">
        <v>20191019</v>
      </c>
      <c r="E353" s="94" t="s">
        <v>144</v>
      </c>
      <c r="F353" s="94" t="s">
        <v>57</v>
      </c>
      <c r="G353" s="94" t="s">
        <v>145</v>
      </c>
      <c r="H353" s="94">
        <v>64</v>
      </c>
      <c r="I353" s="94">
        <v>300</v>
      </c>
      <c r="J353" s="94">
        <v>8</v>
      </c>
      <c r="K353" s="94">
        <v>61</v>
      </c>
      <c r="L353" s="94">
        <v>1</v>
      </c>
      <c r="M353" s="94">
        <v>25</v>
      </c>
      <c r="N353" s="94">
        <v>1</v>
      </c>
      <c r="O353" s="94">
        <v>30</v>
      </c>
      <c r="P353" s="94" t="s">
        <v>97</v>
      </c>
      <c r="Q353" s="94" t="s">
        <v>145</v>
      </c>
      <c r="R353" s="94">
        <v>47</v>
      </c>
      <c r="S353" s="94">
        <v>132</v>
      </c>
      <c r="T353" s="94">
        <v>14</v>
      </c>
      <c r="U353" s="94">
        <v>96</v>
      </c>
      <c r="V353" s="94">
        <v>0</v>
      </c>
      <c r="W353" s="94">
        <v>0</v>
      </c>
      <c r="X353" s="94">
        <v>1</v>
      </c>
      <c r="Y353" s="94">
        <v>27</v>
      </c>
      <c r="Z353" s="94">
        <v>4</v>
      </c>
    </row>
    <row r="354" spans="1:26">
      <c r="A354" s="94" t="str">
        <f t="shared" si="6"/>
        <v>20191019HAW</v>
      </c>
      <c r="B354" s="94">
        <v>2019</v>
      </c>
      <c r="C354" s="94">
        <v>8</v>
      </c>
      <c r="D354" s="94">
        <v>20191019</v>
      </c>
      <c r="E354" s="94" t="s">
        <v>144</v>
      </c>
      <c r="F354" s="94" t="s">
        <v>8</v>
      </c>
      <c r="G354" s="94" t="s">
        <v>148</v>
      </c>
      <c r="H354" s="94">
        <v>20</v>
      </c>
      <c r="I354" s="94">
        <v>82</v>
      </c>
      <c r="J354" s="94">
        <v>53</v>
      </c>
      <c r="K354" s="94">
        <v>404</v>
      </c>
      <c r="L354" s="94">
        <v>0</v>
      </c>
      <c r="M354" s="94">
        <v>136</v>
      </c>
      <c r="N354" s="94">
        <v>0</v>
      </c>
      <c r="O354" s="94">
        <v>26</v>
      </c>
      <c r="P354" s="94" t="s">
        <v>39</v>
      </c>
      <c r="Q354" s="94" t="s">
        <v>148</v>
      </c>
      <c r="R354" s="94">
        <v>50</v>
      </c>
      <c r="S354" s="94">
        <v>354</v>
      </c>
      <c r="T354" s="94">
        <v>7</v>
      </c>
      <c r="U354" s="94">
        <v>169</v>
      </c>
      <c r="V354" s="94">
        <v>0</v>
      </c>
      <c r="W354" s="94">
        <v>1</v>
      </c>
      <c r="X354" s="94">
        <v>2</v>
      </c>
      <c r="Y354" s="94">
        <v>56</v>
      </c>
      <c r="Z354" s="94">
        <v>4</v>
      </c>
    </row>
    <row r="355" spans="1:26">
      <c r="A355" s="94" t="str">
        <f t="shared" si="6"/>
        <v>20191019ILL</v>
      </c>
      <c r="B355" s="94">
        <v>2019</v>
      </c>
      <c r="C355" s="94">
        <v>8</v>
      </c>
      <c r="D355" s="94">
        <v>20191019</v>
      </c>
      <c r="E355" s="94" t="s">
        <v>144</v>
      </c>
      <c r="F355" s="94" t="s">
        <v>60</v>
      </c>
      <c r="G355" s="94" t="s">
        <v>152</v>
      </c>
      <c r="H355" s="94">
        <v>35</v>
      </c>
      <c r="I355" s="94">
        <v>141</v>
      </c>
      <c r="J355" s="94">
        <v>21</v>
      </c>
      <c r="K355" s="94">
        <v>174</v>
      </c>
      <c r="L355" s="94">
        <v>5</v>
      </c>
      <c r="M355" s="94">
        <v>0</v>
      </c>
      <c r="N355" s="94">
        <v>3</v>
      </c>
      <c r="O355" s="94">
        <v>24</v>
      </c>
      <c r="P355" s="94" t="s">
        <v>35</v>
      </c>
      <c r="Q355" s="94" t="s">
        <v>152</v>
      </c>
      <c r="R355" s="94">
        <v>42</v>
      </c>
      <c r="S355" s="94">
        <v>158</v>
      </c>
      <c r="T355" s="94">
        <v>32</v>
      </c>
      <c r="U355" s="94">
        <v>264</v>
      </c>
      <c r="V355" s="94">
        <v>33</v>
      </c>
      <c r="W355" s="94">
        <v>0</v>
      </c>
      <c r="X355" s="94">
        <v>1</v>
      </c>
      <c r="Y355" s="94">
        <v>23</v>
      </c>
      <c r="Z355" s="94">
        <v>29.5</v>
      </c>
    </row>
    <row r="356" spans="1:26">
      <c r="A356" s="94" t="str">
        <f t="shared" si="6"/>
        <v>20191019IOWA</v>
      </c>
      <c r="B356" s="94">
        <v>2019</v>
      </c>
      <c r="C356" s="94">
        <v>8</v>
      </c>
      <c r="D356" s="94">
        <v>20191019</v>
      </c>
      <c r="E356" s="94" t="s">
        <v>144</v>
      </c>
      <c r="F356" s="94" t="s">
        <v>62</v>
      </c>
      <c r="G356" s="94" t="s">
        <v>152</v>
      </c>
      <c r="H356" s="94">
        <v>33</v>
      </c>
      <c r="I356" s="94">
        <v>102</v>
      </c>
      <c r="J356" s="94">
        <v>33</v>
      </c>
      <c r="K356" s="94">
        <v>260</v>
      </c>
      <c r="L356" s="94">
        <v>10</v>
      </c>
      <c r="M356" s="94">
        <v>20</v>
      </c>
      <c r="N356" s="94">
        <v>2</v>
      </c>
      <c r="O356" s="94">
        <v>26</v>
      </c>
      <c r="P356" s="94" t="s">
        <v>17</v>
      </c>
      <c r="Q356" s="94" t="s">
        <v>152</v>
      </c>
      <c r="R356" s="94">
        <v>18</v>
      </c>
      <c r="S356" s="94">
        <v>33</v>
      </c>
      <c r="T356" s="94">
        <v>50</v>
      </c>
      <c r="U356" s="94">
        <v>327</v>
      </c>
      <c r="V356" s="94">
        <v>3</v>
      </c>
      <c r="W356" s="94">
        <v>103</v>
      </c>
      <c r="X356" s="94">
        <v>1</v>
      </c>
      <c r="Y356" s="94">
        <v>20</v>
      </c>
      <c r="Z356" s="94">
        <v>17.5</v>
      </c>
    </row>
    <row r="357" spans="1:26">
      <c r="A357" s="94" t="str">
        <f t="shared" si="6"/>
        <v>20191019KAST</v>
      </c>
      <c r="B357" s="94">
        <v>2019</v>
      </c>
      <c r="C357" s="94">
        <v>8</v>
      </c>
      <c r="D357" s="94">
        <v>20191019</v>
      </c>
      <c r="E357" s="94" t="s">
        <v>144</v>
      </c>
      <c r="F357" s="94" t="s">
        <v>65</v>
      </c>
      <c r="G357" s="94" t="s">
        <v>209</v>
      </c>
      <c r="H357" s="94">
        <v>29</v>
      </c>
      <c r="I357" s="94">
        <v>112</v>
      </c>
      <c r="J357" s="94">
        <v>23</v>
      </c>
      <c r="K357" s="94">
        <v>172</v>
      </c>
      <c r="L357" s="94">
        <v>26</v>
      </c>
      <c r="M357" s="94">
        <v>79</v>
      </c>
      <c r="N357" s="94">
        <v>0</v>
      </c>
      <c r="O357" s="94">
        <v>24</v>
      </c>
      <c r="P357" s="94" t="s">
        <v>100</v>
      </c>
      <c r="Q357" s="94" t="s">
        <v>209</v>
      </c>
      <c r="R357" s="94">
        <v>40</v>
      </c>
      <c r="S357" s="94">
        <v>228</v>
      </c>
      <c r="T357" s="94">
        <v>31</v>
      </c>
      <c r="U357" s="94">
        <v>138</v>
      </c>
      <c r="V357" s="94">
        <v>0</v>
      </c>
      <c r="W357" s="94">
        <v>17</v>
      </c>
      <c r="X357" s="94">
        <v>0</v>
      </c>
      <c r="Y357" s="94">
        <v>17</v>
      </c>
      <c r="Z357" s="94">
        <v>3.5</v>
      </c>
    </row>
    <row r="358" spans="1:26">
      <c r="A358" s="94" t="str">
        <f t="shared" si="6"/>
        <v>20191019LOU</v>
      </c>
      <c r="B358" s="94">
        <v>2019</v>
      </c>
      <c r="C358" s="94">
        <v>8</v>
      </c>
      <c r="D358" s="94">
        <v>20191019</v>
      </c>
      <c r="E358" s="94" t="s">
        <v>144</v>
      </c>
      <c r="F358" s="94" t="s">
        <v>123</v>
      </c>
      <c r="G358" s="94" t="s">
        <v>146</v>
      </c>
      <c r="H358" s="94">
        <v>43</v>
      </c>
      <c r="I358" s="94">
        <v>156</v>
      </c>
      <c r="J358" s="94">
        <v>22</v>
      </c>
      <c r="K358" s="94">
        <v>107</v>
      </c>
      <c r="L358" s="94">
        <v>0</v>
      </c>
      <c r="M358" s="94">
        <v>38</v>
      </c>
      <c r="N358" s="94">
        <v>2</v>
      </c>
      <c r="O358" s="94">
        <v>10</v>
      </c>
      <c r="P358" s="94" t="s">
        <v>51</v>
      </c>
      <c r="Q358" s="94" t="s">
        <v>146</v>
      </c>
      <c r="R358" s="94">
        <v>37</v>
      </c>
      <c r="S358" s="94">
        <v>298</v>
      </c>
      <c r="T358" s="94">
        <v>33</v>
      </c>
      <c r="U358" s="94">
        <v>253</v>
      </c>
      <c r="V358" s="94">
        <v>10</v>
      </c>
      <c r="W358" s="94">
        <v>61</v>
      </c>
      <c r="X358" s="94">
        <v>3</v>
      </c>
      <c r="Y358" s="94">
        <v>45</v>
      </c>
      <c r="Z358" s="94">
        <v>24.5</v>
      </c>
    </row>
    <row r="359" spans="1:26">
      <c r="A359" s="94" t="str">
        <f t="shared" si="6"/>
        <v>20191019LTCH</v>
      </c>
      <c r="B359" s="94">
        <v>2019</v>
      </c>
      <c r="C359" s="94">
        <v>8</v>
      </c>
      <c r="D359" s="94">
        <v>20191019</v>
      </c>
      <c r="E359" s="94" t="s">
        <v>144</v>
      </c>
      <c r="F359" s="94" t="s">
        <v>95</v>
      </c>
      <c r="G359" s="94" t="s">
        <v>153</v>
      </c>
      <c r="H359" s="94">
        <v>40</v>
      </c>
      <c r="I359" s="94">
        <v>151</v>
      </c>
      <c r="J359" s="94">
        <v>21</v>
      </c>
      <c r="K359" s="94">
        <v>325</v>
      </c>
      <c r="L359" s="94">
        <v>0</v>
      </c>
      <c r="M359" s="94">
        <v>65</v>
      </c>
      <c r="N359" s="94">
        <v>4</v>
      </c>
      <c r="O359" s="94">
        <v>45</v>
      </c>
      <c r="P359" s="94" t="s">
        <v>99</v>
      </c>
      <c r="Q359" s="94" t="s">
        <v>153</v>
      </c>
      <c r="R359" s="94">
        <v>30</v>
      </c>
      <c r="S359" s="94">
        <v>110</v>
      </c>
      <c r="T359" s="94">
        <v>40</v>
      </c>
      <c r="U359" s="94">
        <v>327</v>
      </c>
      <c r="V359" s="94">
        <v>0</v>
      </c>
      <c r="W359" s="94">
        <v>161</v>
      </c>
      <c r="X359" s="94">
        <v>2</v>
      </c>
      <c r="Y359" s="94">
        <v>30</v>
      </c>
      <c r="Z359" s="94">
        <v>1.5</v>
      </c>
    </row>
    <row r="360" spans="1:26">
      <c r="A360" s="94" t="str">
        <f t="shared" si="6"/>
        <v>20191019MARY</v>
      </c>
      <c r="B360" s="94">
        <v>2019</v>
      </c>
      <c r="C360" s="94">
        <v>8</v>
      </c>
      <c r="D360" s="94">
        <v>20191019</v>
      </c>
      <c r="E360" s="94" t="s">
        <v>144</v>
      </c>
      <c r="F360" s="94" t="s">
        <v>121</v>
      </c>
      <c r="G360" s="94" t="s">
        <v>152</v>
      </c>
      <c r="H360" s="94">
        <v>37</v>
      </c>
      <c r="I360" s="94">
        <v>173</v>
      </c>
      <c r="J360" s="94">
        <v>27</v>
      </c>
      <c r="K360" s="94">
        <v>210</v>
      </c>
      <c r="L360" s="94">
        <v>0</v>
      </c>
      <c r="M360" s="94">
        <v>77</v>
      </c>
      <c r="N360" s="94">
        <v>1</v>
      </c>
      <c r="O360" s="94">
        <v>28</v>
      </c>
      <c r="P360" s="94" t="s">
        <v>53</v>
      </c>
      <c r="Q360" s="94" t="s">
        <v>152</v>
      </c>
      <c r="R360" s="94">
        <v>30</v>
      </c>
      <c r="S360" s="94">
        <v>189</v>
      </c>
      <c r="T360" s="94">
        <v>41</v>
      </c>
      <c r="U360" s="94">
        <v>334</v>
      </c>
      <c r="V360" s="94">
        <v>7</v>
      </c>
      <c r="W360" s="94">
        <v>103</v>
      </c>
      <c r="X360" s="94">
        <v>2</v>
      </c>
      <c r="Y360" s="94">
        <v>34</v>
      </c>
      <c r="Z360" s="94">
        <v>6</v>
      </c>
    </row>
    <row r="361" spans="1:26">
      <c r="A361" s="94" t="str">
        <f t="shared" si="6"/>
        <v>20191019MEM</v>
      </c>
      <c r="B361" s="94">
        <v>2019</v>
      </c>
      <c r="C361" s="94">
        <v>8</v>
      </c>
      <c r="D361" s="94">
        <v>20191019</v>
      </c>
      <c r="E361" s="94" t="s">
        <v>144</v>
      </c>
      <c r="F361" s="94" t="s">
        <v>70</v>
      </c>
      <c r="G361" s="94" t="s">
        <v>150</v>
      </c>
      <c r="H361" s="94">
        <v>34</v>
      </c>
      <c r="I361" s="94">
        <v>112</v>
      </c>
      <c r="J361" s="94">
        <v>30</v>
      </c>
      <c r="K361" s="94">
        <v>358</v>
      </c>
      <c r="L361" s="94">
        <v>0</v>
      </c>
      <c r="M361" s="94">
        <v>125</v>
      </c>
      <c r="N361" s="94">
        <v>3</v>
      </c>
      <c r="O361" s="94">
        <v>47</v>
      </c>
      <c r="P361" s="94" t="s">
        <v>20</v>
      </c>
      <c r="Q361" s="94" t="s">
        <v>150</v>
      </c>
      <c r="R361" s="94">
        <v>34</v>
      </c>
      <c r="S361" s="94">
        <v>146</v>
      </c>
      <c r="T361" s="94">
        <v>29</v>
      </c>
      <c r="U361" s="94">
        <v>187</v>
      </c>
      <c r="V361" s="94">
        <v>1</v>
      </c>
      <c r="W361" s="94">
        <v>53</v>
      </c>
      <c r="X361" s="94">
        <v>0</v>
      </c>
      <c r="Y361" s="94">
        <v>17</v>
      </c>
      <c r="Z361" s="94">
        <v>5.5</v>
      </c>
    </row>
    <row r="362" spans="1:26">
      <c r="A362" s="94" t="str">
        <f t="shared" si="6"/>
        <v>20191019MIAF</v>
      </c>
      <c r="B362" s="94">
        <v>2019</v>
      </c>
      <c r="C362" s="94">
        <v>8</v>
      </c>
      <c r="D362" s="94">
        <v>20191019</v>
      </c>
      <c r="E362" s="94" t="s">
        <v>144</v>
      </c>
      <c r="F362" s="94" t="s">
        <v>125</v>
      </c>
      <c r="G362" s="94" t="s">
        <v>146</v>
      </c>
      <c r="H362" s="94">
        <v>32</v>
      </c>
      <c r="I362" s="94">
        <v>157</v>
      </c>
      <c r="J362" s="94">
        <v>31</v>
      </c>
      <c r="K362" s="94">
        <v>200</v>
      </c>
      <c r="L362" s="94">
        <v>68</v>
      </c>
      <c r="M362" s="94">
        <v>29</v>
      </c>
      <c r="N362" s="94">
        <v>1</v>
      </c>
      <c r="O362" s="94">
        <v>21</v>
      </c>
      <c r="P362" s="94" t="s">
        <v>58</v>
      </c>
      <c r="Q362" s="94" t="s">
        <v>146</v>
      </c>
      <c r="R362" s="94">
        <v>45</v>
      </c>
      <c r="S362" s="94">
        <v>207</v>
      </c>
      <c r="T362" s="94">
        <v>19</v>
      </c>
      <c r="U362" s="94">
        <v>138</v>
      </c>
      <c r="V362" s="94">
        <v>0</v>
      </c>
      <c r="W362" s="94">
        <v>8</v>
      </c>
      <c r="X362" s="94">
        <v>1</v>
      </c>
      <c r="Y362" s="94">
        <v>28</v>
      </c>
      <c r="Z362" s="94">
        <v>18</v>
      </c>
    </row>
    <row r="363" spans="1:26">
      <c r="A363" s="94" t="str">
        <f t="shared" si="6"/>
        <v>20191019MIAO</v>
      </c>
      <c r="B363" s="94">
        <v>2019</v>
      </c>
      <c r="C363" s="94">
        <v>8</v>
      </c>
      <c r="D363" s="94">
        <v>20191019</v>
      </c>
      <c r="E363" s="94" t="s">
        <v>144</v>
      </c>
      <c r="F363" s="94" t="s">
        <v>71</v>
      </c>
      <c r="G363" s="94" t="s">
        <v>149</v>
      </c>
      <c r="H363" s="94">
        <v>32</v>
      </c>
      <c r="I363" s="94">
        <v>88</v>
      </c>
      <c r="J363" s="94">
        <v>28</v>
      </c>
      <c r="K363" s="94">
        <v>273</v>
      </c>
      <c r="L363" s="94">
        <v>15</v>
      </c>
      <c r="M363" s="94">
        <v>133</v>
      </c>
      <c r="N363" s="94">
        <v>0</v>
      </c>
      <c r="O363" s="94">
        <v>27</v>
      </c>
      <c r="P363" s="94" t="s">
        <v>63</v>
      </c>
      <c r="Q363" s="94" t="s">
        <v>149</v>
      </c>
      <c r="R363" s="94">
        <v>42</v>
      </c>
      <c r="S363" s="94">
        <v>117</v>
      </c>
      <c r="T363" s="94">
        <v>35</v>
      </c>
      <c r="U363" s="94">
        <v>235</v>
      </c>
      <c r="V363" s="94">
        <v>4</v>
      </c>
      <c r="W363" s="94">
        <v>0</v>
      </c>
      <c r="X363" s="94">
        <v>0</v>
      </c>
      <c r="Y363" s="94">
        <v>24</v>
      </c>
      <c r="Z363" s="94">
        <v>1.5</v>
      </c>
    </row>
    <row r="364" spans="1:26">
      <c r="A364" s="94" t="str">
        <f t="shared" si="6"/>
        <v>20191019MIS</v>
      </c>
      <c r="B364" s="94">
        <v>2019</v>
      </c>
      <c r="C364" s="94">
        <v>8</v>
      </c>
      <c r="D364" s="94">
        <v>20191019</v>
      </c>
      <c r="E364" s="94" t="s">
        <v>144</v>
      </c>
      <c r="F364" s="94" t="s">
        <v>126</v>
      </c>
      <c r="G364" s="94" t="s">
        <v>147</v>
      </c>
      <c r="H364" s="94">
        <v>44</v>
      </c>
      <c r="I364" s="94">
        <v>250</v>
      </c>
      <c r="J364" s="94">
        <v>29</v>
      </c>
      <c r="K364" s="94">
        <v>155</v>
      </c>
      <c r="L364" s="94">
        <v>6</v>
      </c>
      <c r="M364" s="94">
        <v>16</v>
      </c>
      <c r="N364" s="94">
        <v>2</v>
      </c>
      <c r="O364" s="94">
        <v>17</v>
      </c>
      <c r="P364" s="94" t="s">
        <v>22</v>
      </c>
      <c r="Q364" s="94" t="s">
        <v>147</v>
      </c>
      <c r="R364" s="94">
        <v>35</v>
      </c>
      <c r="S364" s="94">
        <v>168</v>
      </c>
      <c r="T364" s="94">
        <v>28</v>
      </c>
      <c r="U364" s="94">
        <v>172</v>
      </c>
      <c r="V364" s="94">
        <v>65</v>
      </c>
      <c r="W364" s="94">
        <v>40</v>
      </c>
      <c r="X364" s="94">
        <v>2</v>
      </c>
      <c r="Y364" s="94">
        <v>24</v>
      </c>
      <c r="Z364" s="94">
        <v>6.5</v>
      </c>
    </row>
    <row r="365" spans="1:26">
      <c r="A365" s="94" t="str">
        <f t="shared" si="6"/>
        <v>20191019MSST</v>
      </c>
      <c r="B365" s="94">
        <v>2019</v>
      </c>
      <c r="C365" s="94">
        <v>8</v>
      </c>
      <c r="D365" s="94">
        <v>20191019</v>
      </c>
      <c r="E365" s="94" t="s">
        <v>144</v>
      </c>
      <c r="F365" s="94" t="s">
        <v>74</v>
      </c>
      <c r="G365" s="94" t="s">
        <v>147</v>
      </c>
      <c r="H365" s="94">
        <v>37</v>
      </c>
      <c r="I365" s="94">
        <v>102</v>
      </c>
      <c r="J365" s="94">
        <v>28</v>
      </c>
      <c r="K365" s="94">
        <v>238</v>
      </c>
      <c r="L365" s="94">
        <v>3</v>
      </c>
      <c r="M365" s="94">
        <v>28</v>
      </c>
      <c r="N365" s="94">
        <v>0</v>
      </c>
      <c r="O365" s="94">
        <v>13</v>
      </c>
      <c r="P365" s="94" t="s">
        <v>124</v>
      </c>
      <c r="Q365" s="94" t="s">
        <v>147</v>
      </c>
      <c r="R365" s="94">
        <v>25</v>
      </c>
      <c r="S365" s="94">
        <v>86</v>
      </c>
      <c r="T365" s="94">
        <v>35</v>
      </c>
      <c r="U365" s="94">
        <v>327</v>
      </c>
      <c r="V365" s="94">
        <v>2</v>
      </c>
      <c r="W365" s="94">
        <v>24</v>
      </c>
      <c r="X365" s="94">
        <v>3</v>
      </c>
      <c r="Y365" s="94">
        <v>36</v>
      </c>
      <c r="Z365" s="94">
        <v>19.5</v>
      </c>
    </row>
    <row r="366" spans="1:26">
      <c r="A366" s="94" t="str">
        <f t="shared" si="6"/>
        <v>20191019NAVY</v>
      </c>
      <c r="B366" s="94">
        <v>2019</v>
      </c>
      <c r="C366" s="94">
        <v>8</v>
      </c>
      <c r="D366" s="94">
        <v>20191019</v>
      </c>
      <c r="E366" s="94" t="s">
        <v>144</v>
      </c>
      <c r="F366" s="94" t="s">
        <v>59</v>
      </c>
      <c r="G366" s="94" t="s">
        <v>150</v>
      </c>
      <c r="H366" s="94">
        <v>58</v>
      </c>
      <c r="I366" s="94">
        <v>435</v>
      </c>
      <c r="J366" s="94">
        <v>4</v>
      </c>
      <c r="K366" s="94">
        <v>23</v>
      </c>
      <c r="L366" s="94">
        <v>35</v>
      </c>
      <c r="M366" s="94">
        <v>0</v>
      </c>
      <c r="N366" s="94">
        <v>1</v>
      </c>
      <c r="O366" s="94">
        <v>35</v>
      </c>
      <c r="P366" s="94" t="s">
        <v>98</v>
      </c>
      <c r="Q366" s="94" t="s">
        <v>150</v>
      </c>
      <c r="R366" s="94">
        <v>37</v>
      </c>
      <c r="S366" s="94">
        <v>150</v>
      </c>
      <c r="T366" s="94">
        <v>30</v>
      </c>
      <c r="U366" s="94">
        <v>114</v>
      </c>
      <c r="V366" s="94">
        <v>0</v>
      </c>
      <c r="W366" s="94">
        <v>31</v>
      </c>
      <c r="X366" s="94">
        <v>3</v>
      </c>
      <c r="Y366" s="94">
        <v>3</v>
      </c>
      <c r="Z366" s="94">
        <v>16</v>
      </c>
    </row>
    <row r="367" spans="1:26">
      <c r="A367" s="94" t="str">
        <f t="shared" si="6"/>
        <v>20191019NTX</v>
      </c>
      <c r="B367" s="94">
        <v>2019</v>
      </c>
      <c r="C367" s="94">
        <v>8</v>
      </c>
      <c r="D367" s="94">
        <v>20191019</v>
      </c>
      <c r="E367" s="94" t="s">
        <v>144</v>
      </c>
      <c r="F367" s="94" t="s">
        <v>79</v>
      </c>
      <c r="G367" s="94" t="s">
        <v>153</v>
      </c>
      <c r="H367" s="94">
        <v>33</v>
      </c>
      <c r="I367" s="94">
        <v>132</v>
      </c>
      <c r="J367" s="94">
        <v>45</v>
      </c>
      <c r="K367" s="94">
        <v>375</v>
      </c>
      <c r="L367" s="94">
        <v>47</v>
      </c>
      <c r="M367" s="94">
        <v>123</v>
      </c>
      <c r="N367" s="94">
        <v>1</v>
      </c>
      <c r="O367" s="94">
        <v>33</v>
      </c>
      <c r="P367" s="94" t="s">
        <v>112</v>
      </c>
      <c r="Q367" s="94" t="s">
        <v>153</v>
      </c>
      <c r="R367" s="94">
        <v>30</v>
      </c>
      <c r="S367" s="94">
        <v>178</v>
      </c>
      <c r="T367" s="94">
        <v>48</v>
      </c>
      <c r="U367" s="94">
        <v>255</v>
      </c>
      <c r="V367" s="94">
        <v>1</v>
      </c>
      <c r="W367" s="94">
        <v>0</v>
      </c>
      <c r="X367" s="94">
        <v>3</v>
      </c>
      <c r="Y367" s="94">
        <v>30</v>
      </c>
      <c r="Z367" s="94">
        <v>7.5</v>
      </c>
    </row>
    <row r="368" spans="1:26">
      <c r="A368" s="94" t="str">
        <f t="shared" si="6"/>
        <v>20191019OHU</v>
      </c>
      <c r="B368" s="94">
        <v>2019</v>
      </c>
      <c r="C368" s="94">
        <v>8</v>
      </c>
      <c r="D368" s="94">
        <v>20191019</v>
      </c>
      <c r="E368" s="94" t="s">
        <v>144</v>
      </c>
      <c r="F368" s="94" t="s">
        <v>83</v>
      </c>
      <c r="G368" s="94" t="s">
        <v>149</v>
      </c>
      <c r="H368" s="94">
        <v>46</v>
      </c>
      <c r="I368" s="94">
        <v>229</v>
      </c>
      <c r="J368" s="94">
        <v>28</v>
      </c>
      <c r="K368" s="94">
        <v>342</v>
      </c>
      <c r="L368" s="94">
        <v>4</v>
      </c>
      <c r="M368" s="94">
        <v>25</v>
      </c>
      <c r="N368" s="94">
        <v>1</v>
      </c>
      <c r="O368" s="94">
        <v>45</v>
      </c>
      <c r="P368" s="94" t="s">
        <v>61</v>
      </c>
      <c r="Q368" s="94" t="s">
        <v>149</v>
      </c>
      <c r="R368" s="94">
        <v>39</v>
      </c>
      <c r="S368" s="94">
        <v>214</v>
      </c>
      <c r="T368" s="94">
        <v>35</v>
      </c>
      <c r="U368" s="94">
        <v>262</v>
      </c>
      <c r="V368" s="94">
        <v>0</v>
      </c>
      <c r="W368" s="94">
        <v>67</v>
      </c>
      <c r="X368" s="94">
        <v>0</v>
      </c>
      <c r="Y368" s="94">
        <v>38</v>
      </c>
      <c r="Z368" s="94">
        <v>7.5</v>
      </c>
    </row>
    <row r="369" spans="1:26">
      <c r="A369" s="94" t="str">
        <f t="shared" si="6"/>
        <v>20191019OKLA</v>
      </c>
      <c r="B369" s="94">
        <v>2019</v>
      </c>
      <c r="C369" s="94">
        <v>8</v>
      </c>
      <c r="D369" s="94">
        <v>20191019</v>
      </c>
      <c r="E369" s="94" t="s">
        <v>144</v>
      </c>
      <c r="F369" s="94" t="s">
        <v>84</v>
      </c>
      <c r="G369" s="94" t="s">
        <v>209</v>
      </c>
      <c r="H369" s="94">
        <v>38</v>
      </c>
      <c r="I369" s="94">
        <v>197</v>
      </c>
      <c r="J369" s="94">
        <v>21</v>
      </c>
      <c r="K369" s="94">
        <v>363</v>
      </c>
      <c r="L369" s="94">
        <v>15</v>
      </c>
      <c r="M369" s="94">
        <v>0</v>
      </c>
      <c r="N369" s="94">
        <v>0</v>
      </c>
      <c r="O369" s="94">
        <v>52</v>
      </c>
      <c r="P369" s="94" t="s">
        <v>133</v>
      </c>
      <c r="Q369" s="94" t="s">
        <v>209</v>
      </c>
      <c r="R369" s="94">
        <v>30</v>
      </c>
      <c r="S369" s="94">
        <v>51</v>
      </c>
      <c r="T369" s="94">
        <v>34</v>
      </c>
      <c r="U369" s="94">
        <v>191</v>
      </c>
      <c r="V369" s="94">
        <v>5</v>
      </c>
      <c r="W369" s="94">
        <v>44</v>
      </c>
      <c r="X369" s="94">
        <v>0</v>
      </c>
      <c r="Y369" s="94">
        <v>14</v>
      </c>
      <c r="Z369" s="94">
        <v>33.5</v>
      </c>
    </row>
    <row r="370" spans="1:26">
      <c r="A370" s="94" t="str">
        <f t="shared" si="6"/>
        <v>20191019OKST</v>
      </c>
      <c r="B370" s="94">
        <v>2019</v>
      </c>
      <c r="C370" s="94">
        <v>8</v>
      </c>
      <c r="D370" s="94">
        <v>20191019</v>
      </c>
      <c r="E370" s="94" t="s">
        <v>144</v>
      </c>
      <c r="F370" s="94" t="s">
        <v>26</v>
      </c>
      <c r="G370" s="94" t="s">
        <v>209</v>
      </c>
      <c r="H370" s="94">
        <v>50</v>
      </c>
      <c r="I370" s="94">
        <v>281</v>
      </c>
      <c r="J370" s="94">
        <v>36</v>
      </c>
      <c r="K370" s="94">
        <v>188</v>
      </c>
      <c r="L370" s="94">
        <v>22</v>
      </c>
      <c r="M370" s="94">
        <v>69</v>
      </c>
      <c r="N370" s="94">
        <v>1</v>
      </c>
      <c r="O370" s="94">
        <v>27</v>
      </c>
      <c r="P370" s="94" t="s">
        <v>45</v>
      </c>
      <c r="Q370" s="94" t="s">
        <v>209</v>
      </c>
      <c r="R370" s="94">
        <v>37</v>
      </c>
      <c r="S370" s="94">
        <v>224</v>
      </c>
      <c r="T370" s="94">
        <v>17</v>
      </c>
      <c r="U370" s="94">
        <v>312</v>
      </c>
      <c r="V370" s="94">
        <v>0</v>
      </c>
      <c r="W370" s="94">
        <v>16</v>
      </c>
      <c r="X370" s="94">
        <v>3</v>
      </c>
      <c r="Y370" s="94">
        <v>45</v>
      </c>
      <c r="Z370" s="94">
        <v>3.5</v>
      </c>
    </row>
    <row r="371" spans="1:26">
      <c r="A371" s="94" t="str">
        <f t="shared" si="6"/>
        <v>20191019PNST</v>
      </c>
      <c r="B371" s="94">
        <v>2019</v>
      </c>
      <c r="C371" s="94">
        <v>8</v>
      </c>
      <c r="D371" s="94">
        <v>20191019</v>
      </c>
      <c r="E371" s="94" t="s">
        <v>144</v>
      </c>
      <c r="F371" s="94" t="s">
        <v>89</v>
      </c>
      <c r="G371" s="94" t="s">
        <v>152</v>
      </c>
      <c r="H371" s="94">
        <v>26</v>
      </c>
      <c r="I371" s="94">
        <v>111</v>
      </c>
      <c r="J371" s="94">
        <v>25</v>
      </c>
      <c r="K371" s="94">
        <v>182</v>
      </c>
      <c r="L371" s="94">
        <v>7</v>
      </c>
      <c r="M371" s="94">
        <v>65</v>
      </c>
      <c r="N371" s="94">
        <v>1</v>
      </c>
      <c r="O371" s="94">
        <v>28</v>
      </c>
      <c r="P371" s="94" t="s">
        <v>78</v>
      </c>
      <c r="Q371" s="94" t="s">
        <v>152</v>
      </c>
      <c r="R371" s="94">
        <v>39</v>
      </c>
      <c r="S371" s="94">
        <v>141</v>
      </c>
      <c r="T371" s="94">
        <v>41</v>
      </c>
      <c r="U371" s="94">
        <v>276</v>
      </c>
      <c r="V371" s="94">
        <v>12</v>
      </c>
      <c r="W371" s="94">
        <v>10</v>
      </c>
      <c r="X371" s="94">
        <v>0</v>
      </c>
      <c r="Y371" s="94">
        <v>21</v>
      </c>
      <c r="Z371" s="94">
        <v>7.5</v>
      </c>
    </row>
    <row r="372" spans="1:26">
      <c r="A372" s="94" t="str">
        <f t="shared" si="6"/>
        <v>20191019RUT</v>
      </c>
      <c r="B372" s="94">
        <v>2019</v>
      </c>
      <c r="C372" s="94">
        <v>8</v>
      </c>
      <c r="D372" s="94">
        <v>20191019</v>
      </c>
      <c r="E372" s="94" t="s">
        <v>144</v>
      </c>
      <c r="F372" s="94" t="s">
        <v>92</v>
      </c>
      <c r="G372" s="94" t="s">
        <v>152</v>
      </c>
      <c r="H372" s="94">
        <v>40</v>
      </c>
      <c r="I372" s="94">
        <v>141</v>
      </c>
      <c r="J372" s="94">
        <v>19</v>
      </c>
      <c r="K372" s="94">
        <v>48</v>
      </c>
      <c r="L372" s="94">
        <v>73</v>
      </c>
      <c r="M372" s="94">
        <v>0</v>
      </c>
      <c r="N372" s="94">
        <v>0</v>
      </c>
      <c r="O372" s="94">
        <v>7</v>
      </c>
      <c r="P372" s="94" t="s">
        <v>16</v>
      </c>
      <c r="Q372" s="94" t="s">
        <v>152</v>
      </c>
      <c r="R372" s="94">
        <v>45</v>
      </c>
      <c r="S372" s="94">
        <v>198</v>
      </c>
      <c r="T372" s="94">
        <v>28</v>
      </c>
      <c r="U372" s="94">
        <v>245</v>
      </c>
      <c r="V372" s="94">
        <v>16</v>
      </c>
      <c r="W372" s="94">
        <v>0</v>
      </c>
      <c r="X372" s="94">
        <v>3</v>
      </c>
      <c r="Y372" s="94">
        <v>42</v>
      </c>
      <c r="Z372" s="94">
        <v>30</v>
      </c>
    </row>
    <row r="373" spans="1:26">
      <c r="A373" s="94" t="str">
        <f t="shared" si="6"/>
        <v>20191019SCAR</v>
      </c>
      <c r="B373" s="94">
        <v>2019</v>
      </c>
      <c r="C373" s="94">
        <v>8</v>
      </c>
      <c r="D373" s="94">
        <v>20191019</v>
      </c>
      <c r="E373" s="94" t="s">
        <v>144</v>
      </c>
      <c r="F373" s="94" t="s">
        <v>96</v>
      </c>
      <c r="G373" s="94" t="s">
        <v>147</v>
      </c>
      <c r="H373" s="94">
        <v>43</v>
      </c>
      <c r="I373" s="94">
        <v>217</v>
      </c>
      <c r="J373" s="94">
        <v>35</v>
      </c>
      <c r="K373" s="94">
        <v>170</v>
      </c>
      <c r="L373" s="94">
        <v>0</v>
      </c>
      <c r="M373" s="94">
        <v>86</v>
      </c>
      <c r="N373" s="94">
        <v>1</v>
      </c>
      <c r="O373" s="94">
        <v>27</v>
      </c>
      <c r="P373" s="94" t="s">
        <v>54</v>
      </c>
      <c r="Q373" s="94" t="s">
        <v>147</v>
      </c>
      <c r="R373" s="94">
        <v>29</v>
      </c>
      <c r="S373" s="94">
        <v>155</v>
      </c>
      <c r="T373" s="94">
        <v>33</v>
      </c>
      <c r="U373" s="94">
        <v>200</v>
      </c>
      <c r="V373" s="94">
        <v>6</v>
      </c>
      <c r="W373" s="94">
        <v>16</v>
      </c>
      <c r="X373" s="94">
        <v>1</v>
      </c>
      <c r="Y373" s="94">
        <v>38</v>
      </c>
      <c r="Z373" s="94">
        <v>7</v>
      </c>
    </row>
    <row r="374" spans="1:26">
      <c r="A374" s="94" t="str">
        <f t="shared" si="6"/>
        <v>20191019SJST</v>
      </c>
      <c r="B374" s="94">
        <v>2019</v>
      </c>
      <c r="C374" s="94">
        <v>8</v>
      </c>
      <c r="D374" s="94">
        <v>20191019</v>
      </c>
      <c r="E374" s="94" t="s">
        <v>144</v>
      </c>
      <c r="F374" s="94" t="s">
        <v>19</v>
      </c>
      <c r="G374" s="94" t="s">
        <v>148</v>
      </c>
      <c r="H374" s="94">
        <v>16</v>
      </c>
      <c r="I374" s="94">
        <v>55</v>
      </c>
      <c r="J374" s="94">
        <v>36</v>
      </c>
      <c r="K374" s="94">
        <v>218</v>
      </c>
      <c r="L374" s="94">
        <v>8</v>
      </c>
      <c r="M374" s="94">
        <v>17</v>
      </c>
      <c r="N374" s="94">
        <v>0</v>
      </c>
      <c r="O374" s="94">
        <v>17</v>
      </c>
      <c r="P374" s="94" t="s">
        <v>34</v>
      </c>
      <c r="Q374" s="94" t="s">
        <v>148</v>
      </c>
      <c r="R374" s="94">
        <v>52</v>
      </c>
      <c r="S374" s="94">
        <v>270</v>
      </c>
      <c r="T374" s="94">
        <v>20</v>
      </c>
      <c r="U374" s="94">
        <v>88</v>
      </c>
      <c r="V374" s="94">
        <v>11</v>
      </c>
      <c r="W374" s="94">
        <v>121</v>
      </c>
      <c r="X374" s="94">
        <v>1</v>
      </c>
      <c r="Y374" s="94">
        <v>27</v>
      </c>
      <c r="Z374" s="94">
        <v>8</v>
      </c>
    </row>
    <row r="375" spans="1:26">
      <c r="A375" s="94" t="str">
        <f t="shared" si="6"/>
        <v>20191019SMU</v>
      </c>
      <c r="B375" s="94">
        <v>2019</v>
      </c>
      <c r="C375" s="94">
        <v>8</v>
      </c>
      <c r="D375" s="94">
        <v>20191019</v>
      </c>
      <c r="E375" s="94" t="s">
        <v>144</v>
      </c>
      <c r="F375" s="94" t="s">
        <v>80</v>
      </c>
      <c r="G375" s="94" t="s">
        <v>150</v>
      </c>
      <c r="H375" s="94">
        <v>55</v>
      </c>
      <c r="I375" s="94">
        <v>198</v>
      </c>
      <c r="J375" s="94">
        <v>54</v>
      </c>
      <c r="K375" s="94">
        <v>457</v>
      </c>
      <c r="L375" s="94">
        <v>22</v>
      </c>
      <c r="M375" s="94">
        <v>41</v>
      </c>
      <c r="N375" s="94">
        <v>1</v>
      </c>
      <c r="O375" s="94">
        <v>45</v>
      </c>
      <c r="P375" s="94" t="s">
        <v>101</v>
      </c>
      <c r="Q375" s="94" t="s">
        <v>150</v>
      </c>
      <c r="R375" s="94">
        <v>33</v>
      </c>
      <c r="S375" s="94">
        <v>69</v>
      </c>
      <c r="T375" s="94">
        <v>36</v>
      </c>
      <c r="U375" s="94">
        <v>204</v>
      </c>
      <c r="V375" s="94">
        <v>9</v>
      </c>
      <c r="W375" s="94">
        <v>86</v>
      </c>
      <c r="X375" s="94">
        <v>1</v>
      </c>
      <c r="Y375" s="94">
        <v>21</v>
      </c>
      <c r="Z375" s="94">
        <v>9.5</v>
      </c>
    </row>
    <row r="376" spans="1:26">
      <c r="A376" s="94" t="str">
        <f t="shared" si="6"/>
        <v>20191019TEX</v>
      </c>
      <c r="B376" s="94">
        <v>2019</v>
      </c>
      <c r="C376" s="94">
        <v>8</v>
      </c>
      <c r="D376" s="94">
        <v>20191019</v>
      </c>
      <c r="E376" s="94" t="s">
        <v>144</v>
      </c>
      <c r="F376" s="94" t="s">
        <v>130</v>
      </c>
      <c r="G376" s="94" t="s">
        <v>209</v>
      </c>
      <c r="H376" s="94">
        <v>40</v>
      </c>
      <c r="I376" s="94">
        <v>239</v>
      </c>
      <c r="J376" s="94">
        <v>45</v>
      </c>
      <c r="K376" s="94">
        <v>399</v>
      </c>
      <c r="L376" s="94">
        <v>0</v>
      </c>
      <c r="M376" s="94">
        <v>13</v>
      </c>
      <c r="N376" s="94">
        <v>0</v>
      </c>
      <c r="O376" s="94">
        <v>50</v>
      </c>
      <c r="P376" s="94" t="s">
        <v>64</v>
      </c>
      <c r="Q376" s="94" t="s">
        <v>209</v>
      </c>
      <c r="R376" s="94">
        <v>39</v>
      </c>
      <c r="S376" s="94">
        <v>259</v>
      </c>
      <c r="T376" s="94">
        <v>47</v>
      </c>
      <c r="U376" s="94">
        <v>310</v>
      </c>
      <c r="V376" s="94">
        <v>14</v>
      </c>
      <c r="W376" s="94">
        <v>46</v>
      </c>
      <c r="X376" s="94">
        <v>2</v>
      </c>
      <c r="Y376" s="94">
        <v>48</v>
      </c>
      <c r="Z376" s="94">
        <v>21</v>
      </c>
    </row>
    <row r="377" spans="1:26">
      <c r="A377" s="94" t="str">
        <f t="shared" si="6"/>
        <v>20191019TXT</v>
      </c>
      <c r="B377" s="94">
        <v>2019</v>
      </c>
      <c r="C377" s="94">
        <v>8</v>
      </c>
      <c r="D377" s="94">
        <v>20191019</v>
      </c>
      <c r="E377" s="94" t="s">
        <v>144</v>
      </c>
      <c r="F377" s="94" t="s">
        <v>131</v>
      </c>
      <c r="G377" s="94" t="s">
        <v>209</v>
      </c>
      <c r="H377" s="94">
        <v>34</v>
      </c>
      <c r="I377" s="94">
        <v>168</v>
      </c>
      <c r="J377" s="94">
        <v>52</v>
      </c>
      <c r="K377" s="94">
        <v>239</v>
      </c>
      <c r="L377" s="94">
        <v>0</v>
      </c>
      <c r="M377" s="94">
        <v>120</v>
      </c>
      <c r="N377" s="94">
        <v>1</v>
      </c>
      <c r="O377" s="94">
        <v>24</v>
      </c>
      <c r="P377" s="94" t="s">
        <v>122</v>
      </c>
      <c r="Q377" s="94" t="s">
        <v>209</v>
      </c>
      <c r="R377" s="94">
        <v>23</v>
      </c>
      <c r="S377" s="94">
        <v>186</v>
      </c>
      <c r="T377" s="94">
        <v>32</v>
      </c>
      <c r="U377" s="94">
        <v>378</v>
      </c>
      <c r="V377" s="94">
        <v>6</v>
      </c>
      <c r="W377" s="94">
        <v>0</v>
      </c>
      <c r="X377" s="94">
        <v>0</v>
      </c>
      <c r="Y377" s="94">
        <v>34</v>
      </c>
      <c r="Z377" s="94">
        <v>7.5</v>
      </c>
    </row>
    <row r="378" spans="1:26">
      <c r="A378" s="94" t="str">
        <f t="shared" si="6"/>
        <v>20191019UAB</v>
      </c>
      <c r="B378" s="94">
        <v>2019</v>
      </c>
      <c r="C378" s="94">
        <v>8</v>
      </c>
      <c r="D378" s="94">
        <v>20191019</v>
      </c>
      <c r="E378" s="94" t="s">
        <v>144</v>
      </c>
      <c r="F378" s="94" t="s">
        <v>23</v>
      </c>
      <c r="G378" s="94" t="s">
        <v>153</v>
      </c>
      <c r="H378" s="94">
        <v>43</v>
      </c>
      <c r="I378" s="94">
        <v>176</v>
      </c>
      <c r="J378" s="94">
        <v>29</v>
      </c>
      <c r="K378" s="94">
        <v>260</v>
      </c>
      <c r="L378" s="94">
        <v>3</v>
      </c>
      <c r="M378" s="94">
        <v>9</v>
      </c>
      <c r="N378" s="94">
        <v>3</v>
      </c>
      <c r="O378" s="94">
        <v>38</v>
      </c>
      <c r="P378" s="94" t="s">
        <v>68</v>
      </c>
      <c r="Q378" s="94" t="s">
        <v>153</v>
      </c>
      <c r="R378" s="94">
        <v>32</v>
      </c>
      <c r="S378" s="94">
        <v>53</v>
      </c>
      <c r="T378" s="94">
        <v>26</v>
      </c>
      <c r="U378" s="94">
        <v>111</v>
      </c>
      <c r="V378" s="94">
        <v>7</v>
      </c>
      <c r="W378" s="94">
        <v>114</v>
      </c>
      <c r="X378" s="94">
        <v>2</v>
      </c>
      <c r="Y378" s="94">
        <v>14</v>
      </c>
      <c r="Z378" s="94">
        <v>16.5</v>
      </c>
    </row>
    <row r="379" spans="1:26">
      <c r="A379" s="94" t="str">
        <f t="shared" si="6"/>
        <v>20191019USC</v>
      </c>
      <c r="B379" s="94">
        <v>2019</v>
      </c>
      <c r="C379" s="94">
        <v>8</v>
      </c>
      <c r="D379" s="94">
        <v>20191019</v>
      </c>
      <c r="E379" s="94" t="s">
        <v>144</v>
      </c>
      <c r="F379" s="94" t="s">
        <v>108</v>
      </c>
      <c r="G379" s="94" t="s">
        <v>151</v>
      </c>
      <c r="H379" s="94">
        <v>36</v>
      </c>
      <c r="I379" s="94">
        <v>201</v>
      </c>
      <c r="J379" s="94">
        <v>30</v>
      </c>
      <c r="K379" s="94">
        <v>247</v>
      </c>
      <c r="L379" s="94">
        <v>19</v>
      </c>
      <c r="M379" s="94">
        <v>25</v>
      </c>
      <c r="N379" s="94">
        <v>3</v>
      </c>
      <c r="O379" s="94">
        <v>41</v>
      </c>
      <c r="P379" s="94" t="s">
        <v>42</v>
      </c>
      <c r="Q379" s="94" t="s">
        <v>151</v>
      </c>
      <c r="R379" s="94">
        <v>38</v>
      </c>
      <c r="S379" s="94">
        <v>142</v>
      </c>
      <c r="T379" s="94">
        <v>37</v>
      </c>
      <c r="U379" s="94">
        <v>243</v>
      </c>
      <c r="V379" s="94">
        <v>1</v>
      </c>
      <c r="W379" s="94">
        <v>168</v>
      </c>
      <c r="X379" s="94">
        <v>1</v>
      </c>
      <c r="Y379" s="94">
        <v>14</v>
      </c>
      <c r="Z379" s="94">
        <v>10.5</v>
      </c>
    </row>
    <row r="380" spans="1:26">
      <c r="A380" s="94" t="str">
        <f t="shared" si="6"/>
        <v>20191019UTAH</v>
      </c>
      <c r="B380" s="94">
        <v>2019</v>
      </c>
      <c r="C380" s="94">
        <v>8</v>
      </c>
      <c r="D380" s="94">
        <v>20191019</v>
      </c>
      <c r="E380" s="94" t="s">
        <v>144</v>
      </c>
      <c r="F380" s="94" t="s">
        <v>24</v>
      </c>
      <c r="G380" s="94" t="s">
        <v>151</v>
      </c>
      <c r="H380" s="94">
        <v>43</v>
      </c>
      <c r="I380" s="94">
        <v>151</v>
      </c>
      <c r="J380" s="94">
        <v>24</v>
      </c>
      <c r="K380" s="94">
        <v>191</v>
      </c>
      <c r="L380" s="94">
        <v>14</v>
      </c>
      <c r="M380" s="94">
        <v>0</v>
      </c>
      <c r="N380" s="94">
        <v>2</v>
      </c>
      <c r="O380" s="94">
        <v>21</v>
      </c>
      <c r="P380" s="94" t="s">
        <v>44</v>
      </c>
      <c r="Q380" s="94" t="s">
        <v>151</v>
      </c>
      <c r="R380" s="94">
        <v>33</v>
      </c>
      <c r="S380" s="94">
        <v>111</v>
      </c>
      <c r="T380" s="94">
        <v>18</v>
      </c>
      <c r="U380" s="94">
        <v>25</v>
      </c>
      <c r="V380" s="94">
        <v>13</v>
      </c>
      <c r="W380" s="94">
        <v>51</v>
      </c>
      <c r="X380" s="94">
        <v>4</v>
      </c>
      <c r="Y380" s="94">
        <v>3</v>
      </c>
      <c r="Z380" s="94">
        <v>14</v>
      </c>
    </row>
    <row r="381" spans="1:26">
      <c r="A381" s="94" t="str">
        <f t="shared" si="6"/>
        <v>20191019UTST</v>
      </c>
      <c r="B381" s="94">
        <v>2019</v>
      </c>
      <c r="C381" s="94">
        <v>8</v>
      </c>
      <c r="D381" s="94">
        <v>20191019</v>
      </c>
      <c r="E381" s="94" t="s">
        <v>144</v>
      </c>
      <c r="F381" s="94" t="s">
        <v>31</v>
      </c>
      <c r="G381" s="94" t="s">
        <v>148</v>
      </c>
      <c r="H381" s="94">
        <v>44</v>
      </c>
      <c r="I381" s="94">
        <v>244</v>
      </c>
      <c r="J381" s="94">
        <v>33</v>
      </c>
      <c r="K381" s="94">
        <v>174</v>
      </c>
      <c r="L381" s="94">
        <v>20</v>
      </c>
      <c r="M381" s="94">
        <v>119</v>
      </c>
      <c r="N381" s="94">
        <v>2</v>
      </c>
      <c r="O381" s="94">
        <v>36</v>
      </c>
      <c r="P381" s="94" t="s">
        <v>32</v>
      </c>
      <c r="Q381" s="94" t="s">
        <v>148</v>
      </c>
      <c r="R381" s="94">
        <v>35</v>
      </c>
      <c r="S381" s="94">
        <v>113</v>
      </c>
      <c r="T381" s="94">
        <v>38</v>
      </c>
      <c r="U381" s="94">
        <v>213</v>
      </c>
      <c r="V381" s="94">
        <v>0</v>
      </c>
      <c r="W381" s="94">
        <v>109</v>
      </c>
      <c r="X381" s="94">
        <v>2</v>
      </c>
      <c r="Y381" s="94">
        <v>10</v>
      </c>
      <c r="Z381" s="94">
        <v>24</v>
      </c>
    </row>
    <row r="382" spans="1:26">
      <c r="A382" s="94" t="str">
        <f t="shared" si="6"/>
        <v>20191019VAN</v>
      </c>
      <c r="B382" s="94">
        <v>2019</v>
      </c>
      <c r="C382" s="94">
        <v>8</v>
      </c>
      <c r="D382" s="94">
        <v>20191019</v>
      </c>
      <c r="E382" s="94" t="s">
        <v>144</v>
      </c>
      <c r="F382" s="94" t="s">
        <v>111</v>
      </c>
      <c r="G382" s="94" t="s">
        <v>147</v>
      </c>
      <c r="H382" s="94">
        <v>42</v>
      </c>
      <c r="I382" s="94">
        <v>150</v>
      </c>
      <c r="J382" s="94">
        <v>18</v>
      </c>
      <c r="K382" s="94">
        <v>165</v>
      </c>
      <c r="L382" s="94">
        <v>50</v>
      </c>
      <c r="M382" s="94">
        <v>19</v>
      </c>
      <c r="N382" s="94">
        <v>1</v>
      </c>
      <c r="O382" s="94">
        <v>21</v>
      </c>
      <c r="P382" s="94" t="s">
        <v>73</v>
      </c>
      <c r="Q382" s="94" t="s">
        <v>147</v>
      </c>
      <c r="R382" s="94">
        <v>40</v>
      </c>
      <c r="S382" s="94">
        <v>153</v>
      </c>
      <c r="T382" s="94">
        <v>26</v>
      </c>
      <c r="U382" s="94">
        <v>140</v>
      </c>
      <c r="V382" s="94">
        <v>7</v>
      </c>
      <c r="W382" s="94">
        <v>22</v>
      </c>
      <c r="X382" s="94">
        <v>1</v>
      </c>
      <c r="Y382" s="94">
        <v>14</v>
      </c>
      <c r="Z382" s="94">
        <v>21</v>
      </c>
    </row>
    <row r="383" spans="1:26">
      <c r="A383" s="94" t="str">
        <f t="shared" si="6"/>
        <v>20191019VIR</v>
      </c>
      <c r="B383" s="94">
        <v>2019</v>
      </c>
      <c r="C383" s="94">
        <v>8</v>
      </c>
      <c r="D383" s="94">
        <v>20191019</v>
      </c>
      <c r="E383" s="94" t="s">
        <v>144</v>
      </c>
      <c r="F383" s="94" t="s">
        <v>113</v>
      </c>
      <c r="G383" s="94" t="s">
        <v>146</v>
      </c>
      <c r="H383" s="94">
        <v>41</v>
      </c>
      <c r="I383" s="94">
        <v>154</v>
      </c>
      <c r="J383" s="94">
        <v>28</v>
      </c>
      <c r="K383" s="94">
        <v>153</v>
      </c>
      <c r="L383" s="94">
        <v>2</v>
      </c>
      <c r="M383" s="94">
        <v>138</v>
      </c>
      <c r="N383" s="94">
        <v>5</v>
      </c>
      <c r="O383" s="94">
        <v>48</v>
      </c>
      <c r="P383" s="94" t="s">
        <v>27</v>
      </c>
      <c r="Q383" s="94" t="s">
        <v>146</v>
      </c>
      <c r="R383" s="94">
        <v>41</v>
      </c>
      <c r="S383" s="94">
        <v>132</v>
      </c>
      <c r="T383" s="94">
        <v>30</v>
      </c>
      <c r="U383" s="94">
        <v>118</v>
      </c>
      <c r="V383" s="94">
        <v>6</v>
      </c>
      <c r="W383" s="94">
        <v>46</v>
      </c>
      <c r="X383" s="94">
        <v>2</v>
      </c>
      <c r="Y383" s="94">
        <v>14</v>
      </c>
      <c r="Z383" s="94">
        <v>4</v>
      </c>
    </row>
    <row r="384" spans="1:26">
      <c r="A384" s="94" t="str">
        <f t="shared" si="6"/>
        <v>20191019VTCH</v>
      </c>
      <c r="B384" s="94">
        <v>2019</v>
      </c>
      <c r="C384" s="94">
        <v>8</v>
      </c>
      <c r="D384" s="94">
        <v>20191019</v>
      </c>
      <c r="E384" s="94" t="s">
        <v>144</v>
      </c>
      <c r="F384" s="94" t="s">
        <v>117</v>
      </c>
      <c r="G384" s="94" t="s">
        <v>146</v>
      </c>
      <c r="H384" s="94">
        <v>60</v>
      </c>
      <c r="I384" s="94">
        <v>254</v>
      </c>
      <c r="J384" s="94">
        <v>21</v>
      </c>
      <c r="K384" s="94">
        <v>236</v>
      </c>
      <c r="L384" s="94">
        <v>21</v>
      </c>
      <c r="M384" s="94">
        <v>9</v>
      </c>
      <c r="N384" s="94">
        <v>0</v>
      </c>
      <c r="O384" s="94">
        <v>43</v>
      </c>
      <c r="P384" s="94" t="s">
        <v>49</v>
      </c>
      <c r="Q384" s="94" t="s">
        <v>146</v>
      </c>
      <c r="R384" s="94">
        <v>40</v>
      </c>
      <c r="S384" s="94">
        <v>143</v>
      </c>
      <c r="T384" s="94">
        <v>49</v>
      </c>
      <c r="U384" s="94">
        <v>348</v>
      </c>
      <c r="V384" s="94">
        <v>0</v>
      </c>
      <c r="W384" s="94">
        <v>0</v>
      </c>
      <c r="X384" s="94">
        <v>2</v>
      </c>
      <c r="Y384" s="94">
        <v>41</v>
      </c>
      <c r="Z384" s="94">
        <v>3</v>
      </c>
    </row>
    <row r="385" spans="1:26">
      <c r="A385" s="94" t="str">
        <f t="shared" si="6"/>
        <v>20191019WAKE</v>
      </c>
      <c r="B385" s="94">
        <v>2019</v>
      </c>
      <c r="C385" s="94">
        <v>8</v>
      </c>
      <c r="D385" s="94">
        <v>20191019</v>
      </c>
      <c r="E385" s="94" t="s">
        <v>144</v>
      </c>
      <c r="F385" s="94" t="s">
        <v>21</v>
      </c>
      <c r="G385" s="94" t="s">
        <v>146</v>
      </c>
      <c r="H385" s="94">
        <v>40</v>
      </c>
      <c r="I385" s="94">
        <v>116</v>
      </c>
      <c r="J385" s="94">
        <v>38</v>
      </c>
      <c r="K385" s="94">
        <v>308</v>
      </c>
      <c r="L385" s="94">
        <v>11</v>
      </c>
      <c r="M385" s="94">
        <v>16</v>
      </c>
      <c r="N385" s="94">
        <v>2</v>
      </c>
      <c r="O385" s="94">
        <v>22</v>
      </c>
      <c r="P385" s="94" t="s">
        <v>116</v>
      </c>
      <c r="Q385" s="94" t="s">
        <v>146</v>
      </c>
      <c r="R385" s="94">
        <v>46</v>
      </c>
      <c r="S385" s="94">
        <v>169</v>
      </c>
      <c r="T385" s="94">
        <v>43</v>
      </c>
      <c r="U385" s="94">
        <v>280</v>
      </c>
      <c r="V385" s="94">
        <v>8</v>
      </c>
      <c r="W385" s="94">
        <v>34</v>
      </c>
      <c r="X385" s="94">
        <v>0</v>
      </c>
      <c r="Y385" s="94">
        <v>20</v>
      </c>
      <c r="Z385" s="94">
        <v>2</v>
      </c>
    </row>
    <row r="386" spans="1:26">
      <c r="A386" s="94" t="str">
        <f t="shared" si="6"/>
        <v>20191019WAS</v>
      </c>
      <c r="B386" s="94">
        <v>2019</v>
      </c>
      <c r="C386" s="94">
        <v>8</v>
      </c>
      <c r="D386" s="94">
        <v>20191019</v>
      </c>
      <c r="E386" s="94" t="s">
        <v>144</v>
      </c>
      <c r="F386" s="94" t="s">
        <v>132</v>
      </c>
      <c r="G386" s="94" t="s">
        <v>151</v>
      </c>
      <c r="H386" s="94">
        <v>33</v>
      </c>
      <c r="I386" s="94">
        <v>144</v>
      </c>
      <c r="J386" s="94">
        <v>30</v>
      </c>
      <c r="K386" s="94">
        <v>289</v>
      </c>
      <c r="L386" s="94">
        <v>0</v>
      </c>
      <c r="M386" s="94">
        <v>42</v>
      </c>
      <c r="N386" s="94">
        <v>0</v>
      </c>
      <c r="O386" s="94">
        <v>31</v>
      </c>
      <c r="P386" s="94" t="s">
        <v>86</v>
      </c>
      <c r="Q386" s="94" t="s">
        <v>151</v>
      </c>
      <c r="R386" s="94">
        <v>34</v>
      </c>
      <c r="S386" s="94">
        <v>188</v>
      </c>
      <c r="T386" s="94">
        <v>38</v>
      </c>
      <c r="U386" s="94">
        <v>280</v>
      </c>
      <c r="V386" s="94">
        <v>0</v>
      </c>
      <c r="W386" s="94">
        <v>41</v>
      </c>
      <c r="X386" s="94">
        <v>0</v>
      </c>
      <c r="Y386" s="94">
        <v>35</v>
      </c>
      <c r="Z386" s="94">
        <v>3</v>
      </c>
    </row>
    <row r="387" spans="1:26">
      <c r="A387" s="94" t="str">
        <f t="shared" si="6"/>
        <v>20191019WAST</v>
      </c>
      <c r="B387" s="94">
        <v>2019</v>
      </c>
      <c r="C387" s="94">
        <v>8</v>
      </c>
      <c r="D387" s="94">
        <v>20191019</v>
      </c>
      <c r="E387" s="94" t="s">
        <v>144</v>
      </c>
      <c r="F387" s="94" t="s">
        <v>114</v>
      </c>
      <c r="G387" s="94" t="s">
        <v>151</v>
      </c>
      <c r="H387" s="94">
        <v>20</v>
      </c>
      <c r="I387" s="94">
        <v>128</v>
      </c>
      <c r="J387" s="94">
        <v>53</v>
      </c>
      <c r="K387" s="94">
        <v>369</v>
      </c>
      <c r="L387" s="94">
        <v>0</v>
      </c>
      <c r="M387" s="94">
        <v>21</v>
      </c>
      <c r="N387" s="94">
        <v>3</v>
      </c>
      <c r="O387" s="94">
        <v>41</v>
      </c>
      <c r="P387" s="94" t="s">
        <v>128</v>
      </c>
      <c r="Q387" s="94" t="s">
        <v>151</v>
      </c>
      <c r="R387" s="94">
        <v>36</v>
      </c>
      <c r="S387" s="94">
        <v>179</v>
      </c>
      <c r="T387" s="94">
        <v>34</v>
      </c>
      <c r="U387" s="94">
        <v>141</v>
      </c>
      <c r="V387" s="94">
        <v>7</v>
      </c>
      <c r="W387" s="94">
        <v>46</v>
      </c>
      <c r="X387" s="94">
        <v>1</v>
      </c>
      <c r="Y387" s="94">
        <v>10</v>
      </c>
      <c r="Z387" s="94">
        <v>14</v>
      </c>
    </row>
    <row r="388" spans="1:26">
      <c r="A388" s="94" t="str">
        <f t="shared" si="6"/>
        <v>20191019WKY</v>
      </c>
      <c r="B388" s="94">
        <v>2019</v>
      </c>
      <c r="C388" s="94">
        <v>8</v>
      </c>
      <c r="D388" s="94">
        <v>20191019</v>
      </c>
      <c r="E388" s="94" t="s">
        <v>144</v>
      </c>
      <c r="F388" s="94" t="s">
        <v>36</v>
      </c>
      <c r="G388" s="94" t="s">
        <v>153</v>
      </c>
      <c r="H388" s="94">
        <v>35</v>
      </c>
      <c r="I388" s="94">
        <v>60</v>
      </c>
      <c r="J388" s="94">
        <v>31</v>
      </c>
      <c r="K388" s="94">
        <v>291</v>
      </c>
      <c r="L388" s="94">
        <v>25</v>
      </c>
      <c r="M388" s="94">
        <v>22</v>
      </c>
      <c r="N388" s="94">
        <v>1</v>
      </c>
      <c r="O388" s="94">
        <v>30</v>
      </c>
      <c r="P388" s="94" t="s">
        <v>50</v>
      </c>
      <c r="Q388" s="94" t="s">
        <v>153</v>
      </c>
      <c r="R388" s="94">
        <v>30</v>
      </c>
      <c r="S388" s="94">
        <v>86</v>
      </c>
      <c r="T388" s="94">
        <v>29</v>
      </c>
      <c r="U388" s="94">
        <v>200</v>
      </c>
      <c r="V388" s="94">
        <v>6</v>
      </c>
      <c r="W388" s="94">
        <v>0</v>
      </c>
      <c r="X388" s="94">
        <v>0</v>
      </c>
      <c r="Y388" s="94">
        <v>14</v>
      </c>
      <c r="Z388" s="94">
        <v>10</v>
      </c>
    </row>
    <row r="389" spans="1:26">
      <c r="A389" s="94" t="str">
        <f t="shared" si="6"/>
        <v>20191019WYO</v>
      </c>
      <c r="B389" s="94">
        <v>2019</v>
      </c>
      <c r="C389" s="94">
        <v>8</v>
      </c>
      <c r="D389" s="94">
        <v>20191019</v>
      </c>
      <c r="E389" s="94" t="s">
        <v>144</v>
      </c>
      <c r="F389" s="94" t="s">
        <v>10</v>
      </c>
      <c r="G389" s="94" t="s">
        <v>148</v>
      </c>
      <c r="H389" s="94">
        <v>55</v>
      </c>
      <c r="I389" s="94">
        <v>259</v>
      </c>
      <c r="J389" s="94">
        <v>15</v>
      </c>
      <c r="K389" s="94">
        <v>86</v>
      </c>
      <c r="L389" s="94">
        <v>0</v>
      </c>
      <c r="M389" s="94">
        <v>0</v>
      </c>
      <c r="N389" s="94">
        <v>1</v>
      </c>
      <c r="O389" s="94">
        <v>23</v>
      </c>
      <c r="P389" s="94" t="s">
        <v>76</v>
      </c>
      <c r="Q389" s="94" t="s">
        <v>148</v>
      </c>
      <c r="R389" s="94">
        <v>37</v>
      </c>
      <c r="S389" s="94">
        <v>169</v>
      </c>
      <c r="T389" s="94">
        <v>28</v>
      </c>
      <c r="U389" s="94">
        <v>203</v>
      </c>
      <c r="V389" s="94">
        <v>17</v>
      </c>
      <c r="W389" s="94">
        <v>0</v>
      </c>
      <c r="X389" s="94">
        <v>0</v>
      </c>
      <c r="Y389" s="94">
        <v>10</v>
      </c>
      <c r="Z389" s="94">
        <v>18</v>
      </c>
    </row>
    <row r="390" spans="1:26">
      <c r="A390" s="94" t="str">
        <f t="shared" ref="A390:A453" si="7">D390&amp;F390</f>
        <v>20191019UTSA</v>
      </c>
      <c r="B390" s="94">
        <v>2019</v>
      </c>
      <c r="C390" s="94">
        <v>8</v>
      </c>
      <c r="D390" s="94">
        <v>20191019</v>
      </c>
      <c r="E390" s="94" t="s">
        <v>144</v>
      </c>
      <c r="F390" s="94" t="s">
        <v>206</v>
      </c>
      <c r="G390" s="94" t="s">
        <v>153</v>
      </c>
      <c r="H390" s="94">
        <v>29</v>
      </c>
      <c r="I390" s="94">
        <v>151</v>
      </c>
      <c r="J390" s="94">
        <v>29</v>
      </c>
      <c r="K390" s="94">
        <v>212</v>
      </c>
      <c r="L390" s="94">
        <v>0</v>
      </c>
      <c r="M390" s="94">
        <v>46</v>
      </c>
      <c r="N390" s="94">
        <v>3</v>
      </c>
      <c r="O390" s="94">
        <v>31</v>
      </c>
      <c r="P390" s="94" t="s">
        <v>11</v>
      </c>
      <c r="Q390" s="94" t="s">
        <v>153</v>
      </c>
      <c r="R390" s="94">
        <v>34</v>
      </c>
      <c r="S390" s="94">
        <v>146</v>
      </c>
      <c r="T390" s="94">
        <v>29</v>
      </c>
      <c r="U390" s="94">
        <v>223</v>
      </c>
      <c r="V390" s="94">
        <v>0</v>
      </c>
      <c r="W390" s="94">
        <v>44</v>
      </c>
      <c r="X390" s="94">
        <v>1</v>
      </c>
      <c r="Y390" s="94">
        <v>27</v>
      </c>
      <c r="Z390" s="94">
        <v>2.5</v>
      </c>
    </row>
    <row r="391" spans="1:26">
      <c r="A391" s="94" t="str">
        <f t="shared" si="7"/>
        <v>20191024HOU</v>
      </c>
      <c r="B391" s="94">
        <v>2019</v>
      </c>
      <c r="C391" s="94">
        <v>9</v>
      </c>
      <c r="D391" s="94">
        <v>20191024</v>
      </c>
      <c r="E391" s="94" t="s">
        <v>144</v>
      </c>
      <c r="F391" s="94" t="s">
        <v>91</v>
      </c>
      <c r="G391" s="94" t="s">
        <v>150</v>
      </c>
      <c r="H391" s="94">
        <v>40</v>
      </c>
      <c r="I391" s="94">
        <v>103</v>
      </c>
      <c r="J391" s="94">
        <v>35</v>
      </c>
      <c r="K391" s="94">
        <v>407</v>
      </c>
      <c r="L391" s="94">
        <v>16</v>
      </c>
      <c r="M391" s="94">
        <v>10</v>
      </c>
      <c r="N391" s="94">
        <v>1</v>
      </c>
      <c r="O391" s="94">
        <v>31</v>
      </c>
      <c r="P391" s="94" t="s">
        <v>80</v>
      </c>
      <c r="Q391" s="94" t="s">
        <v>150</v>
      </c>
      <c r="R391" s="94">
        <v>34</v>
      </c>
      <c r="S391" s="94">
        <v>182</v>
      </c>
      <c r="T391" s="94">
        <v>38</v>
      </c>
      <c r="U391" s="94">
        <v>203</v>
      </c>
      <c r="V391" s="94">
        <v>20</v>
      </c>
      <c r="W391" s="94">
        <v>64</v>
      </c>
      <c r="X391" s="94">
        <v>3</v>
      </c>
      <c r="Y391" s="94">
        <v>34</v>
      </c>
      <c r="Z391" s="94">
        <v>12.5</v>
      </c>
    </row>
    <row r="392" spans="1:26">
      <c r="A392" s="94" t="str">
        <f t="shared" si="7"/>
        <v>20191025COLO</v>
      </c>
      <c r="B392" s="94">
        <v>2019</v>
      </c>
      <c r="C392" s="94">
        <v>9</v>
      </c>
      <c r="D392" s="94">
        <v>20191025</v>
      </c>
      <c r="E392" s="94" t="s">
        <v>144</v>
      </c>
      <c r="F392" s="94" t="s">
        <v>128</v>
      </c>
      <c r="G392" s="94" t="s">
        <v>151</v>
      </c>
      <c r="H392" s="94">
        <v>34</v>
      </c>
      <c r="I392" s="94">
        <v>196</v>
      </c>
      <c r="J392" s="94">
        <v>43</v>
      </c>
      <c r="K392" s="94">
        <v>324</v>
      </c>
      <c r="L392" s="94">
        <v>1</v>
      </c>
      <c r="M392" s="94">
        <v>33</v>
      </c>
      <c r="N392" s="94">
        <v>1</v>
      </c>
      <c r="O392" s="94">
        <v>31</v>
      </c>
      <c r="P392" s="94" t="s">
        <v>108</v>
      </c>
      <c r="Q392" s="94" t="s">
        <v>151</v>
      </c>
      <c r="R392" s="94">
        <v>26</v>
      </c>
      <c r="S392" s="94">
        <v>112</v>
      </c>
      <c r="T392" s="94">
        <v>44</v>
      </c>
      <c r="U392" s="94">
        <v>406</v>
      </c>
      <c r="V392" s="94">
        <v>2</v>
      </c>
      <c r="W392" s="94">
        <v>24</v>
      </c>
      <c r="X392" s="94">
        <v>0</v>
      </c>
      <c r="Y392" s="94">
        <v>35</v>
      </c>
      <c r="Z392" s="94">
        <v>11</v>
      </c>
    </row>
    <row r="393" spans="1:26">
      <c r="A393" s="94" t="str">
        <f t="shared" si="7"/>
        <v>20191026AIR</v>
      </c>
      <c r="B393" s="94">
        <v>2019</v>
      </c>
      <c r="C393" s="94">
        <v>9</v>
      </c>
      <c r="D393" s="94">
        <v>20191026</v>
      </c>
      <c r="E393" s="94" t="s">
        <v>144</v>
      </c>
      <c r="F393" s="94" t="s">
        <v>39</v>
      </c>
      <c r="G393" s="94" t="s">
        <v>148</v>
      </c>
      <c r="H393" s="94">
        <v>78</v>
      </c>
      <c r="I393" s="94">
        <v>448</v>
      </c>
      <c r="J393" s="94">
        <v>6</v>
      </c>
      <c r="K393" s="94">
        <v>24</v>
      </c>
      <c r="L393" s="94">
        <v>0</v>
      </c>
      <c r="M393" s="94">
        <v>21</v>
      </c>
      <c r="N393" s="94">
        <v>0</v>
      </c>
      <c r="O393" s="94">
        <v>31</v>
      </c>
      <c r="P393" s="94" t="s">
        <v>31</v>
      </c>
      <c r="Q393" s="94" t="s">
        <v>148</v>
      </c>
      <c r="R393" s="94">
        <v>13</v>
      </c>
      <c r="S393" s="94">
        <v>14</v>
      </c>
      <c r="T393" s="94">
        <v>23</v>
      </c>
      <c r="U393" s="94">
        <v>114</v>
      </c>
      <c r="V393" s="94">
        <v>0</v>
      </c>
      <c r="W393" s="94">
        <v>6</v>
      </c>
      <c r="X393" s="94">
        <v>2</v>
      </c>
      <c r="Y393" s="94">
        <v>7</v>
      </c>
      <c r="Z393" s="94">
        <v>4</v>
      </c>
    </row>
    <row r="394" spans="1:26">
      <c r="A394" s="94" t="str">
        <f t="shared" si="7"/>
        <v>20191026AKST</v>
      </c>
      <c r="B394" s="94">
        <v>2019</v>
      </c>
      <c r="C394" s="94">
        <v>9</v>
      </c>
      <c r="D394" s="94">
        <v>20191026</v>
      </c>
      <c r="E394" s="94" t="s">
        <v>144</v>
      </c>
      <c r="F394" s="94" t="s">
        <v>40</v>
      </c>
      <c r="G394" s="94" t="s">
        <v>145</v>
      </c>
      <c r="H394" s="94">
        <v>53</v>
      </c>
      <c r="I394" s="94">
        <v>206</v>
      </c>
      <c r="J394" s="94">
        <v>28</v>
      </c>
      <c r="K394" s="94">
        <v>158</v>
      </c>
      <c r="L394" s="94">
        <v>37</v>
      </c>
      <c r="M394" s="94">
        <v>85</v>
      </c>
      <c r="N394" s="94">
        <v>3</v>
      </c>
      <c r="O394" s="94">
        <v>38</v>
      </c>
      <c r="P394" s="94" t="s">
        <v>93</v>
      </c>
      <c r="Q394" s="94" t="s">
        <v>145</v>
      </c>
      <c r="R394" s="94">
        <v>24</v>
      </c>
      <c r="S394" s="94">
        <v>81</v>
      </c>
      <c r="T394" s="94">
        <v>27</v>
      </c>
      <c r="U394" s="94">
        <v>146</v>
      </c>
      <c r="V394" s="94">
        <v>12</v>
      </c>
      <c r="W394" s="94">
        <v>54</v>
      </c>
      <c r="X394" s="94">
        <v>0</v>
      </c>
      <c r="Y394" s="94">
        <v>14</v>
      </c>
      <c r="Z394" s="94">
        <v>14</v>
      </c>
    </row>
    <row r="395" spans="1:26">
      <c r="A395" s="94" t="str">
        <f t="shared" si="7"/>
        <v>20191026ALA</v>
      </c>
      <c r="B395" s="94">
        <v>2019</v>
      </c>
      <c r="C395" s="94">
        <v>9</v>
      </c>
      <c r="D395" s="94">
        <v>20191026</v>
      </c>
      <c r="E395" s="94" t="s">
        <v>144</v>
      </c>
      <c r="F395" s="94" t="s">
        <v>119</v>
      </c>
      <c r="G395" s="94" t="s">
        <v>147</v>
      </c>
      <c r="H395" s="94">
        <v>38</v>
      </c>
      <c r="I395" s="94">
        <v>179</v>
      </c>
      <c r="J395" s="94">
        <v>30</v>
      </c>
      <c r="K395" s="94">
        <v>280</v>
      </c>
      <c r="L395" s="94">
        <v>0</v>
      </c>
      <c r="M395" s="94">
        <v>3</v>
      </c>
      <c r="N395" s="94">
        <v>4</v>
      </c>
      <c r="O395" s="94">
        <v>48</v>
      </c>
      <c r="P395" s="94" t="s">
        <v>41</v>
      </c>
      <c r="Q395" s="94" t="s">
        <v>147</v>
      </c>
      <c r="R395" s="94">
        <v>30</v>
      </c>
      <c r="S395" s="94">
        <v>106</v>
      </c>
      <c r="T395" s="94">
        <v>26</v>
      </c>
      <c r="U395" s="94">
        <v>107</v>
      </c>
      <c r="V395" s="94">
        <v>0</v>
      </c>
      <c r="W395" s="94">
        <v>49</v>
      </c>
      <c r="X395" s="94">
        <v>0</v>
      </c>
      <c r="Y395" s="94">
        <v>7</v>
      </c>
      <c r="Z395" s="94">
        <v>33</v>
      </c>
    </row>
    <row r="396" spans="1:26">
      <c r="A396" s="94" t="str">
        <f t="shared" si="7"/>
        <v>20191026ARMY</v>
      </c>
      <c r="B396" s="94">
        <v>2019</v>
      </c>
      <c r="C396" s="94">
        <v>9</v>
      </c>
      <c r="D396" s="94">
        <v>20191026</v>
      </c>
      <c r="E396" s="94" t="s">
        <v>144</v>
      </c>
      <c r="F396" s="94" t="s">
        <v>28</v>
      </c>
      <c r="G396" s="94" t="s">
        <v>53</v>
      </c>
      <c r="H396" s="94">
        <v>70</v>
      </c>
      <c r="I396" s="94">
        <v>326</v>
      </c>
      <c r="J396" s="94">
        <v>13</v>
      </c>
      <c r="K396" s="94">
        <v>103</v>
      </c>
      <c r="L396" s="94">
        <v>0</v>
      </c>
      <c r="M396" s="94">
        <v>64</v>
      </c>
      <c r="N396" s="94">
        <v>0</v>
      </c>
      <c r="O396" s="94">
        <v>29</v>
      </c>
      <c r="P396" s="94" t="s">
        <v>19</v>
      </c>
      <c r="Q396" s="94" t="s">
        <v>148</v>
      </c>
      <c r="R396" s="94">
        <v>17</v>
      </c>
      <c r="S396" s="94">
        <v>89</v>
      </c>
      <c r="T396" s="94">
        <v>31</v>
      </c>
      <c r="U396" s="94">
        <v>314</v>
      </c>
      <c r="V396" s="94">
        <v>0</v>
      </c>
      <c r="W396" s="94">
        <v>92</v>
      </c>
      <c r="X396" s="94">
        <v>1</v>
      </c>
      <c r="Y396" s="94">
        <v>34</v>
      </c>
      <c r="Z396" s="94">
        <v>9.5</v>
      </c>
    </row>
    <row r="397" spans="1:26">
      <c r="A397" s="94" t="str">
        <f t="shared" si="7"/>
        <v>20191026BALL</v>
      </c>
      <c r="B397" s="94">
        <v>2019</v>
      </c>
      <c r="C397" s="94">
        <v>9</v>
      </c>
      <c r="D397" s="94">
        <v>20191026</v>
      </c>
      <c r="E397" s="94" t="s">
        <v>144</v>
      </c>
      <c r="F397" s="94" t="s">
        <v>12</v>
      </c>
      <c r="G397" s="94" t="s">
        <v>149</v>
      </c>
      <c r="H397" s="94">
        <v>34</v>
      </c>
      <c r="I397" s="94">
        <v>244</v>
      </c>
      <c r="J397" s="94">
        <v>20</v>
      </c>
      <c r="K397" s="94">
        <v>109</v>
      </c>
      <c r="L397" s="94">
        <v>0</v>
      </c>
      <c r="M397" s="94">
        <v>124</v>
      </c>
      <c r="N397" s="94">
        <v>1</v>
      </c>
      <c r="O397" s="94">
        <v>21</v>
      </c>
      <c r="P397" s="94" t="s">
        <v>83</v>
      </c>
      <c r="Q397" s="94" t="s">
        <v>149</v>
      </c>
      <c r="R397" s="94">
        <v>56</v>
      </c>
      <c r="S397" s="94">
        <v>316</v>
      </c>
      <c r="T397" s="94">
        <v>16</v>
      </c>
      <c r="U397" s="94">
        <v>131</v>
      </c>
      <c r="V397" s="94">
        <v>2</v>
      </c>
      <c r="W397" s="94">
        <v>0</v>
      </c>
      <c r="X397" s="94">
        <v>1</v>
      </c>
      <c r="Y397" s="94">
        <v>34</v>
      </c>
      <c r="Z397" s="94">
        <v>2.5</v>
      </c>
    </row>
    <row r="398" spans="1:26">
      <c r="A398" s="94" t="str">
        <f t="shared" si="7"/>
        <v>20191026BUF</v>
      </c>
      <c r="B398" s="94">
        <v>2019</v>
      </c>
      <c r="C398" s="94">
        <v>9</v>
      </c>
      <c r="D398" s="94">
        <v>20191026</v>
      </c>
      <c r="E398" s="94" t="s">
        <v>144</v>
      </c>
      <c r="F398" s="94" t="s">
        <v>47</v>
      </c>
      <c r="G398" s="94" t="s">
        <v>149</v>
      </c>
      <c r="H398" s="94">
        <v>55</v>
      </c>
      <c r="I398" s="94">
        <v>197</v>
      </c>
      <c r="J398" s="94">
        <v>25</v>
      </c>
      <c r="K398" s="94">
        <v>179</v>
      </c>
      <c r="L398" s="94">
        <v>31</v>
      </c>
      <c r="M398" s="94">
        <v>0</v>
      </c>
      <c r="N398" s="94">
        <v>5</v>
      </c>
      <c r="O398" s="94">
        <v>43</v>
      </c>
      <c r="P398" s="94" t="s">
        <v>67</v>
      </c>
      <c r="Q398" s="94" t="s">
        <v>149</v>
      </c>
      <c r="R398" s="94">
        <v>28</v>
      </c>
      <c r="S398" s="94">
        <v>73</v>
      </c>
      <c r="T398" s="94">
        <v>38</v>
      </c>
      <c r="U398" s="94">
        <v>272</v>
      </c>
      <c r="V398" s="94">
        <v>0</v>
      </c>
      <c r="W398" s="94">
        <v>71</v>
      </c>
      <c r="X398" s="94">
        <v>1</v>
      </c>
      <c r="Y398" s="94">
        <v>20</v>
      </c>
      <c r="Z398" s="94">
        <v>2.5</v>
      </c>
    </row>
    <row r="399" spans="1:26">
      <c r="A399" s="94" t="str">
        <f t="shared" si="7"/>
        <v>20191026CHAR</v>
      </c>
      <c r="B399" s="94">
        <v>2019</v>
      </c>
      <c r="C399" s="94">
        <v>9</v>
      </c>
      <c r="D399" s="94">
        <v>20191026</v>
      </c>
      <c r="E399" s="94" t="s">
        <v>144</v>
      </c>
      <c r="F399" s="94" t="s">
        <v>50</v>
      </c>
      <c r="G399" s="94" t="s">
        <v>153</v>
      </c>
      <c r="H399" s="94">
        <v>42</v>
      </c>
      <c r="I399" s="94">
        <v>253</v>
      </c>
      <c r="J399" s="94">
        <v>32</v>
      </c>
      <c r="K399" s="94">
        <v>336</v>
      </c>
      <c r="L399" s="94">
        <v>1</v>
      </c>
      <c r="M399" s="94">
        <v>23</v>
      </c>
      <c r="N399" s="94">
        <v>1</v>
      </c>
      <c r="O399" s="94">
        <v>39</v>
      </c>
      <c r="P399" s="94" t="s">
        <v>79</v>
      </c>
      <c r="Q399" s="94" t="s">
        <v>153</v>
      </c>
      <c r="R399" s="94">
        <v>32</v>
      </c>
      <c r="S399" s="94">
        <v>145</v>
      </c>
      <c r="T399" s="94">
        <v>38</v>
      </c>
      <c r="U399" s="94">
        <v>394</v>
      </c>
      <c r="V399" s="94">
        <v>0</v>
      </c>
      <c r="W399" s="94">
        <v>76</v>
      </c>
      <c r="X399" s="94">
        <v>0</v>
      </c>
      <c r="Y399" s="94">
        <v>38</v>
      </c>
      <c r="Z399" s="94">
        <v>3.5</v>
      </c>
    </row>
    <row r="400" spans="1:26">
      <c r="A400" s="94" t="str">
        <f t="shared" si="7"/>
        <v>20191026CLEM</v>
      </c>
      <c r="B400" s="94">
        <v>2019</v>
      </c>
      <c r="C400" s="94">
        <v>9</v>
      </c>
      <c r="D400" s="94">
        <v>20191026</v>
      </c>
      <c r="E400" s="94" t="s">
        <v>144</v>
      </c>
      <c r="F400" s="94" t="s">
        <v>51</v>
      </c>
      <c r="G400" s="94" t="s">
        <v>146</v>
      </c>
      <c r="H400" s="94">
        <v>44</v>
      </c>
      <c r="I400" s="94">
        <v>302</v>
      </c>
      <c r="J400" s="94">
        <v>36</v>
      </c>
      <c r="K400" s="94">
        <v>372</v>
      </c>
      <c r="L400" s="94">
        <v>12</v>
      </c>
      <c r="M400" s="94">
        <v>34</v>
      </c>
      <c r="N400" s="94">
        <v>1</v>
      </c>
      <c r="O400" s="94">
        <v>59</v>
      </c>
      <c r="P400" s="94" t="s">
        <v>46</v>
      </c>
      <c r="Q400" s="94" t="s">
        <v>146</v>
      </c>
      <c r="R400" s="94">
        <v>44</v>
      </c>
      <c r="S400" s="94">
        <v>97</v>
      </c>
      <c r="T400" s="94">
        <v>18</v>
      </c>
      <c r="U400" s="94">
        <v>80</v>
      </c>
      <c r="V400" s="94">
        <v>39</v>
      </c>
      <c r="W400" s="94">
        <v>75</v>
      </c>
      <c r="X400" s="94">
        <v>0</v>
      </c>
      <c r="Y400" s="94">
        <v>7</v>
      </c>
      <c r="Z400" s="94">
        <v>35</v>
      </c>
    </row>
    <row r="401" spans="1:26">
      <c r="A401" s="94" t="str">
        <f t="shared" si="7"/>
        <v>20191026ECAR</v>
      </c>
      <c r="B401" s="94">
        <v>2019</v>
      </c>
      <c r="C401" s="94">
        <v>9</v>
      </c>
      <c r="D401" s="94">
        <v>20191026</v>
      </c>
      <c r="E401" s="94" t="s">
        <v>144</v>
      </c>
      <c r="F401" s="94" t="s">
        <v>115</v>
      </c>
      <c r="G401" s="94" t="s">
        <v>150</v>
      </c>
      <c r="H401" s="94">
        <v>38</v>
      </c>
      <c r="I401" s="94">
        <v>102</v>
      </c>
      <c r="J401" s="94">
        <v>29</v>
      </c>
      <c r="K401" s="94">
        <v>222</v>
      </c>
      <c r="L401" s="94">
        <v>13</v>
      </c>
      <c r="M401" s="94">
        <v>144</v>
      </c>
      <c r="N401" s="94">
        <v>1</v>
      </c>
      <c r="O401" s="94">
        <v>20</v>
      </c>
      <c r="P401" s="94" t="s">
        <v>98</v>
      </c>
      <c r="Q401" s="94" t="s">
        <v>150</v>
      </c>
      <c r="R401" s="94">
        <v>40</v>
      </c>
      <c r="S401" s="94">
        <v>347</v>
      </c>
      <c r="T401" s="94">
        <v>25</v>
      </c>
      <c r="U401" s="94">
        <v>178</v>
      </c>
      <c r="V401" s="94">
        <v>24</v>
      </c>
      <c r="W401" s="94">
        <v>18</v>
      </c>
      <c r="X401" s="94">
        <v>2</v>
      </c>
      <c r="Y401" s="94">
        <v>45</v>
      </c>
      <c r="Z401" s="94">
        <v>2</v>
      </c>
    </row>
    <row r="402" spans="1:26">
      <c r="A402" s="94" t="str">
        <f t="shared" si="7"/>
        <v>20191026FLST</v>
      </c>
      <c r="B402" s="94">
        <v>2019</v>
      </c>
      <c r="C402" s="94">
        <v>9</v>
      </c>
      <c r="D402" s="94">
        <v>20191026</v>
      </c>
      <c r="E402" s="94" t="s">
        <v>144</v>
      </c>
      <c r="F402" s="94" t="s">
        <v>116</v>
      </c>
      <c r="G402" s="94" t="s">
        <v>146</v>
      </c>
      <c r="H402" s="94">
        <v>47</v>
      </c>
      <c r="I402" s="94">
        <v>241</v>
      </c>
      <c r="J402" s="94">
        <v>32</v>
      </c>
      <c r="K402" s="94">
        <v>246</v>
      </c>
      <c r="L402" s="94">
        <v>0</v>
      </c>
      <c r="M402" s="94">
        <v>0</v>
      </c>
      <c r="N402" s="94">
        <v>0</v>
      </c>
      <c r="O402" s="94">
        <v>35</v>
      </c>
      <c r="P402" s="94" t="s">
        <v>38</v>
      </c>
      <c r="Q402" s="94" t="s">
        <v>146</v>
      </c>
      <c r="R402" s="94">
        <v>51</v>
      </c>
      <c r="S402" s="94">
        <v>192</v>
      </c>
      <c r="T402" s="94">
        <v>33</v>
      </c>
      <c r="U402" s="94">
        <v>151</v>
      </c>
      <c r="V402" s="94">
        <v>4</v>
      </c>
      <c r="W402" s="94">
        <v>0</v>
      </c>
      <c r="X402" s="94">
        <v>0</v>
      </c>
      <c r="Y402" s="94">
        <v>17</v>
      </c>
      <c r="Z402" s="94">
        <v>11</v>
      </c>
    </row>
    <row r="403" spans="1:26">
      <c r="A403" s="94" t="str">
        <f t="shared" si="7"/>
        <v>20191026FRES</v>
      </c>
      <c r="B403" s="94">
        <v>2019</v>
      </c>
      <c r="C403" s="94">
        <v>9</v>
      </c>
      <c r="D403" s="94">
        <v>20191026</v>
      </c>
      <c r="E403" s="94" t="s">
        <v>144</v>
      </c>
      <c r="F403" s="94" t="s">
        <v>55</v>
      </c>
      <c r="G403" s="94" t="s">
        <v>148</v>
      </c>
      <c r="H403" s="94">
        <v>30</v>
      </c>
      <c r="I403" s="94">
        <v>188</v>
      </c>
      <c r="J403" s="94">
        <v>37</v>
      </c>
      <c r="K403" s="94">
        <v>200</v>
      </c>
      <c r="L403" s="94">
        <v>27</v>
      </c>
      <c r="M403" s="94">
        <v>124</v>
      </c>
      <c r="N403" s="94">
        <v>1</v>
      </c>
      <c r="O403" s="94">
        <v>31</v>
      </c>
      <c r="P403" s="94" t="s">
        <v>7</v>
      </c>
      <c r="Q403" s="94" t="s">
        <v>148</v>
      </c>
      <c r="R403" s="94">
        <v>39</v>
      </c>
      <c r="S403" s="94">
        <v>178</v>
      </c>
      <c r="T403" s="94">
        <v>42</v>
      </c>
      <c r="U403" s="94">
        <v>322</v>
      </c>
      <c r="V403" s="94">
        <v>2</v>
      </c>
      <c r="W403" s="94">
        <v>72</v>
      </c>
      <c r="X403" s="94">
        <v>2</v>
      </c>
      <c r="Y403" s="94">
        <v>41</v>
      </c>
      <c r="Z403" s="94">
        <v>13.5</v>
      </c>
    </row>
    <row r="404" spans="1:26">
      <c r="A404" s="94" t="str">
        <f t="shared" si="7"/>
        <v>20191026GAST</v>
      </c>
      <c r="B404" s="94">
        <v>2019</v>
      </c>
      <c r="C404" s="94">
        <v>9</v>
      </c>
      <c r="D404" s="94">
        <v>20191026</v>
      </c>
      <c r="E404" s="94" t="s">
        <v>144</v>
      </c>
      <c r="F404" s="94" t="s">
        <v>15</v>
      </c>
      <c r="G404" s="94" t="s">
        <v>145</v>
      </c>
      <c r="H404" s="94">
        <v>57</v>
      </c>
      <c r="I404" s="94">
        <v>390</v>
      </c>
      <c r="J404" s="94">
        <v>25</v>
      </c>
      <c r="K404" s="94">
        <v>189</v>
      </c>
      <c r="L404" s="94">
        <v>5</v>
      </c>
      <c r="M404" s="94">
        <v>0</v>
      </c>
      <c r="N404" s="94">
        <v>0</v>
      </c>
      <c r="O404" s="94">
        <v>52</v>
      </c>
      <c r="P404" s="94" t="s">
        <v>104</v>
      </c>
      <c r="Q404" s="94" t="s">
        <v>145</v>
      </c>
      <c r="R404" s="94">
        <v>23</v>
      </c>
      <c r="S404" s="94">
        <v>96</v>
      </c>
      <c r="T404" s="94">
        <v>46</v>
      </c>
      <c r="U404" s="94">
        <v>421</v>
      </c>
      <c r="V404" s="94">
        <v>5</v>
      </c>
      <c r="W404" s="94">
        <v>139</v>
      </c>
      <c r="X404" s="94">
        <v>1</v>
      </c>
      <c r="Y404" s="94">
        <v>33</v>
      </c>
      <c r="Z404" s="94">
        <v>1.5</v>
      </c>
    </row>
    <row r="405" spans="1:26">
      <c r="A405" s="94" t="str">
        <f t="shared" si="7"/>
        <v>20191026GSOU</v>
      </c>
      <c r="B405" s="94">
        <v>2019</v>
      </c>
      <c r="C405" s="94">
        <v>9</v>
      </c>
      <c r="D405" s="94">
        <v>20191026</v>
      </c>
      <c r="E405" s="94" t="s">
        <v>144</v>
      </c>
      <c r="F405" s="94" t="s">
        <v>57</v>
      </c>
      <c r="G405" s="94" t="s">
        <v>145</v>
      </c>
      <c r="H405" s="94">
        <v>56</v>
      </c>
      <c r="I405" s="94">
        <v>403</v>
      </c>
      <c r="J405" s="94">
        <v>4</v>
      </c>
      <c r="K405" s="94">
        <v>3</v>
      </c>
      <c r="L405" s="94">
        <v>70</v>
      </c>
      <c r="M405" s="94">
        <v>0</v>
      </c>
      <c r="N405" s="94">
        <v>3</v>
      </c>
      <c r="O405" s="94">
        <v>41</v>
      </c>
      <c r="P405" s="94" t="s">
        <v>9</v>
      </c>
      <c r="Q405" s="94" t="s">
        <v>53</v>
      </c>
      <c r="R405" s="94">
        <v>54</v>
      </c>
      <c r="S405" s="94">
        <v>209</v>
      </c>
      <c r="T405" s="94">
        <v>23</v>
      </c>
      <c r="U405" s="94">
        <v>59</v>
      </c>
      <c r="V405" s="94">
        <v>1</v>
      </c>
      <c r="W405" s="94">
        <v>0</v>
      </c>
      <c r="X405" s="94">
        <v>3</v>
      </c>
      <c r="Y405" s="94">
        <v>7</v>
      </c>
      <c r="Z405" s="94">
        <v>16</v>
      </c>
    </row>
    <row r="406" spans="1:26">
      <c r="A406" s="94" t="str">
        <f t="shared" si="7"/>
        <v>20191026IWST</v>
      </c>
      <c r="B406" s="94">
        <v>2019</v>
      </c>
      <c r="C406" s="94">
        <v>9</v>
      </c>
      <c r="D406" s="94">
        <v>20191026</v>
      </c>
      <c r="E406" s="94" t="s">
        <v>144</v>
      </c>
      <c r="F406" s="94" t="s">
        <v>122</v>
      </c>
      <c r="G406" s="94" t="s">
        <v>209</v>
      </c>
      <c r="H406" s="94">
        <v>25</v>
      </c>
      <c r="I406" s="94">
        <v>86</v>
      </c>
      <c r="J406" s="94">
        <v>62</v>
      </c>
      <c r="K406" s="94">
        <v>382</v>
      </c>
      <c r="L406" s="94">
        <v>0</v>
      </c>
      <c r="M406" s="94">
        <v>68</v>
      </c>
      <c r="N406" s="94">
        <v>1</v>
      </c>
      <c r="O406" s="94">
        <v>27</v>
      </c>
      <c r="P406" s="94" t="s">
        <v>26</v>
      </c>
      <c r="Q406" s="94" t="s">
        <v>209</v>
      </c>
      <c r="R406" s="94">
        <v>31</v>
      </c>
      <c r="S406" s="94">
        <v>153</v>
      </c>
      <c r="T406" s="94">
        <v>24</v>
      </c>
      <c r="U406" s="94">
        <v>249</v>
      </c>
      <c r="V406" s="94">
        <v>41</v>
      </c>
      <c r="W406" s="94">
        <v>79</v>
      </c>
      <c r="X406" s="94">
        <v>3</v>
      </c>
      <c r="Y406" s="94">
        <v>34</v>
      </c>
      <c r="Z406" s="94">
        <v>7.5</v>
      </c>
    </row>
    <row r="407" spans="1:26">
      <c r="A407" s="94" t="str">
        <f t="shared" si="7"/>
        <v>20191026KAN</v>
      </c>
      <c r="B407" s="94">
        <v>2019</v>
      </c>
      <c r="C407" s="94">
        <v>9</v>
      </c>
      <c r="D407" s="94">
        <v>20191026</v>
      </c>
      <c r="E407" s="94" t="s">
        <v>144</v>
      </c>
      <c r="F407" s="94" t="s">
        <v>64</v>
      </c>
      <c r="G407" s="94" t="s">
        <v>209</v>
      </c>
      <c r="H407" s="94">
        <v>32</v>
      </c>
      <c r="I407" s="94">
        <v>112</v>
      </c>
      <c r="J407" s="94">
        <v>37</v>
      </c>
      <c r="K407" s="94">
        <v>415</v>
      </c>
      <c r="L407" s="94">
        <v>0</v>
      </c>
      <c r="M407" s="94">
        <v>103</v>
      </c>
      <c r="N407" s="94">
        <v>1</v>
      </c>
      <c r="O407" s="94">
        <v>37</v>
      </c>
      <c r="P407" s="94" t="s">
        <v>131</v>
      </c>
      <c r="Q407" s="94" t="s">
        <v>209</v>
      </c>
      <c r="R407" s="94">
        <v>45</v>
      </c>
      <c r="S407" s="94">
        <v>212</v>
      </c>
      <c r="T407" s="94">
        <v>34</v>
      </c>
      <c r="U407" s="94">
        <v>271</v>
      </c>
      <c r="V407" s="94">
        <v>5</v>
      </c>
      <c r="W407" s="94">
        <v>59</v>
      </c>
      <c r="X407" s="94">
        <v>1</v>
      </c>
      <c r="Y407" s="94">
        <v>34</v>
      </c>
      <c r="Z407" s="94">
        <v>3.5</v>
      </c>
    </row>
    <row r="408" spans="1:26">
      <c r="A408" s="94" t="str">
        <f t="shared" si="7"/>
        <v>20191026KAST</v>
      </c>
      <c r="B408" s="94">
        <v>2019</v>
      </c>
      <c r="C408" s="94">
        <v>9</v>
      </c>
      <c r="D408" s="94">
        <v>20191026</v>
      </c>
      <c r="E408" s="94" t="s">
        <v>144</v>
      </c>
      <c r="F408" s="94" t="s">
        <v>65</v>
      </c>
      <c r="G408" s="94" t="s">
        <v>209</v>
      </c>
      <c r="H408" s="94">
        <v>45</v>
      </c>
      <c r="I408" s="94">
        <v>213</v>
      </c>
      <c r="J408" s="94">
        <v>28</v>
      </c>
      <c r="K408" s="94">
        <v>213</v>
      </c>
      <c r="L408" s="94">
        <v>0</v>
      </c>
      <c r="M408" s="94">
        <v>78</v>
      </c>
      <c r="N408" s="94">
        <v>2</v>
      </c>
      <c r="O408" s="94">
        <v>48</v>
      </c>
      <c r="P408" s="94" t="s">
        <v>84</v>
      </c>
      <c r="Q408" s="94" t="s">
        <v>209</v>
      </c>
      <c r="R408" s="94">
        <v>26</v>
      </c>
      <c r="S408" s="94">
        <v>102</v>
      </c>
      <c r="T408" s="94">
        <v>27</v>
      </c>
      <c r="U408" s="94">
        <v>395</v>
      </c>
      <c r="V408" s="94">
        <v>22</v>
      </c>
      <c r="W408" s="94">
        <v>115</v>
      </c>
      <c r="X408" s="94">
        <v>0</v>
      </c>
      <c r="Y408" s="94">
        <v>41</v>
      </c>
      <c r="Z408" s="94">
        <v>21.5</v>
      </c>
    </row>
    <row r="409" spans="1:26">
      <c r="A409" s="94" t="str">
        <f t="shared" si="7"/>
        <v>20191026KEST</v>
      </c>
      <c r="B409" s="94">
        <v>2019</v>
      </c>
      <c r="C409" s="94">
        <v>9</v>
      </c>
      <c r="D409" s="94">
        <v>20191026</v>
      </c>
      <c r="E409" s="94" t="s">
        <v>144</v>
      </c>
      <c r="F409" s="94" t="s">
        <v>61</v>
      </c>
      <c r="G409" s="94" t="s">
        <v>149</v>
      </c>
      <c r="H409" s="94">
        <v>40</v>
      </c>
      <c r="I409" s="94">
        <v>127</v>
      </c>
      <c r="J409" s="94">
        <v>44</v>
      </c>
      <c r="K409" s="94">
        <v>209</v>
      </c>
      <c r="L409" s="94">
        <v>45</v>
      </c>
      <c r="M409" s="94">
        <v>23</v>
      </c>
      <c r="N409" s="94">
        <v>2</v>
      </c>
      <c r="O409" s="94">
        <v>16</v>
      </c>
      <c r="P409" s="94" t="s">
        <v>71</v>
      </c>
      <c r="Q409" s="94" t="s">
        <v>149</v>
      </c>
      <c r="R409" s="94">
        <v>42</v>
      </c>
      <c r="S409" s="94">
        <v>289</v>
      </c>
      <c r="T409" s="94">
        <v>29</v>
      </c>
      <c r="U409" s="94">
        <v>178</v>
      </c>
      <c r="V409" s="94">
        <v>1</v>
      </c>
      <c r="W409" s="94">
        <v>21</v>
      </c>
      <c r="X409" s="94">
        <v>2</v>
      </c>
      <c r="Y409" s="94">
        <v>23</v>
      </c>
      <c r="Z409" s="94">
        <v>2</v>
      </c>
    </row>
    <row r="410" spans="1:26">
      <c r="A410" s="94" t="str">
        <f t="shared" si="7"/>
        <v>20191026KTKY</v>
      </c>
      <c r="B410" s="94">
        <v>2019</v>
      </c>
      <c r="C410" s="94">
        <v>9</v>
      </c>
      <c r="D410" s="94">
        <v>20191026</v>
      </c>
      <c r="E410" s="94" t="s">
        <v>144</v>
      </c>
      <c r="F410" s="94" t="s">
        <v>66</v>
      </c>
      <c r="G410" s="94" t="s">
        <v>147</v>
      </c>
      <c r="H410" s="94">
        <v>48</v>
      </c>
      <c r="I410" s="94">
        <v>297</v>
      </c>
      <c r="J410" s="94">
        <v>8</v>
      </c>
      <c r="K410" s="94">
        <v>63</v>
      </c>
      <c r="L410" s="94">
        <v>29</v>
      </c>
      <c r="M410" s="94">
        <v>0</v>
      </c>
      <c r="N410" s="94">
        <v>2</v>
      </c>
      <c r="O410" s="94">
        <v>29</v>
      </c>
      <c r="P410" s="94" t="s">
        <v>73</v>
      </c>
      <c r="Q410" s="94" t="s">
        <v>147</v>
      </c>
      <c r="R410" s="94">
        <v>34</v>
      </c>
      <c r="S410" s="94">
        <v>125</v>
      </c>
      <c r="T410" s="94">
        <v>29</v>
      </c>
      <c r="U410" s="94">
        <v>164</v>
      </c>
      <c r="V410" s="94">
        <v>0</v>
      </c>
      <c r="W410" s="94">
        <v>12</v>
      </c>
      <c r="X410" s="94">
        <v>2</v>
      </c>
      <c r="Y410" s="94">
        <v>7</v>
      </c>
      <c r="Z410" s="94">
        <v>9.5</v>
      </c>
    </row>
    <row r="411" spans="1:26">
      <c r="A411" s="94" t="str">
        <f t="shared" si="7"/>
        <v>20191026LOU</v>
      </c>
      <c r="B411" s="94">
        <v>2019</v>
      </c>
      <c r="C411" s="94">
        <v>9</v>
      </c>
      <c r="D411" s="94">
        <v>20191026</v>
      </c>
      <c r="E411" s="94" t="s">
        <v>144</v>
      </c>
      <c r="F411" s="94" t="s">
        <v>123</v>
      </c>
      <c r="G411" s="94" t="s">
        <v>146</v>
      </c>
      <c r="H411" s="94">
        <v>45</v>
      </c>
      <c r="I411" s="94">
        <v>227</v>
      </c>
      <c r="J411" s="94">
        <v>14</v>
      </c>
      <c r="K411" s="94">
        <v>133</v>
      </c>
      <c r="L411" s="94">
        <v>34</v>
      </c>
      <c r="M411" s="94">
        <v>44</v>
      </c>
      <c r="N411" s="94">
        <v>2</v>
      </c>
      <c r="O411" s="94">
        <v>28</v>
      </c>
      <c r="P411" s="94" t="s">
        <v>113</v>
      </c>
      <c r="Q411" s="94" t="s">
        <v>146</v>
      </c>
      <c r="R411" s="94">
        <v>26</v>
      </c>
      <c r="S411" s="94">
        <v>78</v>
      </c>
      <c r="T411" s="94">
        <v>42</v>
      </c>
      <c r="U411" s="94">
        <v>233</v>
      </c>
      <c r="V411" s="94">
        <v>3</v>
      </c>
      <c r="W411" s="94">
        <v>116</v>
      </c>
      <c r="X411" s="94">
        <v>0</v>
      </c>
      <c r="Y411" s="94">
        <v>21</v>
      </c>
      <c r="Z411" s="94">
        <v>3.5</v>
      </c>
    </row>
    <row r="412" spans="1:26">
      <c r="A412" s="94" t="str">
        <f t="shared" si="7"/>
        <v>20191026LSU</v>
      </c>
      <c r="B412" s="94">
        <v>2019</v>
      </c>
      <c r="C412" s="94">
        <v>9</v>
      </c>
      <c r="D412" s="94">
        <v>20191026</v>
      </c>
      <c r="E412" s="94" t="s">
        <v>144</v>
      </c>
      <c r="F412" s="94" t="s">
        <v>124</v>
      </c>
      <c r="G412" s="94" t="s">
        <v>147</v>
      </c>
      <c r="H412" s="94">
        <v>46</v>
      </c>
      <c r="I412" s="94">
        <v>187</v>
      </c>
      <c r="J412" s="94">
        <v>42</v>
      </c>
      <c r="K412" s="94">
        <v>321</v>
      </c>
      <c r="L412" s="94">
        <v>7</v>
      </c>
      <c r="M412" s="94">
        <v>0</v>
      </c>
      <c r="N412" s="94">
        <v>1</v>
      </c>
      <c r="O412" s="94">
        <v>23</v>
      </c>
      <c r="P412" s="94" t="s">
        <v>120</v>
      </c>
      <c r="Q412" s="94" t="s">
        <v>147</v>
      </c>
      <c r="R412" s="94">
        <v>33</v>
      </c>
      <c r="S412" s="94">
        <v>130</v>
      </c>
      <c r="T412" s="94">
        <v>35</v>
      </c>
      <c r="U412" s="94">
        <v>157</v>
      </c>
      <c r="V412" s="94">
        <v>3</v>
      </c>
      <c r="W412" s="94">
        <v>59</v>
      </c>
      <c r="X412" s="94">
        <v>2</v>
      </c>
      <c r="Y412" s="94">
        <v>20</v>
      </c>
      <c r="Z412" s="94">
        <v>10.5</v>
      </c>
    </row>
    <row r="413" spans="1:26">
      <c r="A413" s="94" t="str">
        <f t="shared" si="7"/>
        <v>20191026MCST</v>
      </c>
      <c r="B413" s="94">
        <v>2019</v>
      </c>
      <c r="C413" s="94">
        <v>9</v>
      </c>
      <c r="D413" s="94">
        <v>20191026</v>
      </c>
      <c r="E413" s="94" t="s">
        <v>144</v>
      </c>
      <c r="F413" s="94" t="s">
        <v>30</v>
      </c>
      <c r="G413" s="94" t="s">
        <v>152</v>
      </c>
      <c r="H413" s="94">
        <v>30</v>
      </c>
      <c r="I413" s="94">
        <v>87</v>
      </c>
      <c r="J413" s="94">
        <v>43</v>
      </c>
      <c r="K413" s="94">
        <v>182</v>
      </c>
      <c r="L413" s="94">
        <v>7</v>
      </c>
      <c r="M413" s="94">
        <v>55</v>
      </c>
      <c r="N413" s="94">
        <v>1</v>
      </c>
      <c r="O413" s="94">
        <v>7</v>
      </c>
      <c r="P413" s="94" t="s">
        <v>89</v>
      </c>
      <c r="Q413" s="94" t="s">
        <v>152</v>
      </c>
      <c r="R413" s="94">
        <v>36</v>
      </c>
      <c r="S413" s="94">
        <v>118</v>
      </c>
      <c r="T413" s="94">
        <v>32</v>
      </c>
      <c r="U413" s="94">
        <v>189</v>
      </c>
      <c r="V413" s="94">
        <v>15</v>
      </c>
      <c r="W413" s="94">
        <v>44</v>
      </c>
      <c r="X413" s="94">
        <v>4</v>
      </c>
      <c r="Y413" s="94">
        <v>28</v>
      </c>
      <c r="Z413" s="94">
        <v>6.5</v>
      </c>
    </row>
    <row r="414" spans="1:26">
      <c r="A414" s="94" t="str">
        <f t="shared" si="7"/>
        <v>20191026MICH</v>
      </c>
      <c r="B414" s="94">
        <v>2019</v>
      </c>
      <c r="C414" s="94">
        <v>9</v>
      </c>
      <c r="D414" s="94">
        <v>20191026</v>
      </c>
      <c r="E414" s="94" t="s">
        <v>144</v>
      </c>
      <c r="F414" s="94" t="s">
        <v>78</v>
      </c>
      <c r="G414" s="94" t="s">
        <v>152</v>
      </c>
      <c r="H414" s="94">
        <v>57</v>
      </c>
      <c r="I414" s="94">
        <v>303</v>
      </c>
      <c r="J414" s="94">
        <v>14</v>
      </c>
      <c r="K414" s="94">
        <v>134</v>
      </c>
      <c r="L414" s="94">
        <v>24</v>
      </c>
      <c r="M414" s="94">
        <v>23</v>
      </c>
      <c r="N414" s="94">
        <v>2</v>
      </c>
      <c r="O414" s="94">
        <v>45</v>
      </c>
      <c r="P414" s="94" t="s">
        <v>77</v>
      </c>
      <c r="Q414" s="94" t="s">
        <v>53</v>
      </c>
      <c r="R414" s="94">
        <v>31</v>
      </c>
      <c r="S414" s="94">
        <v>47</v>
      </c>
      <c r="T414" s="94">
        <v>29</v>
      </c>
      <c r="U414" s="94">
        <v>133</v>
      </c>
      <c r="V414" s="94">
        <v>0</v>
      </c>
      <c r="W414" s="94">
        <v>46</v>
      </c>
      <c r="X414" s="94">
        <v>0</v>
      </c>
      <c r="Y414" s="94">
        <v>14</v>
      </c>
      <c r="Z414" s="94">
        <v>1</v>
      </c>
    </row>
    <row r="415" spans="1:26">
      <c r="A415" s="94" t="str">
        <f t="shared" si="7"/>
        <v>20191026MIN</v>
      </c>
      <c r="B415" s="94">
        <v>2019</v>
      </c>
      <c r="C415" s="94">
        <v>9</v>
      </c>
      <c r="D415" s="94">
        <v>20191026</v>
      </c>
      <c r="E415" s="94" t="s">
        <v>144</v>
      </c>
      <c r="F415" s="94" t="s">
        <v>16</v>
      </c>
      <c r="G415" s="94" t="s">
        <v>152</v>
      </c>
      <c r="H415" s="94">
        <v>54</v>
      </c>
      <c r="I415" s="94">
        <v>321</v>
      </c>
      <c r="J415" s="94">
        <v>22</v>
      </c>
      <c r="K415" s="94">
        <v>177</v>
      </c>
      <c r="L415" s="94">
        <v>0</v>
      </c>
      <c r="M415" s="94">
        <v>33</v>
      </c>
      <c r="N415" s="94">
        <v>2</v>
      </c>
      <c r="O415" s="94">
        <v>52</v>
      </c>
      <c r="P415" s="94" t="s">
        <v>121</v>
      </c>
      <c r="Q415" s="94" t="s">
        <v>152</v>
      </c>
      <c r="R415" s="94">
        <v>23</v>
      </c>
      <c r="S415" s="94">
        <v>79</v>
      </c>
      <c r="T415" s="94">
        <v>23</v>
      </c>
      <c r="U415" s="94">
        <v>131</v>
      </c>
      <c r="V415" s="94">
        <v>0</v>
      </c>
      <c r="W415" s="94">
        <v>145</v>
      </c>
      <c r="X415" s="94">
        <v>1</v>
      </c>
      <c r="Y415" s="94">
        <v>10</v>
      </c>
      <c r="Z415" s="94">
        <v>17</v>
      </c>
    </row>
    <row r="416" spans="1:26">
      <c r="A416" s="94" t="str">
        <f t="shared" si="7"/>
        <v>20191026MRSH</v>
      </c>
      <c r="B416" s="94">
        <v>2019</v>
      </c>
      <c r="C416" s="94">
        <v>9</v>
      </c>
      <c r="D416" s="94">
        <v>20191026</v>
      </c>
      <c r="E416" s="94" t="s">
        <v>144</v>
      </c>
      <c r="F416" s="94" t="s">
        <v>72</v>
      </c>
      <c r="G416" s="94" t="s">
        <v>153</v>
      </c>
      <c r="H416" s="94">
        <v>34</v>
      </c>
      <c r="I416" s="94">
        <v>171</v>
      </c>
      <c r="J416" s="94">
        <v>33</v>
      </c>
      <c r="K416" s="94">
        <v>230</v>
      </c>
      <c r="L416" s="94">
        <v>17</v>
      </c>
      <c r="M416" s="94">
        <v>24</v>
      </c>
      <c r="N416" s="94">
        <v>3</v>
      </c>
      <c r="O416" s="94">
        <v>26</v>
      </c>
      <c r="P416" s="94" t="s">
        <v>36</v>
      </c>
      <c r="Q416" s="94" t="s">
        <v>153</v>
      </c>
      <c r="R416" s="94">
        <v>24</v>
      </c>
      <c r="S416" s="94">
        <v>134</v>
      </c>
      <c r="T416" s="94">
        <v>44</v>
      </c>
      <c r="U416" s="94">
        <v>292</v>
      </c>
      <c r="V416" s="94">
        <v>17</v>
      </c>
      <c r="W416" s="94">
        <v>128</v>
      </c>
      <c r="X416" s="94">
        <v>0</v>
      </c>
      <c r="Y416" s="94">
        <v>23</v>
      </c>
      <c r="Z416" s="94">
        <v>4.5</v>
      </c>
    </row>
    <row r="417" spans="1:26">
      <c r="A417" s="94" t="str">
        <f t="shared" si="7"/>
        <v>20191026MTEN</v>
      </c>
      <c r="B417" s="94">
        <v>2019</v>
      </c>
      <c r="C417" s="94">
        <v>9</v>
      </c>
      <c r="D417" s="94">
        <v>20191026</v>
      </c>
      <c r="E417" s="94" t="s">
        <v>144</v>
      </c>
      <c r="F417" s="94" t="s">
        <v>112</v>
      </c>
      <c r="G417" s="94" t="s">
        <v>153</v>
      </c>
      <c r="H417" s="94">
        <v>55</v>
      </c>
      <c r="I417" s="94">
        <v>483</v>
      </c>
      <c r="J417" s="94">
        <v>12</v>
      </c>
      <c r="K417" s="94">
        <v>25</v>
      </c>
      <c r="L417" s="94">
        <v>0</v>
      </c>
      <c r="M417" s="94">
        <v>35</v>
      </c>
      <c r="N417" s="94">
        <v>4</v>
      </c>
      <c r="O417" s="94">
        <v>50</v>
      </c>
      <c r="P417" s="94" t="s">
        <v>52</v>
      </c>
      <c r="Q417" s="94" t="s">
        <v>153</v>
      </c>
      <c r="R417" s="94">
        <v>33</v>
      </c>
      <c r="S417" s="94">
        <v>90</v>
      </c>
      <c r="T417" s="94">
        <v>33</v>
      </c>
      <c r="U417" s="94">
        <v>230</v>
      </c>
      <c r="V417" s="94">
        <v>9</v>
      </c>
      <c r="W417" s="94">
        <v>57</v>
      </c>
      <c r="X417" s="94">
        <v>0</v>
      </c>
      <c r="Y417" s="94">
        <v>17</v>
      </c>
      <c r="Z417" s="94">
        <v>1.5</v>
      </c>
    </row>
    <row r="418" spans="1:26">
      <c r="A418" s="94" t="str">
        <f t="shared" si="7"/>
        <v>20191026NAVY</v>
      </c>
      <c r="B418" s="94">
        <v>2019</v>
      </c>
      <c r="C418" s="94">
        <v>9</v>
      </c>
      <c r="D418" s="94">
        <v>20191026</v>
      </c>
      <c r="E418" s="94" t="s">
        <v>144</v>
      </c>
      <c r="F418" s="94" t="s">
        <v>59</v>
      </c>
      <c r="G418" s="94" t="s">
        <v>150</v>
      </c>
      <c r="H418" s="94">
        <v>55</v>
      </c>
      <c r="I418" s="94">
        <v>386</v>
      </c>
      <c r="J418" s="94">
        <v>8</v>
      </c>
      <c r="K418" s="94">
        <v>68</v>
      </c>
      <c r="L418" s="94">
        <v>0</v>
      </c>
      <c r="M418" s="94">
        <v>0</v>
      </c>
      <c r="N418" s="94">
        <v>2</v>
      </c>
      <c r="O418" s="94">
        <v>41</v>
      </c>
      <c r="P418" s="94" t="s">
        <v>20</v>
      </c>
      <c r="Q418" s="94" t="s">
        <v>150</v>
      </c>
      <c r="R418" s="94">
        <v>42</v>
      </c>
      <c r="S418" s="94">
        <v>187</v>
      </c>
      <c r="T418" s="94">
        <v>29</v>
      </c>
      <c r="U418" s="94">
        <v>290</v>
      </c>
      <c r="V418" s="94">
        <v>16</v>
      </c>
      <c r="W418" s="94">
        <v>118</v>
      </c>
      <c r="X418" s="94">
        <v>1</v>
      </c>
      <c r="Y418" s="94">
        <v>38</v>
      </c>
      <c r="Z418" s="94">
        <v>3.5</v>
      </c>
    </row>
    <row r="419" spans="1:26">
      <c r="A419" s="94" t="str">
        <f t="shared" si="7"/>
        <v>20191026NCAR</v>
      </c>
      <c r="B419" s="94">
        <v>2019</v>
      </c>
      <c r="C419" s="94">
        <v>9</v>
      </c>
      <c r="D419" s="94">
        <v>20191026</v>
      </c>
      <c r="E419" s="94" t="s">
        <v>144</v>
      </c>
      <c r="F419" s="94" t="s">
        <v>49</v>
      </c>
      <c r="G419" s="94" t="s">
        <v>146</v>
      </c>
      <c r="H419" s="94">
        <v>45</v>
      </c>
      <c r="I419" s="94">
        <v>205</v>
      </c>
      <c r="J419" s="94">
        <v>26</v>
      </c>
      <c r="K419" s="94">
        <v>227</v>
      </c>
      <c r="L419" s="94">
        <v>6</v>
      </c>
      <c r="M419" s="94">
        <v>38</v>
      </c>
      <c r="N419" s="94">
        <v>3</v>
      </c>
      <c r="O419" s="94">
        <v>20</v>
      </c>
      <c r="P419" s="94" t="s">
        <v>27</v>
      </c>
      <c r="Q419" s="94" t="s">
        <v>146</v>
      </c>
      <c r="R419" s="94">
        <v>37</v>
      </c>
      <c r="S419" s="94">
        <v>100</v>
      </c>
      <c r="T419" s="94">
        <v>43</v>
      </c>
      <c r="U419" s="94">
        <v>229</v>
      </c>
      <c r="V419" s="94">
        <v>21</v>
      </c>
      <c r="W419" s="94">
        <v>38</v>
      </c>
      <c r="X419" s="94">
        <v>3</v>
      </c>
      <c r="Y419" s="94">
        <v>17</v>
      </c>
      <c r="Z419" s="94">
        <v>3.5</v>
      </c>
    </row>
    <row r="420" spans="1:26">
      <c r="A420" s="94" t="str">
        <f t="shared" si="7"/>
        <v>20191026NEB</v>
      </c>
      <c r="B420" s="94">
        <v>2019</v>
      </c>
      <c r="C420" s="94">
        <v>9</v>
      </c>
      <c r="D420" s="94">
        <v>20191026</v>
      </c>
      <c r="E420" s="94" t="s">
        <v>144</v>
      </c>
      <c r="F420" s="94" t="s">
        <v>127</v>
      </c>
      <c r="G420" s="94" t="s">
        <v>152</v>
      </c>
      <c r="H420" s="94">
        <v>50</v>
      </c>
      <c r="I420" s="94">
        <v>220</v>
      </c>
      <c r="J420" s="94">
        <v>23</v>
      </c>
      <c r="K420" s="94">
        <v>294</v>
      </c>
      <c r="L420" s="94">
        <v>0</v>
      </c>
      <c r="M420" s="94">
        <v>40</v>
      </c>
      <c r="N420" s="94">
        <v>1</v>
      </c>
      <c r="O420" s="94">
        <v>31</v>
      </c>
      <c r="P420" s="94" t="s">
        <v>53</v>
      </c>
      <c r="Q420" s="94" t="s">
        <v>152</v>
      </c>
      <c r="R420" s="94">
        <v>31</v>
      </c>
      <c r="S420" s="94">
        <v>104</v>
      </c>
      <c r="T420" s="94">
        <v>40</v>
      </c>
      <c r="U420" s="94">
        <v>351</v>
      </c>
      <c r="V420" s="94">
        <v>0</v>
      </c>
      <c r="W420" s="94">
        <v>52</v>
      </c>
      <c r="X420" s="94">
        <v>2</v>
      </c>
      <c r="Y420" s="94">
        <v>38</v>
      </c>
      <c r="Z420" s="94">
        <v>2</v>
      </c>
    </row>
    <row r="421" spans="1:26">
      <c r="A421" s="94" t="str">
        <f t="shared" si="7"/>
        <v>20191026NIL</v>
      </c>
      <c r="B421" s="94">
        <v>2019</v>
      </c>
      <c r="C421" s="94">
        <v>9</v>
      </c>
      <c r="D421" s="94">
        <v>20191026</v>
      </c>
      <c r="E421" s="94" t="s">
        <v>144</v>
      </c>
      <c r="F421" s="94" t="s">
        <v>63</v>
      </c>
      <c r="G421" s="94" t="s">
        <v>149</v>
      </c>
      <c r="H421" s="94">
        <v>62</v>
      </c>
      <c r="I421" s="94">
        <v>274</v>
      </c>
      <c r="J421" s="94">
        <v>9</v>
      </c>
      <c r="K421" s="94">
        <v>71</v>
      </c>
      <c r="L421" s="94">
        <v>23</v>
      </c>
      <c r="M421" s="94">
        <v>0</v>
      </c>
      <c r="N421" s="94">
        <v>3</v>
      </c>
      <c r="O421" s="94">
        <v>49</v>
      </c>
      <c r="P421" s="94" t="s">
        <v>118</v>
      </c>
      <c r="Q421" s="94" t="s">
        <v>149</v>
      </c>
      <c r="R421" s="94">
        <v>25</v>
      </c>
      <c r="S421" s="94">
        <v>94</v>
      </c>
      <c r="T421" s="94">
        <v>26</v>
      </c>
      <c r="U421" s="94">
        <v>51</v>
      </c>
      <c r="V421" s="94">
        <v>9</v>
      </c>
      <c r="W421" s="94">
        <v>90</v>
      </c>
      <c r="X421" s="94">
        <v>1</v>
      </c>
      <c r="Y421" s="94">
        <v>0</v>
      </c>
      <c r="Z421" s="94">
        <v>24</v>
      </c>
    </row>
    <row r="422" spans="1:26">
      <c r="A422" s="94" t="str">
        <f t="shared" si="7"/>
        <v>20191026NMX</v>
      </c>
      <c r="B422" s="94">
        <v>2019</v>
      </c>
      <c r="C422" s="94">
        <v>9</v>
      </c>
      <c r="D422" s="94">
        <v>20191026</v>
      </c>
      <c r="E422" s="94" t="s">
        <v>144</v>
      </c>
      <c r="F422" s="94" t="s">
        <v>76</v>
      </c>
      <c r="G422" s="94" t="s">
        <v>148</v>
      </c>
      <c r="H422" s="94">
        <v>31</v>
      </c>
      <c r="I422" s="94">
        <v>207</v>
      </c>
      <c r="J422" s="94">
        <v>40</v>
      </c>
      <c r="K422" s="94">
        <v>293</v>
      </c>
      <c r="L422" s="94">
        <v>27</v>
      </c>
      <c r="M422" s="94">
        <v>128</v>
      </c>
      <c r="N422" s="94">
        <v>1</v>
      </c>
      <c r="O422" s="94">
        <v>31</v>
      </c>
      <c r="P422" s="94" t="s">
        <v>8</v>
      </c>
      <c r="Q422" s="94" t="s">
        <v>148</v>
      </c>
      <c r="R422" s="94">
        <v>34</v>
      </c>
      <c r="S422" s="94">
        <v>255</v>
      </c>
      <c r="T422" s="94">
        <v>40</v>
      </c>
      <c r="U422" s="94">
        <v>323</v>
      </c>
      <c r="V422" s="94">
        <v>12</v>
      </c>
      <c r="W422" s="94">
        <v>17</v>
      </c>
      <c r="X422" s="94">
        <v>2</v>
      </c>
      <c r="Y422" s="94">
        <v>45</v>
      </c>
      <c r="Z422" s="94">
        <v>11</v>
      </c>
    </row>
    <row r="423" spans="1:26">
      <c r="A423" s="94" t="str">
        <f t="shared" si="7"/>
        <v>20191026NORW</v>
      </c>
      <c r="B423" s="94">
        <v>2019</v>
      </c>
      <c r="C423" s="94">
        <v>9</v>
      </c>
      <c r="D423" s="94">
        <v>20191026</v>
      </c>
      <c r="E423" s="94" t="s">
        <v>144</v>
      </c>
      <c r="F423" s="94" t="s">
        <v>18</v>
      </c>
      <c r="G423" s="94" t="s">
        <v>152</v>
      </c>
      <c r="H423" s="94">
        <v>35</v>
      </c>
      <c r="I423" s="94">
        <v>64</v>
      </c>
      <c r="J423" s="94">
        <v>32</v>
      </c>
      <c r="K423" s="94">
        <v>138</v>
      </c>
      <c r="L423" s="94">
        <v>12</v>
      </c>
      <c r="M423" s="94">
        <v>36</v>
      </c>
      <c r="N423" s="94">
        <v>0</v>
      </c>
      <c r="O423" s="94">
        <v>0</v>
      </c>
      <c r="P423" s="94" t="s">
        <v>62</v>
      </c>
      <c r="Q423" s="94" t="s">
        <v>152</v>
      </c>
      <c r="R423" s="94">
        <v>40</v>
      </c>
      <c r="S423" s="94">
        <v>123</v>
      </c>
      <c r="T423" s="94">
        <v>26</v>
      </c>
      <c r="U423" s="94">
        <v>179</v>
      </c>
      <c r="V423" s="94">
        <v>0</v>
      </c>
      <c r="W423" s="94">
        <v>26</v>
      </c>
      <c r="X423" s="94">
        <v>1</v>
      </c>
      <c r="Y423" s="94">
        <v>20</v>
      </c>
      <c r="Z423" s="94">
        <v>10.5</v>
      </c>
    </row>
    <row r="424" spans="1:26">
      <c r="A424" s="94" t="str">
        <f t="shared" si="7"/>
        <v>20191026OHST</v>
      </c>
      <c r="B424" s="94">
        <v>2019</v>
      </c>
      <c r="C424" s="94">
        <v>9</v>
      </c>
      <c r="D424" s="94">
        <v>20191026</v>
      </c>
      <c r="E424" s="94" t="s">
        <v>144</v>
      </c>
      <c r="F424" s="94" t="s">
        <v>81</v>
      </c>
      <c r="G424" s="94" t="s">
        <v>152</v>
      </c>
      <c r="H424" s="94">
        <v>50</v>
      </c>
      <c r="I424" s="94">
        <v>264</v>
      </c>
      <c r="J424" s="94">
        <v>22</v>
      </c>
      <c r="K424" s="94">
        <v>167</v>
      </c>
      <c r="L424" s="94">
        <v>23</v>
      </c>
      <c r="M424" s="94">
        <v>0</v>
      </c>
      <c r="N424" s="94">
        <v>2</v>
      </c>
      <c r="O424" s="94">
        <v>38</v>
      </c>
      <c r="P424" s="94" t="s">
        <v>35</v>
      </c>
      <c r="Q424" s="94" t="s">
        <v>152</v>
      </c>
      <c r="R424" s="94">
        <v>34</v>
      </c>
      <c r="S424" s="94">
        <v>83</v>
      </c>
      <c r="T424" s="94">
        <v>17</v>
      </c>
      <c r="U424" s="94">
        <v>108</v>
      </c>
      <c r="V424" s="94">
        <v>0</v>
      </c>
      <c r="W424" s="94">
        <v>83</v>
      </c>
      <c r="X424" s="94">
        <v>0</v>
      </c>
      <c r="Y424" s="94">
        <v>7</v>
      </c>
      <c r="Z424" s="94">
        <v>14.5</v>
      </c>
    </row>
    <row r="425" spans="1:26">
      <c r="A425" s="94" t="str">
        <f t="shared" si="7"/>
        <v>20191026OLDD</v>
      </c>
      <c r="B425" s="94">
        <v>2019</v>
      </c>
      <c r="C425" s="94">
        <v>9</v>
      </c>
      <c r="D425" s="94">
        <v>20191026</v>
      </c>
      <c r="E425" s="94" t="s">
        <v>144</v>
      </c>
      <c r="F425" s="94" t="s">
        <v>68</v>
      </c>
      <c r="G425" s="94" t="s">
        <v>153</v>
      </c>
      <c r="H425" s="94">
        <v>40</v>
      </c>
      <c r="I425" s="94">
        <v>70</v>
      </c>
      <c r="J425" s="94">
        <v>29</v>
      </c>
      <c r="K425" s="94">
        <v>134</v>
      </c>
      <c r="L425" s="94">
        <v>0</v>
      </c>
      <c r="M425" s="94">
        <v>51</v>
      </c>
      <c r="N425" s="94">
        <v>2</v>
      </c>
      <c r="O425" s="94">
        <v>3</v>
      </c>
      <c r="P425" s="94" t="s">
        <v>85</v>
      </c>
      <c r="Q425" s="94" t="s">
        <v>153</v>
      </c>
      <c r="R425" s="94">
        <v>31</v>
      </c>
      <c r="S425" s="94">
        <v>159</v>
      </c>
      <c r="T425" s="94">
        <v>35</v>
      </c>
      <c r="U425" s="94">
        <v>271</v>
      </c>
      <c r="V425" s="94">
        <v>41</v>
      </c>
      <c r="W425" s="94">
        <v>0</v>
      </c>
      <c r="X425" s="94">
        <v>1</v>
      </c>
      <c r="Y425" s="94">
        <v>41</v>
      </c>
      <c r="Z425" s="94">
        <v>16</v>
      </c>
    </row>
    <row r="426" spans="1:26">
      <c r="A426" s="94" t="str">
        <f t="shared" si="7"/>
        <v>20191026ORE</v>
      </c>
      <c r="B426" s="94">
        <v>2019</v>
      </c>
      <c r="C426" s="94">
        <v>9</v>
      </c>
      <c r="D426" s="94">
        <v>20191026</v>
      </c>
      <c r="E426" s="94" t="s">
        <v>144</v>
      </c>
      <c r="F426" s="94" t="s">
        <v>86</v>
      </c>
      <c r="G426" s="94" t="s">
        <v>151</v>
      </c>
      <c r="H426" s="94">
        <v>47</v>
      </c>
      <c r="I426" s="94">
        <v>306</v>
      </c>
      <c r="J426" s="94">
        <v>30</v>
      </c>
      <c r="K426" s="94">
        <v>222</v>
      </c>
      <c r="L426" s="94">
        <v>8</v>
      </c>
      <c r="M426" s="94">
        <v>87</v>
      </c>
      <c r="N426" s="94">
        <v>2</v>
      </c>
      <c r="O426" s="94">
        <v>37</v>
      </c>
      <c r="P426" s="94" t="s">
        <v>114</v>
      </c>
      <c r="Q426" s="94" t="s">
        <v>151</v>
      </c>
      <c r="R426" s="94">
        <v>15</v>
      </c>
      <c r="S426" s="94">
        <v>40</v>
      </c>
      <c r="T426" s="94">
        <v>50</v>
      </c>
      <c r="U426" s="94">
        <v>406</v>
      </c>
      <c r="V426" s="94">
        <v>7</v>
      </c>
      <c r="W426" s="94">
        <v>181</v>
      </c>
      <c r="X426" s="94">
        <v>0</v>
      </c>
      <c r="Y426" s="94">
        <v>35</v>
      </c>
      <c r="Z426" s="94">
        <v>14</v>
      </c>
    </row>
    <row r="427" spans="1:26">
      <c r="A427" s="94" t="str">
        <f t="shared" si="7"/>
        <v>20191026PIT</v>
      </c>
      <c r="B427" s="94">
        <v>2019</v>
      </c>
      <c r="C427" s="94">
        <v>9</v>
      </c>
      <c r="D427" s="94">
        <v>20191026</v>
      </c>
      <c r="E427" s="94" t="s">
        <v>144</v>
      </c>
      <c r="F427" s="94" t="s">
        <v>88</v>
      </c>
      <c r="G427" s="94" t="s">
        <v>146</v>
      </c>
      <c r="H427" s="94">
        <v>42</v>
      </c>
      <c r="I427" s="94">
        <v>176</v>
      </c>
      <c r="J427" s="94">
        <v>32</v>
      </c>
      <c r="K427" s="94">
        <v>146</v>
      </c>
      <c r="L427" s="94">
        <v>1</v>
      </c>
      <c r="M427" s="94">
        <v>13</v>
      </c>
      <c r="N427" s="94">
        <v>1</v>
      </c>
      <c r="O427" s="94">
        <v>12</v>
      </c>
      <c r="P427" s="94" t="s">
        <v>125</v>
      </c>
      <c r="Q427" s="94" t="s">
        <v>146</v>
      </c>
      <c r="R427" s="94">
        <v>27</v>
      </c>
      <c r="S427" s="94">
        <v>54</v>
      </c>
      <c r="T427" s="94">
        <v>32</v>
      </c>
      <c r="U427" s="94">
        <v>154</v>
      </c>
      <c r="V427" s="94">
        <v>0</v>
      </c>
      <c r="W427" s="94">
        <v>27</v>
      </c>
      <c r="X427" s="94">
        <v>3</v>
      </c>
      <c r="Y427" s="94">
        <v>16</v>
      </c>
      <c r="Z427" s="94">
        <v>4.5</v>
      </c>
    </row>
    <row r="428" spans="1:26">
      <c r="A428" s="94" t="str">
        <f t="shared" si="7"/>
        <v>20191026PUR</v>
      </c>
      <c r="B428" s="94">
        <v>2019</v>
      </c>
      <c r="C428" s="94">
        <v>9</v>
      </c>
      <c r="D428" s="94">
        <v>20191026</v>
      </c>
      <c r="E428" s="94" t="s">
        <v>144</v>
      </c>
      <c r="F428" s="94" t="s">
        <v>17</v>
      </c>
      <c r="G428" s="94" t="s">
        <v>152</v>
      </c>
      <c r="H428" s="94">
        <v>44</v>
      </c>
      <c r="I428" s="94">
        <v>135</v>
      </c>
      <c r="J428" s="94">
        <v>33</v>
      </c>
      <c r="K428" s="94">
        <v>136</v>
      </c>
      <c r="L428" s="94">
        <v>38</v>
      </c>
      <c r="M428" s="94">
        <v>38</v>
      </c>
      <c r="N428" s="94">
        <v>0</v>
      </c>
      <c r="O428" s="94">
        <v>6</v>
      </c>
      <c r="P428" s="94" t="s">
        <v>60</v>
      </c>
      <c r="Q428" s="94" t="s">
        <v>152</v>
      </c>
      <c r="R428" s="94">
        <v>53</v>
      </c>
      <c r="S428" s="94">
        <v>242</v>
      </c>
      <c r="T428" s="94">
        <v>7</v>
      </c>
      <c r="U428" s="94">
        <v>26</v>
      </c>
      <c r="V428" s="94">
        <v>3</v>
      </c>
      <c r="W428" s="94">
        <v>0</v>
      </c>
      <c r="X428" s="94">
        <v>2</v>
      </c>
      <c r="Y428" s="94">
        <v>24</v>
      </c>
      <c r="Z428" s="94">
        <v>7.5</v>
      </c>
    </row>
    <row r="429" spans="1:26">
      <c r="A429" s="94" t="str">
        <f t="shared" si="7"/>
        <v>20191026RICE</v>
      </c>
      <c r="B429" s="94">
        <v>2019</v>
      </c>
      <c r="C429" s="94">
        <v>9</v>
      </c>
      <c r="D429" s="94">
        <v>20191026</v>
      </c>
      <c r="E429" s="94" t="s">
        <v>144</v>
      </c>
      <c r="F429" s="94" t="s">
        <v>11</v>
      </c>
      <c r="G429" s="94" t="s">
        <v>153</v>
      </c>
      <c r="H429" s="94">
        <v>30</v>
      </c>
      <c r="I429" s="94">
        <v>8</v>
      </c>
      <c r="J429" s="94">
        <v>31</v>
      </c>
      <c r="K429" s="94">
        <v>131</v>
      </c>
      <c r="L429" s="94">
        <v>13</v>
      </c>
      <c r="M429" s="94">
        <v>50</v>
      </c>
      <c r="N429" s="94">
        <v>1</v>
      </c>
      <c r="O429" s="94">
        <v>6</v>
      </c>
      <c r="P429" s="94" t="s">
        <v>99</v>
      </c>
      <c r="Q429" s="94" t="s">
        <v>153</v>
      </c>
      <c r="R429" s="94">
        <v>35</v>
      </c>
      <c r="S429" s="94">
        <v>157</v>
      </c>
      <c r="T429" s="94">
        <v>36</v>
      </c>
      <c r="U429" s="94">
        <v>207</v>
      </c>
      <c r="V429" s="94">
        <v>2</v>
      </c>
      <c r="W429" s="94">
        <v>18</v>
      </c>
      <c r="X429" s="94">
        <v>1</v>
      </c>
      <c r="Y429" s="94">
        <v>20</v>
      </c>
      <c r="Z429" s="94">
        <v>12</v>
      </c>
    </row>
    <row r="430" spans="1:26">
      <c r="A430" s="94" t="str">
        <f t="shared" si="7"/>
        <v>20191026SALA</v>
      </c>
      <c r="B430" s="94">
        <v>2019</v>
      </c>
      <c r="C430" s="94">
        <v>9</v>
      </c>
      <c r="D430" s="94">
        <v>20191026</v>
      </c>
      <c r="E430" s="94" t="s">
        <v>144</v>
      </c>
      <c r="F430" s="94" t="s">
        <v>94</v>
      </c>
      <c r="G430" s="94" t="s">
        <v>145</v>
      </c>
      <c r="H430" s="94">
        <v>38</v>
      </c>
      <c r="I430" s="94">
        <v>87</v>
      </c>
      <c r="J430" s="94">
        <v>19</v>
      </c>
      <c r="K430" s="94">
        <v>52</v>
      </c>
      <c r="L430" s="94">
        <v>4</v>
      </c>
      <c r="M430" s="94">
        <v>59</v>
      </c>
      <c r="N430" s="94">
        <v>0</v>
      </c>
      <c r="O430" s="94">
        <v>3</v>
      </c>
      <c r="P430" s="94" t="s">
        <v>90</v>
      </c>
      <c r="Q430" s="94" t="s">
        <v>145</v>
      </c>
      <c r="R430" s="94">
        <v>45</v>
      </c>
      <c r="S430" s="94">
        <v>313</v>
      </c>
      <c r="T430" s="94">
        <v>28</v>
      </c>
      <c r="U430" s="94">
        <v>132</v>
      </c>
      <c r="V430" s="94">
        <v>39</v>
      </c>
      <c r="W430" s="94">
        <v>53</v>
      </c>
      <c r="X430" s="94">
        <v>1</v>
      </c>
      <c r="Y430" s="94">
        <v>30</v>
      </c>
      <c r="Z430" s="94">
        <v>26.5</v>
      </c>
    </row>
    <row r="431" spans="1:26">
      <c r="A431" s="94" t="str">
        <f t="shared" si="7"/>
        <v>20191026STAN</v>
      </c>
      <c r="B431" s="94">
        <v>2019</v>
      </c>
      <c r="C431" s="94">
        <v>9</v>
      </c>
      <c r="D431" s="94">
        <v>20191026</v>
      </c>
      <c r="E431" s="94" t="s">
        <v>144</v>
      </c>
      <c r="F431" s="94" t="s">
        <v>33</v>
      </c>
      <c r="G431" s="94" t="s">
        <v>151</v>
      </c>
      <c r="H431" s="94">
        <v>30</v>
      </c>
      <c r="I431" s="94">
        <v>162</v>
      </c>
      <c r="J431" s="94">
        <v>43</v>
      </c>
      <c r="K431" s="94">
        <v>312</v>
      </c>
      <c r="L431" s="94">
        <v>1</v>
      </c>
      <c r="M431" s="94">
        <v>79</v>
      </c>
      <c r="N431" s="94">
        <v>2</v>
      </c>
      <c r="O431" s="94">
        <v>41</v>
      </c>
      <c r="P431" s="94" t="s">
        <v>42</v>
      </c>
      <c r="Q431" s="94" t="s">
        <v>151</v>
      </c>
      <c r="R431" s="94">
        <v>37</v>
      </c>
      <c r="S431" s="94">
        <v>222</v>
      </c>
      <c r="T431" s="94">
        <v>40</v>
      </c>
      <c r="U431" s="94">
        <v>273</v>
      </c>
      <c r="V431" s="94">
        <v>23</v>
      </c>
      <c r="W431" s="94">
        <v>31</v>
      </c>
      <c r="X431" s="94">
        <v>0</v>
      </c>
      <c r="Y431" s="94">
        <v>31</v>
      </c>
      <c r="Z431" s="94">
        <v>1.5</v>
      </c>
    </row>
    <row r="432" spans="1:26">
      <c r="A432" s="94" t="str">
        <f t="shared" si="7"/>
        <v>20191026TCU</v>
      </c>
      <c r="B432" s="94">
        <v>2019</v>
      </c>
      <c r="C432" s="94">
        <v>9</v>
      </c>
      <c r="D432" s="94">
        <v>20191026</v>
      </c>
      <c r="E432" s="94" t="s">
        <v>144</v>
      </c>
      <c r="F432" s="94" t="s">
        <v>100</v>
      </c>
      <c r="G432" s="94" t="s">
        <v>209</v>
      </c>
      <c r="H432" s="94">
        <v>41</v>
      </c>
      <c r="I432" s="94">
        <v>162</v>
      </c>
      <c r="J432" s="94">
        <v>27</v>
      </c>
      <c r="K432" s="94">
        <v>273</v>
      </c>
      <c r="L432" s="94">
        <v>0</v>
      </c>
      <c r="M432" s="94">
        <v>68</v>
      </c>
      <c r="N432" s="94">
        <v>4</v>
      </c>
      <c r="O432" s="94">
        <v>37</v>
      </c>
      <c r="P432" s="94" t="s">
        <v>130</v>
      </c>
      <c r="Q432" s="94" t="s">
        <v>209</v>
      </c>
      <c r="R432" s="94">
        <v>31</v>
      </c>
      <c r="S432" s="94">
        <v>126</v>
      </c>
      <c r="T432" s="94">
        <v>48</v>
      </c>
      <c r="U432" s="94">
        <v>321</v>
      </c>
      <c r="V432" s="94">
        <v>7</v>
      </c>
      <c r="W432" s="94">
        <v>20</v>
      </c>
      <c r="X432" s="94">
        <v>2</v>
      </c>
      <c r="Y432" s="94">
        <v>27</v>
      </c>
      <c r="Z432" s="94">
        <v>1</v>
      </c>
    </row>
    <row r="433" spans="1:26">
      <c r="A433" s="94" t="str">
        <f t="shared" si="7"/>
        <v>20191026TEM</v>
      </c>
      <c r="B433" s="94">
        <v>2019</v>
      </c>
      <c r="C433" s="94">
        <v>9</v>
      </c>
      <c r="D433" s="94">
        <v>20191026</v>
      </c>
      <c r="E433" s="94" t="s">
        <v>144</v>
      </c>
      <c r="F433" s="94" t="s">
        <v>101</v>
      </c>
      <c r="G433" s="94" t="s">
        <v>150</v>
      </c>
      <c r="H433" s="94">
        <v>40</v>
      </c>
      <c r="I433" s="94">
        <v>45</v>
      </c>
      <c r="J433" s="94">
        <v>31</v>
      </c>
      <c r="K433" s="94">
        <v>221</v>
      </c>
      <c r="L433" s="94">
        <v>0</v>
      </c>
      <c r="M433" s="94">
        <v>108</v>
      </c>
      <c r="N433" s="94">
        <v>1</v>
      </c>
      <c r="O433" s="94">
        <v>21</v>
      </c>
      <c r="P433" s="94" t="s">
        <v>14</v>
      </c>
      <c r="Q433" s="94" t="s">
        <v>150</v>
      </c>
      <c r="R433" s="94">
        <v>48</v>
      </c>
      <c r="S433" s="94">
        <v>385</v>
      </c>
      <c r="T433" s="94">
        <v>23</v>
      </c>
      <c r="U433" s="94">
        <v>229</v>
      </c>
      <c r="V433" s="94">
        <v>4</v>
      </c>
      <c r="W433" s="94">
        <v>17</v>
      </c>
      <c r="X433" s="94">
        <v>2</v>
      </c>
      <c r="Y433" s="94">
        <v>63</v>
      </c>
      <c r="Z433" s="94">
        <v>11.5</v>
      </c>
    </row>
    <row r="434" spans="1:26">
      <c r="A434" s="94" t="str">
        <f t="shared" si="7"/>
        <v>20191026TEN</v>
      </c>
      <c r="B434" s="94">
        <v>2019</v>
      </c>
      <c r="C434" s="94">
        <v>9</v>
      </c>
      <c r="D434" s="94">
        <v>20191026</v>
      </c>
      <c r="E434" s="94" t="s">
        <v>144</v>
      </c>
      <c r="F434" s="94" t="s">
        <v>129</v>
      </c>
      <c r="G434" s="94" t="s">
        <v>147</v>
      </c>
      <c r="H434" s="94">
        <v>38</v>
      </c>
      <c r="I434" s="94">
        <v>134</v>
      </c>
      <c r="J434" s="94">
        <v>30</v>
      </c>
      <c r="K434" s="94">
        <v>351</v>
      </c>
      <c r="L434" s="94">
        <v>101</v>
      </c>
      <c r="M434" s="94">
        <v>0</v>
      </c>
      <c r="N434" s="94">
        <v>0</v>
      </c>
      <c r="O434" s="94">
        <v>41</v>
      </c>
      <c r="P434" s="94" t="s">
        <v>96</v>
      </c>
      <c r="Q434" s="94" t="s">
        <v>147</v>
      </c>
      <c r="R434" s="94">
        <v>30</v>
      </c>
      <c r="S434" s="94">
        <v>78</v>
      </c>
      <c r="T434" s="94">
        <v>51</v>
      </c>
      <c r="U434" s="94">
        <v>319</v>
      </c>
      <c r="V434" s="94">
        <v>6</v>
      </c>
      <c r="W434" s="94">
        <v>15</v>
      </c>
      <c r="X434" s="94">
        <v>0</v>
      </c>
      <c r="Y434" s="94">
        <v>21</v>
      </c>
      <c r="Z434" s="94">
        <v>4</v>
      </c>
    </row>
    <row r="435" spans="1:26">
      <c r="A435" s="94" t="str">
        <f t="shared" si="7"/>
        <v>20191026TLS</v>
      </c>
      <c r="B435" s="94">
        <v>2019</v>
      </c>
      <c r="C435" s="94">
        <v>9</v>
      </c>
      <c r="D435" s="94">
        <v>20191026</v>
      </c>
      <c r="E435" s="94" t="s">
        <v>144</v>
      </c>
      <c r="F435" s="94" t="s">
        <v>102</v>
      </c>
      <c r="G435" s="94" t="s">
        <v>150</v>
      </c>
      <c r="H435" s="94">
        <v>61</v>
      </c>
      <c r="I435" s="94">
        <v>275</v>
      </c>
      <c r="J435" s="94">
        <v>40</v>
      </c>
      <c r="K435" s="94">
        <v>309</v>
      </c>
      <c r="L435" s="94">
        <v>0</v>
      </c>
      <c r="M435" s="94">
        <v>20</v>
      </c>
      <c r="N435" s="94">
        <v>2</v>
      </c>
      <c r="O435" s="94">
        <v>41</v>
      </c>
      <c r="P435" s="94" t="s">
        <v>70</v>
      </c>
      <c r="Q435" s="94" t="s">
        <v>150</v>
      </c>
      <c r="R435" s="94">
        <v>33</v>
      </c>
      <c r="S435" s="94">
        <v>192</v>
      </c>
      <c r="T435" s="94">
        <v>26</v>
      </c>
      <c r="U435" s="94">
        <v>306</v>
      </c>
      <c r="V435" s="94">
        <v>19</v>
      </c>
      <c r="W435" s="94">
        <v>165</v>
      </c>
      <c r="X435" s="94">
        <v>0</v>
      </c>
      <c r="Y435" s="94">
        <v>42</v>
      </c>
      <c r="Z435" s="94">
        <v>10.5</v>
      </c>
    </row>
    <row r="436" spans="1:26">
      <c r="A436" s="94" t="str">
        <f t="shared" si="7"/>
        <v>20191026TOL</v>
      </c>
      <c r="B436" s="94">
        <v>2019</v>
      </c>
      <c r="C436" s="94">
        <v>9</v>
      </c>
      <c r="D436" s="94">
        <v>20191026</v>
      </c>
      <c r="E436" s="94" t="s">
        <v>144</v>
      </c>
      <c r="F436" s="94" t="s">
        <v>103</v>
      </c>
      <c r="G436" s="94" t="s">
        <v>149</v>
      </c>
      <c r="H436" s="94">
        <v>57</v>
      </c>
      <c r="I436" s="94">
        <v>366</v>
      </c>
      <c r="J436" s="94">
        <v>18</v>
      </c>
      <c r="K436" s="94">
        <v>138</v>
      </c>
      <c r="L436" s="94">
        <v>6</v>
      </c>
      <c r="M436" s="94">
        <v>77</v>
      </c>
      <c r="N436" s="94">
        <v>1</v>
      </c>
      <c r="O436" s="94">
        <v>37</v>
      </c>
      <c r="P436" s="94" t="s">
        <v>29</v>
      </c>
      <c r="Q436" s="94" t="s">
        <v>149</v>
      </c>
      <c r="R436" s="94">
        <v>35</v>
      </c>
      <c r="S436" s="94">
        <v>168</v>
      </c>
      <c r="T436" s="94">
        <v>37</v>
      </c>
      <c r="U436" s="94">
        <v>286</v>
      </c>
      <c r="V436" s="94">
        <v>0</v>
      </c>
      <c r="W436" s="94">
        <v>36</v>
      </c>
      <c r="X436" s="94">
        <v>2</v>
      </c>
      <c r="Y436" s="94">
        <v>34</v>
      </c>
      <c r="Z436" s="94">
        <v>3</v>
      </c>
    </row>
    <row r="437" spans="1:26">
      <c r="A437" s="94" t="str">
        <f t="shared" si="7"/>
        <v>20191026TXAM</v>
      </c>
      <c r="B437" s="94">
        <v>2019</v>
      </c>
      <c r="C437" s="94">
        <v>9</v>
      </c>
      <c r="D437" s="94">
        <v>20191026</v>
      </c>
      <c r="E437" s="94" t="s">
        <v>144</v>
      </c>
      <c r="F437" s="94" t="s">
        <v>22</v>
      </c>
      <c r="G437" s="94" t="s">
        <v>147</v>
      </c>
      <c r="H437" s="94">
        <v>39</v>
      </c>
      <c r="I437" s="94">
        <v>207</v>
      </c>
      <c r="J437" s="94">
        <v>23</v>
      </c>
      <c r="K437" s="94">
        <v>234</v>
      </c>
      <c r="L437" s="94">
        <v>10</v>
      </c>
      <c r="M437" s="94">
        <v>100</v>
      </c>
      <c r="N437" s="94">
        <v>3</v>
      </c>
      <c r="O437" s="94">
        <v>49</v>
      </c>
      <c r="P437" s="94" t="s">
        <v>74</v>
      </c>
      <c r="Q437" s="94" t="s">
        <v>147</v>
      </c>
      <c r="R437" s="94">
        <v>38</v>
      </c>
      <c r="S437" s="94">
        <v>239</v>
      </c>
      <c r="T437" s="94">
        <v>30</v>
      </c>
      <c r="U437" s="94">
        <v>194</v>
      </c>
      <c r="V437" s="94">
        <v>2</v>
      </c>
      <c r="W437" s="94">
        <v>95</v>
      </c>
      <c r="X437" s="94">
        <v>0</v>
      </c>
      <c r="Y437" s="94">
        <v>30</v>
      </c>
      <c r="Z437" s="94">
        <v>11</v>
      </c>
    </row>
    <row r="438" spans="1:26">
      <c r="A438" s="94" t="str">
        <f t="shared" si="7"/>
        <v>20191026UCLA</v>
      </c>
      <c r="B438" s="94">
        <v>2019</v>
      </c>
      <c r="C438" s="94">
        <v>9</v>
      </c>
      <c r="D438" s="94">
        <v>20191026</v>
      </c>
      <c r="E438" s="94" t="s">
        <v>144</v>
      </c>
      <c r="F438" s="94" t="s">
        <v>106</v>
      </c>
      <c r="G438" s="94" t="s">
        <v>151</v>
      </c>
      <c r="H438" s="94">
        <v>57</v>
      </c>
      <c r="I438" s="94">
        <v>217</v>
      </c>
      <c r="J438" s="94">
        <v>23</v>
      </c>
      <c r="K438" s="94">
        <v>176</v>
      </c>
      <c r="L438" s="94">
        <v>38</v>
      </c>
      <c r="M438" s="94">
        <v>71</v>
      </c>
      <c r="N438" s="94">
        <v>1</v>
      </c>
      <c r="O438" s="94">
        <v>42</v>
      </c>
      <c r="P438" s="94" t="s">
        <v>44</v>
      </c>
      <c r="Q438" s="94" t="s">
        <v>151</v>
      </c>
      <c r="R438" s="94">
        <v>28</v>
      </c>
      <c r="S438" s="94">
        <v>116</v>
      </c>
      <c r="T438" s="94">
        <v>29</v>
      </c>
      <c r="U438" s="94">
        <v>267</v>
      </c>
      <c r="V438" s="94">
        <v>31</v>
      </c>
      <c r="W438" s="94">
        <v>51</v>
      </c>
      <c r="X438" s="94">
        <v>3</v>
      </c>
      <c r="Y438" s="94">
        <v>32</v>
      </c>
      <c r="Z438" s="94">
        <v>2.5</v>
      </c>
    </row>
    <row r="439" spans="1:26">
      <c r="A439" s="94" t="str">
        <f t="shared" si="7"/>
        <v>20191026UNLV</v>
      </c>
      <c r="B439" s="94">
        <v>2019</v>
      </c>
      <c r="C439" s="94">
        <v>9</v>
      </c>
      <c r="D439" s="94">
        <v>20191026</v>
      </c>
      <c r="E439" s="94" t="s">
        <v>144</v>
      </c>
      <c r="F439" s="94" t="s">
        <v>109</v>
      </c>
      <c r="G439" s="94" t="s">
        <v>148</v>
      </c>
      <c r="H439" s="94">
        <v>33</v>
      </c>
      <c r="I439" s="94">
        <v>121</v>
      </c>
      <c r="J439" s="94">
        <v>39</v>
      </c>
      <c r="K439" s="94">
        <v>255</v>
      </c>
      <c r="L439" s="94">
        <v>10</v>
      </c>
      <c r="M439" s="94">
        <v>0</v>
      </c>
      <c r="N439" s="94">
        <v>1</v>
      </c>
      <c r="O439" s="94">
        <v>17</v>
      </c>
      <c r="P439" s="94" t="s">
        <v>34</v>
      </c>
      <c r="Q439" s="94" t="s">
        <v>148</v>
      </c>
      <c r="R439" s="94">
        <v>37</v>
      </c>
      <c r="S439" s="94">
        <v>150</v>
      </c>
      <c r="T439" s="94">
        <v>23</v>
      </c>
      <c r="U439" s="94">
        <v>185</v>
      </c>
      <c r="V439" s="94">
        <v>37</v>
      </c>
      <c r="W439" s="94">
        <v>55</v>
      </c>
      <c r="X439" s="94">
        <v>0</v>
      </c>
      <c r="Y439" s="94">
        <v>20</v>
      </c>
      <c r="Z439" s="94">
        <v>11</v>
      </c>
    </row>
    <row r="440" spans="1:26">
      <c r="A440" s="94" t="str">
        <f t="shared" si="7"/>
        <v>20191026UTAH</v>
      </c>
      <c r="B440" s="94">
        <v>2019</v>
      </c>
      <c r="C440" s="94">
        <v>9</v>
      </c>
      <c r="D440" s="94">
        <v>20191026</v>
      </c>
      <c r="E440" s="94" t="s">
        <v>144</v>
      </c>
      <c r="F440" s="94" t="s">
        <v>24</v>
      </c>
      <c r="G440" s="94" t="s">
        <v>151</v>
      </c>
      <c r="H440" s="94">
        <v>50</v>
      </c>
      <c r="I440" s="94">
        <v>231</v>
      </c>
      <c r="J440" s="94">
        <v>22</v>
      </c>
      <c r="K440" s="94">
        <v>242</v>
      </c>
      <c r="L440" s="94">
        <v>8</v>
      </c>
      <c r="M440" s="94">
        <v>0</v>
      </c>
      <c r="N440" s="94">
        <v>0</v>
      </c>
      <c r="O440" s="94">
        <v>35</v>
      </c>
      <c r="P440" s="94" t="s">
        <v>48</v>
      </c>
      <c r="Q440" s="94" t="s">
        <v>151</v>
      </c>
      <c r="R440" s="94">
        <v>20</v>
      </c>
      <c r="S440" s="94">
        <v>25</v>
      </c>
      <c r="T440" s="94">
        <v>22</v>
      </c>
      <c r="U440" s="94">
        <v>60</v>
      </c>
      <c r="V440" s="94">
        <v>0</v>
      </c>
      <c r="W440" s="94">
        <v>0</v>
      </c>
      <c r="X440" s="94">
        <v>0</v>
      </c>
      <c r="Y440" s="94">
        <v>0</v>
      </c>
      <c r="Z440" s="94">
        <v>21.5</v>
      </c>
    </row>
    <row r="441" spans="1:26">
      <c r="A441" s="94" t="str">
        <f t="shared" si="7"/>
        <v>20191026UTEP</v>
      </c>
      <c r="B441" s="94">
        <v>2019</v>
      </c>
      <c r="C441" s="94">
        <v>9</v>
      </c>
      <c r="D441" s="94">
        <v>20191026</v>
      </c>
      <c r="E441" s="94" t="s">
        <v>144</v>
      </c>
      <c r="F441" s="94" t="s">
        <v>110</v>
      </c>
      <c r="G441" s="94" t="s">
        <v>153</v>
      </c>
      <c r="H441" s="94">
        <v>32</v>
      </c>
      <c r="I441" s="94">
        <v>128</v>
      </c>
      <c r="J441" s="94">
        <v>30</v>
      </c>
      <c r="K441" s="94">
        <v>227</v>
      </c>
      <c r="L441" s="94">
        <v>11</v>
      </c>
      <c r="M441" s="94">
        <v>111</v>
      </c>
      <c r="N441" s="94">
        <v>1</v>
      </c>
      <c r="O441" s="94">
        <v>21</v>
      </c>
      <c r="P441" s="94" t="s">
        <v>95</v>
      </c>
      <c r="Q441" s="94" t="s">
        <v>153</v>
      </c>
      <c r="R441" s="94">
        <v>34</v>
      </c>
      <c r="S441" s="94">
        <v>152</v>
      </c>
      <c r="T441" s="94">
        <v>36</v>
      </c>
      <c r="U441" s="94">
        <v>338</v>
      </c>
      <c r="V441" s="94">
        <v>0</v>
      </c>
      <c r="W441" s="94">
        <v>16</v>
      </c>
      <c r="X441" s="94">
        <v>2</v>
      </c>
      <c r="Y441" s="94">
        <v>42</v>
      </c>
      <c r="Z441" s="94">
        <v>20</v>
      </c>
    </row>
    <row r="442" spans="1:26">
      <c r="A442" s="94" t="str">
        <f t="shared" si="7"/>
        <v>20191026WMCH</v>
      </c>
      <c r="B442" s="94">
        <v>2019</v>
      </c>
      <c r="C442" s="94">
        <v>9</v>
      </c>
      <c r="D442" s="94">
        <v>20191026</v>
      </c>
      <c r="E442" s="94" t="s">
        <v>144</v>
      </c>
      <c r="F442" s="94" t="s">
        <v>37</v>
      </c>
      <c r="G442" s="94" t="s">
        <v>149</v>
      </c>
      <c r="H442" s="94">
        <v>57</v>
      </c>
      <c r="I442" s="94">
        <v>399</v>
      </c>
      <c r="J442" s="94">
        <v>24</v>
      </c>
      <c r="K442" s="94">
        <v>175</v>
      </c>
      <c r="L442" s="94">
        <v>0</v>
      </c>
      <c r="M442" s="94">
        <v>81</v>
      </c>
      <c r="N442" s="94">
        <v>2</v>
      </c>
      <c r="O442" s="94">
        <v>49</v>
      </c>
      <c r="P442" s="94" t="s">
        <v>87</v>
      </c>
      <c r="Q442" s="94" t="s">
        <v>149</v>
      </c>
      <c r="R442" s="94">
        <v>27</v>
      </c>
      <c r="S442" s="94">
        <v>130</v>
      </c>
      <c r="T442" s="94">
        <v>26</v>
      </c>
      <c r="U442" s="94">
        <v>136</v>
      </c>
      <c r="V442" s="94">
        <v>0</v>
      </c>
      <c r="W442" s="94">
        <v>100</v>
      </c>
      <c r="X442" s="94">
        <v>0</v>
      </c>
      <c r="Y442" s="94">
        <v>10</v>
      </c>
      <c r="Z442" s="94">
        <v>27.5</v>
      </c>
    </row>
    <row r="443" spans="1:26">
      <c r="A443" s="94" t="str">
        <f t="shared" si="7"/>
        <v>20191026WYO</v>
      </c>
      <c r="B443" s="94">
        <v>2019</v>
      </c>
      <c r="C443" s="94">
        <v>9</v>
      </c>
      <c r="D443" s="94">
        <v>20191026</v>
      </c>
      <c r="E443" s="94" t="s">
        <v>144</v>
      </c>
      <c r="F443" s="94" t="s">
        <v>10</v>
      </c>
      <c r="G443" s="94" t="s">
        <v>148</v>
      </c>
      <c r="H443" s="94">
        <v>44</v>
      </c>
      <c r="I443" s="94">
        <v>258</v>
      </c>
      <c r="J443" s="94">
        <v>19</v>
      </c>
      <c r="K443" s="94">
        <v>221</v>
      </c>
      <c r="L443" s="94">
        <v>57</v>
      </c>
      <c r="M443" s="94">
        <v>0</v>
      </c>
      <c r="N443" s="94">
        <v>2</v>
      </c>
      <c r="O443" s="94">
        <v>31</v>
      </c>
      <c r="P443" s="94" t="s">
        <v>32</v>
      </c>
      <c r="Q443" s="94" t="s">
        <v>148</v>
      </c>
      <c r="R443" s="94">
        <v>28</v>
      </c>
      <c r="S443" s="94">
        <v>81</v>
      </c>
      <c r="T443" s="94">
        <v>45</v>
      </c>
      <c r="U443" s="94">
        <v>254</v>
      </c>
      <c r="V443" s="94">
        <v>1</v>
      </c>
      <c r="W443" s="94">
        <v>16</v>
      </c>
      <c r="X443" s="94">
        <v>1</v>
      </c>
      <c r="Y443" s="94">
        <v>3</v>
      </c>
      <c r="Z443" s="94">
        <v>14</v>
      </c>
    </row>
    <row r="444" spans="1:26">
      <c r="A444" s="94" t="str">
        <f t="shared" si="7"/>
        <v>20191026LIB</v>
      </c>
      <c r="B444" s="94">
        <v>2019</v>
      </c>
      <c r="C444" s="94">
        <v>9</v>
      </c>
      <c r="D444" s="94">
        <v>20191026</v>
      </c>
      <c r="E444" s="94" t="s">
        <v>211</v>
      </c>
      <c r="F444" s="94" t="s">
        <v>205</v>
      </c>
      <c r="G444" s="94" t="s">
        <v>53</v>
      </c>
      <c r="H444" s="94">
        <v>27</v>
      </c>
      <c r="I444" s="94">
        <v>131</v>
      </c>
      <c r="J444" s="94">
        <v>32</v>
      </c>
      <c r="K444" s="94">
        <v>282</v>
      </c>
      <c r="L444" s="94">
        <v>0</v>
      </c>
      <c r="M444" s="94">
        <v>149</v>
      </c>
      <c r="N444" s="94">
        <v>0</v>
      </c>
      <c r="O444" s="94">
        <v>34</v>
      </c>
      <c r="P444" s="94" t="s">
        <v>92</v>
      </c>
      <c r="Q444" s="94" t="s">
        <v>152</v>
      </c>
      <c r="R444" s="94">
        <v>55</v>
      </c>
      <c r="S444" s="94">
        <v>271</v>
      </c>
      <c r="T444" s="94">
        <v>21</v>
      </c>
      <c r="U444" s="94">
        <v>192</v>
      </c>
      <c r="V444" s="94">
        <v>0</v>
      </c>
      <c r="W444" s="94">
        <v>24</v>
      </c>
      <c r="X444" s="94">
        <v>1</v>
      </c>
      <c r="Y444" s="94">
        <v>44</v>
      </c>
      <c r="Z444" s="94">
        <v>7</v>
      </c>
    </row>
    <row r="445" spans="1:26">
      <c r="A445" s="94" t="str">
        <f t="shared" si="7"/>
        <v>20191026MAS</v>
      </c>
      <c r="B445" s="94">
        <v>2019</v>
      </c>
      <c r="C445" s="94">
        <v>9</v>
      </c>
      <c r="D445" s="94">
        <v>20191026</v>
      </c>
      <c r="E445" s="94" t="s">
        <v>144</v>
      </c>
      <c r="F445" s="94" t="s">
        <v>207</v>
      </c>
      <c r="G445" s="94" t="s">
        <v>53</v>
      </c>
      <c r="H445" s="94">
        <v>38</v>
      </c>
      <c r="I445" s="94">
        <v>200</v>
      </c>
      <c r="J445" s="94">
        <v>40</v>
      </c>
      <c r="K445" s="94">
        <v>239</v>
      </c>
      <c r="L445" s="94">
        <v>5</v>
      </c>
      <c r="M445" s="94">
        <v>154</v>
      </c>
      <c r="N445" s="94">
        <v>1</v>
      </c>
      <c r="O445" s="94">
        <v>35</v>
      </c>
      <c r="P445" s="94" t="s">
        <v>13</v>
      </c>
      <c r="Q445" s="94" t="s">
        <v>150</v>
      </c>
      <c r="R445" s="94">
        <v>39</v>
      </c>
      <c r="S445" s="94">
        <v>329</v>
      </c>
      <c r="T445" s="94">
        <v>28</v>
      </c>
      <c r="U445" s="94">
        <v>213</v>
      </c>
      <c r="V445" s="94">
        <v>1</v>
      </c>
      <c r="W445" s="94">
        <v>102</v>
      </c>
      <c r="X445" s="94">
        <v>3</v>
      </c>
      <c r="Y445" s="94">
        <v>56</v>
      </c>
      <c r="Z445" s="94">
        <v>9.5</v>
      </c>
    </row>
    <row r="446" spans="1:26">
      <c r="A446" s="94" t="str">
        <f t="shared" si="7"/>
        <v>20191031APP</v>
      </c>
      <c r="B446" s="94">
        <v>2019</v>
      </c>
      <c r="C446" s="94">
        <v>10</v>
      </c>
      <c r="D446" s="94">
        <v>20191031</v>
      </c>
      <c r="E446" s="94" t="s">
        <v>144</v>
      </c>
      <c r="F446" s="94" t="s">
        <v>90</v>
      </c>
      <c r="G446" s="94" t="s">
        <v>145</v>
      </c>
      <c r="H446" s="94">
        <v>30</v>
      </c>
      <c r="I446" s="94">
        <v>152</v>
      </c>
      <c r="J446" s="94">
        <v>51</v>
      </c>
      <c r="K446" s="94">
        <v>271</v>
      </c>
      <c r="L446" s="94">
        <v>4</v>
      </c>
      <c r="M446" s="94">
        <v>0</v>
      </c>
      <c r="N446" s="94">
        <v>0</v>
      </c>
      <c r="O446" s="94">
        <v>21</v>
      </c>
      <c r="P446" s="94" t="s">
        <v>57</v>
      </c>
      <c r="Q446" s="94" t="s">
        <v>145</v>
      </c>
      <c r="R446" s="94">
        <v>55</v>
      </c>
      <c r="S446" s="94">
        <v>337</v>
      </c>
      <c r="T446" s="94">
        <v>4</v>
      </c>
      <c r="U446" s="94">
        <v>16</v>
      </c>
      <c r="V446" s="94">
        <v>15</v>
      </c>
      <c r="W446" s="94">
        <v>0</v>
      </c>
      <c r="X446" s="94">
        <v>0</v>
      </c>
      <c r="Y446" s="94">
        <v>24</v>
      </c>
      <c r="Z446" s="94">
        <v>14</v>
      </c>
    </row>
    <row r="447" spans="1:26">
      <c r="A447" s="94" t="str">
        <f t="shared" si="7"/>
        <v>20191031BAY</v>
      </c>
      <c r="B447" s="94">
        <v>2019</v>
      </c>
      <c r="C447" s="94">
        <v>10</v>
      </c>
      <c r="D447" s="94">
        <v>20191031</v>
      </c>
      <c r="E447" s="94" t="s">
        <v>144</v>
      </c>
      <c r="F447" s="94" t="s">
        <v>45</v>
      </c>
      <c r="G447" s="94" t="s">
        <v>209</v>
      </c>
      <c r="H447" s="94">
        <v>56</v>
      </c>
      <c r="I447" s="94">
        <v>176</v>
      </c>
      <c r="J447" s="94">
        <v>26</v>
      </c>
      <c r="K447" s="94">
        <v>277</v>
      </c>
      <c r="L447" s="94">
        <v>16</v>
      </c>
      <c r="M447" s="94">
        <v>12</v>
      </c>
      <c r="N447" s="94">
        <v>2</v>
      </c>
      <c r="O447" s="94">
        <v>17</v>
      </c>
      <c r="P447" s="94" t="s">
        <v>133</v>
      </c>
      <c r="Q447" s="94" t="s">
        <v>209</v>
      </c>
      <c r="R447" s="94">
        <v>24</v>
      </c>
      <c r="S447" s="94">
        <v>62</v>
      </c>
      <c r="T447" s="94">
        <v>39</v>
      </c>
      <c r="U447" s="94">
        <v>205</v>
      </c>
      <c r="V447" s="94">
        <v>0</v>
      </c>
      <c r="W447" s="94">
        <v>142</v>
      </c>
      <c r="X447" s="94">
        <v>3</v>
      </c>
      <c r="Y447" s="94">
        <v>14</v>
      </c>
      <c r="Z447" s="94">
        <v>17.5</v>
      </c>
    </row>
    <row r="448" spans="1:26">
      <c r="A448" s="94" t="str">
        <f t="shared" si="7"/>
        <v>20191101CON</v>
      </c>
      <c r="B448" s="94">
        <v>2019</v>
      </c>
      <c r="C448" s="94">
        <v>10</v>
      </c>
      <c r="D448" s="94">
        <v>20191101</v>
      </c>
      <c r="E448" s="94" t="s">
        <v>144</v>
      </c>
      <c r="F448" s="94" t="s">
        <v>13</v>
      </c>
      <c r="G448" s="94" t="s">
        <v>150</v>
      </c>
      <c r="H448" s="94">
        <v>38</v>
      </c>
      <c r="I448" s="94">
        <v>108</v>
      </c>
      <c r="J448" s="94">
        <v>34</v>
      </c>
      <c r="K448" s="94">
        <v>205</v>
      </c>
      <c r="L448" s="94">
        <v>0</v>
      </c>
      <c r="M448" s="94">
        <v>98</v>
      </c>
      <c r="N448" s="94">
        <v>0</v>
      </c>
      <c r="O448" s="94">
        <v>10</v>
      </c>
      <c r="P448" s="94" t="s">
        <v>59</v>
      </c>
      <c r="Q448" s="94" t="s">
        <v>150</v>
      </c>
      <c r="R448" s="94">
        <v>51</v>
      </c>
      <c r="S448" s="94">
        <v>408</v>
      </c>
      <c r="T448" s="94">
        <v>6</v>
      </c>
      <c r="U448" s="94">
        <v>165</v>
      </c>
      <c r="V448" s="94">
        <v>6</v>
      </c>
      <c r="W448" s="94">
        <v>22</v>
      </c>
      <c r="X448" s="94">
        <v>3</v>
      </c>
      <c r="Y448" s="94">
        <v>56</v>
      </c>
      <c r="Z448" s="94">
        <v>27</v>
      </c>
    </row>
    <row r="449" spans="1:26">
      <c r="A449" s="94" t="str">
        <f t="shared" si="7"/>
        <v>20191102AIR</v>
      </c>
      <c r="B449" s="94">
        <v>2019</v>
      </c>
      <c r="C449" s="94">
        <v>10</v>
      </c>
      <c r="D449" s="94">
        <v>20191102</v>
      </c>
      <c r="E449" s="94" t="s">
        <v>144</v>
      </c>
      <c r="F449" s="94" t="s">
        <v>39</v>
      </c>
      <c r="G449" s="94" t="s">
        <v>148</v>
      </c>
      <c r="H449" s="94">
        <v>55</v>
      </c>
      <c r="I449" s="94">
        <v>328</v>
      </c>
      <c r="J449" s="94">
        <v>8</v>
      </c>
      <c r="K449" s="94">
        <v>16</v>
      </c>
      <c r="L449" s="94">
        <v>2</v>
      </c>
      <c r="M449" s="94">
        <v>23</v>
      </c>
      <c r="N449" s="94">
        <v>0</v>
      </c>
      <c r="O449" s="94">
        <v>17</v>
      </c>
      <c r="P449" s="94" t="s">
        <v>28</v>
      </c>
      <c r="Q449" s="94" t="s">
        <v>53</v>
      </c>
      <c r="R449" s="94">
        <v>38</v>
      </c>
      <c r="S449" s="94">
        <v>129</v>
      </c>
      <c r="T449" s="94">
        <v>14</v>
      </c>
      <c r="U449" s="94">
        <v>214</v>
      </c>
      <c r="V449" s="94">
        <v>9</v>
      </c>
      <c r="W449" s="94">
        <v>0</v>
      </c>
      <c r="X449" s="94">
        <v>1</v>
      </c>
      <c r="Y449" s="94">
        <v>13</v>
      </c>
      <c r="Z449" s="94">
        <v>15</v>
      </c>
    </row>
    <row r="450" spans="1:26">
      <c r="A450" s="94" t="str">
        <f t="shared" si="7"/>
        <v>20191102ARK</v>
      </c>
      <c r="B450" s="94">
        <v>2019</v>
      </c>
      <c r="C450" s="94">
        <v>10</v>
      </c>
      <c r="D450" s="94">
        <v>20191102</v>
      </c>
      <c r="E450" s="94" t="s">
        <v>144</v>
      </c>
      <c r="F450" s="94" t="s">
        <v>41</v>
      </c>
      <c r="G450" s="94" t="s">
        <v>147</v>
      </c>
      <c r="H450" s="94">
        <v>25</v>
      </c>
      <c r="I450" s="94">
        <v>184</v>
      </c>
      <c r="J450" s="94">
        <v>24</v>
      </c>
      <c r="K450" s="94">
        <v>101</v>
      </c>
      <c r="L450" s="94">
        <v>0</v>
      </c>
      <c r="M450" s="94">
        <v>154</v>
      </c>
      <c r="N450" s="94">
        <v>1</v>
      </c>
      <c r="O450" s="94">
        <v>24</v>
      </c>
      <c r="P450" s="94" t="s">
        <v>74</v>
      </c>
      <c r="Q450" s="94" t="s">
        <v>147</v>
      </c>
      <c r="R450" s="94">
        <v>56</v>
      </c>
      <c r="S450" s="94">
        <v>463</v>
      </c>
      <c r="T450" s="94">
        <v>19</v>
      </c>
      <c r="U450" s="94">
        <v>180</v>
      </c>
      <c r="V450" s="94">
        <v>0</v>
      </c>
      <c r="W450" s="94">
        <v>27</v>
      </c>
      <c r="X450" s="94">
        <v>2</v>
      </c>
      <c r="Y450" s="94">
        <v>54</v>
      </c>
      <c r="Z450" s="94">
        <v>7.5</v>
      </c>
    </row>
    <row r="451" spans="1:26">
      <c r="A451" s="94" t="str">
        <f t="shared" si="7"/>
        <v>20191102ARZ</v>
      </c>
      <c r="B451" s="94">
        <v>2019</v>
      </c>
      <c r="C451" s="94">
        <v>10</v>
      </c>
      <c r="D451" s="94">
        <v>20191102</v>
      </c>
      <c r="E451" s="94" t="s">
        <v>144</v>
      </c>
      <c r="F451" s="94" t="s">
        <v>42</v>
      </c>
      <c r="G451" s="94" t="s">
        <v>151</v>
      </c>
      <c r="H451" s="94">
        <v>47</v>
      </c>
      <c r="I451" s="94">
        <v>148</v>
      </c>
      <c r="J451" s="94">
        <v>41</v>
      </c>
      <c r="K451" s="94">
        <v>378</v>
      </c>
      <c r="L451" s="94">
        <v>24</v>
      </c>
      <c r="M451" s="94">
        <v>52</v>
      </c>
      <c r="N451" s="94">
        <v>0</v>
      </c>
      <c r="O451" s="94">
        <v>38</v>
      </c>
      <c r="P451" s="94" t="s">
        <v>82</v>
      </c>
      <c r="Q451" s="94" t="s">
        <v>151</v>
      </c>
      <c r="R451" s="94">
        <v>42</v>
      </c>
      <c r="S451" s="94">
        <v>244</v>
      </c>
      <c r="T451" s="94">
        <v>26</v>
      </c>
      <c r="U451" s="94">
        <v>328</v>
      </c>
      <c r="V451" s="94">
        <v>11</v>
      </c>
      <c r="W451" s="94">
        <v>0</v>
      </c>
      <c r="X451" s="94">
        <v>0</v>
      </c>
      <c r="Y451" s="94">
        <v>56</v>
      </c>
      <c r="Z451" s="94">
        <v>5</v>
      </c>
    </row>
    <row r="452" spans="1:26">
      <c r="A452" s="94" t="str">
        <f t="shared" si="7"/>
        <v>20191102AUB</v>
      </c>
      <c r="B452" s="94">
        <v>2019</v>
      </c>
      <c r="C452" s="94">
        <v>10</v>
      </c>
      <c r="D452" s="94">
        <v>20191102</v>
      </c>
      <c r="E452" s="94" t="s">
        <v>144</v>
      </c>
      <c r="F452" s="94" t="s">
        <v>120</v>
      </c>
      <c r="G452" s="94" t="s">
        <v>147</v>
      </c>
      <c r="H452" s="94">
        <v>46</v>
      </c>
      <c r="I452" s="94">
        <v>167</v>
      </c>
      <c r="J452" s="94">
        <v>44</v>
      </c>
      <c r="K452" s="94">
        <v>340</v>
      </c>
      <c r="L452" s="94">
        <v>1</v>
      </c>
      <c r="M452" s="94">
        <v>46</v>
      </c>
      <c r="N452" s="94">
        <v>1</v>
      </c>
      <c r="O452" s="94">
        <v>20</v>
      </c>
      <c r="P452" s="94" t="s">
        <v>126</v>
      </c>
      <c r="Q452" s="94" t="s">
        <v>147</v>
      </c>
      <c r="R452" s="94">
        <v>42</v>
      </c>
      <c r="S452" s="94">
        <v>167</v>
      </c>
      <c r="T452" s="94">
        <v>27</v>
      </c>
      <c r="U452" s="94">
        <v>99</v>
      </c>
      <c r="V452" s="94">
        <v>55</v>
      </c>
      <c r="W452" s="94">
        <v>68</v>
      </c>
      <c r="X452" s="94">
        <v>1</v>
      </c>
      <c r="Y452" s="94">
        <v>14</v>
      </c>
      <c r="Z452" s="94">
        <v>17.5</v>
      </c>
    </row>
    <row r="453" spans="1:26">
      <c r="A453" s="94" t="str">
        <f t="shared" si="7"/>
        <v>20191102BOWL</v>
      </c>
      <c r="B453" s="94">
        <v>2019</v>
      </c>
      <c r="C453" s="94">
        <v>10</v>
      </c>
      <c r="D453" s="94">
        <v>20191102</v>
      </c>
      <c r="E453" s="94" t="s">
        <v>144</v>
      </c>
      <c r="F453" s="94" t="s">
        <v>87</v>
      </c>
      <c r="G453" s="94" t="s">
        <v>149</v>
      </c>
      <c r="H453" s="94">
        <v>60</v>
      </c>
      <c r="I453" s="94">
        <v>163</v>
      </c>
      <c r="J453" s="94">
        <v>21</v>
      </c>
      <c r="K453" s="94">
        <v>120</v>
      </c>
      <c r="L453" s="94">
        <v>29</v>
      </c>
      <c r="M453" s="94">
        <v>5</v>
      </c>
      <c r="N453" s="94">
        <v>4</v>
      </c>
      <c r="O453" s="94">
        <v>35</v>
      </c>
      <c r="P453" s="94" t="s">
        <v>118</v>
      </c>
      <c r="Q453" s="94" t="s">
        <v>149</v>
      </c>
      <c r="R453" s="94">
        <v>30</v>
      </c>
      <c r="S453" s="94">
        <v>46</v>
      </c>
      <c r="T453" s="94">
        <v>26</v>
      </c>
      <c r="U453" s="94">
        <v>71</v>
      </c>
      <c r="V453" s="94">
        <v>0</v>
      </c>
      <c r="W453" s="94">
        <v>119</v>
      </c>
      <c r="X453" s="94">
        <v>1</v>
      </c>
      <c r="Y453" s="94">
        <v>6</v>
      </c>
      <c r="Z453" s="94">
        <v>6</v>
      </c>
    </row>
    <row r="454" spans="1:26">
      <c r="A454" s="94" t="str">
        <f t="shared" ref="A454:A517" si="8">D454&amp;F454</f>
        <v>20191102CFL</v>
      </c>
      <c r="B454" s="94">
        <v>2019</v>
      </c>
      <c r="C454" s="94">
        <v>10</v>
      </c>
      <c r="D454" s="94">
        <v>20191102</v>
      </c>
      <c r="E454" s="94" t="s">
        <v>144</v>
      </c>
      <c r="F454" s="94" t="s">
        <v>14</v>
      </c>
      <c r="G454" s="94" t="s">
        <v>150</v>
      </c>
      <c r="H454" s="94">
        <v>25</v>
      </c>
      <c r="I454" s="94">
        <v>171</v>
      </c>
      <c r="J454" s="94">
        <v>32</v>
      </c>
      <c r="K454" s="94">
        <v>304</v>
      </c>
      <c r="L454" s="94">
        <v>26</v>
      </c>
      <c r="M454" s="94">
        <v>2</v>
      </c>
      <c r="N454" s="94">
        <v>1</v>
      </c>
      <c r="O454" s="94">
        <v>44</v>
      </c>
      <c r="P454" s="94" t="s">
        <v>91</v>
      </c>
      <c r="Q454" s="94" t="s">
        <v>150</v>
      </c>
      <c r="R454" s="94">
        <v>49</v>
      </c>
      <c r="S454" s="94">
        <v>240</v>
      </c>
      <c r="T454" s="94">
        <v>30</v>
      </c>
      <c r="U454" s="94">
        <v>179</v>
      </c>
      <c r="V454" s="94">
        <v>0</v>
      </c>
      <c r="W454" s="94">
        <v>44</v>
      </c>
      <c r="X454" s="94">
        <v>1</v>
      </c>
      <c r="Y454" s="94">
        <v>29</v>
      </c>
      <c r="Z454" s="94">
        <v>22</v>
      </c>
    </row>
    <row r="455" spans="1:26">
      <c r="A455" s="94" t="str">
        <f t="shared" si="8"/>
        <v>20191102CHAR</v>
      </c>
      <c r="B455" s="94">
        <v>2019</v>
      </c>
      <c r="C455" s="94">
        <v>10</v>
      </c>
      <c r="D455" s="94">
        <v>20191102</v>
      </c>
      <c r="E455" s="94" t="s">
        <v>144</v>
      </c>
      <c r="F455" s="94" t="s">
        <v>50</v>
      </c>
      <c r="G455" s="94" t="s">
        <v>153</v>
      </c>
      <c r="H455" s="94">
        <v>55</v>
      </c>
      <c r="I455" s="94">
        <v>248</v>
      </c>
      <c r="J455" s="94">
        <v>21</v>
      </c>
      <c r="K455" s="94">
        <v>192</v>
      </c>
      <c r="L455" s="94">
        <v>45</v>
      </c>
      <c r="M455" s="94">
        <v>0</v>
      </c>
      <c r="N455" s="94">
        <v>2</v>
      </c>
      <c r="O455" s="94">
        <v>34</v>
      </c>
      <c r="P455" s="94" t="s">
        <v>112</v>
      </c>
      <c r="Q455" s="94" t="s">
        <v>153</v>
      </c>
      <c r="R455" s="94">
        <v>30</v>
      </c>
      <c r="S455" s="94">
        <v>215</v>
      </c>
      <c r="T455" s="94">
        <v>17</v>
      </c>
      <c r="U455" s="94">
        <v>118</v>
      </c>
      <c r="V455" s="94">
        <v>0</v>
      </c>
      <c r="W455" s="94">
        <v>0</v>
      </c>
      <c r="X455" s="94">
        <v>0</v>
      </c>
      <c r="Y455" s="94">
        <v>20</v>
      </c>
      <c r="Z455" s="94">
        <v>2.5</v>
      </c>
    </row>
    <row r="456" spans="1:26">
      <c r="A456" s="94" t="str">
        <f t="shared" si="8"/>
        <v>20191102CMCH</v>
      </c>
      <c r="B456" s="94">
        <v>2019</v>
      </c>
      <c r="C456" s="94">
        <v>10</v>
      </c>
      <c r="D456" s="94">
        <v>20191102</v>
      </c>
      <c r="E456" s="94" t="s">
        <v>144</v>
      </c>
      <c r="F456" s="94" t="s">
        <v>67</v>
      </c>
      <c r="G456" s="94" t="s">
        <v>149</v>
      </c>
      <c r="H456" s="94">
        <v>50</v>
      </c>
      <c r="I456" s="94">
        <v>327</v>
      </c>
      <c r="J456" s="94">
        <v>25</v>
      </c>
      <c r="K456" s="94">
        <v>288</v>
      </c>
      <c r="L456" s="94">
        <v>14</v>
      </c>
      <c r="M456" s="94">
        <v>56</v>
      </c>
      <c r="N456" s="94">
        <v>4</v>
      </c>
      <c r="O456" s="94">
        <v>48</v>
      </c>
      <c r="P456" s="94" t="s">
        <v>63</v>
      </c>
      <c r="Q456" s="94" t="s">
        <v>149</v>
      </c>
      <c r="R456" s="94">
        <v>25</v>
      </c>
      <c r="S456" s="94">
        <v>22</v>
      </c>
      <c r="T456" s="94">
        <v>31</v>
      </c>
      <c r="U456" s="94">
        <v>229</v>
      </c>
      <c r="V456" s="94">
        <v>0</v>
      </c>
      <c r="W456" s="94">
        <v>8</v>
      </c>
      <c r="X456" s="94">
        <v>0</v>
      </c>
      <c r="Y456" s="94">
        <v>10</v>
      </c>
      <c r="Z456" s="94">
        <v>1</v>
      </c>
    </row>
    <row r="457" spans="1:26">
      <c r="A457" s="94" t="str">
        <f t="shared" si="8"/>
        <v>20191102COST</v>
      </c>
      <c r="B457" s="94">
        <v>2019</v>
      </c>
      <c r="C457" s="94">
        <v>10</v>
      </c>
      <c r="D457" s="94">
        <v>20191102</v>
      </c>
      <c r="E457" s="94" t="s">
        <v>144</v>
      </c>
      <c r="F457" s="94" t="s">
        <v>7</v>
      </c>
      <c r="G457" s="94" t="s">
        <v>148</v>
      </c>
      <c r="H457" s="94">
        <v>36</v>
      </c>
      <c r="I457" s="94">
        <v>174</v>
      </c>
      <c r="J457" s="94">
        <v>29</v>
      </c>
      <c r="K457" s="94">
        <v>254</v>
      </c>
      <c r="L457" s="94">
        <v>61</v>
      </c>
      <c r="M457" s="94">
        <v>99</v>
      </c>
      <c r="N457" s="94">
        <v>0</v>
      </c>
      <c r="O457" s="94">
        <v>0</v>
      </c>
      <c r="P457" s="94" t="s">
        <v>109</v>
      </c>
      <c r="Q457" s="94" t="s">
        <v>148</v>
      </c>
      <c r="R457" s="94">
        <v>31</v>
      </c>
      <c r="S457" s="94">
        <v>107</v>
      </c>
      <c r="T457" s="94">
        <v>40</v>
      </c>
      <c r="U457" s="94">
        <v>280</v>
      </c>
      <c r="V457" s="94">
        <v>12</v>
      </c>
      <c r="W457" s="94">
        <v>20</v>
      </c>
      <c r="X457" s="94">
        <v>0</v>
      </c>
      <c r="Y457" s="94">
        <v>0</v>
      </c>
      <c r="Z457" s="94">
        <v>10</v>
      </c>
    </row>
    <row r="458" spans="1:26">
      <c r="A458" s="94" t="str">
        <f t="shared" si="8"/>
        <v>20191102CSTC</v>
      </c>
      <c r="B458" s="94">
        <v>2019</v>
      </c>
      <c r="C458" s="94">
        <v>10</v>
      </c>
      <c r="D458" s="94">
        <v>20191102</v>
      </c>
      <c r="E458" s="94" t="s">
        <v>144</v>
      </c>
      <c r="F458" s="94" t="s">
        <v>97</v>
      </c>
      <c r="G458" s="94" t="s">
        <v>145</v>
      </c>
      <c r="H458" s="94">
        <v>39</v>
      </c>
      <c r="I458" s="94">
        <v>191</v>
      </c>
      <c r="J458" s="94">
        <v>45</v>
      </c>
      <c r="K458" s="94">
        <v>285</v>
      </c>
      <c r="L458" s="94">
        <v>13</v>
      </c>
      <c r="M458" s="94">
        <v>22</v>
      </c>
      <c r="N458" s="94">
        <v>1</v>
      </c>
      <c r="O458" s="94">
        <v>0</v>
      </c>
      <c r="P458" s="94" t="s">
        <v>104</v>
      </c>
      <c r="Q458" s="94" t="s">
        <v>145</v>
      </c>
      <c r="R458" s="94">
        <v>32</v>
      </c>
      <c r="S458" s="94">
        <v>115</v>
      </c>
      <c r="T458" s="94">
        <v>35</v>
      </c>
      <c r="U458" s="94">
        <v>385</v>
      </c>
      <c r="V458" s="94">
        <v>4</v>
      </c>
      <c r="W458" s="94">
        <v>88</v>
      </c>
      <c r="X458" s="94">
        <v>1</v>
      </c>
      <c r="Y458" s="94">
        <v>0</v>
      </c>
      <c r="Z458" s="94">
        <v>1</v>
      </c>
    </row>
    <row r="459" spans="1:26">
      <c r="A459" s="94" t="str">
        <f t="shared" si="8"/>
        <v>20191102ECAR</v>
      </c>
      <c r="B459" s="94">
        <v>2019</v>
      </c>
      <c r="C459" s="94">
        <v>10</v>
      </c>
      <c r="D459" s="94">
        <v>20191102</v>
      </c>
      <c r="E459" s="94" t="s">
        <v>144</v>
      </c>
      <c r="F459" s="94" t="s">
        <v>115</v>
      </c>
      <c r="G459" s="94" t="s">
        <v>150</v>
      </c>
      <c r="H459" s="94">
        <v>35</v>
      </c>
      <c r="I459" s="94">
        <v>103</v>
      </c>
      <c r="J459" s="94">
        <v>52</v>
      </c>
      <c r="K459" s="94">
        <v>535</v>
      </c>
      <c r="L459" s="94">
        <v>0</v>
      </c>
      <c r="M459" s="94">
        <v>73</v>
      </c>
      <c r="N459" s="94">
        <v>2</v>
      </c>
      <c r="O459" s="94">
        <v>43</v>
      </c>
      <c r="P459" s="94" t="s">
        <v>107</v>
      </c>
      <c r="Q459" s="94" t="s">
        <v>150</v>
      </c>
      <c r="R459" s="94">
        <v>39</v>
      </c>
      <c r="S459" s="94">
        <v>326</v>
      </c>
      <c r="T459" s="94">
        <v>24</v>
      </c>
      <c r="U459" s="94">
        <v>161</v>
      </c>
      <c r="V459" s="94">
        <v>0</v>
      </c>
      <c r="W459" s="94">
        <v>13</v>
      </c>
      <c r="X459" s="94">
        <v>1</v>
      </c>
      <c r="Y459" s="94">
        <v>46</v>
      </c>
      <c r="Z459" s="94">
        <v>21.5</v>
      </c>
    </row>
    <row r="460" spans="1:26">
      <c r="A460" s="94" t="str">
        <f t="shared" si="8"/>
        <v>20191102EMCH</v>
      </c>
      <c r="B460" s="94">
        <v>2019</v>
      </c>
      <c r="C460" s="94">
        <v>10</v>
      </c>
      <c r="D460" s="94">
        <v>20191102</v>
      </c>
      <c r="E460" s="94" t="s">
        <v>144</v>
      </c>
      <c r="F460" s="94" t="s">
        <v>29</v>
      </c>
      <c r="G460" s="94" t="s">
        <v>149</v>
      </c>
      <c r="H460" s="94">
        <v>17</v>
      </c>
      <c r="I460" s="94">
        <v>25</v>
      </c>
      <c r="J460" s="94">
        <v>25</v>
      </c>
      <c r="K460" s="94">
        <v>185</v>
      </c>
      <c r="L460" s="94">
        <v>2</v>
      </c>
      <c r="M460" s="94">
        <v>41</v>
      </c>
      <c r="N460" s="94">
        <v>0</v>
      </c>
      <c r="O460" s="94">
        <v>14</v>
      </c>
      <c r="P460" s="94" t="s">
        <v>47</v>
      </c>
      <c r="Q460" s="94" t="s">
        <v>149</v>
      </c>
      <c r="R460" s="94">
        <v>62</v>
      </c>
      <c r="S460" s="94">
        <v>252</v>
      </c>
      <c r="T460" s="94">
        <v>23</v>
      </c>
      <c r="U460" s="94">
        <v>208</v>
      </c>
      <c r="V460" s="94">
        <v>15</v>
      </c>
      <c r="W460" s="94">
        <v>16</v>
      </c>
      <c r="X460" s="94">
        <v>1</v>
      </c>
      <c r="Y460" s="94">
        <v>43</v>
      </c>
      <c r="Z460" s="94">
        <v>1</v>
      </c>
    </row>
    <row r="461" spans="1:26">
      <c r="A461" s="94" t="str">
        <f t="shared" si="8"/>
        <v>20191102FINT</v>
      </c>
      <c r="B461" s="94">
        <v>2019</v>
      </c>
      <c r="C461" s="94">
        <v>10</v>
      </c>
      <c r="D461" s="94">
        <v>20191102</v>
      </c>
      <c r="E461" s="94" t="s">
        <v>144</v>
      </c>
      <c r="F461" s="94" t="s">
        <v>52</v>
      </c>
      <c r="G461" s="94" t="s">
        <v>153</v>
      </c>
      <c r="H461" s="94">
        <v>38</v>
      </c>
      <c r="I461" s="94">
        <v>130</v>
      </c>
      <c r="J461" s="94">
        <v>33</v>
      </c>
      <c r="K461" s="94">
        <v>252</v>
      </c>
      <c r="L461" s="94">
        <v>6</v>
      </c>
      <c r="M461" s="94">
        <v>42</v>
      </c>
      <c r="N461" s="94">
        <v>2</v>
      </c>
      <c r="O461" s="94">
        <v>24</v>
      </c>
      <c r="P461" s="94" t="s">
        <v>68</v>
      </c>
      <c r="Q461" s="94" t="s">
        <v>153</v>
      </c>
      <c r="R461" s="94">
        <v>24</v>
      </c>
      <c r="S461" s="94">
        <v>73</v>
      </c>
      <c r="T461" s="94">
        <v>36</v>
      </c>
      <c r="U461" s="94">
        <v>169</v>
      </c>
      <c r="V461" s="94">
        <v>0</v>
      </c>
      <c r="W461" s="94">
        <v>30</v>
      </c>
      <c r="X461" s="94">
        <v>1</v>
      </c>
      <c r="Y461" s="94">
        <v>17</v>
      </c>
      <c r="Z461" s="94">
        <v>16</v>
      </c>
    </row>
    <row r="462" spans="1:26">
      <c r="A462" s="94" t="str">
        <f t="shared" si="8"/>
        <v>20191102FLST</v>
      </c>
      <c r="B462" s="94">
        <v>2019</v>
      </c>
      <c r="C462" s="94">
        <v>10</v>
      </c>
      <c r="D462" s="94">
        <v>20191102</v>
      </c>
      <c r="E462" s="94" t="s">
        <v>144</v>
      </c>
      <c r="F462" s="94" t="s">
        <v>116</v>
      </c>
      <c r="G462" s="94" t="s">
        <v>146</v>
      </c>
      <c r="H462" s="94">
        <v>41</v>
      </c>
      <c r="I462" s="94">
        <v>31</v>
      </c>
      <c r="J462" s="94">
        <v>28</v>
      </c>
      <c r="K462" s="94">
        <v>172</v>
      </c>
      <c r="L462" s="94">
        <v>7</v>
      </c>
      <c r="M462" s="94">
        <v>23</v>
      </c>
      <c r="N462" s="94">
        <v>1</v>
      </c>
      <c r="O462" s="94">
        <v>10</v>
      </c>
      <c r="P462" s="94" t="s">
        <v>125</v>
      </c>
      <c r="Q462" s="94" t="s">
        <v>146</v>
      </c>
      <c r="R462" s="94">
        <v>24</v>
      </c>
      <c r="S462" s="94">
        <v>40</v>
      </c>
      <c r="T462" s="94">
        <v>37</v>
      </c>
      <c r="U462" s="94">
        <v>313</v>
      </c>
      <c r="V462" s="94">
        <v>44</v>
      </c>
      <c r="W462" s="94">
        <v>13</v>
      </c>
      <c r="X462" s="94">
        <v>2</v>
      </c>
      <c r="Y462" s="94">
        <v>27</v>
      </c>
      <c r="Z462" s="94">
        <v>3</v>
      </c>
    </row>
    <row r="463" spans="1:26">
      <c r="A463" s="94" t="str">
        <f t="shared" si="8"/>
        <v>20191102GTCH</v>
      </c>
      <c r="B463" s="94">
        <v>2019</v>
      </c>
      <c r="C463" s="94">
        <v>10</v>
      </c>
      <c r="D463" s="94">
        <v>20191102</v>
      </c>
      <c r="E463" s="94" t="s">
        <v>144</v>
      </c>
      <c r="F463" s="94" t="s">
        <v>58</v>
      </c>
      <c r="G463" s="94" t="s">
        <v>146</v>
      </c>
      <c r="H463" s="94">
        <v>29</v>
      </c>
      <c r="I463" s="94">
        <v>86</v>
      </c>
      <c r="J463" s="94">
        <v>21</v>
      </c>
      <c r="K463" s="94">
        <v>108</v>
      </c>
      <c r="L463" s="94">
        <v>17</v>
      </c>
      <c r="M463" s="94">
        <v>54</v>
      </c>
      <c r="N463" s="94">
        <v>3</v>
      </c>
      <c r="O463" s="94">
        <v>10</v>
      </c>
      <c r="P463" s="94" t="s">
        <v>88</v>
      </c>
      <c r="Q463" s="94" t="s">
        <v>146</v>
      </c>
      <c r="R463" s="94">
        <v>35</v>
      </c>
      <c r="S463" s="94">
        <v>159</v>
      </c>
      <c r="T463" s="94">
        <v>34</v>
      </c>
      <c r="U463" s="94">
        <v>204</v>
      </c>
      <c r="V463" s="94">
        <v>57</v>
      </c>
      <c r="W463" s="94">
        <v>22</v>
      </c>
      <c r="X463" s="94">
        <v>2</v>
      </c>
      <c r="Y463" s="94">
        <v>20</v>
      </c>
      <c r="Z463" s="94">
        <v>9</v>
      </c>
    </row>
    <row r="464" spans="1:26">
      <c r="A464" s="94" t="str">
        <f t="shared" si="8"/>
        <v>20191102HAW</v>
      </c>
      <c r="B464" s="94">
        <v>2019</v>
      </c>
      <c r="C464" s="94">
        <v>10</v>
      </c>
      <c r="D464" s="94">
        <v>20191102</v>
      </c>
      <c r="E464" s="94" t="s">
        <v>144</v>
      </c>
      <c r="F464" s="94" t="s">
        <v>8</v>
      </c>
      <c r="G464" s="94" t="s">
        <v>148</v>
      </c>
      <c r="H464" s="94">
        <v>31</v>
      </c>
      <c r="I464" s="94">
        <v>209</v>
      </c>
      <c r="J464" s="94">
        <v>51</v>
      </c>
      <c r="K464" s="94">
        <v>346</v>
      </c>
      <c r="L464" s="94">
        <v>116</v>
      </c>
      <c r="M464" s="94">
        <v>11</v>
      </c>
      <c r="N464" s="94">
        <v>2</v>
      </c>
      <c r="O464" s="94">
        <v>38</v>
      </c>
      <c r="P464" s="94" t="s">
        <v>55</v>
      </c>
      <c r="Q464" s="94" t="s">
        <v>148</v>
      </c>
      <c r="R464" s="94">
        <v>40</v>
      </c>
      <c r="S464" s="94">
        <v>290</v>
      </c>
      <c r="T464" s="94">
        <v>28</v>
      </c>
      <c r="U464" s="94">
        <v>224</v>
      </c>
      <c r="V464" s="94">
        <v>55</v>
      </c>
      <c r="W464" s="94">
        <v>0</v>
      </c>
      <c r="X464" s="94">
        <v>1</v>
      </c>
      <c r="Y464" s="94">
        <v>41</v>
      </c>
      <c r="Z464" s="94">
        <v>2.5</v>
      </c>
    </row>
    <row r="465" spans="1:26">
      <c r="A465" s="94" t="str">
        <f t="shared" si="8"/>
        <v>20191102ILL</v>
      </c>
      <c r="B465" s="94">
        <v>2019</v>
      </c>
      <c r="C465" s="94">
        <v>10</v>
      </c>
      <c r="D465" s="94">
        <v>20191102</v>
      </c>
      <c r="E465" s="94" t="s">
        <v>144</v>
      </c>
      <c r="F465" s="94" t="s">
        <v>60</v>
      </c>
      <c r="G465" s="94" t="s">
        <v>152</v>
      </c>
      <c r="H465" s="94">
        <v>44</v>
      </c>
      <c r="I465" s="94">
        <v>204</v>
      </c>
      <c r="J465" s="94">
        <v>11</v>
      </c>
      <c r="K465" s="94">
        <v>120</v>
      </c>
      <c r="L465" s="94">
        <v>33</v>
      </c>
      <c r="M465" s="94">
        <v>17</v>
      </c>
      <c r="N465" s="94">
        <v>3</v>
      </c>
      <c r="O465" s="94">
        <v>38</v>
      </c>
      <c r="P465" s="94" t="s">
        <v>92</v>
      </c>
      <c r="Q465" s="94" t="s">
        <v>152</v>
      </c>
      <c r="R465" s="94">
        <v>51</v>
      </c>
      <c r="S465" s="94">
        <v>185</v>
      </c>
      <c r="T465" s="94">
        <v>10</v>
      </c>
      <c r="U465" s="94">
        <v>86</v>
      </c>
      <c r="V465" s="94">
        <v>2</v>
      </c>
      <c r="W465" s="94">
        <v>7</v>
      </c>
      <c r="X465" s="94">
        <v>0</v>
      </c>
      <c r="Y465" s="94">
        <v>10</v>
      </c>
      <c r="Z465" s="94">
        <v>20.5</v>
      </c>
    </row>
    <row r="466" spans="1:26">
      <c r="A466" s="94" t="str">
        <f t="shared" si="8"/>
        <v>20191102IND</v>
      </c>
      <c r="B466" s="94">
        <v>2019</v>
      </c>
      <c r="C466" s="94">
        <v>10</v>
      </c>
      <c r="D466" s="94">
        <v>20191102</v>
      </c>
      <c r="E466" s="94" t="s">
        <v>144</v>
      </c>
      <c r="F466" s="94" t="s">
        <v>53</v>
      </c>
      <c r="G466" s="94" t="s">
        <v>152</v>
      </c>
      <c r="H466" s="94">
        <v>51</v>
      </c>
      <c r="I466" s="94">
        <v>144</v>
      </c>
      <c r="J466" s="94">
        <v>25</v>
      </c>
      <c r="K466" s="94">
        <v>270</v>
      </c>
      <c r="L466" s="94">
        <v>0</v>
      </c>
      <c r="M466" s="94">
        <v>18</v>
      </c>
      <c r="N466" s="94">
        <v>3</v>
      </c>
      <c r="O466" s="94">
        <v>34</v>
      </c>
      <c r="P466" s="94" t="s">
        <v>18</v>
      </c>
      <c r="Q466" s="94" t="s">
        <v>152</v>
      </c>
      <c r="R466" s="94">
        <v>28</v>
      </c>
      <c r="S466" s="94">
        <v>87</v>
      </c>
      <c r="T466" s="94">
        <v>31</v>
      </c>
      <c r="U466" s="94">
        <v>112</v>
      </c>
      <c r="V466" s="94">
        <v>0</v>
      </c>
      <c r="W466" s="94">
        <v>0</v>
      </c>
      <c r="X466" s="94">
        <v>0</v>
      </c>
      <c r="Y466" s="94">
        <v>3</v>
      </c>
      <c r="Z466" s="94">
        <v>12</v>
      </c>
    </row>
    <row r="467" spans="1:26">
      <c r="A467" s="94" t="str">
        <f t="shared" si="8"/>
        <v>20191102KAN</v>
      </c>
      <c r="B467" s="94">
        <v>2019</v>
      </c>
      <c r="C467" s="94">
        <v>10</v>
      </c>
      <c r="D467" s="94">
        <v>20191102</v>
      </c>
      <c r="E467" s="94" t="s">
        <v>144</v>
      </c>
      <c r="F467" s="94" t="s">
        <v>64</v>
      </c>
      <c r="G467" s="94" t="s">
        <v>209</v>
      </c>
      <c r="H467" s="94">
        <v>25</v>
      </c>
      <c r="I467" s="94">
        <v>61</v>
      </c>
      <c r="J467" s="94">
        <v>26</v>
      </c>
      <c r="K467" s="94">
        <v>180</v>
      </c>
      <c r="L467" s="94">
        <v>0</v>
      </c>
      <c r="M467" s="94">
        <v>62</v>
      </c>
      <c r="N467" s="94">
        <v>0</v>
      </c>
      <c r="O467" s="94">
        <v>10</v>
      </c>
      <c r="P467" s="94" t="s">
        <v>65</v>
      </c>
      <c r="Q467" s="94" t="s">
        <v>209</v>
      </c>
      <c r="R467" s="94">
        <v>60</v>
      </c>
      <c r="S467" s="94">
        <v>342</v>
      </c>
      <c r="T467" s="94">
        <v>16</v>
      </c>
      <c r="U467" s="94">
        <v>129</v>
      </c>
      <c r="V467" s="94">
        <v>10</v>
      </c>
      <c r="W467" s="94">
        <v>20</v>
      </c>
      <c r="X467" s="94">
        <v>2</v>
      </c>
      <c r="Y467" s="94">
        <v>38</v>
      </c>
      <c r="Z467" s="94">
        <v>6</v>
      </c>
    </row>
    <row r="468" spans="1:26">
      <c r="A468" s="94" t="str">
        <f t="shared" si="8"/>
        <v>20191102LLAF</v>
      </c>
      <c r="B468" s="94">
        <v>2019</v>
      </c>
      <c r="C468" s="94">
        <v>10</v>
      </c>
      <c r="D468" s="94">
        <v>20191102</v>
      </c>
      <c r="E468" s="94" t="s">
        <v>144</v>
      </c>
      <c r="F468" s="94" t="s">
        <v>69</v>
      </c>
      <c r="G468" s="94" t="s">
        <v>145</v>
      </c>
      <c r="H468" s="94">
        <v>49</v>
      </c>
      <c r="I468" s="94">
        <v>296</v>
      </c>
      <c r="J468" s="94">
        <v>21</v>
      </c>
      <c r="K468" s="94">
        <v>183</v>
      </c>
      <c r="L468" s="94">
        <v>29</v>
      </c>
      <c r="M468" s="94">
        <v>26</v>
      </c>
      <c r="N468" s="94">
        <v>2</v>
      </c>
      <c r="O468" s="94">
        <v>0</v>
      </c>
      <c r="P468" s="94" t="s">
        <v>93</v>
      </c>
      <c r="Q468" s="94" t="s">
        <v>145</v>
      </c>
      <c r="R468" s="94">
        <v>22</v>
      </c>
      <c r="S468" s="94">
        <v>58</v>
      </c>
      <c r="T468" s="94">
        <v>36</v>
      </c>
      <c r="U468" s="94">
        <v>206</v>
      </c>
      <c r="V468" s="94">
        <v>2</v>
      </c>
      <c r="W468" s="94">
        <v>72</v>
      </c>
      <c r="X468" s="94">
        <v>1</v>
      </c>
      <c r="Y468" s="94">
        <v>0</v>
      </c>
      <c r="Z468" s="94">
        <v>23</v>
      </c>
    </row>
    <row r="469" spans="1:26">
      <c r="A469" s="94" t="str">
        <f t="shared" si="8"/>
        <v>20191102LMON</v>
      </c>
      <c r="B469" s="94">
        <v>2019</v>
      </c>
      <c r="C469" s="94">
        <v>10</v>
      </c>
      <c r="D469" s="94">
        <v>20191102</v>
      </c>
      <c r="E469" s="94" t="s">
        <v>144</v>
      </c>
      <c r="F469" s="94" t="s">
        <v>25</v>
      </c>
      <c r="G469" s="94" t="s">
        <v>145</v>
      </c>
      <c r="H469" s="94">
        <v>38</v>
      </c>
      <c r="I469" s="94">
        <v>233</v>
      </c>
      <c r="J469" s="94">
        <v>37</v>
      </c>
      <c r="K469" s="94">
        <v>215</v>
      </c>
      <c r="L469" s="94">
        <v>0</v>
      </c>
      <c r="M469" s="94">
        <v>45</v>
      </c>
      <c r="N469" s="94">
        <v>2</v>
      </c>
      <c r="O469" s="94">
        <v>41</v>
      </c>
      <c r="P469" s="94" t="s">
        <v>40</v>
      </c>
      <c r="Q469" s="94" t="s">
        <v>145</v>
      </c>
      <c r="R469" s="94">
        <v>43</v>
      </c>
      <c r="S469" s="94">
        <v>218</v>
      </c>
      <c r="T469" s="94">
        <v>28</v>
      </c>
      <c r="U469" s="94">
        <v>307</v>
      </c>
      <c r="V469" s="94">
        <v>27</v>
      </c>
      <c r="W469" s="94">
        <v>12</v>
      </c>
      <c r="X469" s="94">
        <v>1</v>
      </c>
      <c r="Y469" s="94">
        <v>48</v>
      </c>
      <c r="Z469" s="94">
        <v>2</v>
      </c>
    </row>
    <row r="470" spans="1:26">
      <c r="A470" s="94" t="str">
        <f t="shared" si="8"/>
        <v>20191102MARY</v>
      </c>
      <c r="B470" s="94">
        <v>2019</v>
      </c>
      <c r="C470" s="94">
        <v>10</v>
      </c>
      <c r="D470" s="94">
        <v>20191102</v>
      </c>
      <c r="E470" s="94" t="s">
        <v>144</v>
      </c>
      <c r="F470" s="94" t="s">
        <v>121</v>
      </c>
      <c r="G470" s="94" t="s">
        <v>152</v>
      </c>
      <c r="H470" s="94">
        <v>46</v>
      </c>
      <c r="I470" s="94">
        <v>129</v>
      </c>
      <c r="J470" s="94">
        <v>22</v>
      </c>
      <c r="K470" s="94">
        <v>104</v>
      </c>
      <c r="L470" s="94">
        <v>2</v>
      </c>
      <c r="M470" s="94">
        <v>113</v>
      </c>
      <c r="N470" s="94">
        <v>0</v>
      </c>
      <c r="O470" s="94">
        <v>7</v>
      </c>
      <c r="P470" s="94" t="s">
        <v>78</v>
      </c>
      <c r="Q470" s="94" t="s">
        <v>152</v>
      </c>
      <c r="R470" s="94">
        <v>34</v>
      </c>
      <c r="S470" s="94">
        <v>155</v>
      </c>
      <c r="T470" s="94">
        <v>29</v>
      </c>
      <c r="U470" s="94">
        <v>176</v>
      </c>
      <c r="V470" s="94">
        <v>15</v>
      </c>
      <c r="W470" s="94">
        <v>121</v>
      </c>
      <c r="X470" s="94">
        <v>1</v>
      </c>
      <c r="Y470" s="94">
        <v>38</v>
      </c>
      <c r="Z470" s="94">
        <v>21.5</v>
      </c>
    </row>
    <row r="471" spans="1:26">
      <c r="A471" s="94" t="str">
        <f t="shared" si="8"/>
        <v>20191102MEM</v>
      </c>
      <c r="B471" s="94">
        <v>2019</v>
      </c>
      <c r="C471" s="94">
        <v>10</v>
      </c>
      <c r="D471" s="94">
        <v>20191102</v>
      </c>
      <c r="E471" s="94" t="s">
        <v>144</v>
      </c>
      <c r="F471" s="94" t="s">
        <v>70</v>
      </c>
      <c r="G471" s="94" t="s">
        <v>150</v>
      </c>
      <c r="H471" s="94">
        <v>39</v>
      </c>
      <c r="I471" s="94">
        <v>164</v>
      </c>
      <c r="J471" s="94">
        <v>33</v>
      </c>
      <c r="K471" s="94">
        <v>350</v>
      </c>
      <c r="L471" s="94">
        <v>0</v>
      </c>
      <c r="M471" s="94">
        <v>220</v>
      </c>
      <c r="N471" s="94">
        <v>0</v>
      </c>
      <c r="O471" s="94">
        <v>54</v>
      </c>
      <c r="P471" s="94" t="s">
        <v>80</v>
      </c>
      <c r="Q471" s="94" t="s">
        <v>150</v>
      </c>
      <c r="R471" s="94">
        <v>24</v>
      </c>
      <c r="S471" s="94">
        <v>97</v>
      </c>
      <c r="T471" s="94">
        <v>55</v>
      </c>
      <c r="U471" s="94">
        <v>456</v>
      </c>
      <c r="V471" s="94">
        <v>11</v>
      </c>
      <c r="W471" s="94">
        <v>113</v>
      </c>
      <c r="X471" s="94">
        <v>0</v>
      </c>
      <c r="Y471" s="94">
        <v>48</v>
      </c>
      <c r="Z471" s="94">
        <v>5.5</v>
      </c>
    </row>
    <row r="472" spans="1:26">
      <c r="A472" s="94" t="str">
        <f t="shared" si="8"/>
        <v>20191102NCAR</v>
      </c>
      <c r="B472" s="94">
        <v>2019</v>
      </c>
      <c r="C472" s="94">
        <v>10</v>
      </c>
      <c r="D472" s="94">
        <v>20191102</v>
      </c>
      <c r="E472" s="94" t="s">
        <v>144</v>
      </c>
      <c r="F472" s="94" t="s">
        <v>49</v>
      </c>
      <c r="G472" s="94" t="s">
        <v>146</v>
      </c>
      <c r="H472" s="94">
        <v>39</v>
      </c>
      <c r="I472" s="94">
        <v>186</v>
      </c>
      <c r="J472" s="94">
        <v>29</v>
      </c>
      <c r="K472" s="94">
        <v>353</v>
      </c>
      <c r="L472" s="94">
        <v>20</v>
      </c>
      <c r="M472" s="94">
        <v>23</v>
      </c>
      <c r="N472" s="94">
        <v>0</v>
      </c>
      <c r="O472" s="94">
        <v>31</v>
      </c>
      <c r="P472" s="94" t="s">
        <v>113</v>
      </c>
      <c r="Q472" s="94" t="s">
        <v>146</v>
      </c>
      <c r="R472" s="94">
        <v>32</v>
      </c>
      <c r="S472" s="94">
        <v>134</v>
      </c>
      <c r="T472" s="94">
        <v>40</v>
      </c>
      <c r="U472" s="94">
        <v>383</v>
      </c>
      <c r="V472" s="94">
        <v>8</v>
      </c>
      <c r="W472" s="94">
        <v>58</v>
      </c>
      <c r="X472" s="94">
        <v>0</v>
      </c>
      <c r="Y472" s="94">
        <v>38</v>
      </c>
      <c r="Z472" s="94">
        <v>1</v>
      </c>
    </row>
    <row r="473" spans="1:26">
      <c r="A473" s="94" t="str">
        <f t="shared" si="8"/>
        <v>20191102NEV</v>
      </c>
      <c r="B473" s="94">
        <v>2019</v>
      </c>
      <c r="C473" s="94">
        <v>10</v>
      </c>
      <c r="D473" s="94">
        <v>20191102</v>
      </c>
      <c r="E473" s="94" t="s">
        <v>144</v>
      </c>
      <c r="F473" s="94" t="s">
        <v>32</v>
      </c>
      <c r="G473" s="94" t="s">
        <v>148</v>
      </c>
      <c r="H473" s="94">
        <v>34</v>
      </c>
      <c r="I473" s="94">
        <v>64</v>
      </c>
      <c r="J473" s="94">
        <v>40</v>
      </c>
      <c r="K473" s="94">
        <v>305</v>
      </c>
      <c r="L473" s="94">
        <v>24</v>
      </c>
      <c r="M473" s="94">
        <v>27</v>
      </c>
      <c r="N473" s="94">
        <v>0</v>
      </c>
      <c r="O473" s="94">
        <v>21</v>
      </c>
      <c r="P473" s="94" t="s">
        <v>76</v>
      </c>
      <c r="Q473" s="94" t="s">
        <v>148</v>
      </c>
      <c r="R473" s="94">
        <v>29</v>
      </c>
      <c r="S473" s="94">
        <v>109</v>
      </c>
      <c r="T473" s="94">
        <v>36</v>
      </c>
      <c r="U473" s="94">
        <v>237</v>
      </c>
      <c r="V473" s="94">
        <v>11</v>
      </c>
      <c r="W473" s="94">
        <v>0</v>
      </c>
      <c r="X473" s="94">
        <v>0</v>
      </c>
      <c r="Y473" s="94">
        <v>10</v>
      </c>
      <c r="Z473" s="94">
        <v>3.5</v>
      </c>
    </row>
    <row r="474" spans="1:26">
      <c r="A474" s="94" t="str">
        <f t="shared" si="8"/>
        <v>20191102NOTD</v>
      </c>
      <c r="B474" s="94">
        <v>2019</v>
      </c>
      <c r="C474" s="94">
        <v>10</v>
      </c>
      <c r="D474" s="94">
        <v>20191102</v>
      </c>
      <c r="E474" s="94" t="s">
        <v>144</v>
      </c>
      <c r="F474" s="94" t="s">
        <v>77</v>
      </c>
      <c r="G474" s="94" t="s">
        <v>53</v>
      </c>
      <c r="H474" s="94">
        <v>36</v>
      </c>
      <c r="I474" s="94">
        <v>108</v>
      </c>
      <c r="J474" s="94">
        <v>53</v>
      </c>
      <c r="K474" s="94">
        <v>341</v>
      </c>
      <c r="L474" s="94">
        <v>24</v>
      </c>
      <c r="M474" s="94">
        <v>38</v>
      </c>
      <c r="N474" s="94">
        <v>2</v>
      </c>
      <c r="O474" s="94">
        <v>21</v>
      </c>
      <c r="P474" s="94" t="s">
        <v>117</v>
      </c>
      <c r="Q474" s="94" t="s">
        <v>146</v>
      </c>
      <c r="R474" s="94">
        <v>36</v>
      </c>
      <c r="S474" s="94">
        <v>101</v>
      </c>
      <c r="T474" s="94">
        <v>28</v>
      </c>
      <c r="U474" s="94">
        <v>139</v>
      </c>
      <c r="V474" s="94">
        <v>0</v>
      </c>
      <c r="W474" s="94">
        <v>3</v>
      </c>
      <c r="X474" s="94">
        <v>3</v>
      </c>
      <c r="Y474" s="94">
        <v>20</v>
      </c>
      <c r="Z474" s="94">
        <v>17.5</v>
      </c>
    </row>
    <row r="475" spans="1:26">
      <c r="A475" s="94" t="str">
        <f t="shared" si="8"/>
        <v>20191102NTX</v>
      </c>
      <c r="B475" s="94">
        <v>2019</v>
      </c>
      <c r="C475" s="94">
        <v>10</v>
      </c>
      <c r="D475" s="94">
        <v>20191102</v>
      </c>
      <c r="E475" s="94" t="s">
        <v>144</v>
      </c>
      <c r="F475" s="94" t="s">
        <v>79</v>
      </c>
      <c r="G475" s="94" t="s">
        <v>153</v>
      </c>
      <c r="H475" s="94">
        <v>34</v>
      </c>
      <c r="I475" s="94">
        <v>149</v>
      </c>
      <c r="J475" s="94">
        <v>39</v>
      </c>
      <c r="K475" s="94">
        <v>332</v>
      </c>
      <c r="L475" s="94">
        <v>1</v>
      </c>
      <c r="M475" s="94">
        <v>157</v>
      </c>
      <c r="N475" s="94">
        <v>1</v>
      </c>
      <c r="O475" s="94">
        <v>52</v>
      </c>
      <c r="P475" s="94" t="s">
        <v>110</v>
      </c>
      <c r="Q475" s="94" t="s">
        <v>153</v>
      </c>
      <c r="R475" s="94">
        <v>35</v>
      </c>
      <c r="S475" s="94">
        <v>156</v>
      </c>
      <c r="T475" s="94">
        <v>29</v>
      </c>
      <c r="U475" s="94">
        <v>119</v>
      </c>
      <c r="V475" s="94">
        <v>18</v>
      </c>
      <c r="W475" s="94">
        <v>246</v>
      </c>
      <c r="X475" s="94">
        <v>1</v>
      </c>
      <c r="Y475" s="94">
        <v>26</v>
      </c>
      <c r="Z475" s="94">
        <v>23</v>
      </c>
    </row>
    <row r="476" spans="1:26">
      <c r="A476" s="94" t="str">
        <f t="shared" si="8"/>
        <v>20191102OKST</v>
      </c>
      <c r="B476" s="94">
        <v>2019</v>
      </c>
      <c r="C476" s="94">
        <v>10</v>
      </c>
      <c r="D476" s="94">
        <v>20191102</v>
      </c>
      <c r="E476" s="94" t="s">
        <v>144</v>
      </c>
      <c r="F476" s="94" t="s">
        <v>26</v>
      </c>
      <c r="G476" s="94" t="s">
        <v>209</v>
      </c>
      <c r="H476" s="94">
        <v>39</v>
      </c>
      <c r="I476" s="94">
        <v>311</v>
      </c>
      <c r="J476" s="94">
        <v>15</v>
      </c>
      <c r="K476" s="94">
        <v>158</v>
      </c>
      <c r="L476" s="94">
        <v>17</v>
      </c>
      <c r="M476" s="94">
        <v>57</v>
      </c>
      <c r="N476" s="94">
        <v>4</v>
      </c>
      <c r="O476" s="94">
        <v>34</v>
      </c>
      <c r="P476" s="94" t="s">
        <v>100</v>
      </c>
      <c r="Q476" s="94" t="s">
        <v>209</v>
      </c>
      <c r="R476" s="94">
        <v>39</v>
      </c>
      <c r="S476" s="94">
        <v>163</v>
      </c>
      <c r="T476" s="94">
        <v>43</v>
      </c>
      <c r="U476" s="94">
        <v>287</v>
      </c>
      <c r="V476" s="94">
        <v>7</v>
      </c>
      <c r="W476" s="94">
        <v>41</v>
      </c>
      <c r="X476" s="94">
        <v>1</v>
      </c>
      <c r="Y476" s="94">
        <v>27</v>
      </c>
      <c r="Z476" s="94">
        <v>4.5</v>
      </c>
    </row>
    <row r="477" spans="1:26">
      <c r="A477" s="94" t="str">
        <f t="shared" si="8"/>
        <v>20191102PUR</v>
      </c>
      <c r="B477" s="94">
        <v>2019</v>
      </c>
      <c r="C477" s="94">
        <v>10</v>
      </c>
      <c r="D477" s="94">
        <v>20191102</v>
      </c>
      <c r="E477" s="94" t="s">
        <v>144</v>
      </c>
      <c r="F477" s="94" t="s">
        <v>17</v>
      </c>
      <c r="G477" s="94" t="s">
        <v>152</v>
      </c>
      <c r="H477" s="94">
        <v>35</v>
      </c>
      <c r="I477" s="94">
        <v>146</v>
      </c>
      <c r="J477" s="94">
        <v>41</v>
      </c>
      <c r="K477" s="94">
        <v>304</v>
      </c>
      <c r="L477" s="94">
        <v>0</v>
      </c>
      <c r="M477" s="94">
        <v>80</v>
      </c>
      <c r="N477" s="94">
        <v>1</v>
      </c>
      <c r="O477" s="94">
        <v>31</v>
      </c>
      <c r="P477" s="94" t="s">
        <v>127</v>
      </c>
      <c r="Q477" s="94" t="s">
        <v>152</v>
      </c>
      <c r="R477" s="94">
        <v>35</v>
      </c>
      <c r="S477" s="94">
        <v>128</v>
      </c>
      <c r="T477" s="94">
        <v>39</v>
      </c>
      <c r="U477" s="94">
        <v>247</v>
      </c>
      <c r="V477" s="94">
        <v>11</v>
      </c>
      <c r="W477" s="94">
        <v>97</v>
      </c>
      <c r="X477" s="94">
        <v>2</v>
      </c>
      <c r="Y477" s="94">
        <v>27</v>
      </c>
      <c r="Z477" s="94">
        <v>3</v>
      </c>
    </row>
    <row r="478" spans="1:26">
      <c r="A478" s="94" t="str">
        <f t="shared" si="8"/>
        <v>20191102RICE</v>
      </c>
      <c r="B478" s="94">
        <v>2019</v>
      </c>
      <c r="C478" s="94">
        <v>10</v>
      </c>
      <c r="D478" s="94">
        <v>20191102</v>
      </c>
      <c r="E478" s="94" t="s">
        <v>144</v>
      </c>
      <c r="F478" s="94" t="s">
        <v>11</v>
      </c>
      <c r="G478" s="94" t="s">
        <v>153</v>
      </c>
      <c r="H478" s="94">
        <v>31</v>
      </c>
      <c r="I478" s="94">
        <v>128</v>
      </c>
      <c r="J478" s="94">
        <v>26</v>
      </c>
      <c r="K478" s="94">
        <v>103</v>
      </c>
      <c r="L478" s="94">
        <v>4</v>
      </c>
      <c r="M478" s="94">
        <v>15</v>
      </c>
      <c r="N478" s="94">
        <v>0</v>
      </c>
      <c r="O478" s="94">
        <v>7</v>
      </c>
      <c r="P478" s="94" t="s">
        <v>72</v>
      </c>
      <c r="Q478" s="94" t="s">
        <v>153</v>
      </c>
      <c r="R478" s="94">
        <v>43</v>
      </c>
      <c r="S478" s="94">
        <v>122</v>
      </c>
      <c r="T478" s="94">
        <v>22</v>
      </c>
      <c r="U478" s="94">
        <v>269</v>
      </c>
      <c r="V478" s="94">
        <v>8</v>
      </c>
      <c r="W478" s="94">
        <v>8</v>
      </c>
      <c r="X478" s="94">
        <v>0</v>
      </c>
      <c r="Y478" s="94">
        <v>20</v>
      </c>
      <c r="Z478" s="94">
        <v>12</v>
      </c>
    </row>
    <row r="479" spans="1:26">
      <c r="A479" s="94" t="str">
        <f t="shared" si="8"/>
        <v>20191102SCAR</v>
      </c>
      <c r="B479" s="94">
        <v>2019</v>
      </c>
      <c r="C479" s="94">
        <v>10</v>
      </c>
      <c r="D479" s="94">
        <v>20191102</v>
      </c>
      <c r="E479" s="94" t="s">
        <v>144</v>
      </c>
      <c r="F479" s="94" t="s">
        <v>96</v>
      </c>
      <c r="G479" s="94" t="s">
        <v>147</v>
      </c>
      <c r="H479" s="94">
        <v>49</v>
      </c>
      <c r="I479" s="94">
        <v>205</v>
      </c>
      <c r="J479" s="94">
        <v>31</v>
      </c>
      <c r="K479" s="94">
        <v>235</v>
      </c>
      <c r="L479" s="94">
        <v>53</v>
      </c>
      <c r="M479" s="94">
        <v>25</v>
      </c>
      <c r="N479" s="94">
        <v>2</v>
      </c>
      <c r="O479" s="94">
        <v>24</v>
      </c>
      <c r="P479" s="94" t="s">
        <v>111</v>
      </c>
      <c r="Q479" s="94" t="s">
        <v>147</v>
      </c>
      <c r="R479" s="94">
        <v>29</v>
      </c>
      <c r="S479" s="94">
        <v>113</v>
      </c>
      <c r="T479" s="94">
        <v>21</v>
      </c>
      <c r="U479" s="94">
        <v>76</v>
      </c>
      <c r="V479" s="94">
        <v>0</v>
      </c>
      <c r="W479" s="94">
        <v>55</v>
      </c>
      <c r="X479" s="94">
        <v>1</v>
      </c>
      <c r="Y479" s="94">
        <v>7</v>
      </c>
      <c r="Z479" s="94">
        <v>16</v>
      </c>
    </row>
    <row r="480" spans="1:26">
      <c r="A480" s="94" t="str">
        <f t="shared" si="8"/>
        <v>20191102SJST</v>
      </c>
      <c r="B480" s="94">
        <v>2019</v>
      </c>
      <c r="C480" s="94">
        <v>10</v>
      </c>
      <c r="D480" s="94">
        <v>20191102</v>
      </c>
      <c r="E480" s="94" t="s">
        <v>144</v>
      </c>
      <c r="F480" s="94" t="s">
        <v>19</v>
      </c>
      <c r="G480" s="94" t="s">
        <v>148</v>
      </c>
      <c r="H480" s="94">
        <v>23</v>
      </c>
      <c r="I480" s="94">
        <v>59</v>
      </c>
      <c r="J480" s="94">
        <v>53</v>
      </c>
      <c r="K480" s="94">
        <v>438</v>
      </c>
      <c r="L480" s="94">
        <v>83</v>
      </c>
      <c r="M480" s="94">
        <v>0</v>
      </c>
      <c r="N480" s="94">
        <v>1</v>
      </c>
      <c r="O480" s="94">
        <v>42</v>
      </c>
      <c r="P480" s="94" t="s">
        <v>105</v>
      </c>
      <c r="Q480" s="94" t="s">
        <v>148</v>
      </c>
      <c r="R480" s="94">
        <v>51</v>
      </c>
      <c r="S480" s="94">
        <v>253</v>
      </c>
      <c r="T480" s="94">
        <v>17</v>
      </c>
      <c r="U480" s="94">
        <v>213</v>
      </c>
      <c r="V480" s="94">
        <v>70</v>
      </c>
      <c r="W480" s="94">
        <v>71</v>
      </c>
      <c r="X480" s="94">
        <v>1</v>
      </c>
      <c r="Y480" s="94">
        <v>52</v>
      </c>
      <c r="Z480" s="94">
        <v>16.5</v>
      </c>
    </row>
    <row r="481" spans="1:26">
      <c r="A481" s="94" t="str">
        <f t="shared" si="8"/>
        <v>20191102SYR</v>
      </c>
      <c r="B481" s="94">
        <v>2019</v>
      </c>
      <c r="C481" s="94">
        <v>10</v>
      </c>
      <c r="D481" s="94">
        <v>20191102</v>
      </c>
      <c r="E481" s="94" t="s">
        <v>144</v>
      </c>
      <c r="F481" s="94" t="s">
        <v>38</v>
      </c>
      <c r="G481" s="94" t="s">
        <v>146</v>
      </c>
      <c r="H481" s="94">
        <v>42</v>
      </c>
      <c r="I481" s="94">
        <v>159</v>
      </c>
      <c r="J481" s="94">
        <v>36</v>
      </c>
      <c r="K481" s="94">
        <v>289</v>
      </c>
      <c r="L481" s="94">
        <v>5</v>
      </c>
      <c r="M481" s="94">
        <v>35</v>
      </c>
      <c r="N481" s="94">
        <v>2</v>
      </c>
      <c r="O481" s="94">
        <v>27</v>
      </c>
      <c r="P481" s="94" t="s">
        <v>46</v>
      </c>
      <c r="Q481" s="94" t="s">
        <v>146</v>
      </c>
      <c r="R481" s="94">
        <v>65</v>
      </c>
      <c r="S481" s="94">
        <v>496</v>
      </c>
      <c r="T481" s="94">
        <v>10</v>
      </c>
      <c r="U481" s="94">
        <v>195</v>
      </c>
      <c r="V481" s="94">
        <v>3</v>
      </c>
      <c r="W481" s="94">
        <v>17</v>
      </c>
      <c r="X481" s="94">
        <v>1</v>
      </c>
      <c r="Y481" s="94">
        <v>58</v>
      </c>
      <c r="Z481" s="94">
        <v>2.5</v>
      </c>
    </row>
    <row r="482" spans="1:26">
      <c r="A482" s="94" t="str">
        <f t="shared" si="8"/>
        <v>20191102TEN</v>
      </c>
      <c r="B482" s="94">
        <v>2019</v>
      </c>
      <c r="C482" s="94">
        <v>10</v>
      </c>
      <c r="D482" s="94">
        <v>20191102</v>
      </c>
      <c r="E482" s="94" t="s">
        <v>144</v>
      </c>
      <c r="F482" s="94" t="s">
        <v>129</v>
      </c>
      <c r="G482" s="94" t="s">
        <v>147</v>
      </c>
      <c r="H482" s="94">
        <v>39</v>
      </c>
      <c r="I482" s="94">
        <v>121</v>
      </c>
      <c r="J482" s="94">
        <v>27</v>
      </c>
      <c r="K482" s="94">
        <v>181</v>
      </c>
      <c r="L482" s="94">
        <v>10</v>
      </c>
      <c r="M482" s="94">
        <v>0</v>
      </c>
      <c r="N482" s="94">
        <v>4</v>
      </c>
      <c r="O482" s="94">
        <v>30</v>
      </c>
      <c r="P482" s="94" t="s">
        <v>23</v>
      </c>
      <c r="Q482" s="94" t="s">
        <v>153</v>
      </c>
      <c r="R482" s="94">
        <v>25</v>
      </c>
      <c r="S482" s="94">
        <v>63</v>
      </c>
      <c r="T482" s="94">
        <v>30</v>
      </c>
      <c r="U482" s="94">
        <v>174</v>
      </c>
      <c r="V482" s="94">
        <v>0</v>
      </c>
      <c r="W482" s="94">
        <v>23</v>
      </c>
      <c r="X482" s="94">
        <v>1</v>
      </c>
      <c r="Y482" s="94">
        <v>7</v>
      </c>
      <c r="Z482" s="94">
        <v>13</v>
      </c>
    </row>
    <row r="483" spans="1:26">
      <c r="A483" s="94" t="str">
        <f t="shared" si="8"/>
        <v>20191102TLN</v>
      </c>
      <c r="B483" s="94">
        <v>2019</v>
      </c>
      <c r="C483" s="94">
        <v>10</v>
      </c>
      <c r="D483" s="94">
        <v>20191102</v>
      </c>
      <c r="E483" s="94" t="s">
        <v>144</v>
      </c>
      <c r="F483" s="94" t="s">
        <v>20</v>
      </c>
      <c r="G483" s="94" t="s">
        <v>150</v>
      </c>
      <c r="H483" s="94">
        <v>46</v>
      </c>
      <c r="I483" s="94">
        <v>290</v>
      </c>
      <c r="J483" s="94">
        <v>16</v>
      </c>
      <c r="K483" s="94">
        <v>184</v>
      </c>
      <c r="L483" s="94">
        <v>0</v>
      </c>
      <c r="M483" s="94">
        <v>87</v>
      </c>
      <c r="N483" s="94">
        <v>1</v>
      </c>
      <c r="O483" s="94">
        <v>38</v>
      </c>
      <c r="P483" s="94" t="s">
        <v>102</v>
      </c>
      <c r="Q483" s="94" t="s">
        <v>150</v>
      </c>
      <c r="R483" s="94">
        <v>38</v>
      </c>
      <c r="S483" s="94">
        <v>128</v>
      </c>
      <c r="T483" s="94">
        <v>33</v>
      </c>
      <c r="U483" s="94">
        <v>270</v>
      </c>
      <c r="V483" s="94">
        <v>2</v>
      </c>
      <c r="W483" s="94">
        <v>12</v>
      </c>
      <c r="X483" s="94">
        <v>2</v>
      </c>
      <c r="Y483" s="94">
        <v>26</v>
      </c>
      <c r="Z483" s="94">
        <v>10</v>
      </c>
    </row>
    <row r="484" spans="1:26">
      <c r="A484" s="94" t="str">
        <f t="shared" si="8"/>
        <v>20191102UCLA</v>
      </c>
      <c r="B484" s="94">
        <v>2019</v>
      </c>
      <c r="C484" s="94">
        <v>10</v>
      </c>
      <c r="D484" s="94">
        <v>20191102</v>
      </c>
      <c r="E484" s="94" t="s">
        <v>144</v>
      </c>
      <c r="F484" s="94" t="s">
        <v>106</v>
      </c>
      <c r="G484" s="94" t="s">
        <v>151</v>
      </c>
      <c r="H484" s="94">
        <v>44</v>
      </c>
      <c r="I484" s="94">
        <v>207</v>
      </c>
      <c r="J484" s="94">
        <v>28</v>
      </c>
      <c r="K484" s="94">
        <v>226</v>
      </c>
      <c r="L484" s="94">
        <v>0</v>
      </c>
      <c r="M484" s="94">
        <v>0</v>
      </c>
      <c r="N484" s="94">
        <v>1</v>
      </c>
      <c r="O484" s="94">
        <v>31</v>
      </c>
      <c r="P484" s="94" t="s">
        <v>128</v>
      </c>
      <c r="Q484" s="94" t="s">
        <v>151</v>
      </c>
      <c r="R484" s="94">
        <v>27</v>
      </c>
      <c r="S484" s="94">
        <v>88</v>
      </c>
      <c r="T484" s="94">
        <v>38</v>
      </c>
      <c r="U484" s="94">
        <v>195</v>
      </c>
      <c r="V484" s="94">
        <v>0</v>
      </c>
      <c r="W484" s="94">
        <v>0</v>
      </c>
      <c r="X484" s="94">
        <v>1</v>
      </c>
      <c r="Y484" s="94">
        <v>14</v>
      </c>
      <c r="Z484" s="94">
        <v>6.5</v>
      </c>
    </row>
    <row r="485" spans="1:26">
      <c r="A485" s="94" t="str">
        <f t="shared" si="8"/>
        <v>20191102USC</v>
      </c>
      <c r="B485" s="94">
        <v>2019</v>
      </c>
      <c r="C485" s="94">
        <v>10</v>
      </c>
      <c r="D485" s="94">
        <v>20191102</v>
      </c>
      <c r="E485" s="94" t="s">
        <v>144</v>
      </c>
      <c r="F485" s="94" t="s">
        <v>108</v>
      </c>
      <c r="G485" s="94" t="s">
        <v>151</v>
      </c>
      <c r="H485" s="94">
        <v>25</v>
      </c>
      <c r="I485" s="94">
        <v>91</v>
      </c>
      <c r="J485" s="94">
        <v>57</v>
      </c>
      <c r="K485" s="94">
        <v>264</v>
      </c>
      <c r="L485" s="94">
        <v>5</v>
      </c>
      <c r="M485" s="94">
        <v>87</v>
      </c>
      <c r="N485" s="94">
        <v>1</v>
      </c>
      <c r="O485" s="94">
        <v>24</v>
      </c>
      <c r="P485" s="94" t="s">
        <v>86</v>
      </c>
      <c r="Q485" s="94" t="s">
        <v>151</v>
      </c>
      <c r="R485" s="94">
        <v>34</v>
      </c>
      <c r="S485" s="94">
        <v>139</v>
      </c>
      <c r="T485" s="94">
        <v>29</v>
      </c>
      <c r="U485" s="94">
        <v>266</v>
      </c>
      <c r="V485" s="94">
        <v>0</v>
      </c>
      <c r="W485" s="94">
        <v>144</v>
      </c>
      <c r="X485" s="94">
        <v>4</v>
      </c>
      <c r="Y485" s="94">
        <v>56</v>
      </c>
      <c r="Z485" s="94">
        <v>6</v>
      </c>
    </row>
    <row r="486" spans="1:26">
      <c r="A486" s="94" t="str">
        <f t="shared" si="8"/>
        <v>20191102UTST</v>
      </c>
      <c r="B486" s="94">
        <v>2019</v>
      </c>
      <c r="C486" s="94">
        <v>10</v>
      </c>
      <c r="D486" s="94">
        <v>20191102</v>
      </c>
      <c r="E486" s="94" t="s">
        <v>144</v>
      </c>
      <c r="F486" s="94" t="s">
        <v>31</v>
      </c>
      <c r="G486" s="94" t="s">
        <v>148</v>
      </c>
      <c r="H486" s="94">
        <v>33</v>
      </c>
      <c r="I486" s="94">
        <v>127</v>
      </c>
      <c r="J486" s="94">
        <v>49</v>
      </c>
      <c r="K486" s="94">
        <v>394</v>
      </c>
      <c r="L486" s="94">
        <v>0</v>
      </c>
      <c r="M486" s="94">
        <v>49</v>
      </c>
      <c r="N486" s="94">
        <v>3</v>
      </c>
      <c r="O486" s="94">
        <v>14</v>
      </c>
      <c r="P486" s="94" t="s">
        <v>43</v>
      </c>
      <c r="Q486" s="94" t="s">
        <v>53</v>
      </c>
      <c r="R486" s="94">
        <v>40</v>
      </c>
      <c r="S486" s="94">
        <v>225</v>
      </c>
      <c r="T486" s="94">
        <v>33</v>
      </c>
      <c r="U486" s="94">
        <v>418</v>
      </c>
      <c r="V486" s="94">
        <v>1</v>
      </c>
      <c r="W486" s="94">
        <v>0</v>
      </c>
      <c r="X486" s="94">
        <v>5</v>
      </c>
      <c r="Y486" s="94">
        <v>42</v>
      </c>
      <c r="Z486" s="94">
        <v>3</v>
      </c>
    </row>
    <row r="487" spans="1:26">
      <c r="A487" s="94" t="str">
        <f t="shared" si="8"/>
        <v>20191102WAKE</v>
      </c>
      <c r="B487" s="94">
        <v>2019</v>
      </c>
      <c r="C487" s="94">
        <v>10</v>
      </c>
      <c r="D487" s="94">
        <v>20191102</v>
      </c>
      <c r="E487" s="94" t="s">
        <v>144</v>
      </c>
      <c r="F487" s="94" t="s">
        <v>21</v>
      </c>
      <c r="G487" s="94" t="s">
        <v>146</v>
      </c>
      <c r="H487" s="94">
        <v>46</v>
      </c>
      <c r="I487" s="94">
        <v>123</v>
      </c>
      <c r="J487" s="94">
        <v>42</v>
      </c>
      <c r="K487" s="94">
        <v>295</v>
      </c>
      <c r="L487" s="94">
        <v>28</v>
      </c>
      <c r="M487" s="94">
        <v>15</v>
      </c>
      <c r="N487" s="94">
        <v>3</v>
      </c>
      <c r="O487" s="94">
        <v>44</v>
      </c>
      <c r="P487" s="94" t="s">
        <v>75</v>
      </c>
      <c r="Q487" s="94" t="s">
        <v>146</v>
      </c>
      <c r="R487" s="94">
        <v>26</v>
      </c>
      <c r="S487" s="94">
        <v>116</v>
      </c>
      <c r="T487" s="94">
        <v>45</v>
      </c>
      <c r="U487" s="94">
        <v>149</v>
      </c>
      <c r="V487" s="94">
        <v>11</v>
      </c>
      <c r="W487" s="94">
        <v>31</v>
      </c>
      <c r="X487" s="94">
        <v>0</v>
      </c>
      <c r="Y487" s="94">
        <v>10</v>
      </c>
      <c r="Z487" s="94">
        <v>8.5</v>
      </c>
    </row>
    <row r="488" spans="1:26">
      <c r="A488" s="94" t="str">
        <f t="shared" si="8"/>
        <v>20191102WAS</v>
      </c>
      <c r="B488" s="94">
        <v>2019</v>
      </c>
      <c r="C488" s="94">
        <v>10</v>
      </c>
      <c r="D488" s="94">
        <v>20191102</v>
      </c>
      <c r="E488" s="94" t="s">
        <v>144</v>
      </c>
      <c r="F488" s="94" t="s">
        <v>132</v>
      </c>
      <c r="G488" s="94" t="s">
        <v>151</v>
      </c>
      <c r="H488" s="94">
        <v>22</v>
      </c>
      <c r="I488" s="94">
        <v>53</v>
      </c>
      <c r="J488" s="94">
        <v>52</v>
      </c>
      <c r="K488" s="94">
        <v>316</v>
      </c>
      <c r="L488" s="94">
        <v>2</v>
      </c>
      <c r="M488" s="94">
        <v>38</v>
      </c>
      <c r="N488" s="94">
        <v>2</v>
      </c>
      <c r="O488" s="94">
        <v>28</v>
      </c>
      <c r="P488" s="94" t="s">
        <v>24</v>
      </c>
      <c r="Q488" s="94" t="s">
        <v>151</v>
      </c>
      <c r="R488" s="94">
        <v>44</v>
      </c>
      <c r="S488" s="94">
        <v>115</v>
      </c>
      <c r="T488" s="94">
        <v>24</v>
      </c>
      <c r="U488" s="94">
        <v>284</v>
      </c>
      <c r="V488" s="94">
        <v>0</v>
      </c>
      <c r="W488" s="94">
        <v>17</v>
      </c>
      <c r="X488" s="94">
        <v>3</v>
      </c>
      <c r="Y488" s="94">
        <v>33</v>
      </c>
      <c r="Z488" s="94">
        <v>3.5</v>
      </c>
    </row>
    <row r="489" spans="1:26">
      <c r="A489" s="94" t="str">
        <f t="shared" si="8"/>
        <v>20191102WKY</v>
      </c>
      <c r="B489" s="94">
        <v>2019</v>
      </c>
      <c r="C489" s="94">
        <v>10</v>
      </c>
      <c r="D489" s="94">
        <v>20191102</v>
      </c>
      <c r="E489" s="94" t="s">
        <v>144</v>
      </c>
      <c r="F489" s="94" t="s">
        <v>36</v>
      </c>
      <c r="G489" s="94" t="s">
        <v>153</v>
      </c>
      <c r="H489" s="94">
        <v>26</v>
      </c>
      <c r="I489" s="94">
        <v>64</v>
      </c>
      <c r="J489" s="94">
        <v>47</v>
      </c>
      <c r="K489" s="94">
        <v>380</v>
      </c>
      <c r="L489" s="94">
        <v>0</v>
      </c>
      <c r="M489" s="94">
        <v>86</v>
      </c>
      <c r="N489" s="94">
        <v>0</v>
      </c>
      <c r="O489" s="94">
        <v>24</v>
      </c>
      <c r="P489" s="94" t="s">
        <v>85</v>
      </c>
      <c r="Q489" s="94" t="s">
        <v>153</v>
      </c>
      <c r="R489" s="94">
        <v>37</v>
      </c>
      <c r="S489" s="94">
        <v>189</v>
      </c>
      <c r="T489" s="94">
        <v>31</v>
      </c>
      <c r="U489" s="94">
        <v>259</v>
      </c>
      <c r="V489" s="94">
        <v>21</v>
      </c>
      <c r="W489" s="94">
        <v>81</v>
      </c>
      <c r="X489" s="94">
        <v>4</v>
      </c>
      <c r="Y489" s="94">
        <v>35</v>
      </c>
      <c r="Z489" s="94">
        <v>1</v>
      </c>
    </row>
    <row r="490" spans="1:26">
      <c r="A490" s="94" t="str">
        <f t="shared" si="8"/>
        <v>20191102UTSA</v>
      </c>
      <c r="B490" s="94">
        <v>2019</v>
      </c>
      <c r="C490" s="94">
        <v>10</v>
      </c>
      <c r="D490" s="94">
        <v>20191102</v>
      </c>
      <c r="E490" s="94" t="s">
        <v>211</v>
      </c>
      <c r="F490" s="94" t="s">
        <v>206</v>
      </c>
      <c r="G490" s="94" t="s">
        <v>153</v>
      </c>
      <c r="H490" s="94">
        <v>36</v>
      </c>
      <c r="I490" s="94">
        <v>93</v>
      </c>
      <c r="J490" s="94">
        <v>25</v>
      </c>
      <c r="K490" s="94">
        <v>138</v>
      </c>
      <c r="L490" s="94">
        <v>3</v>
      </c>
      <c r="M490" s="94">
        <v>77</v>
      </c>
      <c r="N490" s="94">
        <v>1</v>
      </c>
      <c r="O490" s="94">
        <v>14</v>
      </c>
      <c r="P490" s="94" t="s">
        <v>22</v>
      </c>
      <c r="Q490" s="94" t="s">
        <v>147</v>
      </c>
      <c r="R490" s="94">
        <v>40</v>
      </c>
      <c r="S490" s="94">
        <v>267</v>
      </c>
      <c r="T490" s="94">
        <v>28</v>
      </c>
      <c r="U490" s="94">
        <v>238</v>
      </c>
      <c r="V490" s="94">
        <v>25</v>
      </c>
      <c r="W490" s="94">
        <v>65</v>
      </c>
      <c r="X490" s="94">
        <v>1</v>
      </c>
      <c r="Y490" s="94">
        <v>45</v>
      </c>
      <c r="Z490" s="94">
        <v>38</v>
      </c>
    </row>
    <row r="491" spans="1:26">
      <c r="A491" s="94" t="str">
        <f t="shared" si="8"/>
        <v>20191102LIB</v>
      </c>
      <c r="B491" s="94">
        <v>2019</v>
      </c>
      <c r="C491" s="94">
        <v>10</v>
      </c>
      <c r="D491" s="94">
        <v>20191102</v>
      </c>
      <c r="E491" s="94" t="s">
        <v>211</v>
      </c>
      <c r="F491" s="94" t="s">
        <v>205</v>
      </c>
      <c r="G491" s="94" t="s">
        <v>53</v>
      </c>
      <c r="H491" s="94">
        <v>45</v>
      </c>
      <c r="I491" s="94">
        <v>242</v>
      </c>
      <c r="J491" s="94">
        <v>32</v>
      </c>
      <c r="K491" s="94">
        <v>488</v>
      </c>
      <c r="L491" s="94">
        <v>13</v>
      </c>
      <c r="M491" s="94">
        <v>61</v>
      </c>
      <c r="N491" s="94">
        <v>0</v>
      </c>
      <c r="O491" s="94">
        <v>63</v>
      </c>
      <c r="P491" s="94" t="s">
        <v>207</v>
      </c>
      <c r="Q491" s="94" t="s">
        <v>53</v>
      </c>
      <c r="R491" s="94">
        <v>37</v>
      </c>
      <c r="S491" s="94">
        <v>106</v>
      </c>
      <c r="T491" s="94">
        <v>27</v>
      </c>
      <c r="U491" s="94">
        <v>134</v>
      </c>
      <c r="V491" s="94">
        <v>19</v>
      </c>
      <c r="W491" s="94">
        <v>94</v>
      </c>
      <c r="X491" s="94">
        <v>3</v>
      </c>
      <c r="Y491" s="94">
        <v>21</v>
      </c>
      <c r="Z491" s="94">
        <v>23.5</v>
      </c>
    </row>
    <row r="492" spans="1:26">
      <c r="A492" s="94" t="str">
        <f t="shared" si="8"/>
        <v>20191102MAS</v>
      </c>
      <c r="B492" s="94">
        <v>2019</v>
      </c>
      <c r="C492" s="94">
        <v>10</v>
      </c>
      <c r="D492" s="94">
        <v>20191102</v>
      </c>
      <c r="E492" s="94" t="s">
        <v>144</v>
      </c>
      <c r="F492" s="94" t="s">
        <v>207</v>
      </c>
      <c r="G492" s="94" t="s">
        <v>53</v>
      </c>
      <c r="H492" s="94">
        <v>37</v>
      </c>
      <c r="I492" s="94">
        <v>106</v>
      </c>
      <c r="J492" s="94">
        <v>27</v>
      </c>
      <c r="K492" s="94">
        <v>134</v>
      </c>
      <c r="L492" s="94">
        <v>19</v>
      </c>
      <c r="M492" s="94">
        <v>94</v>
      </c>
      <c r="N492" s="94">
        <v>3</v>
      </c>
      <c r="O492" s="94">
        <v>21</v>
      </c>
      <c r="P492" s="94" t="s">
        <v>205</v>
      </c>
      <c r="Q492" s="94" t="s">
        <v>53</v>
      </c>
      <c r="R492" s="94">
        <v>45</v>
      </c>
      <c r="S492" s="94">
        <v>242</v>
      </c>
      <c r="T492" s="94">
        <v>32</v>
      </c>
      <c r="U492" s="94">
        <v>488</v>
      </c>
      <c r="V492" s="94">
        <v>13</v>
      </c>
      <c r="W492" s="94">
        <v>61</v>
      </c>
      <c r="X492" s="94">
        <v>0</v>
      </c>
      <c r="Y492" s="94">
        <v>63</v>
      </c>
      <c r="Z492" s="94">
        <v>23.5</v>
      </c>
    </row>
    <row r="493" spans="1:26">
      <c r="A493" s="94" t="str">
        <f t="shared" si="8"/>
        <v>20191106OHU</v>
      </c>
      <c r="B493" s="3">
        <v>2019</v>
      </c>
      <c r="C493" s="3">
        <v>11</v>
      </c>
      <c r="D493" s="3">
        <v>20191106</v>
      </c>
      <c r="E493" s="3" t="s">
        <v>144</v>
      </c>
      <c r="F493" s="3" t="s">
        <v>83</v>
      </c>
      <c r="G493" s="3" t="s">
        <v>149</v>
      </c>
      <c r="H493" s="3">
        <v>46</v>
      </c>
      <c r="I493" s="3">
        <v>241</v>
      </c>
      <c r="J493" s="3">
        <v>27</v>
      </c>
      <c r="K493" s="3">
        <v>133</v>
      </c>
      <c r="L493" s="3">
        <v>0</v>
      </c>
      <c r="M493" s="3">
        <v>0</v>
      </c>
      <c r="N493" s="3">
        <v>0</v>
      </c>
      <c r="O493" s="3">
        <v>21</v>
      </c>
      <c r="P493" s="3" t="s">
        <v>71</v>
      </c>
      <c r="Q493" s="3" t="s">
        <v>149</v>
      </c>
      <c r="R493" s="3">
        <v>28</v>
      </c>
      <c r="S493" s="3">
        <v>130</v>
      </c>
      <c r="T493" s="3">
        <v>18</v>
      </c>
      <c r="U493" s="3">
        <v>149</v>
      </c>
      <c r="V493" s="3">
        <v>30</v>
      </c>
      <c r="W493" s="3">
        <v>17</v>
      </c>
      <c r="X493" s="3">
        <v>2</v>
      </c>
      <c r="Y493" s="3">
        <v>24</v>
      </c>
      <c r="Z493" s="3">
        <v>7</v>
      </c>
    </row>
    <row r="494" spans="1:26">
      <c r="A494" s="94" t="str">
        <f t="shared" si="8"/>
        <v>20191107CSTC</v>
      </c>
      <c r="B494" s="3">
        <v>2019</v>
      </c>
      <c r="C494" s="3">
        <v>11</v>
      </c>
      <c r="D494" s="3">
        <v>20191107</v>
      </c>
      <c r="E494" s="3" t="s">
        <v>144</v>
      </c>
      <c r="F494" s="3" t="s">
        <v>97</v>
      </c>
      <c r="G494" s="3" t="s">
        <v>145</v>
      </c>
      <c r="H494" s="3">
        <v>32</v>
      </c>
      <c r="I494" s="3">
        <v>103</v>
      </c>
      <c r="J494" s="3">
        <v>23</v>
      </c>
      <c r="K494" s="3">
        <v>133</v>
      </c>
      <c r="L494" s="3">
        <v>0</v>
      </c>
      <c r="M494" s="3">
        <v>12</v>
      </c>
      <c r="N494" s="3">
        <v>0</v>
      </c>
      <c r="O494" s="3">
        <v>7</v>
      </c>
      <c r="P494" s="3" t="s">
        <v>69</v>
      </c>
      <c r="Q494" s="3" t="s">
        <v>145</v>
      </c>
      <c r="R494" s="3">
        <v>36</v>
      </c>
      <c r="S494" s="3">
        <v>225</v>
      </c>
      <c r="T494" s="3">
        <v>37</v>
      </c>
      <c r="U494" s="3">
        <v>339</v>
      </c>
      <c r="V494" s="3">
        <v>0</v>
      </c>
      <c r="W494" s="3">
        <v>33</v>
      </c>
      <c r="X494" s="3">
        <v>1</v>
      </c>
      <c r="Y494" s="3">
        <v>48</v>
      </c>
      <c r="Z494" s="3">
        <v>14</v>
      </c>
    </row>
    <row r="495" spans="1:26">
      <c r="A495" s="94" t="str">
        <f t="shared" si="8"/>
        <v>20191107SFL</v>
      </c>
      <c r="B495" s="3">
        <v>2019</v>
      </c>
      <c r="C495" s="3">
        <v>11</v>
      </c>
      <c r="D495" s="3">
        <v>20191107</v>
      </c>
      <c r="E495" s="3" t="s">
        <v>144</v>
      </c>
      <c r="F495" s="3" t="s">
        <v>98</v>
      </c>
      <c r="G495" s="3" t="s">
        <v>150</v>
      </c>
      <c r="H495" s="3">
        <v>37</v>
      </c>
      <c r="I495" s="3">
        <v>61</v>
      </c>
      <c r="J495" s="3">
        <v>38</v>
      </c>
      <c r="K495" s="3">
        <v>225</v>
      </c>
      <c r="L495" s="3">
        <v>0</v>
      </c>
      <c r="M495" s="3">
        <v>12</v>
      </c>
      <c r="N495" s="3">
        <v>1</v>
      </c>
      <c r="O495" s="3">
        <v>7</v>
      </c>
      <c r="P495" s="3" t="s">
        <v>101</v>
      </c>
      <c r="Q495" s="3" t="s">
        <v>150</v>
      </c>
      <c r="R495" s="3">
        <v>39</v>
      </c>
      <c r="S495" s="3">
        <v>153</v>
      </c>
      <c r="T495" s="3">
        <v>23</v>
      </c>
      <c r="U495" s="3">
        <v>167</v>
      </c>
      <c r="V495" s="3">
        <v>1</v>
      </c>
      <c r="W495" s="3">
        <v>23</v>
      </c>
      <c r="X495" s="3">
        <v>2</v>
      </c>
      <c r="Y495" s="3">
        <v>17</v>
      </c>
      <c r="Z495" s="3">
        <v>2</v>
      </c>
    </row>
    <row r="496" spans="1:26">
      <c r="A496" s="94" t="str">
        <f t="shared" si="8"/>
        <v>20191108ORST</v>
      </c>
      <c r="B496" s="3">
        <v>2019</v>
      </c>
      <c r="C496" s="3">
        <v>11</v>
      </c>
      <c r="D496" s="3">
        <v>20191108</v>
      </c>
      <c r="E496" s="3" t="s">
        <v>144</v>
      </c>
      <c r="F496" s="3" t="s">
        <v>82</v>
      </c>
      <c r="G496" s="3" t="s">
        <v>151</v>
      </c>
      <c r="H496" s="3">
        <v>22</v>
      </c>
      <c r="I496" s="3">
        <v>31</v>
      </c>
      <c r="J496" s="3">
        <v>28</v>
      </c>
      <c r="K496" s="3">
        <v>88</v>
      </c>
      <c r="L496" s="3">
        <v>0</v>
      </c>
      <c r="M496" s="3">
        <v>43</v>
      </c>
      <c r="N496" s="3">
        <v>2</v>
      </c>
      <c r="O496" s="3">
        <v>7</v>
      </c>
      <c r="P496" s="3" t="s">
        <v>132</v>
      </c>
      <c r="Q496" s="3" t="s">
        <v>151</v>
      </c>
      <c r="R496" s="3">
        <v>48</v>
      </c>
      <c r="S496" s="3">
        <v>245</v>
      </c>
      <c r="T496" s="3">
        <v>33</v>
      </c>
      <c r="U496" s="3">
        <v>175</v>
      </c>
      <c r="V496" s="3">
        <v>30</v>
      </c>
      <c r="W496" s="3">
        <v>35</v>
      </c>
      <c r="X496" s="3">
        <v>1</v>
      </c>
      <c r="Y496" s="3">
        <v>19</v>
      </c>
      <c r="Z496" s="3">
        <v>11</v>
      </c>
    </row>
    <row r="497" spans="1:26">
      <c r="A497" s="94" t="str">
        <f t="shared" si="8"/>
        <v>20191108TLS</v>
      </c>
      <c r="B497" s="3">
        <v>2019</v>
      </c>
      <c r="C497" s="3">
        <v>11</v>
      </c>
      <c r="D497" s="3">
        <v>20191108</v>
      </c>
      <c r="E497" s="3" t="s">
        <v>144</v>
      </c>
      <c r="F497" s="3" t="s">
        <v>102</v>
      </c>
      <c r="G497" s="3" t="s">
        <v>150</v>
      </c>
      <c r="H497" s="3">
        <v>55</v>
      </c>
      <c r="I497" s="3">
        <v>139</v>
      </c>
      <c r="J497" s="3">
        <v>24</v>
      </c>
      <c r="K497" s="3">
        <v>214</v>
      </c>
      <c r="L497" s="3">
        <v>3</v>
      </c>
      <c r="M497" s="3">
        <v>20</v>
      </c>
      <c r="N497" s="3">
        <v>3</v>
      </c>
      <c r="O497" s="3">
        <v>34</v>
      </c>
      <c r="P497" s="3" t="s">
        <v>14</v>
      </c>
      <c r="Q497" s="3" t="s">
        <v>150</v>
      </c>
      <c r="R497" s="3">
        <v>46</v>
      </c>
      <c r="S497" s="3">
        <v>167</v>
      </c>
      <c r="T497" s="3">
        <v>38</v>
      </c>
      <c r="U497" s="3">
        <v>290</v>
      </c>
      <c r="V497" s="3">
        <v>0</v>
      </c>
      <c r="W497" s="3">
        <v>68</v>
      </c>
      <c r="X497" s="3">
        <v>0</v>
      </c>
      <c r="Y497" s="3">
        <v>31</v>
      </c>
      <c r="Z497" s="3">
        <v>16</v>
      </c>
    </row>
    <row r="498" spans="1:26">
      <c r="A498" s="94" t="str">
        <f t="shared" si="8"/>
        <v>20191109ALA</v>
      </c>
      <c r="B498" s="3">
        <v>2019</v>
      </c>
      <c r="C498" s="3">
        <v>11</v>
      </c>
      <c r="D498" s="3">
        <v>20191109</v>
      </c>
      <c r="E498" s="3" t="s">
        <v>144</v>
      </c>
      <c r="F498" s="3" t="s">
        <v>119</v>
      </c>
      <c r="G498" s="3" t="s">
        <v>147</v>
      </c>
      <c r="H498" s="3">
        <v>28</v>
      </c>
      <c r="I498" s="3">
        <v>123</v>
      </c>
      <c r="J498" s="3">
        <v>40</v>
      </c>
      <c r="K498" s="3">
        <v>418</v>
      </c>
      <c r="L498" s="3">
        <v>77</v>
      </c>
      <c r="M498" s="3">
        <v>91</v>
      </c>
      <c r="N498" s="3">
        <v>1</v>
      </c>
      <c r="O498" s="3">
        <v>41</v>
      </c>
      <c r="P498" s="3" t="s">
        <v>124</v>
      </c>
      <c r="Q498" s="3" t="s">
        <v>147</v>
      </c>
      <c r="R498" s="3">
        <v>40</v>
      </c>
      <c r="S498" s="3">
        <v>166</v>
      </c>
      <c r="T498" s="3">
        <v>39</v>
      </c>
      <c r="U498" s="3">
        <v>393</v>
      </c>
      <c r="V498" s="3">
        <v>19</v>
      </c>
      <c r="W498" s="3">
        <v>20</v>
      </c>
      <c r="X498" s="3">
        <v>2</v>
      </c>
      <c r="Y498" s="3">
        <v>46</v>
      </c>
      <c r="Z498" s="3">
        <v>5.5</v>
      </c>
    </row>
    <row r="499" spans="1:26">
      <c r="A499" s="94" t="str">
        <f t="shared" si="8"/>
        <v>20191109ARK</v>
      </c>
      <c r="B499" s="3">
        <v>2019</v>
      </c>
      <c r="C499" s="3">
        <v>11</v>
      </c>
      <c r="D499" s="3">
        <v>20191109</v>
      </c>
      <c r="E499" s="3" t="s">
        <v>144</v>
      </c>
      <c r="F499" s="3" t="s">
        <v>41</v>
      </c>
      <c r="G499" s="3" t="s">
        <v>147</v>
      </c>
      <c r="H499" s="3">
        <v>28</v>
      </c>
      <c r="I499" s="3">
        <v>253</v>
      </c>
      <c r="J499" s="3">
        <v>26</v>
      </c>
      <c r="K499" s="3">
        <v>87</v>
      </c>
      <c r="L499" s="3">
        <v>18</v>
      </c>
      <c r="M499" s="3">
        <v>101</v>
      </c>
      <c r="N499" s="3">
        <v>1</v>
      </c>
      <c r="O499" s="3">
        <v>19</v>
      </c>
      <c r="P499" s="3" t="s">
        <v>36</v>
      </c>
      <c r="Q499" s="3" t="s">
        <v>153</v>
      </c>
      <c r="R499" s="3">
        <v>47</v>
      </c>
      <c r="S499" s="3">
        <v>265</v>
      </c>
      <c r="T499" s="3">
        <v>32</v>
      </c>
      <c r="U499" s="3">
        <v>213</v>
      </c>
      <c r="V499" s="3">
        <v>0</v>
      </c>
      <c r="W499" s="3">
        <v>12</v>
      </c>
      <c r="X499" s="3">
        <v>2</v>
      </c>
      <c r="Y499" s="3">
        <v>45</v>
      </c>
      <c r="Z499" s="3">
        <v>1</v>
      </c>
    </row>
    <row r="500" spans="1:26">
      <c r="A500" s="94" t="str">
        <f t="shared" si="8"/>
        <v>20191109AZST</v>
      </c>
      <c r="B500" s="3">
        <v>2019</v>
      </c>
      <c r="C500" s="3">
        <v>11</v>
      </c>
      <c r="D500" s="3">
        <v>20191109</v>
      </c>
      <c r="E500" s="3" t="s">
        <v>144</v>
      </c>
      <c r="F500" s="3" t="s">
        <v>44</v>
      </c>
      <c r="G500" s="3" t="s">
        <v>151</v>
      </c>
      <c r="H500" s="3">
        <v>21</v>
      </c>
      <c r="I500" s="3">
        <v>47</v>
      </c>
      <c r="J500" s="3">
        <v>44</v>
      </c>
      <c r="K500" s="3">
        <v>292</v>
      </c>
      <c r="L500" s="3">
        <v>0</v>
      </c>
      <c r="M500" s="3">
        <v>192</v>
      </c>
      <c r="N500" s="3">
        <v>2</v>
      </c>
      <c r="O500" s="3">
        <v>26</v>
      </c>
      <c r="P500" s="3" t="s">
        <v>108</v>
      </c>
      <c r="Q500" s="3" t="s">
        <v>151</v>
      </c>
      <c r="R500" s="3">
        <v>27</v>
      </c>
      <c r="S500" s="3">
        <v>74</v>
      </c>
      <c r="T500" s="3">
        <v>45</v>
      </c>
      <c r="U500" s="3">
        <v>477</v>
      </c>
      <c r="V500" s="3">
        <v>26</v>
      </c>
      <c r="W500" s="3">
        <v>0</v>
      </c>
      <c r="X500" s="3">
        <v>3</v>
      </c>
      <c r="Y500" s="3">
        <v>31</v>
      </c>
      <c r="Z500" s="3">
        <v>1</v>
      </c>
    </row>
    <row r="501" spans="1:26">
      <c r="A501" s="94" t="str">
        <f t="shared" si="8"/>
        <v>20191109BCOL</v>
      </c>
      <c r="B501" s="3">
        <v>2019</v>
      </c>
      <c r="C501" s="3">
        <v>11</v>
      </c>
      <c r="D501" s="3">
        <v>20191109</v>
      </c>
      <c r="E501" s="3" t="s">
        <v>144</v>
      </c>
      <c r="F501" s="3" t="s">
        <v>46</v>
      </c>
      <c r="G501" s="3" t="s">
        <v>146</v>
      </c>
      <c r="H501" s="3">
        <v>64</v>
      </c>
      <c r="I501" s="3">
        <v>281</v>
      </c>
      <c r="J501" s="3">
        <v>29</v>
      </c>
      <c r="K501" s="3">
        <v>227</v>
      </c>
      <c r="L501" s="3">
        <v>0</v>
      </c>
      <c r="M501" s="3">
        <v>77</v>
      </c>
      <c r="N501" s="3">
        <v>0</v>
      </c>
      <c r="O501" s="3">
        <v>31</v>
      </c>
      <c r="P501" s="3" t="s">
        <v>116</v>
      </c>
      <c r="Q501" s="3" t="s">
        <v>146</v>
      </c>
      <c r="R501" s="3">
        <v>31</v>
      </c>
      <c r="S501" s="3">
        <v>178</v>
      </c>
      <c r="T501" s="3">
        <v>26</v>
      </c>
      <c r="U501" s="3">
        <v>346</v>
      </c>
      <c r="V501" s="3">
        <v>10</v>
      </c>
      <c r="W501" s="3">
        <v>80</v>
      </c>
      <c r="X501" s="3">
        <v>1</v>
      </c>
      <c r="Y501" s="3">
        <v>38</v>
      </c>
      <c r="Z501" s="3">
        <v>1</v>
      </c>
    </row>
    <row r="502" spans="1:26">
      <c r="A502" s="94" t="str">
        <f t="shared" si="8"/>
        <v>20191109BOIS</v>
      </c>
      <c r="B502" s="3">
        <v>2019</v>
      </c>
      <c r="C502" s="3">
        <v>11</v>
      </c>
      <c r="D502" s="3">
        <v>20191109</v>
      </c>
      <c r="E502" s="3" t="s">
        <v>144</v>
      </c>
      <c r="F502" s="3" t="s">
        <v>105</v>
      </c>
      <c r="G502" s="3" t="s">
        <v>148</v>
      </c>
      <c r="H502" s="3">
        <v>28</v>
      </c>
      <c r="I502" s="3">
        <v>91</v>
      </c>
      <c r="J502" s="3">
        <v>31</v>
      </c>
      <c r="K502" s="3">
        <v>194</v>
      </c>
      <c r="L502" s="3">
        <v>0</v>
      </c>
      <c r="M502" s="3">
        <v>61</v>
      </c>
      <c r="N502" s="3">
        <v>0</v>
      </c>
      <c r="O502" s="3">
        <v>20</v>
      </c>
      <c r="P502" s="3" t="s">
        <v>10</v>
      </c>
      <c r="Q502" s="3" t="s">
        <v>148</v>
      </c>
      <c r="R502" s="3">
        <v>44</v>
      </c>
      <c r="S502" s="3">
        <v>123</v>
      </c>
      <c r="T502" s="3">
        <v>23</v>
      </c>
      <c r="U502" s="3">
        <v>160</v>
      </c>
      <c r="V502" s="3">
        <v>20</v>
      </c>
      <c r="W502" s="3">
        <v>24</v>
      </c>
      <c r="X502" s="3">
        <v>2</v>
      </c>
      <c r="Y502" s="3">
        <v>17</v>
      </c>
      <c r="Z502" s="3">
        <v>12.5</v>
      </c>
    </row>
    <row r="503" spans="1:26">
      <c r="A503" s="94" t="str">
        <f t="shared" si="8"/>
        <v>20191109CAL</v>
      </c>
      <c r="B503" s="3">
        <v>2019</v>
      </c>
      <c r="C503" s="3">
        <v>11</v>
      </c>
      <c r="D503" s="3">
        <v>20191109</v>
      </c>
      <c r="E503" s="3" t="s">
        <v>144</v>
      </c>
      <c r="F503" s="3" t="s">
        <v>48</v>
      </c>
      <c r="G503" s="3" t="s">
        <v>151</v>
      </c>
      <c r="H503" s="3">
        <v>36</v>
      </c>
      <c r="I503" s="3">
        <v>196</v>
      </c>
      <c r="J503" s="3">
        <v>24</v>
      </c>
      <c r="K503" s="3">
        <v>230</v>
      </c>
      <c r="L503" s="3">
        <v>14</v>
      </c>
      <c r="M503" s="3">
        <v>20</v>
      </c>
      <c r="N503" s="3">
        <v>2</v>
      </c>
      <c r="O503" s="3">
        <v>33</v>
      </c>
      <c r="P503" s="3" t="s">
        <v>114</v>
      </c>
      <c r="Q503" s="3" t="s">
        <v>151</v>
      </c>
      <c r="R503" s="3">
        <v>14</v>
      </c>
      <c r="S503" s="3">
        <v>16</v>
      </c>
      <c r="T503" s="3">
        <v>58</v>
      </c>
      <c r="U503" s="3">
        <v>407</v>
      </c>
      <c r="V503" s="3">
        <v>0</v>
      </c>
      <c r="W503" s="3">
        <v>60</v>
      </c>
      <c r="X503" s="3">
        <v>1</v>
      </c>
      <c r="Y503" s="3">
        <v>20</v>
      </c>
      <c r="Z503" s="3">
        <v>7.5</v>
      </c>
    </row>
    <row r="504" spans="1:26">
      <c r="A504" s="94" t="str">
        <f t="shared" si="8"/>
        <v>20191109CIN</v>
      </c>
      <c r="B504" s="3">
        <v>2019</v>
      </c>
      <c r="C504" s="3">
        <v>11</v>
      </c>
      <c r="D504" s="3">
        <v>20191109</v>
      </c>
      <c r="E504" s="3" t="s">
        <v>144</v>
      </c>
      <c r="F504" s="3" t="s">
        <v>107</v>
      </c>
      <c r="G504" s="3" t="s">
        <v>150</v>
      </c>
      <c r="H504" s="3">
        <v>43</v>
      </c>
      <c r="I504" s="3">
        <v>307</v>
      </c>
      <c r="J504" s="3">
        <v>28</v>
      </c>
      <c r="K504" s="3">
        <v>200</v>
      </c>
      <c r="L504" s="3">
        <v>30</v>
      </c>
      <c r="M504" s="3">
        <v>56</v>
      </c>
      <c r="N504" s="3">
        <v>1</v>
      </c>
      <c r="O504" s="3">
        <v>48</v>
      </c>
      <c r="P504" s="3" t="s">
        <v>13</v>
      </c>
      <c r="Q504" s="3" t="s">
        <v>150</v>
      </c>
      <c r="R504" s="3">
        <v>40</v>
      </c>
      <c r="S504" s="3">
        <v>148</v>
      </c>
      <c r="T504" s="3">
        <v>23</v>
      </c>
      <c r="U504" s="3">
        <v>70</v>
      </c>
      <c r="V504" s="3">
        <v>11</v>
      </c>
      <c r="W504" s="3">
        <v>160</v>
      </c>
      <c r="X504" s="3">
        <v>1</v>
      </c>
      <c r="Y504" s="3">
        <v>3</v>
      </c>
      <c r="Z504" s="3">
        <v>35</v>
      </c>
    </row>
    <row r="505" spans="1:26">
      <c r="A505" s="94" t="str">
        <f t="shared" si="8"/>
        <v>20191109COLO</v>
      </c>
      <c r="B505" s="3">
        <v>2019</v>
      </c>
      <c r="C505" s="3">
        <v>11</v>
      </c>
      <c r="D505" s="3">
        <v>20191109</v>
      </c>
      <c r="E505" s="3" t="s">
        <v>144</v>
      </c>
      <c r="F505" s="3" t="s">
        <v>128</v>
      </c>
      <c r="G505" s="3" t="s">
        <v>151</v>
      </c>
      <c r="H505" s="3">
        <v>41</v>
      </c>
      <c r="I505" s="3">
        <v>172</v>
      </c>
      <c r="J505" s="3">
        <v>30</v>
      </c>
      <c r="K505" s="3">
        <v>186</v>
      </c>
      <c r="L505" s="3">
        <v>0</v>
      </c>
      <c r="M505" s="3">
        <v>0</v>
      </c>
      <c r="N505" s="3">
        <v>1</v>
      </c>
      <c r="O505" s="3">
        <v>16</v>
      </c>
      <c r="P505" s="3" t="s">
        <v>33</v>
      </c>
      <c r="Q505" s="3" t="s">
        <v>151</v>
      </c>
      <c r="R505" s="3">
        <v>25</v>
      </c>
      <c r="S505" s="3">
        <v>127</v>
      </c>
      <c r="T505" s="3">
        <v>29</v>
      </c>
      <c r="U505" s="3">
        <v>245</v>
      </c>
      <c r="V505" s="3">
        <v>0</v>
      </c>
      <c r="W505" s="3">
        <v>4</v>
      </c>
      <c r="X505" s="3">
        <v>1</v>
      </c>
      <c r="Y505" s="3">
        <v>13</v>
      </c>
      <c r="Z505" s="3">
        <v>3</v>
      </c>
    </row>
    <row r="506" spans="1:26">
      <c r="A506" s="94" t="str">
        <f t="shared" si="8"/>
        <v>20191109DUKE</v>
      </c>
      <c r="B506" s="3">
        <v>2019</v>
      </c>
      <c r="C506" s="3">
        <v>11</v>
      </c>
      <c r="D506" s="3">
        <v>20191109</v>
      </c>
      <c r="E506" s="3" t="s">
        <v>144</v>
      </c>
      <c r="F506" s="3" t="s">
        <v>27</v>
      </c>
      <c r="G506" s="3" t="s">
        <v>146</v>
      </c>
      <c r="H506" s="3">
        <v>30</v>
      </c>
      <c r="I506" s="3">
        <v>95</v>
      </c>
      <c r="J506" s="3">
        <v>31</v>
      </c>
      <c r="K506" s="3">
        <v>102</v>
      </c>
      <c r="L506" s="3">
        <v>5</v>
      </c>
      <c r="M506" s="3">
        <v>122</v>
      </c>
      <c r="N506" s="3">
        <v>2</v>
      </c>
      <c r="O506" s="3">
        <v>7</v>
      </c>
      <c r="P506" s="3" t="s">
        <v>77</v>
      </c>
      <c r="Q506" s="3" t="s">
        <v>53</v>
      </c>
      <c r="R506" s="3">
        <v>42</v>
      </c>
      <c r="S506" s="3">
        <v>288</v>
      </c>
      <c r="T506" s="3">
        <v>32</v>
      </c>
      <c r="U506" s="3">
        <v>181</v>
      </c>
      <c r="V506" s="3">
        <v>51</v>
      </c>
      <c r="W506" s="3">
        <v>0</v>
      </c>
      <c r="X506" s="3">
        <v>2</v>
      </c>
      <c r="Y506" s="3">
        <v>38</v>
      </c>
      <c r="Z506" s="3">
        <v>8</v>
      </c>
    </row>
    <row r="507" spans="1:26">
      <c r="A507" s="94" t="str">
        <f t="shared" si="8"/>
        <v>20191109FATL</v>
      </c>
      <c r="B507" s="3">
        <v>2019</v>
      </c>
      <c r="C507" s="3">
        <v>11</v>
      </c>
      <c r="D507" s="3">
        <v>20191109</v>
      </c>
      <c r="E507" s="3" t="s">
        <v>144</v>
      </c>
      <c r="F507" s="3" t="s">
        <v>85</v>
      </c>
      <c r="G507" s="3" t="s">
        <v>153</v>
      </c>
      <c r="H507" s="3">
        <v>44</v>
      </c>
      <c r="I507" s="3">
        <v>261</v>
      </c>
      <c r="J507" s="3">
        <v>39</v>
      </c>
      <c r="K507" s="3">
        <v>318</v>
      </c>
      <c r="L507" s="3">
        <v>0</v>
      </c>
      <c r="M507" s="3">
        <v>0</v>
      </c>
      <c r="N507" s="3">
        <v>2</v>
      </c>
      <c r="O507" s="3">
        <v>37</v>
      </c>
      <c r="P507" s="3" t="s">
        <v>52</v>
      </c>
      <c r="Q507" s="3" t="s">
        <v>153</v>
      </c>
      <c r="R507" s="3">
        <v>29</v>
      </c>
      <c r="S507" s="3">
        <v>112</v>
      </c>
      <c r="T507" s="3">
        <v>38</v>
      </c>
      <c r="U507" s="3">
        <v>192</v>
      </c>
      <c r="V507" s="3">
        <v>0</v>
      </c>
      <c r="W507" s="3">
        <v>21</v>
      </c>
      <c r="X507" s="3">
        <v>0</v>
      </c>
      <c r="Y507" s="3">
        <v>7</v>
      </c>
      <c r="Z507" s="3">
        <v>10.5</v>
      </c>
    </row>
    <row r="508" spans="1:26">
      <c r="A508" s="94" t="str">
        <f t="shared" si="8"/>
        <v>20191109FLA</v>
      </c>
      <c r="B508" s="3">
        <v>2019</v>
      </c>
      <c r="C508" s="3">
        <v>11</v>
      </c>
      <c r="D508" s="3">
        <v>20191109</v>
      </c>
      <c r="E508" s="3" t="s">
        <v>144</v>
      </c>
      <c r="F508" s="3" t="s">
        <v>54</v>
      </c>
      <c r="G508" s="3" t="s">
        <v>147</v>
      </c>
      <c r="H508" s="3">
        <v>29</v>
      </c>
      <c r="I508" s="3">
        <v>150</v>
      </c>
      <c r="J508" s="3">
        <v>40</v>
      </c>
      <c r="K508" s="3">
        <v>410</v>
      </c>
      <c r="L508" s="3">
        <v>16</v>
      </c>
      <c r="M508" s="3">
        <v>0</v>
      </c>
      <c r="N508" s="3">
        <v>3</v>
      </c>
      <c r="O508" s="3">
        <v>56</v>
      </c>
      <c r="P508" s="3" t="s">
        <v>111</v>
      </c>
      <c r="Q508" s="3" t="s">
        <v>147</v>
      </c>
      <c r="R508" s="3">
        <v>40</v>
      </c>
      <c r="S508" s="3">
        <v>51</v>
      </c>
      <c r="T508" s="3">
        <v>21</v>
      </c>
      <c r="U508" s="3">
        <v>77</v>
      </c>
      <c r="V508" s="3">
        <v>0</v>
      </c>
      <c r="W508" s="3">
        <v>81</v>
      </c>
      <c r="X508" s="3">
        <v>2</v>
      </c>
      <c r="Y508" s="3">
        <v>0</v>
      </c>
      <c r="Z508" s="3">
        <v>27</v>
      </c>
    </row>
    <row r="509" spans="1:26">
      <c r="A509" s="94" t="str">
        <f t="shared" si="8"/>
        <v>20191109FRES</v>
      </c>
      <c r="B509" s="3">
        <v>2019</v>
      </c>
      <c r="C509" s="3">
        <v>11</v>
      </c>
      <c r="D509" s="3">
        <v>20191109</v>
      </c>
      <c r="E509" s="3" t="s">
        <v>144</v>
      </c>
      <c r="F509" s="3" t="s">
        <v>55</v>
      </c>
      <c r="G509" s="3" t="s">
        <v>148</v>
      </c>
      <c r="H509" s="3">
        <v>36</v>
      </c>
      <c r="I509" s="3">
        <v>156</v>
      </c>
      <c r="J509" s="3">
        <v>20</v>
      </c>
      <c r="K509" s="3">
        <v>263</v>
      </c>
      <c r="L509" s="3">
        <v>12</v>
      </c>
      <c r="M509" s="3">
        <v>93</v>
      </c>
      <c r="N509" s="3">
        <v>0</v>
      </c>
      <c r="O509" s="3">
        <v>35</v>
      </c>
      <c r="P509" s="3" t="s">
        <v>31</v>
      </c>
      <c r="Q509" s="3" t="s">
        <v>148</v>
      </c>
      <c r="R509" s="3">
        <v>34</v>
      </c>
      <c r="S509" s="3">
        <v>137</v>
      </c>
      <c r="T509" s="3">
        <v>39</v>
      </c>
      <c r="U509" s="3">
        <v>388</v>
      </c>
      <c r="V509" s="3">
        <v>8</v>
      </c>
      <c r="W509" s="3">
        <v>91</v>
      </c>
      <c r="X509" s="3">
        <v>0</v>
      </c>
      <c r="Y509" s="3">
        <v>37</v>
      </c>
      <c r="Z509" s="3">
        <v>3.5</v>
      </c>
    </row>
    <row r="510" spans="1:26">
      <c r="A510" s="94" t="str">
        <f t="shared" si="8"/>
        <v>20191109GEO</v>
      </c>
      <c r="B510" s="3">
        <v>2019</v>
      </c>
      <c r="C510" s="3">
        <v>11</v>
      </c>
      <c r="D510" s="3">
        <v>20191109</v>
      </c>
      <c r="E510" s="3" t="s">
        <v>144</v>
      </c>
      <c r="F510" s="3" t="s">
        <v>56</v>
      </c>
      <c r="G510" s="3" t="s">
        <v>147</v>
      </c>
      <c r="H510" s="3">
        <v>38</v>
      </c>
      <c r="I510" s="3">
        <v>166</v>
      </c>
      <c r="J510" s="3">
        <v>29</v>
      </c>
      <c r="K510" s="3">
        <v>173</v>
      </c>
      <c r="L510" s="3">
        <v>39</v>
      </c>
      <c r="M510" s="3">
        <v>0</v>
      </c>
      <c r="N510" s="3">
        <v>1</v>
      </c>
      <c r="O510" s="3">
        <v>27</v>
      </c>
      <c r="P510" s="3" t="s">
        <v>73</v>
      </c>
      <c r="Q510" s="3" t="s">
        <v>147</v>
      </c>
      <c r="R510" s="3">
        <v>24</v>
      </c>
      <c r="S510" s="3">
        <v>50</v>
      </c>
      <c r="T510" s="3">
        <v>34</v>
      </c>
      <c r="U510" s="3">
        <v>148</v>
      </c>
      <c r="V510" s="3">
        <v>0</v>
      </c>
      <c r="W510" s="3">
        <v>35</v>
      </c>
      <c r="X510" s="3">
        <v>0</v>
      </c>
      <c r="Y510" s="3">
        <v>0</v>
      </c>
      <c r="Z510" s="3">
        <v>18.5</v>
      </c>
    </row>
    <row r="511" spans="1:26">
      <c r="A511" s="94" t="str">
        <f t="shared" si="8"/>
        <v>20191109HAW</v>
      </c>
      <c r="B511" s="3">
        <v>2019</v>
      </c>
      <c r="C511" s="3">
        <v>11</v>
      </c>
      <c r="D511" s="3">
        <v>20191109</v>
      </c>
      <c r="E511" s="3" t="s">
        <v>144</v>
      </c>
      <c r="F511" s="3" t="s">
        <v>8</v>
      </c>
      <c r="G511" s="3" t="s">
        <v>148</v>
      </c>
      <c r="H511" s="3">
        <v>35</v>
      </c>
      <c r="I511" s="3">
        <v>200</v>
      </c>
      <c r="J511" s="3">
        <v>32</v>
      </c>
      <c r="K511" s="3">
        <v>309</v>
      </c>
      <c r="L511" s="3">
        <v>0</v>
      </c>
      <c r="M511" s="3">
        <v>69</v>
      </c>
      <c r="N511" s="3">
        <v>0</v>
      </c>
      <c r="O511" s="3">
        <v>42</v>
      </c>
      <c r="P511" s="3" t="s">
        <v>19</v>
      </c>
      <c r="Q511" s="3" t="s">
        <v>148</v>
      </c>
      <c r="R511" s="3">
        <v>26</v>
      </c>
      <c r="S511" s="3">
        <v>122</v>
      </c>
      <c r="T511" s="3">
        <v>45</v>
      </c>
      <c r="U511" s="3">
        <v>375</v>
      </c>
      <c r="V511" s="3">
        <v>0</v>
      </c>
      <c r="W511" s="3">
        <v>26</v>
      </c>
      <c r="X511" s="3">
        <v>1</v>
      </c>
      <c r="Y511" s="3">
        <v>40</v>
      </c>
      <c r="Z511" s="3">
        <v>7</v>
      </c>
    </row>
    <row r="512" spans="1:26">
      <c r="A512" s="94" t="str">
        <f t="shared" si="8"/>
        <v>20191109KTKY</v>
      </c>
      <c r="B512" s="3">
        <v>2019</v>
      </c>
      <c r="C512" s="3">
        <v>11</v>
      </c>
      <c r="D512" s="3">
        <v>20191109</v>
      </c>
      <c r="E512" s="3" t="s">
        <v>144</v>
      </c>
      <c r="F512" s="3" t="s">
        <v>66</v>
      </c>
      <c r="G512" s="3" t="s">
        <v>147</v>
      </c>
      <c r="H512" s="3">
        <v>64</v>
      </c>
      <c r="I512" s="3">
        <v>302</v>
      </c>
      <c r="J512" s="3">
        <v>7</v>
      </c>
      <c r="K512" s="3">
        <v>25</v>
      </c>
      <c r="L512" s="3">
        <v>1</v>
      </c>
      <c r="M512" s="3">
        <v>19</v>
      </c>
      <c r="N512" s="3">
        <v>1</v>
      </c>
      <c r="O512" s="3">
        <v>13</v>
      </c>
      <c r="P512" s="3" t="s">
        <v>129</v>
      </c>
      <c r="Q512" s="3" t="s">
        <v>147</v>
      </c>
      <c r="R512" s="3">
        <v>21</v>
      </c>
      <c r="S512" s="3">
        <v>83</v>
      </c>
      <c r="T512" s="3">
        <v>25</v>
      </c>
      <c r="U512" s="3">
        <v>213</v>
      </c>
      <c r="V512" s="3">
        <v>5</v>
      </c>
      <c r="W512" s="3">
        <v>0</v>
      </c>
      <c r="X512" s="3">
        <v>1</v>
      </c>
      <c r="Y512" s="3">
        <v>17</v>
      </c>
      <c r="Z512" s="3">
        <v>1</v>
      </c>
    </row>
    <row r="513" spans="1:26">
      <c r="A513" s="94" t="str">
        <f t="shared" si="8"/>
        <v>20191109LMON</v>
      </c>
      <c r="B513" s="3">
        <v>2019</v>
      </c>
      <c r="C513" s="3">
        <v>11</v>
      </c>
      <c r="D513" s="3">
        <v>20191109</v>
      </c>
      <c r="E513" s="3" t="s">
        <v>144</v>
      </c>
      <c r="F513" s="3" t="s">
        <v>25</v>
      </c>
      <c r="G513" s="3" t="s">
        <v>145</v>
      </c>
      <c r="H513" s="3">
        <v>46</v>
      </c>
      <c r="I513" s="3">
        <v>299</v>
      </c>
      <c r="J513" s="3">
        <v>33</v>
      </c>
      <c r="K513" s="3">
        <v>291</v>
      </c>
      <c r="L513" s="3">
        <v>0</v>
      </c>
      <c r="M513" s="3">
        <v>42</v>
      </c>
      <c r="N513" s="3">
        <v>1</v>
      </c>
      <c r="O513" s="3">
        <v>45</v>
      </c>
      <c r="P513" s="3" t="s">
        <v>15</v>
      </c>
      <c r="Q513" s="3" t="s">
        <v>145</v>
      </c>
      <c r="R513" s="3">
        <v>53</v>
      </c>
      <c r="S513" s="3">
        <v>414</v>
      </c>
      <c r="T513" s="3">
        <v>28</v>
      </c>
      <c r="U513" s="3">
        <v>122</v>
      </c>
      <c r="V513" s="3">
        <v>0</v>
      </c>
      <c r="W513" s="3">
        <v>0</v>
      </c>
      <c r="X513" s="3">
        <v>1</v>
      </c>
      <c r="Y513" s="3">
        <v>31</v>
      </c>
      <c r="Z513" s="3">
        <v>1.5</v>
      </c>
    </row>
    <row r="514" spans="1:26">
      <c r="A514" s="94" t="str">
        <f t="shared" si="8"/>
        <v>20191109LTCH</v>
      </c>
      <c r="B514" s="3">
        <v>2019</v>
      </c>
      <c r="C514" s="3">
        <v>11</v>
      </c>
      <c r="D514" s="3">
        <v>20191109</v>
      </c>
      <c r="E514" s="3" t="s">
        <v>144</v>
      </c>
      <c r="F514" s="3" t="s">
        <v>95</v>
      </c>
      <c r="G514" s="3" t="s">
        <v>153</v>
      </c>
      <c r="H514" s="3">
        <v>53</v>
      </c>
      <c r="I514" s="3">
        <v>264</v>
      </c>
      <c r="J514" s="3">
        <v>40</v>
      </c>
      <c r="K514" s="3">
        <v>278</v>
      </c>
      <c r="L514" s="3">
        <v>0</v>
      </c>
      <c r="M514" s="3">
        <v>25</v>
      </c>
      <c r="N514" s="3">
        <v>3</v>
      </c>
      <c r="O514" s="3">
        <v>52</v>
      </c>
      <c r="P514" s="3" t="s">
        <v>79</v>
      </c>
      <c r="Q514" s="3" t="s">
        <v>153</v>
      </c>
      <c r="R514" s="3">
        <v>22</v>
      </c>
      <c r="S514" s="3">
        <v>77</v>
      </c>
      <c r="T514" s="3">
        <v>35</v>
      </c>
      <c r="U514" s="3">
        <v>265</v>
      </c>
      <c r="V514" s="3">
        <v>0</v>
      </c>
      <c r="W514" s="3">
        <v>138</v>
      </c>
      <c r="X514" s="3">
        <v>2</v>
      </c>
      <c r="Y514" s="3">
        <v>17</v>
      </c>
      <c r="Z514" s="3">
        <v>6</v>
      </c>
    </row>
    <row r="515" spans="1:26">
      <c r="A515" s="94" t="str">
        <f t="shared" si="8"/>
        <v>20191109MCST</v>
      </c>
      <c r="B515" s="3">
        <v>2019</v>
      </c>
      <c r="C515" s="3">
        <v>11</v>
      </c>
      <c r="D515" s="3">
        <v>20191109</v>
      </c>
      <c r="E515" s="3" t="s">
        <v>144</v>
      </c>
      <c r="F515" s="3" t="s">
        <v>30</v>
      </c>
      <c r="G515" s="3" t="s">
        <v>152</v>
      </c>
      <c r="H515" s="3">
        <v>51</v>
      </c>
      <c r="I515" s="3">
        <v>275</v>
      </c>
      <c r="J515" s="3">
        <v>36</v>
      </c>
      <c r="K515" s="3">
        <v>251</v>
      </c>
      <c r="L515" s="3">
        <v>12</v>
      </c>
      <c r="M515" s="3">
        <v>31</v>
      </c>
      <c r="N515" s="3">
        <v>2</v>
      </c>
      <c r="O515" s="3">
        <v>34</v>
      </c>
      <c r="P515" s="3" t="s">
        <v>60</v>
      </c>
      <c r="Q515" s="3" t="s">
        <v>152</v>
      </c>
      <c r="R515" s="3">
        <v>27</v>
      </c>
      <c r="S515" s="3">
        <v>36</v>
      </c>
      <c r="T515" s="3">
        <v>42</v>
      </c>
      <c r="U515" s="3">
        <v>369</v>
      </c>
      <c r="V515" s="3">
        <v>23</v>
      </c>
      <c r="W515" s="3">
        <v>98</v>
      </c>
      <c r="X515" s="3">
        <v>4</v>
      </c>
      <c r="Y515" s="3">
        <v>37</v>
      </c>
      <c r="Z515" s="3">
        <v>13.5</v>
      </c>
    </row>
    <row r="516" spans="1:26">
      <c r="A516" s="94" t="str">
        <f t="shared" si="8"/>
        <v>20191109MIAF</v>
      </c>
      <c r="B516" s="3">
        <v>2019</v>
      </c>
      <c r="C516" s="3">
        <v>11</v>
      </c>
      <c r="D516" s="3">
        <v>20191109</v>
      </c>
      <c r="E516" s="3" t="s">
        <v>144</v>
      </c>
      <c r="F516" s="3" t="s">
        <v>125</v>
      </c>
      <c r="G516" s="3" t="s">
        <v>146</v>
      </c>
      <c r="H516" s="3">
        <v>32</v>
      </c>
      <c r="I516" s="3">
        <v>197</v>
      </c>
      <c r="J516" s="3">
        <v>23</v>
      </c>
      <c r="K516" s="3">
        <v>252</v>
      </c>
      <c r="L516" s="3">
        <v>36</v>
      </c>
      <c r="M516" s="3">
        <v>104</v>
      </c>
      <c r="N516" s="3">
        <v>3</v>
      </c>
      <c r="O516" s="3">
        <v>52</v>
      </c>
      <c r="P516" s="3" t="s">
        <v>123</v>
      </c>
      <c r="Q516" s="3" t="s">
        <v>146</v>
      </c>
      <c r="R516" s="3">
        <v>35</v>
      </c>
      <c r="S516" s="3">
        <v>168</v>
      </c>
      <c r="T516" s="3">
        <v>29</v>
      </c>
      <c r="U516" s="3">
        <v>328</v>
      </c>
      <c r="V516" s="3">
        <v>2</v>
      </c>
      <c r="W516" s="3">
        <v>133</v>
      </c>
      <c r="X516" s="3">
        <v>0</v>
      </c>
      <c r="Y516" s="3">
        <v>27</v>
      </c>
      <c r="Z516" s="3">
        <v>6.5</v>
      </c>
    </row>
    <row r="517" spans="1:26">
      <c r="A517" s="94" t="str">
        <f t="shared" si="8"/>
        <v>20191109MIN</v>
      </c>
      <c r="B517" s="3">
        <v>2019</v>
      </c>
      <c r="C517" s="3">
        <v>11</v>
      </c>
      <c r="D517" s="3">
        <v>20191109</v>
      </c>
      <c r="E517" s="3" t="s">
        <v>144</v>
      </c>
      <c r="F517" s="3" t="s">
        <v>16</v>
      </c>
      <c r="G517" s="3" t="s">
        <v>152</v>
      </c>
      <c r="H517" s="3">
        <v>40</v>
      </c>
      <c r="I517" s="3">
        <v>121</v>
      </c>
      <c r="J517" s="3">
        <v>20</v>
      </c>
      <c r="K517" s="3">
        <v>339</v>
      </c>
      <c r="L517" s="3">
        <v>1</v>
      </c>
      <c r="M517" s="3">
        <v>13</v>
      </c>
      <c r="N517" s="3">
        <v>3</v>
      </c>
      <c r="O517" s="3">
        <v>31</v>
      </c>
      <c r="P517" s="3" t="s">
        <v>89</v>
      </c>
      <c r="Q517" s="3" t="s">
        <v>152</v>
      </c>
      <c r="R517" s="3">
        <v>29</v>
      </c>
      <c r="S517" s="3">
        <v>178</v>
      </c>
      <c r="T517" s="3">
        <v>44</v>
      </c>
      <c r="U517" s="3">
        <v>340</v>
      </c>
      <c r="V517" s="3">
        <v>15</v>
      </c>
      <c r="W517" s="3">
        <v>98</v>
      </c>
      <c r="X517" s="3">
        <v>1</v>
      </c>
      <c r="Y517" s="3">
        <v>26</v>
      </c>
      <c r="Z517" s="3">
        <v>6.5</v>
      </c>
    </row>
    <row r="518" spans="1:26">
      <c r="A518" s="94" t="str">
        <f t="shared" ref="A518:A581" si="9">D518&amp;F518</f>
        <v>20191109MIS</v>
      </c>
      <c r="B518" s="3">
        <v>2019</v>
      </c>
      <c r="C518" s="3">
        <v>11</v>
      </c>
      <c r="D518" s="3">
        <v>20191109</v>
      </c>
      <c r="E518" s="3" t="s">
        <v>144</v>
      </c>
      <c r="F518" s="3" t="s">
        <v>126</v>
      </c>
      <c r="G518" s="3" t="s">
        <v>147</v>
      </c>
      <c r="H518" s="3">
        <v>61</v>
      </c>
      <c r="I518" s="3">
        <v>447</v>
      </c>
      <c r="J518" s="3">
        <v>19</v>
      </c>
      <c r="K518" s="3">
        <v>159</v>
      </c>
      <c r="L518" s="3">
        <v>14</v>
      </c>
      <c r="M518" s="3">
        <v>0</v>
      </c>
      <c r="N518" s="3">
        <v>0</v>
      </c>
      <c r="O518" s="3">
        <v>41</v>
      </c>
      <c r="P518" s="3" t="s">
        <v>9</v>
      </c>
      <c r="Q518" s="3" t="s">
        <v>53</v>
      </c>
      <c r="R518" s="3">
        <v>24</v>
      </c>
      <c r="S518" s="3">
        <v>66</v>
      </c>
      <c r="T518" s="3">
        <v>35</v>
      </c>
      <c r="U518" s="3">
        <v>127</v>
      </c>
      <c r="V518" s="3">
        <v>0</v>
      </c>
      <c r="W518" s="3">
        <v>23</v>
      </c>
      <c r="X518" s="3">
        <v>1</v>
      </c>
      <c r="Y518" s="3">
        <v>3</v>
      </c>
      <c r="Z518" s="3">
        <v>28.5</v>
      </c>
    </row>
    <row r="519" spans="1:26">
      <c r="A519" s="94" t="str">
        <f t="shared" si="9"/>
        <v>20191109NCST</v>
      </c>
      <c r="B519" s="3">
        <v>2019</v>
      </c>
      <c r="C519" s="3">
        <v>11</v>
      </c>
      <c r="D519" s="3">
        <v>20191109</v>
      </c>
      <c r="E519" s="3" t="s">
        <v>144</v>
      </c>
      <c r="F519" s="3" t="s">
        <v>75</v>
      </c>
      <c r="G519" s="3" t="s">
        <v>146</v>
      </c>
      <c r="H519" s="3">
        <v>31</v>
      </c>
      <c r="I519" s="3">
        <v>124</v>
      </c>
      <c r="J519" s="3">
        <v>29</v>
      </c>
      <c r="K519" s="3">
        <v>166</v>
      </c>
      <c r="L519" s="3">
        <v>0</v>
      </c>
      <c r="M519" s="3">
        <v>33</v>
      </c>
      <c r="N519" s="3">
        <v>0</v>
      </c>
      <c r="O519" s="3">
        <v>10</v>
      </c>
      <c r="P519" s="3" t="s">
        <v>51</v>
      </c>
      <c r="Q519" s="3" t="s">
        <v>146</v>
      </c>
      <c r="R519" s="3">
        <v>41</v>
      </c>
      <c r="S519" s="3">
        <v>246</v>
      </c>
      <c r="T519" s="3">
        <v>36</v>
      </c>
      <c r="U519" s="3">
        <v>303</v>
      </c>
      <c r="V519" s="3">
        <v>8</v>
      </c>
      <c r="W519" s="3">
        <v>13</v>
      </c>
      <c r="X519" s="3">
        <v>4</v>
      </c>
      <c r="Y519" s="3">
        <v>55</v>
      </c>
      <c r="Z519" s="3">
        <v>34</v>
      </c>
    </row>
    <row r="520" spans="1:26">
      <c r="A520" s="94" t="str">
        <f t="shared" si="9"/>
        <v>20191109NORW</v>
      </c>
      <c r="B520" s="3">
        <v>2019</v>
      </c>
      <c r="C520" s="3">
        <v>11</v>
      </c>
      <c r="D520" s="3">
        <v>20191109</v>
      </c>
      <c r="E520" s="3" t="s">
        <v>144</v>
      </c>
      <c r="F520" s="3" t="s">
        <v>18</v>
      </c>
      <c r="G520" s="3" t="s">
        <v>152</v>
      </c>
      <c r="H520" s="3">
        <v>45</v>
      </c>
      <c r="I520" s="3">
        <v>251</v>
      </c>
      <c r="J520" s="3">
        <v>31</v>
      </c>
      <c r="K520" s="3">
        <v>184</v>
      </c>
      <c r="L520" s="3">
        <v>8</v>
      </c>
      <c r="M520" s="3">
        <v>27</v>
      </c>
      <c r="N520" s="3">
        <v>2</v>
      </c>
      <c r="O520" s="3">
        <v>22</v>
      </c>
      <c r="P520" s="3" t="s">
        <v>17</v>
      </c>
      <c r="Q520" s="3" t="s">
        <v>152</v>
      </c>
      <c r="R520" s="3">
        <v>21</v>
      </c>
      <c r="S520" s="3">
        <v>74</v>
      </c>
      <c r="T520" s="3">
        <v>51</v>
      </c>
      <c r="U520" s="3">
        <v>271</v>
      </c>
      <c r="V520" s="3">
        <v>0</v>
      </c>
      <c r="W520" s="3">
        <v>21</v>
      </c>
      <c r="X520" s="3">
        <v>2</v>
      </c>
      <c r="Y520" s="3">
        <v>24</v>
      </c>
      <c r="Z520" s="3">
        <v>0</v>
      </c>
    </row>
    <row r="521" spans="1:26">
      <c r="A521" s="94" t="str">
        <f t="shared" si="9"/>
        <v>20191109OHST</v>
      </c>
      <c r="B521" s="3">
        <v>2019</v>
      </c>
      <c r="C521" s="3">
        <v>11</v>
      </c>
      <c r="D521" s="3">
        <v>20191109</v>
      </c>
      <c r="E521" s="3" t="s">
        <v>144</v>
      </c>
      <c r="F521" s="3" t="s">
        <v>81</v>
      </c>
      <c r="G521" s="3" t="s">
        <v>152</v>
      </c>
      <c r="H521" s="3">
        <v>56</v>
      </c>
      <c r="I521" s="3">
        <v>383</v>
      </c>
      <c r="J521" s="3">
        <v>38</v>
      </c>
      <c r="K521" s="3">
        <v>322</v>
      </c>
      <c r="L521" s="3">
        <v>5</v>
      </c>
      <c r="M521" s="3">
        <v>80</v>
      </c>
      <c r="N521" s="3">
        <v>2</v>
      </c>
      <c r="O521" s="3">
        <v>73</v>
      </c>
      <c r="P521" s="3" t="s">
        <v>121</v>
      </c>
      <c r="Q521" s="3" t="s">
        <v>152</v>
      </c>
      <c r="R521" s="3">
        <v>32</v>
      </c>
      <c r="S521" s="3">
        <v>62</v>
      </c>
      <c r="T521" s="3">
        <v>17</v>
      </c>
      <c r="U521" s="3">
        <v>77</v>
      </c>
      <c r="V521" s="3">
        <v>0</v>
      </c>
      <c r="W521" s="3">
        <v>164</v>
      </c>
      <c r="X521" s="3">
        <v>1</v>
      </c>
      <c r="Y521" s="3">
        <v>14</v>
      </c>
      <c r="Z521" s="3">
        <v>43.5</v>
      </c>
    </row>
    <row r="522" spans="1:26">
      <c r="A522" s="94" t="str">
        <f t="shared" si="9"/>
        <v>20191109OKLA</v>
      </c>
      <c r="B522" s="3">
        <v>2019</v>
      </c>
      <c r="C522" s="3">
        <v>11</v>
      </c>
      <c r="D522" s="3">
        <v>20191109</v>
      </c>
      <c r="E522" s="3" t="s">
        <v>144</v>
      </c>
      <c r="F522" s="3" t="s">
        <v>84</v>
      </c>
      <c r="G522" s="3" t="s">
        <v>209</v>
      </c>
      <c r="H522" s="3">
        <v>40</v>
      </c>
      <c r="I522" s="3">
        <v>228</v>
      </c>
      <c r="J522" s="3">
        <v>26</v>
      </c>
      <c r="K522" s="3">
        <v>273</v>
      </c>
      <c r="L522" s="3">
        <v>28</v>
      </c>
      <c r="M522" s="3">
        <v>93</v>
      </c>
      <c r="N522" s="3">
        <v>0</v>
      </c>
      <c r="O522" s="3">
        <v>42</v>
      </c>
      <c r="P522" s="3" t="s">
        <v>122</v>
      </c>
      <c r="Q522" s="3" t="s">
        <v>209</v>
      </c>
      <c r="R522" s="3">
        <v>37</v>
      </c>
      <c r="S522" s="3">
        <v>197</v>
      </c>
      <c r="T522" s="3">
        <v>31</v>
      </c>
      <c r="U522" s="3">
        <v>282</v>
      </c>
      <c r="V522" s="3">
        <v>2</v>
      </c>
      <c r="W522" s="3">
        <v>74</v>
      </c>
      <c r="X522" s="3">
        <v>2</v>
      </c>
      <c r="Y522" s="3">
        <v>41</v>
      </c>
      <c r="Z522" s="3">
        <v>14</v>
      </c>
    </row>
    <row r="523" spans="1:26">
      <c r="A523" s="94" t="str">
        <f t="shared" si="9"/>
        <v>20191109SCAR</v>
      </c>
      <c r="B523" s="3">
        <v>2019</v>
      </c>
      <c r="C523" s="3">
        <v>11</v>
      </c>
      <c r="D523" s="3">
        <v>20191109</v>
      </c>
      <c r="E523" s="3" t="s">
        <v>144</v>
      </c>
      <c r="F523" s="3" t="s">
        <v>96</v>
      </c>
      <c r="G523" s="3" t="s">
        <v>147</v>
      </c>
      <c r="H523" s="3">
        <v>27</v>
      </c>
      <c r="I523" s="3">
        <v>21</v>
      </c>
      <c r="J523" s="3">
        <v>57</v>
      </c>
      <c r="K523" s="3">
        <v>325</v>
      </c>
      <c r="L523" s="3">
        <v>1</v>
      </c>
      <c r="M523" s="3">
        <v>52</v>
      </c>
      <c r="N523" s="3">
        <v>1</v>
      </c>
      <c r="O523" s="3">
        <v>15</v>
      </c>
      <c r="P523" s="3" t="s">
        <v>90</v>
      </c>
      <c r="Q523" s="3" t="s">
        <v>145</v>
      </c>
      <c r="R523" s="3">
        <v>41</v>
      </c>
      <c r="S523" s="3">
        <v>97</v>
      </c>
      <c r="T523" s="3">
        <v>16</v>
      </c>
      <c r="U523" s="3">
        <v>105</v>
      </c>
      <c r="V523" s="3">
        <v>4</v>
      </c>
      <c r="W523" s="3">
        <v>117</v>
      </c>
      <c r="X523" s="3">
        <v>1</v>
      </c>
      <c r="Y523" s="3">
        <v>20</v>
      </c>
      <c r="Z523" s="3">
        <v>3.5</v>
      </c>
    </row>
    <row r="524" spans="1:26">
      <c r="A524" s="94" t="str">
        <f t="shared" si="9"/>
        <v>20191109SDST</v>
      </c>
      <c r="B524" s="3">
        <v>2019</v>
      </c>
      <c r="C524" s="3">
        <v>11</v>
      </c>
      <c r="D524" s="3">
        <v>20191109</v>
      </c>
      <c r="E524" s="3" t="s">
        <v>144</v>
      </c>
      <c r="F524" s="3" t="s">
        <v>34</v>
      </c>
      <c r="G524" s="3" t="s">
        <v>148</v>
      </c>
      <c r="H524" s="3">
        <v>39</v>
      </c>
      <c r="I524" s="3">
        <v>113</v>
      </c>
      <c r="J524" s="3">
        <v>35</v>
      </c>
      <c r="K524" s="3">
        <v>196</v>
      </c>
      <c r="L524" s="3">
        <v>17</v>
      </c>
      <c r="M524" s="3">
        <v>50</v>
      </c>
      <c r="N524" s="3">
        <v>1</v>
      </c>
      <c r="O524" s="3">
        <v>13</v>
      </c>
      <c r="P524" s="3" t="s">
        <v>32</v>
      </c>
      <c r="Q524" s="3" t="s">
        <v>148</v>
      </c>
      <c r="R524" s="3">
        <v>28</v>
      </c>
      <c r="S524" s="3">
        <v>29</v>
      </c>
      <c r="T524" s="3">
        <v>27</v>
      </c>
      <c r="U524" s="3">
        <v>197</v>
      </c>
      <c r="V524" s="3">
        <v>47</v>
      </c>
      <c r="W524" s="3">
        <v>8</v>
      </c>
      <c r="X524" s="3">
        <v>1</v>
      </c>
      <c r="Y524" s="3">
        <v>17</v>
      </c>
      <c r="Z524" s="3">
        <v>15.5</v>
      </c>
    </row>
    <row r="525" spans="1:26">
      <c r="A525" s="94" t="str">
        <f t="shared" si="9"/>
        <v>20191109SMIS</v>
      </c>
      <c r="B525" s="3">
        <v>2019</v>
      </c>
      <c r="C525" s="3">
        <v>11</v>
      </c>
      <c r="D525" s="3">
        <v>20191109</v>
      </c>
      <c r="E525" s="3" t="s">
        <v>144</v>
      </c>
      <c r="F525" s="3" t="s">
        <v>99</v>
      </c>
      <c r="G525" s="3" t="s">
        <v>153</v>
      </c>
      <c r="H525" s="3">
        <v>34</v>
      </c>
      <c r="I525" s="3">
        <v>161</v>
      </c>
      <c r="J525" s="3">
        <v>22</v>
      </c>
      <c r="K525" s="3">
        <v>164</v>
      </c>
      <c r="L525" s="3">
        <v>8</v>
      </c>
      <c r="M525" s="3">
        <v>0</v>
      </c>
      <c r="N525" s="3">
        <v>2</v>
      </c>
      <c r="O525" s="3">
        <v>37</v>
      </c>
      <c r="P525" s="3" t="s">
        <v>23</v>
      </c>
      <c r="Q525" s="3" t="s">
        <v>153</v>
      </c>
      <c r="R525" s="3">
        <v>33</v>
      </c>
      <c r="S525" s="3">
        <v>70</v>
      </c>
      <c r="T525" s="3">
        <v>25</v>
      </c>
      <c r="U525" s="3">
        <v>103</v>
      </c>
      <c r="V525" s="3">
        <v>0</v>
      </c>
      <c r="W525" s="3">
        <v>61</v>
      </c>
      <c r="X525" s="3">
        <v>1</v>
      </c>
      <c r="Y525" s="3">
        <v>2</v>
      </c>
      <c r="Z525" s="3">
        <v>7.5</v>
      </c>
    </row>
    <row r="526" spans="1:26">
      <c r="A526" s="94" t="str">
        <f t="shared" si="9"/>
        <v>20191109SMU</v>
      </c>
      <c r="B526" s="3">
        <v>2019</v>
      </c>
      <c r="C526" s="3">
        <v>11</v>
      </c>
      <c r="D526" s="3">
        <v>20191109</v>
      </c>
      <c r="E526" s="3" t="s">
        <v>144</v>
      </c>
      <c r="F526" s="3" t="s">
        <v>80</v>
      </c>
      <c r="G526" s="3" t="s">
        <v>150</v>
      </c>
      <c r="H526" s="3">
        <v>37</v>
      </c>
      <c r="I526" s="3">
        <v>222</v>
      </c>
      <c r="J526" s="3">
        <v>46</v>
      </c>
      <c r="K526" s="3">
        <v>414</v>
      </c>
      <c r="L526" s="3">
        <v>17</v>
      </c>
      <c r="M526" s="3">
        <v>73</v>
      </c>
      <c r="N526" s="3">
        <v>1</v>
      </c>
      <c r="O526" s="3">
        <v>59</v>
      </c>
      <c r="P526" s="3" t="s">
        <v>115</v>
      </c>
      <c r="Q526" s="3" t="s">
        <v>150</v>
      </c>
      <c r="R526" s="3">
        <v>35</v>
      </c>
      <c r="S526" s="3">
        <v>146</v>
      </c>
      <c r="T526" s="3">
        <v>42</v>
      </c>
      <c r="U526" s="3">
        <v>498</v>
      </c>
      <c r="V526" s="3">
        <v>0</v>
      </c>
      <c r="W526" s="3">
        <v>62</v>
      </c>
      <c r="X526" s="3">
        <v>1</v>
      </c>
      <c r="Y526" s="3">
        <v>51</v>
      </c>
      <c r="Z526" s="3">
        <v>21.5</v>
      </c>
    </row>
    <row r="527" spans="1:26">
      <c r="A527" s="94" t="str">
        <f t="shared" si="9"/>
        <v>20191109TCU</v>
      </c>
      <c r="B527" s="3">
        <v>2019</v>
      </c>
      <c r="C527" s="3">
        <v>11</v>
      </c>
      <c r="D527" s="3">
        <v>20191109</v>
      </c>
      <c r="E527" s="3" t="s">
        <v>144</v>
      </c>
      <c r="F527" s="3" t="s">
        <v>100</v>
      </c>
      <c r="G527" s="3" t="s">
        <v>209</v>
      </c>
      <c r="H527" s="3">
        <v>49</v>
      </c>
      <c r="I527" s="3">
        <v>168</v>
      </c>
      <c r="J527" s="3">
        <v>32</v>
      </c>
      <c r="K527" s="3">
        <v>140</v>
      </c>
      <c r="L527" s="3">
        <v>0</v>
      </c>
      <c r="M527" s="3">
        <v>30</v>
      </c>
      <c r="N527" s="3">
        <v>2</v>
      </c>
      <c r="O527" s="3">
        <v>23</v>
      </c>
      <c r="P527" s="3" t="s">
        <v>45</v>
      </c>
      <c r="Q527" s="3" t="s">
        <v>209</v>
      </c>
      <c r="R527" s="3">
        <v>33</v>
      </c>
      <c r="S527" s="3">
        <v>99</v>
      </c>
      <c r="T527" s="3">
        <v>41</v>
      </c>
      <c r="U527" s="3">
        <v>195</v>
      </c>
      <c r="V527" s="3">
        <v>4</v>
      </c>
      <c r="W527" s="3">
        <v>4</v>
      </c>
      <c r="X527" s="3">
        <v>3</v>
      </c>
      <c r="Y527" s="3">
        <v>29</v>
      </c>
      <c r="Z527" s="3">
        <v>2.5</v>
      </c>
    </row>
    <row r="528" spans="1:26">
      <c r="A528" s="94" t="str">
        <f t="shared" si="9"/>
        <v>20191109TEX</v>
      </c>
      <c r="B528" s="3">
        <v>2019</v>
      </c>
      <c r="C528" s="3">
        <v>11</v>
      </c>
      <c r="D528" s="3">
        <v>20191109</v>
      </c>
      <c r="E528" s="3" t="s">
        <v>144</v>
      </c>
      <c r="F528" s="3" t="s">
        <v>130</v>
      </c>
      <c r="G528" s="3" t="s">
        <v>209</v>
      </c>
      <c r="H528" s="3">
        <v>36</v>
      </c>
      <c r="I528" s="3">
        <v>214</v>
      </c>
      <c r="J528" s="3">
        <v>29</v>
      </c>
      <c r="K528" s="3">
        <v>263</v>
      </c>
      <c r="L528" s="3">
        <v>53</v>
      </c>
      <c r="M528" s="3">
        <v>0</v>
      </c>
      <c r="N528" s="3">
        <v>1</v>
      </c>
      <c r="O528" s="3">
        <v>27</v>
      </c>
      <c r="P528" s="3" t="s">
        <v>65</v>
      </c>
      <c r="Q528" s="3" t="s">
        <v>209</v>
      </c>
      <c r="R528" s="3">
        <v>26</v>
      </c>
      <c r="S528" s="3">
        <v>51</v>
      </c>
      <c r="T528" s="3">
        <v>27</v>
      </c>
      <c r="U528" s="3">
        <v>253</v>
      </c>
      <c r="V528" s="3">
        <v>0</v>
      </c>
      <c r="W528" s="3">
        <v>98</v>
      </c>
      <c r="X528" s="3">
        <v>1</v>
      </c>
      <c r="Y528" s="3">
        <v>24</v>
      </c>
      <c r="Z528" s="3">
        <v>6</v>
      </c>
    </row>
    <row r="529" spans="1:26">
      <c r="A529" s="94" t="str">
        <f t="shared" si="9"/>
        <v>20191109TROY</v>
      </c>
      <c r="B529" s="3">
        <v>2019</v>
      </c>
      <c r="C529" s="3">
        <v>11</v>
      </c>
      <c r="D529" s="3">
        <v>20191109</v>
      </c>
      <c r="E529" s="3" t="s">
        <v>144</v>
      </c>
      <c r="F529" s="3" t="s">
        <v>104</v>
      </c>
      <c r="G529" s="3" t="s">
        <v>145</v>
      </c>
      <c r="H529" s="3">
        <v>32</v>
      </c>
      <c r="I529" s="3">
        <v>273</v>
      </c>
      <c r="J529" s="3">
        <v>42</v>
      </c>
      <c r="K529" s="3">
        <v>330</v>
      </c>
      <c r="L529" s="3">
        <v>2</v>
      </c>
      <c r="M529" s="3">
        <v>0</v>
      </c>
      <c r="N529" s="3">
        <v>0</v>
      </c>
      <c r="O529" s="3">
        <v>49</v>
      </c>
      <c r="P529" s="3" t="s">
        <v>57</v>
      </c>
      <c r="Q529" s="3" t="s">
        <v>145</v>
      </c>
      <c r="R529" s="3">
        <v>49</v>
      </c>
      <c r="S529" s="3">
        <v>152</v>
      </c>
      <c r="T529" s="3">
        <v>16</v>
      </c>
      <c r="U529" s="3">
        <v>181</v>
      </c>
      <c r="V529" s="3">
        <v>0</v>
      </c>
      <c r="W529" s="3">
        <v>50</v>
      </c>
      <c r="X529" s="3">
        <v>2</v>
      </c>
      <c r="Y529" s="3">
        <v>28</v>
      </c>
      <c r="Z529" s="3">
        <v>1</v>
      </c>
    </row>
    <row r="530" spans="1:26">
      <c r="A530" s="94" t="str">
        <f t="shared" si="9"/>
        <v>20191109TXST</v>
      </c>
      <c r="B530" s="3">
        <v>2019</v>
      </c>
      <c r="C530" s="3">
        <v>11</v>
      </c>
      <c r="D530" s="3">
        <v>20191109</v>
      </c>
      <c r="E530" s="3" t="s">
        <v>144</v>
      </c>
      <c r="F530" s="3" t="s">
        <v>93</v>
      </c>
      <c r="G530" s="3" t="s">
        <v>145</v>
      </c>
      <c r="H530" s="3">
        <v>32</v>
      </c>
      <c r="I530" s="3">
        <v>52</v>
      </c>
      <c r="J530" s="3">
        <v>33</v>
      </c>
      <c r="K530" s="3">
        <v>373</v>
      </c>
      <c r="L530" s="3">
        <v>4</v>
      </c>
      <c r="M530" s="3">
        <v>122</v>
      </c>
      <c r="N530" s="3">
        <v>0</v>
      </c>
      <c r="O530" s="3">
        <v>30</v>
      </c>
      <c r="P530" s="3" t="s">
        <v>94</v>
      </c>
      <c r="Q530" s="3" t="s">
        <v>145</v>
      </c>
      <c r="R530" s="3">
        <v>51</v>
      </c>
      <c r="S530" s="3">
        <v>184</v>
      </c>
      <c r="T530" s="3">
        <v>17</v>
      </c>
      <c r="U530" s="3">
        <v>164</v>
      </c>
      <c r="V530" s="3">
        <v>0</v>
      </c>
      <c r="W530" s="3">
        <v>80</v>
      </c>
      <c r="X530" s="3">
        <v>2</v>
      </c>
      <c r="Y530" s="3">
        <v>28</v>
      </c>
      <c r="Z530" s="3">
        <v>7.5</v>
      </c>
    </row>
    <row r="531" spans="1:26">
      <c r="A531" s="94" t="str">
        <f t="shared" si="9"/>
        <v>20191109UTEP</v>
      </c>
      <c r="B531" s="3">
        <v>2019</v>
      </c>
      <c r="C531" s="3">
        <v>11</v>
      </c>
      <c r="D531" s="3">
        <v>20191109</v>
      </c>
      <c r="E531" s="3" t="s">
        <v>144</v>
      </c>
      <c r="F531" s="3" t="s">
        <v>110</v>
      </c>
      <c r="G531" s="3" t="s">
        <v>153</v>
      </c>
      <c r="H531" s="3">
        <v>37</v>
      </c>
      <c r="I531" s="3">
        <v>174</v>
      </c>
      <c r="J531" s="3">
        <v>20</v>
      </c>
      <c r="K531" s="3">
        <v>215</v>
      </c>
      <c r="L531" s="3">
        <v>7</v>
      </c>
      <c r="M531" s="3">
        <v>0</v>
      </c>
      <c r="N531" s="3">
        <v>1</v>
      </c>
      <c r="O531" s="3">
        <v>21</v>
      </c>
      <c r="P531" s="3" t="s">
        <v>50</v>
      </c>
      <c r="Q531" s="3" t="s">
        <v>153</v>
      </c>
      <c r="R531" s="3">
        <v>35</v>
      </c>
      <c r="S531" s="3">
        <v>129</v>
      </c>
      <c r="T531" s="3">
        <v>35</v>
      </c>
      <c r="U531" s="3">
        <v>354</v>
      </c>
      <c r="V531" s="3">
        <v>2</v>
      </c>
      <c r="W531" s="3">
        <v>0</v>
      </c>
      <c r="X531" s="3">
        <v>1</v>
      </c>
      <c r="Y531" s="3">
        <v>28</v>
      </c>
      <c r="Z531" s="3">
        <v>12</v>
      </c>
    </row>
    <row r="532" spans="1:26">
      <c r="A532" s="94" t="str">
        <f t="shared" si="9"/>
        <v>20191109VIR</v>
      </c>
      <c r="B532" s="3">
        <v>2019</v>
      </c>
      <c r="C532" s="3">
        <v>11</v>
      </c>
      <c r="D532" s="3">
        <v>20191109</v>
      </c>
      <c r="E532" s="3" t="s">
        <v>144</v>
      </c>
      <c r="F532" s="3" t="s">
        <v>113</v>
      </c>
      <c r="G532" s="3" t="s">
        <v>146</v>
      </c>
      <c r="H532" s="3">
        <v>37</v>
      </c>
      <c r="I532" s="3">
        <v>155</v>
      </c>
      <c r="J532" s="3">
        <v>35</v>
      </c>
      <c r="K532" s="3">
        <v>258</v>
      </c>
      <c r="L532" s="3">
        <v>9</v>
      </c>
      <c r="M532" s="3">
        <v>129</v>
      </c>
      <c r="N532" s="3">
        <v>1</v>
      </c>
      <c r="O532" s="3">
        <v>33</v>
      </c>
      <c r="P532" s="3" t="s">
        <v>58</v>
      </c>
      <c r="Q532" s="3" t="s">
        <v>146</v>
      </c>
      <c r="R532" s="3">
        <v>32</v>
      </c>
      <c r="S532" s="3">
        <v>143</v>
      </c>
      <c r="T532" s="3">
        <v>22</v>
      </c>
      <c r="U532" s="3">
        <v>229</v>
      </c>
      <c r="V532" s="3">
        <v>0</v>
      </c>
      <c r="W532" s="3">
        <v>17</v>
      </c>
      <c r="X532" s="3">
        <v>0</v>
      </c>
      <c r="Y532" s="3">
        <v>28</v>
      </c>
      <c r="Z532" s="3">
        <v>16</v>
      </c>
    </row>
    <row r="533" spans="1:26">
      <c r="A533" s="94" t="str">
        <f t="shared" si="9"/>
        <v>20191109VTCH</v>
      </c>
      <c r="B533" s="3">
        <v>2019</v>
      </c>
      <c r="C533" s="3">
        <v>11</v>
      </c>
      <c r="D533" s="3">
        <v>20191109</v>
      </c>
      <c r="E533" s="3" t="s">
        <v>144</v>
      </c>
      <c r="F533" s="3" t="s">
        <v>117</v>
      </c>
      <c r="G533" s="3" t="s">
        <v>146</v>
      </c>
      <c r="H533" s="3">
        <v>48</v>
      </c>
      <c r="I533" s="3">
        <v>228</v>
      </c>
      <c r="J533" s="3">
        <v>23</v>
      </c>
      <c r="K533" s="3">
        <v>242</v>
      </c>
      <c r="L533" s="3">
        <v>48</v>
      </c>
      <c r="M533" s="3">
        <v>91</v>
      </c>
      <c r="N533" s="3">
        <v>2</v>
      </c>
      <c r="O533" s="3">
        <v>36</v>
      </c>
      <c r="P533" s="3" t="s">
        <v>21</v>
      </c>
      <c r="Q533" s="3" t="s">
        <v>146</v>
      </c>
      <c r="R533" s="3">
        <v>29</v>
      </c>
      <c r="S533" s="3">
        <v>63</v>
      </c>
      <c r="T533" s="3">
        <v>36</v>
      </c>
      <c r="U533" s="3">
        <v>238</v>
      </c>
      <c r="V533" s="3">
        <v>12</v>
      </c>
      <c r="W533" s="3">
        <v>0</v>
      </c>
      <c r="X533" s="3">
        <v>2</v>
      </c>
      <c r="Y533" s="3">
        <v>17</v>
      </c>
      <c r="Z533" s="3">
        <v>1.5</v>
      </c>
    </row>
    <row r="534" spans="1:26">
      <c r="A534" s="94" t="str">
        <f t="shared" si="9"/>
        <v>20191109WIS</v>
      </c>
      <c r="B534" s="3">
        <v>2019</v>
      </c>
      <c r="C534" s="3">
        <v>11</v>
      </c>
      <c r="D534" s="3">
        <v>20191109</v>
      </c>
      <c r="E534" s="3" t="s">
        <v>144</v>
      </c>
      <c r="F534" s="3" t="s">
        <v>35</v>
      </c>
      <c r="G534" s="3" t="s">
        <v>152</v>
      </c>
      <c r="H534" s="3">
        <v>44</v>
      </c>
      <c r="I534" s="3">
        <v>302</v>
      </c>
      <c r="J534" s="3">
        <v>25</v>
      </c>
      <c r="K534" s="3">
        <v>173</v>
      </c>
      <c r="L534" s="3">
        <v>0</v>
      </c>
      <c r="M534" s="3">
        <v>69</v>
      </c>
      <c r="N534" s="3">
        <v>1</v>
      </c>
      <c r="O534" s="3">
        <v>24</v>
      </c>
      <c r="P534" s="3" t="s">
        <v>62</v>
      </c>
      <c r="Q534" s="3" t="s">
        <v>152</v>
      </c>
      <c r="R534" s="3">
        <v>22</v>
      </c>
      <c r="S534" s="3">
        <v>88</v>
      </c>
      <c r="T534" s="3">
        <v>28</v>
      </c>
      <c r="U534" s="3">
        <v>208</v>
      </c>
      <c r="V534" s="3">
        <v>0</v>
      </c>
      <c r="W534" s="3">
        <v>22</v>
      </c>
      <c r="X534" s="3">
        <v>2</v>
      </c>
      <c r="Y534" s="3">
        <v>22</v>
      </c>
      <c r="Z534" s="3">
        <v>8.5</v>
      </c>
    </row>
    <row r="535" spans="1:26">
      <c r="A535" s="94" t="str">
        <f t="shared" si="9"/>
        <v>20191109WVA</v>
      </c>
      <c r="B535" s="3">
        <v>2019</v>
      </c>
      <c r="C535" s="3">
        <v>11</v>
      </c>
      <c r="D535" s="3">
        <v>20191109</v>
      </c>
      <c r="E535" s="3" t="s">
        <v>144</v>
      </c>
      <c r="F535" s="3" t="s">
        <v>133</v>
      </c>
      <c r="G535" s="3" t="s">
        <v>209</v>
      </c>
      <c r="H535" s="3">
        <v>18</v>
      </c>
      <c r="I535" s="3">
        <v>51</v>
      </c>
      <c r="J535" s="3">
        <v>61</v>
      </c>
      <c r="K535" s="3">
        <v>498</v>
      </c>
      <c r="L535" s="3">
        <v>0</v>
      </c>
      <c r="M535" s="3">
        <v>53</v>
      </c>
      <c r="N535" s="3">
        <v>0</v>
      </c>
      <c r="O535" s="3">
        <v>17</v>
      </c>
      <c r="P535" s="3" t="s">
        <v>131</v>
      </c>
      <c r="Q535" s="3" t="s">
        <v>209</v>
      </c>
      <c r="R535" s="3">
        <v>42</v>
      </c>
      <c r="S535" s="3">
        <v>127</v>
      </c>
      <c r="T535" s="3">
        <v>34</v>
      </c>
      <c r="U535" s="3">
        <v>354</v>
      </c>
      <c r="V535" s="3">
        <v>13</v>
      </c>
      <c r="W535" s="3">
        <v>56</v>
      </c>
      <c r="X535" s="3">
        <v>4</v>
      </c>
      <c r="Y535" s="3">
        <v>38</v>
      </c>
      <c r="Z535" s="3">
        <v>2.5</v>
      </c>
    </row>
    <row r="536" spans="1:26">
      <c r="A536" s="94" t="str">
        <f t="shared" si="9"/>
        <v>20191109UTSA</v>
      </c>
      <c r="B536" s="3">
        <v>2019</v>
      </c>
      <c r="C536" s="3">
        <v>11</v>
      </c>
      <c r="D536" s="3">
        <v>20191109</v>
      </c>
      <c r="E536" s="3" t="s">
        <v>211</v>
      </c>
      <c r="F536" s="3" t="s">
        <v>206</v>
      </c>
      <c r="G536" s="3" t="s">
        <v>153</v>
      </c>
      <c r="H536" s="3">
        <v>44</v>
      </c>
      <c r="I536" s="3">
        <v>179</v>
      </c>
      <c r="J536" s="3">
        <v>24</v>
      </c>
      <c r="K536" s="3">
        <v>240</v>
      </c>
      <c r="L536" s="3">
        <v>8</v>
      </c>
      <c r="M536" s="3">
        <v>94</v>
      </c>
      <c r="N536" s="3">
        <v>2</v>
      </c>
      <c r="O536" s="3">
        <v>24</v>
      </c>
      <c r="P536" s="3" t="s">
        <v>68</v>
      </c>
      <c r="Q536" s="3" t="s">
        <v>153</v>
      </c>
      <c r="R536" s="3">
        <v>32</v>
      </c>
      <c r="S536" s="3">
        <v>82</v>
      </c>
      <c r="T536" s="3">
        <v>30</v>
      </c>
      <c r="U536" s="3">
        <v>289</v>
      </c>
      <c r="V536" s="3">
        <v>6</v>
      </c>
      <c r="W536" s="3">
        <v>28</v>
      </c>
      <c r="X536" s="3">
        <v>1</v>
      </c>
      <c r="Y536" s="3">
        <v>23</v>
      </c>
      <c r="Z536" s="3">
        <v>3</v>
      </c>
    </row>
    <row r="537" spans="1:26">
      <c r="A537" s="94" t="str">
        <f t="shared" si="9"/>
        <v>20191109LIB</v>
      </c>
      <c r="B537" s="3">
        <v>2019</v>
      </c>
      <c r="C537" s="3">
        <v>11</v>
      </c>
      <c r="D537" s="3">
        <v>20191109</v>
      </c>
      <c r="E537" s="3" t="s">
        <v>211</v>
      </c>
      <c r="F537" s="3" t="s">
        <v>205</v>
      </c>
      <c r="G537" s="3" t="s">
        <v>53</v>
      </c>
      <c r="H537" s="3">
        <v>30</v>
      </c>
      <c r="I537" s="3">
        <v>128</v>
      </c>
      <c r="J537" s="3">
        <v>46</v>
      </c>
      <c r="K537" s="3">
        <v>303</v>
      </c>
      <c r="L537" s="3">
        <v>0</v>
      </c>
      <c r="M537" s="3">
        <v>62</v>
      </c>
      <c r="N537" s="3">
        <v>2</v>
      </c>
      <c r="O537" s="3">
        <v>24</v>
      </c>
      <c r="P537" s="3" t="s">
        <v>43</v>
      </c>
      <c r="Q537" s="3" t="s">
        <v>53</v>
      </c>
      <c r="R537" s="3">
        <v>36</v>
      </c>
      <c r="S537" s="3">
        <v>165</v>
      </c>
      <c r="T537" s="3">
        <v>34</v>
      </c>
      <c r="U537" s="3">
        <v>306</v>
      </c>
      <c r="V537" s="3">
        <v>2</v>
      </c>
      <c r="W537" s="3">
        <v>0</v>
      </c>
      <c r="X537" s="3">
        <v>0</v>
      </c>
      <c r="Y537" s="3">
        <v>31</v>
      </c>
      <c r="Z537" s="3">
        <v>17</v>
      </c>
    </row>
    <row r="538" spans="1:26">
      <c r="A538" s="94" t="str">
        <f t="shared" si="9"/>
        <v>20191109MAS</v>
      </c>
      <c r="B538" s="3">
        <v>2019</v>
      </c>
      <c r="C538" s="3">
        <v>11</v>
      </c>
      <c r="D538" s="3">
        <v>20191109</v>
      </c>
      <c r="E538" s="3" t="s">
        <v>211</v>
      </c>
      <c r="F538" s="3" t="s">
        <v>207</v>
      </c>
      <c r="G538" s="3" t="s">
        <v>53</v>
      </c>
      <c r="H538" s="3">
        <v>26</v>
      </c>
      <c r="I538" s="3">
        <v>26</v>
      </c>
      <c r="J538" s="3">
        <v>22</v>
      </c>
      <c r="K538" s="3">
        <v>99</v>
      </c>
      <c r="L538" s="3">
        <v>0</v>
      </c>
      <c r="M538" s="3">
        <v>182</v>
      </c>
      <c r="N538" s="3">
        <v>1</v>
      </c>
      <c r="O538" s="3">
        <v>7</v>
      </c>
      <c r="P538" s="3" t="s">
        <v>28</v>
      </c>
      <c r="Q538" s="3" t="s">
        <v>53</v>
      </c>
      <c r="R538" s="3">
        <v>78</v>
      </c>
      <c r="S538" s="3">
        <v>498</v>
      </c>
      <c r="T538" s="3">
        <v>6</v>
      </c>
      <c r="U538" s="3">
        <v>48</v>
      </c>
      <c r="V538" s="3">
        <v>8</v>
      </c>
      <c r="W538" s="3">
        <v>0</v>
      </c>
      <c r="X538" s="3">
        <v>2</v>
      </c>
      <c r="Y538" s="3">
        <v>63</v>
      </c>
      <c r="Z538" s="3">
        <v>35</v>
      </c>
    </row>
    <row r="539" spans="1:26">
      <c r="A539" s="94" t="str">
        <f t="shared" si="9"/>
        <v>20191112AKRON</v>
      </c>
      <c r="B539" s="3">
        <v>2019</v>
      </c>
      <c r="C539" s="3">
        <v>12</v>
      </c>
      <c r="D539" s="3">
        <v>20191112</v>
      </c>
      <c r="E539" s="3" t="s">
        <v>144</v>
      </c>
      <c r="F539" s="3" t="s">
        <v>118</v>
      </c>
      <c r="G539" s="3" t="s">
        <v>149</v>
      </c>
      <c r="H539" s="3">
        <v>23</v>
      </c>
      <c r="I539" s="3">
        <v>54</v>
      </c>
      <c r="J539" s="3">
        <v>33</v>
      </c>
      <c r="K539" s="3">
        <v>288</v>
      </c>
      <c r="L539" s="3">
        <v>0</v>
      </c>
      <c r="M539" s="3">
        <v>108</v>
      </c>
      <c r="N539" s="3">
        <v>0</v>
      </c>
      <c r="O539" s="3">
        <v>14</v>
      </c>
      <c r="P539" s="3" t="s">
        <v>29</v>
      </c>
      <c r="Q539" s="3" t="s">
        <v>149</v>
      </c>
      <c r="R539" s="3">
        <v>42</v>
      </c>
      <c r="S539" s="3">
        <v>252</v>
      </c>
      <c r="T539" s="3">
        <v>25</v>
      </c>
      <c r="U539" s="3">
        <v>246</v>
      </c>
      <c r="V539" s="3">
        <v>0</v>
      </c>
      <c r="W539" s="3">
        <v>8</v>
      </c>
      <c r="X539" s="3">
        <v>1</v>
      </c>
      <c r="Y539" s="3">
        <v>42</v>
      </c>
      <c r="Z539" s="3">
        <v>17</v>
      </c>
    </row>
    <row r="540" spans="1:26">
      <c r="A540" s="94" t="str">
        <f t="shared" si="9"/>
        <v>20191112OHU</v>
      </c>
      <c r="B540" s="3">
        <v>2019</v>
      </c>
      <c r="C540" s="3">
        <v>12</v>
      </c>
      <c r="D540" s="3">
        <v>20191112</v>
      </c>
      <c r="E540" s="3" t="s">
        <v>144</v>
      </c>
      <c r="F540" s="3" t="s">
        <v>83</v>
      </c>
      <c r="G540" s="3" t="s">
        <v>149</v>
      </c>
      <c r="H540" s="3">
        <v>35</v>
      </c>
      <c r="I540" s="3">
        <v>216</v>
      </c>
      <c r="J540" s="3">
        <v>29</v>
      </c>
      <c r="K540" s="3">
        <v>225</v>
      </c>
      <c r="L540" s="3">
        <v>0</v>
      </c>
      <c r="M540" s="3">
        <v>120</v>
      </c>
      <c r="N540" s="3">
        <v>0</v>
      </c>
      <c r="O540" s="3">
        <v>34</v>
      </c>
      <c r="P540" s="3" t="s">
        <v>37</v>
      </c>
      <c r="Q540" s="3" t="s">
        <v>149</v>
      </c>
      <c r="R540" s="3">
        <v>49</v>
      </c>
      <c r="S540" s="3">
        <v>155</v>
      </c>
      <c r="T540" s="3">
        <v>34</v>
      </c>
      <c r="U540" s="3">
        <v>322</v>
      </c>
      <c r="V540" s="3">
        <v>0</v>
      </c>
      <c r="W540" s="3">
        <v>19</v>
      </c>
      <c r="X540" s="3">
        <v>1</v>
      </c>
      <c r="Y540" s="3">
        <v>37</v>
      </c>
      <c r="Z540" s="3">
        <v>1</v>
      </c>
    </row>
    <row r="541" spans="1:26">
      <c r="A541" s="94" t="str">
        <f t="shared" si="9"/>
        <v>20191113MIAO</v>
      </c>
      <c r="B541" s="3">
        <v>2019</v>
      </c>
      <c r="C541" s="3">
        <v>12</v>
      </c>
      <c r="D541" s="3">
        <v>20191113</v>
      </c>
      <c r="E541" s="3" t="s">
        <v>144</v>
      </c>
      <c r="F541" s="3" t="s">
        <v>71</v>
      </c>
      <c r="G541" s="3" t="s">
        <v>149</v>
      </c>
      <c r="H541" s="3">
        <v>36</v>
      </c>
      <c r="I541" s="3">
        <v>187</v>
      </c>
      <c r="J541" s="3">
        <v>16</v>
      </c>
      <c r="K541" s="3">
        <v>238</v>
      </c>
      <c r="L541" s="3">
        <v>14</v>
      </c>
      <c r="M541" s="3">
        <v>27</v>
      </c>
      <c r="N541" s="3">
        <v>3</v>
      </c>
      <c r="O541" s="3">
        <v>44</v>
      </c>
      <c r="P541" s="3" t="s">
        <v>87</v>
      </c>
      <c r="Q541" s="3" t="s">
        <v>149</v>
      </c>
      <c r="R541" s="3">
        <v>45</v>
      </c>
      <c r="S541" s="3">
        <v>185</v>
      </c>
      <c r="T541" s="3">
        <v>27</v>
      </c>
      <c r="U541" s="3">
        <v>90</v>
      </c>
      <c r="V541" s="3">
        <v>25</v>
      </c>
      <c r="W541" s="3">
        <v>82</v>
      </c>
      <c r="X541" s="3">
        <v>2</v>
      </c>
      <c r="Y541" s="3">
        <v>3</v>
      </c>
      <c r="Z541" s="3">
        <v>18</v>
      </c>
    </row>
    <row r="542" spans="1:26">
      <c r="A542" s="94" t="str">
        <f t="shared" si="9"/>
        <v>20191113TOL</v>
      </c>
      <c r="B542" s="3">
        <v>2019</v>
      </c>
      <c r="C542" s="3">
        <v>12</v>
      </c>
      <c r="D542" s="3">
        <v>20191113</v>
      </c>
      <c r="E542" s="3" t="s">
        <v>144</v>
      </c>
      <c r="F542" s="3" t="s">
        <v>103</v>
      </c>
      <c r="G542" s="3" t="s">
        <v>149</v>
      </c>
      <c r="H542" s="3">
        <v>38</v>
      </c>
      <c r="I542" s="3">
        <v>208</v>
      </c>
      <c r="J542" s="3">
        <v>38</v>
      </c>
      <c r="K542" s="3">
        <v>300</v>
      </c>
      <c r="L542" s="3">
        <v>0</v>
      </c>
      <c r="M542" s="3">
        <v>42</v>
      </c>
      <c r="N542" s="3">
        <v>0</v>
      </c>
      <c r="O542" s="3">
        <v>28</v>
      </c>
      <c r="P542" s="3" t="s">
        <v>63</v>
      </c>
      <c r="Q542" s="3" t="s">
        <v>149</v>
      </c>
      <c r="R542" s="3">
        <v>44</v>
      </c>
      <c r="S542" s="3">
        <v>222</v>
      </c>
      <c r="T542" s="3">
        <v>29</v>
      </c>
      <c r="U542" s="3">
        <v>222</v>
      </c>
      <c r="V542" s="3">
        <v>0</v>
      </c>
      <c r="W542" s="3">
        <v>0</v>
      </c>
      <c r="X542" s="3">
        <v>2</v>
      </c>
      <c r="Y542" s="3">
        <v>31</v>
      </c>
      <c r="Z542" s="3">
        <v>2</v>
      </c>
    </row>
    <row r="543" spans="1:26">
      <c r="A543" s="94" t="str">
        <f t="shared" si="9"/>
        <v>20191114KEST</v>
      </c>
      <c r="B543" s="3">
        <v>2019</v>
      </c>
      <c r="C543" s="3">
        <v>12</v>
      </c>
      <c r="D543" s="3">
        <v>20191114</v>
      </c>
      <c r="E543" s="3" t="s">
        <v>144</v>
      </c>
      <c r="F543" s="3" t="s">
        <v>61</v>
      </c>
      <c r="G543" s="3" t="s">
        <v>149</v>
      </c>
      <c r="H543" s="3">
        <v>40</v>
      </c>
      <c r="I543" s="3">
        <v>119</v>
      </c>
      <c r="J543" s="3">
        <v>25</v>
      </c>
      <c r="K543" s="3">
        <v>165</v>
      </c>
      <c r="L543" s="3">
        <v>39</v>
      </c>
      <c r="M543" s="3">
        <v>158</v>
      </c>
      <c r="N543" s="3">
        <v>1</v>
      </c>
      <c r="O543" s="3">
        <v>30</v>
      </c>
      <c r="P543" s="3" t="s">
        <v>47</v>
      </c>
      <c r="Q543" s="3" t="s">
        <v>149</v>
      </c>
      <c r="R543" s="3">
        <v>51</v>
      </c>
      <c r="S543" s="3">
        <v>245</v>
      </c>
      <c r="T543" s="3">
        <v>22</v>
      </c>
      <c r="U543" s="3">
        <v>134</v>
      </c>
      <c r="V543" s="3">
        <v>7</v>
      </c>
      <c r="W543" s="3">
        <v>43</v>
      </c>
      <c r="X543" s="3">
        <v>1</v>
      </c>
      <c r="Y543" s="3">
        <v>27</v>
      </c>
      <c r="Z543" s="3">
        <v>6</v>
      </c>
    </row>
    <row r="544" spans="1:26">
      <c r="A544" s="94" t="str">
        <f t="shared" si="9"/>
        <v>20191114PIT</v>
      </c>
      <c r="B544" s="3">
        <v>2019</v>
      </c>
      <c r="C544" s="3">
        <v>12</v>
      </c>
      <c r="D544" s="3">
        <v>20191114</v>
      </c>
      <c r="E544" s="3" t="s">
        <v>144</v>
      </c>
      <c r="F544" s="3" t="s">
        <v>88</v>
      </c>
      <c r="G544" s="3" t="s">
        <v>146</v>
      </c>
      <c r="H544" s="3">
        <v>37</v>
      </c>
      <c r="I544" s="3">
        <v>139</v>
      </c>
      <c r="J544" s="3">
        <v>41</v>
      </c>
      <c r="K544" s="3">
        <v>359</v>
      </c>
      <c r="L544" s="3">
        <v>7</v>
      </c>
      <c r="M544" s="3">
        <v>36</v>
      </c>
      <c r="N544" s="3">
        <v>1</v>
      </c>
      <c r="O544" s="3">
        <v>34</v>
      </c>
      <c r="P544" s="3" t="s">
        <v>49</v>
      </c>
      <c r="Q544" s="3" t="s">
        <v>146</v>
      </c>
      <c r="R544" s="3">
        <v>35</v>
      </c>
      <c r="S544" s="3">
        <v>136</v>
      </c>
      <c r="T544" s="3">
        <v>43</v>
      </c>
      <c r="U544" s="3">
        <v>322</v>
      </c>
      <c r="V544" s="3">
        <v>0</v>
      </c>
      <c r="W544" s="3">
        <v>86</v>
      </c>
      <c r="X544" s="3">
        <v>0</v>
      </c>
      <c r="Y544" s="3">
        <v>27</v>
      </c>
      <c r="Z544" s="3">
        <v>4</v>
      </c>
    </row>
    <row r="545" spans="1:26">
      <c r="A545" s="94" t="str">
        <f t="shared" si="9"/>
        <v>20191115MRSH</v>
      </c>
      <c r="B545" s="3">
        <v>2019</v>
      </c>
      <c r="C545" s="3">
        <v>12</v>
      </c>
      <c r="D545" s="3">
        <v>20191115</v>
      </c>
      <c r="E545" s="3" t="s">
        <v>144</v>
      </c>
      <c r="F545" s="3" t="s">
        <v>72</v>
      </c>
      <c r="G545" s="3" t="s">
        <v>153</v>
      </c>
      <c r="H545" s="3">
        <v>45</v>
      </c>
      <c r="I545" s="3">
        <v>192</v>
      </c>
      <c r="J545" s="3">
        <v>26</v>
      </c>
      <c r="K545" s="3">
        <v>213</v>
      </c>
      <c r="L545" s="3">
        <v>27</v>
      </c>
      <c r="M545" s="3">
        <v>17</v>
      </c>
      <c r="N545" s="3">
        <v>2</v>
      </c>
      <c r="O545" s="3">
        <v>31</v>
      </c>
      <c r="P545" s="3" t="s">
        <v>95</v>
      </c>
      <c r="Q545" s="3" t="s">
        <v>153</v>
      </c>
      <c r="R545" s="3">
        <v>33</v>
      </c>
      <c r="S545" s="3">
        <v>67</v>
      </c>
      <c r="T545" s="3">
        <v>38</v>
      </c>
      <c r="U545" s="3">
        <v>194</v>
      </c>
      <c r="V545" s="3">
        <v>0</v>
      </c>
      <c r="W545" s="3">
        <v>73</v>
      </c>
      <c r="X545" s="3">
        <v>1</v>
      </c>
      <c r="Y545" s="3">
        <v>10</v>
      </c>
      <c r="Z545" s="3">
        <v>6.5</v>
      </c>
    </row>
    <row r="546" spans="1:26">
      <c r="A546" s="94" t="str">
        <f t="shared" si="9"/>
        <v>20191115SDST</v>
      </c>
      <c r="B546" s="3">
        <v>2019</v>
      </c>
      <c r="C546" s="3">
        <v>12</v>
      </c>
      <c r="D546" s="3">
        <v>20191115</v>
      </c>
      <c r="E546" s="3" t="s">
        <v>144</v>
      </c>
      <c r="F546" s="3" t="s">
        <v>34</v>
      </c>
      <c r="G546" s="3" t="s">
        <v>148</v>
      </c>
      <c r="H546" s="3">
        <v>37</v>
      </c>
      <c r="I546" s="3">
        <v>102</v>
      </c>
      <c r="J546" s="3">
        <v>47</v>
      </c>
      <c r="K546" s="3">
        <v>323</v>
      </c>
      <c r="L546" s="3">
        <v>0</v>
      </c>
      <c r="M546" s="3">
        <v>26</v>
      </c>
      <c r="N546" s="3">
        <v>3</v>
      </c>
      <c r="O546" s="3">
        <v>17</v>
      </c>
      <c r="P546" s="3" t="s">
        <v>55</v>
      </c>
      <c r="Q546" s="3" t="s">
        <v>148</v>
      </c>
      <c r="R546" s="3">
        <v>27</v>
      </c>
      <c r="S546" s="3">
        <v>70</v>
      </c>
      <c r="T546" s="3">
        <v>26</v>
      </c>
      <c r="U546" s="3">
        <v>136</v>
      </c>
      <c r="V546" s="3">
        <v>0</v>
      </c>
      <c r="W546" s="3">
        <v>42</v>
      </c>
      <c r="X546" s="3">
        <v>2</v>
      </c>
      <c r="Y546" s="3">
        <v>7</v>
      </c>
      <c r="Z546" s="3">
        <v>1.5</v>
      </c>
    </row>
    <row r="547" spans="1:26">
      <c r="A547" s="94" t="str">
        <f t="shared" si="9"/>
        <v>20191116AKST</v>
      </c>
      <c r="B547" s="3">
        <v>2019</v>
      </c>
      <c r="C547" s="3">
        <v>12</v>
      </c>
      <c r="D547" s="3">
        <v>20191116</v>
      </c>
      <c r="E547" s="3" t="s">
        <v>144</v>
      </c>
      <c r="F547" s="3" t="s">
        <v>40</v>
      </c>
      <c r="G547" s="3" t="s">
        <v>145</v>
      </c>
      <c r="H547" s="3">
        <v>22</v>
      </c>
      <c r="I547" s="3">
        <v>71</v>
      </c>
      <c r="J547" s="3">
        <v>35</v>
      </c>
      <c r="K547" s="3">
        <v>297</v>
      </c>
      <c r="L547" s="3">
        <v>110</v>
      </c>
      <c r="M547" s="3">
        <v>10</v>
      </c>
      <c r="N547" s="3">
        <v>3</v>
      </c>
      <c r="O547" s="3">
        <v>28</v>
      </c>
      <c r="P547" s="3" t="s">
        <v>97</v>
      </c>
      <c r="Q547" s="3" t="s">
        <v>145</v>
      </c>
      <c r="R547" s="3">
        <v>58</v>
      </c>
      <c r="S547" s="3">
        <v>233</v>
      </c>
      <c r="T547" s="3">
        <v>32</v>
      </c>
      <c r="U547" s="3">
        <v>179</v>
      </c>
      <c r="V547" s="3">
        <v>49</v>
      </c>
      <c r="W547" s="3">
        <v>6</v>
      </c>
      <c r="X547" s="3">
        <v>5</v>
      </c>
      <c r="Y547" s="3">
        <v>27</v>
      </c>
      <c r="Z547" s="3">
        <v>11</v>
      </c>
    </row>
    <row r="548" spans="1:26">
      <c r="A548" s="94" t="str">
        <f t="shared" si="9"/>
        <v>20191116AUB</v>
      </c>
      <c r="B548" s="3">
        <v>2019</v>
      </c>
      <c r="C548" s="3">
        <v>12</v>
      </c>
      <c r="D548" s="3">
        <v>20191116</v>
      </c>
      <c r="E548" s="3" t="s">
        <v>144</v>
      </c>
      <c r="F548" s="3" t="s">
        <v>120</v>
      </c>
      <c r="G548" s="3" t="s">
        <v>147</v>
      </c>
      <c r="H548" s="3">
        <v>35</v>
      </c>
      <c r="I548" s="3">
        <v>87</v>
      </c>
      <c r="J548" s="3">
        <v>49</v>
      </c>
      <c r="K548" s="3">
        <v>242</v>
      </c>
      <c r="L548" s="3">
        <v>44</v>
      </c>
      <c r="M548" s="3">
        <v>0</v>
      </c>
      <c r="N548" s="3">
        <v>0</v>
      </c>
      <c r="O548" s="3">
        <v>14</v>
      </c>
      <c r="P548" s="3" t="s">
        <v>56</v>
      </c>
      <c r="Q548" s="3" t="s">
        <v>147</v>
      </c>
      <c r="R548" s="3">
        <v>33</v>
      </c>
      <c r="S548" s="3">
        <v>145</v>
      </c>
      <c r="T548" s="3">
        <v>27</v>
      </c>
      <c r="U548" s="3">
        <v>110</v>
      </c>
      <c r="V548" s="3">
        <v>0</v>
      </c>
      <c r="W548" s="3">
        <v>20</v>
      </c>
      <c r="X548" s="3">
        <v>1</v>
      </c>
      <c r="Y548" s="3">
        <v>21</v>
      </c>
      <c r="Z548" s="3">
        <v>3</v>
      </c>
    </row>
    <row r="549" spans="1:26">
      <c r="A549" s="94" t="str">
        <f t="shared" si="9"/>
        <v>20191116BALL</v>
      </c>
      <c r="B549" s="3">
        <v>2019</v>
      </c>
      <c r="C549" s="3">
        <v>12</v>
      </c>
      <c r="D549" s="3">
        <v>20191116</v>
      </c>
      <c r="E549" s="3" t="s">
        <v>144</v>
      </c>
      <c r="F549" s="3" t="s">
        <v>12</v>
      </c>
      <c r="G549" s="3" t="s">
        <v>149</v>
      </c>
      <c r="H549" s="3">
        <v>47</v>
      </c>
      <c r="I549" s="3">
        <v>231</v>
      </c>
      <c r="J549" s="3">
        <v>25</v>
      </c>
      <c r="K549" s="3">
        <v>268</v>
      </c>
      <c r="L549" s="3">
        <v>0</v>
      </c>
      <c r="M549" s="3">
        <v>143</v>
      </c>
      <c r="N549" s="3">
        <v>3</v>
      </c>
      <c r="O549" s="3">
        <v>44</v>
      </c>
      <c r="P549" s="3" t="s">
        <v>67</v>
      </c>
      <c r="Q549" s="3" t="s">
        <v>149</v>
      </c>
      <c r="R549" s="3">
        <v>38</v>
      </c>
      <c r="S549" s="3">
        <v>145</v>
      </c>
      <c r="T549" s="3">
        <v>38</v>
      </c>
      <c r="U549" s="3">
        <v>356</v>
      </c>
      <c r="V549" s="3">
        <v>20</v>
      </c>
      <c r="W549" s="3">
        <v>193</v>
      </c>
      <c r="X549" s="3">
        <v>1</v>
      </c>
      <c r="Y549" s="3">
        <v>45</v>
      </c>
      <c r="Z549" s="3">
        <v>2</v>
      </c>
    </row>
    <row r="550" spans="1:26">
      <c r="A550" s="94" t="str">
        <f t="shared" si="9"/>
        <v>20191116BAY</v>
      </c>
      <c r="B550" s="3">
        <v>2019</v>
      </c>
      <c r="C550" s="3">
        <v>12</v>
      </c>
      <c r="D550" s="3">
        <v>20191116</v>
      </c>
      <c r="E550" s="3" t="s">
        <v>144</v>
      </c>
      <c r="F550" s="3" t="s">
        <v>45</v>
      </c>
      <c r="G550" s="3" t="s">
        <v>209</v>
      </c>
      <c r="H550" s="3">
        <v>23</v>
      </c>
      <c r="I550" s="3">
        <v>113</v>
      </c>
      <c r="J550" s="3">
        <v>29</v>
      </c>
      <c r="K550" s="3">
        <v>194</v>
      </c>
      <c r="L550" s="3">
        <v>0</v>
      </c>
      <c r="M550" s="3">
        <v>76</v>
      </c>
      <c r="N550" s="3">
        <v>3</v>
      </c>
      <c r="O550" s="3">
        <v>31</v>
      </c>
      <c r="P550" s="3" t="s">
        <v>84</v>
      </c>
      <c r="Q550" s="3" t="s">
        <v>209</v>
      </c>
      <c r="R550" s="3">
        <v>52</v>
      </c>
      <c r="S550" s="3">
        <v>228</v>
      </c>
      <c r="T550" s="3">
        <v>43</v>
      </c>
      <c r="U550" s="3">
        <v>297</v>
      </c>
      <c r="V550" s="3">
        <v>0</v>
      </c>
      <c r="W550" s="3">
        <v>77</v>
      </c>
      <c r="X550" s="3">
        <v>2</v>
      </c>
      <c r="Y550" s="3">
        <v>34</v>
      </c>
      <c r="Z550" s="3">
        <v>9.5</v>
      </c>
    </row>
    <row r="551" spans="1:26">
      <c r="A551" s="94" t="str">
        <f t="shared" si="9"/>
        <v>20191116BOIS</v>
      </c>
      <c r="B551" s="3">
        <v>2019</v>
      </c>
      <c r="C551" s="3">
        <v>12</v>
      </c>
      <c r="D551" s="3">
        <v>20191116</v>
      </c>
      <c r="E551" s="3" t="s">
        <v>144</v>
      </c>
      <c r="F551" s="3" t="s">
        <v>105</v>
      </c>
      <c r="G551" s="3" t="s">
        <v>148</v>
      </c>
      <c r="H551" s="3">
        <v>37</v>
      </c>
      <c r="I551" s="3">
        <v>215</v>
      </c>
      <c r="J551" s="3">
        <v>29</v>
      </c>
      <c r="K551" s="3">
        <v>294</v>
      </c>
      <c r="L551" s="3">
        <v>26</v>
      </c>
      <c r="M551" s="3">
        <v>53</v>
      </c>
      <c r="N551" s="3">
        <v>2</v>
      </c>
      <c r="O551" s="3">
        <v>42</v>
      </c>
      <c r="P551" s="3" t="s">
        <v>76</v>
      </c>
      <c r="Q551" s="3" t="s">
        <v>148</v>
      </c>
      <c r="R551" s="3">
        <v>45</v>
      </c>
      <c r="S551" s="3">
        <v>117</v>
      </c>
      <c r="T551" s="3">
        <v>21</v>
      </c>
      <c r="U551" s="3">
        <v>175</v>
      </c>
      <c r="V551" s="3">
        <v>1</v>
      </c>
      <c r="W551" s="3">
        <v>60</v>
      </c>
      <c r="X551" s="3">
        <v>2</v>
      </c>
      <c r="Y551" s="3">
        <v>9</v>
      </c>
      <c r="Z551" s="3">
        <v>28</v>
      </c>
    </row>
    <row r="552" spans="1:26">
      <c r="A552" s="94" t="str">
        <f t="shared" si="9"/>
        <v>20191116CAL</v>
      </c>
      <c r="B552" s="3">
        <v>2019</v>
      </c>
      <c r="C552" s="3">
        <v>12</v>
      </c>
      <c r="D552" s="3">
        <v>20191116</v>
      </c>
      <c r="E552" s="3" t="s">
        <v>144</v>
      </c>
      <c r="F552" s="3" t="s">
        <v>48</v>
      </c>
      <c r="G552" s="3" t="s">
        <v>151</v>
      </c>
      <c r="H552" s="3">
        <v>29</v>
      </c>
      <c r="I552" s="3">
        <v>135</v>
      </c>
      <c r="J552" s="3">
        <v>32</v>
      </c>
      <c r="K552" s="3">
        <v>128</v>
      </c>
      <c r="L552" s="3">
        <v>19</v>
      </c>
      <c r="M552" s="3">
        <v>40</v>
      </c>
      <c r="N552" s="3">
        <v>1</v>
      </c>
      <c r="O552" s="3">
        <v>17</v>
      </c>
      <c r="P552" s="3" t="s">
        <v>108</v>
      </c>
      <c r="Q552" s="3" t="s">
        <v>151</v>
      </c>
      <c r="R552" s="3">
        <v>27</v>
      </c>
      <c r="S552" s="3">
        <v>56</v>
      </c>
      <c r="T552" s="3">
        <v>35</v>
      </c>
      <c r="U552" s="3">
        <v>406</v>
      </c>
      <c r="V552" s="3">
        <v>20</v>
      </c>
      <c r="W552" s="3">
        <v>28</v>
      </c>
      <c r="X552" s="3">
        <v>2</v>
      </c>
      <c r="Y552" s="3">
        <v>41</v>
      </c>
      <c r="Z552" s="3">
        <v>6.5</v>
      </c>
    </row>
    <row r="553" spans="1:26">
      <c r="A553" s="94" t="str">
        <f t="shared" si="9"/>
        <v>20191116CLEM</v>
      </c>
      <c r="B553" s="3">
        <v>2019</v>
      </c>
      <c r="C553" s="3">
        <v>12</v>
      </c>
      <c r="D553" s="3">
        <v>20191116</v>
      </c>
      <c r="E553" s="3" t="s">
        <v>144</v>
      </c>
      <c r="F553" s="3" t="s">
        <v>51</v>
      </c>
      <c r="G553" s="3" t="s">
        <v>146</v>
      </c>
      <c r="H553" s="3">
        <v>38</v>
      </c>
      <c r="I553" s="3">
        <v>168</v>
      </c>
      <c r="J553" s="3">
        <v>35</v>
      </c>
      <c r="K553" s="3">
        <v>348</v>
      </c>
      <c r="L553" s="3">
        <v>61</v>
      </c>
      <c r="M553" s="3">
        <v>51</v>
      </c>
      <c r="N553" s="3">
        <v>2</v>
      </c>
      <c r="O553" s="3">
        <v>52</v>
      </c>
      <c r="P553" s="3" t="s">
        <v>21</v>
      </c>
      <c r="Q553" s="3" t="s">
        <v>146</v>
      </c>
      <c r="R553" s="3">
        <v>37</v>
      </c>
      <c r="S553" s="3">
        <v>64</v>
      </c>
      <c r="T553" s="3">
        <v>14</v>
      </c>
      <c r="U553" s="3">
        <v>41</v>
      </c>
      <c r="V553" s="3">
        <v>0</v>
      </c>
      <c r="W553" s="3">
        <v>33</v>
      </c>
      <c r="X553" s="3">
        <v>1</v>
      </c>
      <c r="Y553" s="3">
        <v>3</v>
      </c>
      <c r="Z553" s="3">
        <v>34.5</v>
      </c>
    </row>
    <row r="554" spans="1:26">
      <c r="A554" s="94" t="str">
        <f t="shared" si="9"/>
        <v>20191116COST</v>
      </c>
      <c r="B554" s="3">
        <v>2019</v>
      </c>
      <c r="C554" s="3">
        <v>12</v>
      </c>
      <c r="D554" s="3">
        <v>20191116</v>
      </c>
      <c r="E554" s="3" t="s">
        <v>144</v>
      </c>
      <c r="F554" s="3" t="s">
        <v>7</v>
      </c>
      <c r="G554" s="3" t="s">
        <v>148</v>
      </c>
      <c r="H554" s="3">
        <v>31</v>
      </c>
      <c r="I554" s="3">
        <v>39</v>
      </c>
      <c r="J554" s="3">
        <v>43</v>
      </c>
      <c r="K554" s="3">
        <v>347</v>
      </c>
      <c r="L554" s="3">
        <v>2</v>
      </c>
      <c r="M554" s="3">
        <v>54</v>
      </c>
      <c r="N554" s="3">
        <v>2</v>
      </c>
      <c r="O554" s="3">
        <v>21</v>
      </c>
      <c r="P554" s="3" t="s">
        <v>39</v>
      </c>
      <c r="Q554" s="3" t="s">
        <v>148</v>
      </c>
      <c r="R554" s="3">
        <v>50</v>
      </c>
      <c r="S554" s="3">
        <v>227</v>
      </c>
      <c r="T554" s="3">
        <v>11</v>
      </c>
      <c r="U554" s="3">
        <v>126</v>
      </c>
      <c r="V554" s="3">
        <v>0</v>
      </c>
      <c r="W554" s="3">
        <v>0</v>
      </c>
      <c r="X554" s="3">
        <v>2</v>
      </c>
      <c r="Y554" s="3">
        <v>38</v>
      </c>
      <c r="Z554" s="3">
        <v>10.5</v>
      </c>
    </row>
    <row r="555" spans="1:26">
      <c r="A555" s="94" t="str">
        <f t="shared" si="9"/>
        <v>20191116DUKE</v>
      </c>
      <c r="B555" s="3">
        <v>2019</v>
      </c>
      <c r="C555" s="3">
        <v>12</v>
      </c>
      <c r="D555" s="3">
        <v>20191116</v>
      </c>
      <c r="E555" s="3" t="s">
        <v>144</v>
      </c>
      <c r="F555" s="3" t="s">
        <v>27</v>
      </c>
      <c r="G555" s="3" t="s">
        <v>146</v>
      </c>
      <c r="H555" s="3">
        <v>42</v>
      </c>
      <c r="I555" s="3">
        <v>112</v>
      </c>
      <c r="J555" s="3">
        <v>37</v>
      </c>
      <c r="K555" s="3">
        <v>157</v>
      </c>
      <c r="L555" s="3">
        <v>0</v>
      </c>
      <c r="M555" s="3">
        <v>73</v>
      </c>
      <c r="N555" s="3">
        <v>0</v>
      </c>
      <c r="O555" s="3">
        <v>6</v>
      </c>
      <c r="P555" s="3" t="s">
        <v>38</v>
      </c>
      <c r="Q555" s="3" t="s">
        <v>146</v>
      </c>
      <c r="R555" s="3">
        <v>42</v>
      </c>
      <c r="S555" s="3">
        <v>288</v>
      </c>
      <c r="T555" s="3">
        <v>16</v>
      </c>
      <c r="U555" s="3">
        <v>109</v>
      </c>
      <c r="V555" s="3">
        <v>3</v>
      </c>
      <c r="W555" s="3">
        <v>34</v>
      </c>
      <c r="X555" s="3">
        <v>2</v>
      </c>
      <c r="Y555" s="3">
        <v>49</v>
      </c>
      <c r="Z555" s="3">
        <v>10</v>
      </c>
    </row>
    <row r="556" spans="1:26">
      <c r="A556" s="94" t="str">
        <f t="shared" si="9"/>
        <v>20191116GAST</v>
      </c>
      <c r="B556" s="3">
        <v>2019</v>
      </c>
      <c r="C556" s="3">
        <v>12</v>
      </c>
      <c r="D556" s="3">
        <v>20191116</v>
      </c>
      <c r="E556" s="3" t="s">
        <v>144</v>
      </c>
      <c r="F556" s="3" t="s">
        <v>15</v>
      </c>
      <c r="G556" s="3" t="s">
        <v>145</v>
      </c>
      <c r="H556" s="3">
        <v>31</v>
      </c>
      <c r="I556" s="3">
        <v>186</v>
      </c>
      <c r="J556" s="3">
        <v>32</v>
      </c>
      <c r="K556" s="3">
        <v>138</v>
      </c>
      <c r="L556" s="3">
        <v>0</v>
      </c>
      <c r="M556" s="3">
        <v>9</v>
      </c>
      <c r="N556" s="3">
        <v>1</v>
      </c>
      <c r="O556" s="3">
        <v>27</v>
      </c>
      <c r="P556" s="3" t="s">
        <v>90</v>
      </c>
      <c r="Q556" s="3" t="s">
        <v>145</v>
      </c>
      <c r="R556" s="3">
        <v>46</v>
      </c>
      <c r="S556" s="3">
        <v>280</v>
      </c>
      <c r="T556" s="3">
        <v>34</v>
      </c>
      <c r="U556" s="3">
        <v>273</v>
      </c>
      <c r="V556" s="3">
        <v>34</v>
      </c>
      <c r="W556" s="3">
        <v>5</v>
      </c>
      <c r="X556" s="3">
        <v>3</v>
      </c>
      <c r="Y556" s="3">
        <v>56</v>
      </c>
      <c r="Z556" s="3">
        <v>17</v>
      </c>
    </row>
    <row r="557" spans="1:26">
      <c r="A557" s="94" t="str">
        <f t="shared" si="9"/>
        <v>20191116GSOU</v>
      </c>
      <c r="B557" s="3">
        <v>2019</v>
      </c>
      <c r="C557" s="3">
        <v>12</v>
      </c>
      <c r="D557" s="3">
        <v>20191116</v>
      </c>
      <c r="E557" s="3" t="s">
        <v>144</v>
      </c>
      <c r="F557" s="3" t="s">
        <v>57</v>
      </c>
      <c r="G557" s="3" t="s">
        <v>145</v>
      </c>
      <c r="H557" s="3">
        <v>52</v>
      </c>
      <c r="I557" s="3">
        <v>245</v>
      </c>
      <c r="J557" s="3">
        <v>10</v>
      </c>
      <c r="K557" s="3">
        <v>80</v>
      </c>
      <c r="L557" s="3">
        <v>42</v>
      </c>
      <c r="M557" s="3">
        <v>0</v>
      </c>
      <c r="N557" s="3">
        <v>3</v>
      </c>
      <c r="O557" s="3">
        <v>51</v>
      </c>
      <c r="P557" s="3" t="s">
        <v>25</v>
      </c>
      <c r="Q557" s="3" t="s">
        <v>145</v>
      </c>
      <c r="R557" s="3">
        <v>31</v>
      </c>
      <c r="S557" s="3">
        <v>85</v>
      </c>
      <c r="T557" s="3">
        <v>36</v>
      </c>
      <c r="U557" s="3">
        <v>285</v>
      </c>
      <c r="V557" s="3">
        <v>0</v>
      </c>
      <c r="W557" s="3">
        <v>2</v>
      </c>
      <c r="X557" s="3">
        <v>0</v>
      </c>
      <c r="Y557" s="3">
        <v>29</v>
      </c>
      <c r="Z557" s="3">
        <v>7</v>
      </c>
    </row>
    <row r="558" spans="1:26">
      <c r="A558" s="94" t="str">
        <f t="shared" si="9"/>
        <v>20191116GTCH</v>
      </c>
      <c r="B558" s="3">
        <v>2019</v>
      </c>
      <c r="C558" s="3">
        <v>12</v>
      </c>
      <c r="D558" s="3">
        <v>20191116</v>
      </c>
      <c r="E558" s="3" t="s">
        <v>144</v>
      </c>
      <c r="F558" s="3" t="s">
        <v>58</v>
      </c>
      <c r="G558" s="3" t="s">
        <v>146</v>
      </c>
      <c r="H558" s="3">
        <v>31</v>
      </c>
      <c r="I558" s="3">
        <v>53</v>
      </c>
      <c r="J558" s="3">
        <v>25</v>
      </c>
      <c r="K558" s="3">
        <v>81</v>
      </c>
      <c r="L558" s="3">
        <v>18</v>
      </c>
      <c r="M558" s="3">
        <v>92</v>
      </c>
      <c r="N558" s="3">
        <v>0</v>
      </c>
      <c r="O558" s="3">
        <v>0</v>
      </c>
      <c r="P558" s="3" t="s">
        <v>117</v>
      </c>
      <c r="Q558" s="3" t="s">
        <v>146</v>
      </c>
      <c r="R558" s="3">
        <v>43</v>
      </c>
      <c r="S558" s="3">
        <v>244</v>
      </c>
      <c r="T558" s="3">
        <v>16</v>
      </c>
      <c r="U558" s="3">
        <v>223</v>
      </c>
      <c r="V558" s="3">
        <v>34</v>
      </c>
      <c r="W558" s="3">
        <v>0</v>
      </c>
      <c r="X558" s="3">
        <v>2</v>
      </c>
      <c r="Y558" s="3">
        <v>45</v>
      </c>
      <c r="Z558" s="3">
        <v>6.5</v>
      </c>
    </row>
    <row r="559" spans="1:26">
      <c r="A559" s="94" t="str">
        <f t="shared" si="9"/>
        <v>20191116HOU</v>
      </c>
      <c r="B559" s="3">
        <v>2019</v>
      </c>
      <c r="C559" s="3">
        <v>12</v>
      </c>
      <c r="D559" s="3">
        <v>20191116</v>
      </c>
      <c r="E559" s="3" t="s">
        <v>144</v>
      </c>
      <c r="F559" s="3" t="s">
        <v>91</v>
      </c>
      <c r="G559" s="3" t="s">
        <v>150</v>
      </c>
      <c r="H559" s="3">
        <v>20</v>
      </c>
      <c r="I559" s="3">
        <v>99</v>
      </c>
      <c r="J559" s="3">
        <v>22</v>
      </c>
      <c r="K559" s="3">
        <v>157</v>
      </c>
      <c r="L559" s="3">
        <v>64</v>
      </c>
      <c r="M559" s="3">
        <v>26</v>
      </c>
      <c r="N559" s="3">
        <v>1</v>
      </c>
      <c r="O559" s="3">
        <v>27</v>
      </c>
      <c r="P559" s="3" t="s">
        <v>70</v>
      </c>
      <c r="Q559" s="3" t="s">
        <v>150</v>
      </c>
      <c r="R559" s="3">
        <v>39</v>
      </c>
      <c r="S559" s="3">
        <v>164</v>
      </c>
      <c r="T559" s="3">
        <v>35</v>
      </c>
      <c r="U559" s="3">
        <v>367</v>
      </c>
      <c r="V559" s="3">
        <v>40</v>
      </c>
      <c r="W559" s="3">
        <v>1</v>
      </c>
      <c r="X559" s="3">
        <v>1</v>
      </c>
      <c r="Y559" s="3">
        <v>45</v>
      </c>
      <c r="Z559" s="3">
        <v>10.5</v>
      </c>
    </row>
    <row r="560" spans="1:26">
      <c r="A560" s="94" t="str">
        <f t="shared" si="9"/>
        <v>20191116IOWA</v>
      </c>
      <c r="B560" s="3">
        <v>2019</v>
      </c>
      <c r="C560" s="3">
        <v>12</v>
      </c>
      <c r="D560" s="3">
        <v>20191116</v>
      </c>
      <c r="E560" s="3" t="s">
        <v>144</v>
      </c>
      <c r="F560" s="3" t="s">
        <v>62</v>
      </c>
      <c r="G560" s="3" t="s">
        <v>152</v>
      </c>
      <c r="H560" s="3">
        <v>29</v>
      </c>
      <c r="I560" s="3">
        <v>123</v>
      </c>
      <c r="J560" s="3">
        <v>23</v>
      </c>
      <c r="K560" s="3">
        <v>173</v>
      </c>
      <c r="L560" s="3">
        <v>0</v>
      </c>
      <c r="M560" s="3">
        <v>25</v>
      </c>
      <c r="N560" s="3">
        <v>0</v>
      </c>
      <c r="O560" s="3">
        <v>23</v>
      </c>
      <c r="P560" s="3" t="s">
        <v>16</v>
      </c>
      <c r="Q560" s="3" t="s">
        <v>152</v>
      </c>
      <c r="R560" s="3">
        <v>30</v>
      </c>
      <c r="S560" s="3">
        <v>63</v>
      </c>
      <c r="T560" s="3">
        <v>39</v>
      </c>
      <c r="U560" s="3">
        <v>368</v>
      </c>
      <c r="V560" s="3">
        <v>11</v>
      </c>
      <c r="W560" s="3">
        <v>56</v>
      </c>
      <c r="X560" s="3">
        <v>0</v>
      </c>
      <c r="Y560" s="3">
        <v>19</v>
      </c>
      <c r="Z560" s="3">
        <v>3.5</v>
      </c>
    </row>
    <row r="561" spans="1:26">
      <c r="A561" s="94" t="str">
        <f t="shared" si="9"/>
        <v>20191116IWST</v>
      </c>
      <c r="B561" s="3">
        <v>2019</v>
      </c>
      <c r="C561" s="3">
        <v>12</v>
      </c>
      <c r="D561" s="3">
        <v>20191116</v>
      </c>
      <c r="E561" s="3" t="s">
        <v>144</v>
      </c>
      <c r="F561" s="3" t="s">
        <v>122</v>
      </c>
      <c r="G561" s="3" t="s">
        <v>209</v>
      </c>
      <c r="H561" s="3">
        <v>30</v>
      </c>
      <c r="I561" s="3">
        <v>112</v>
      </c>
      <c r="J561" s="3">
        <v>49</v>
      </c>
      <c r="K561" s="3">
        <v>354</v>
      </c>
      <c r="L561" s="3">
        <v>0</v>
      </c>
      <c r="M561" s="3">
        <v>0</v>
      </c>
      <c r="N561" s="3">
        <v>0</v>
      </c>
      <c r="O561" s="3">
        <v>23</v>
      </c>
      <c r="P561" s="3" t="s">
        <v>130</v>
      </c>
      <c r="Q561" s="3" t="s">
        <v>209</v>
      </c>
      <c r="R561" s="3">
        <v>26</v>
      </c>
      <c r="S561" s="3">
        <v>54</v>
      </c>
      <c r="T561" s="3">
        <v>40</v>
      </c>
      <c r="U561" s="3">
        <v>273</v>
      </c>
      <c r="V561" s="3">
        <v>5</v>
      </c>
      <c r="W561" s="3">
        <v>19</v>
      </c>
      <c r="X561" s="3">
        <v>1</v>
      </c>
      <c r="Y561" s="3">
        <v>21</v>
      </c>
      <c r="Z561" s="3">
        <v>5</v>
      </c>
    </row>
    <row r="562" spans="1:26">
      <c r="A562" s="94" t="str">
        <f t="shared" si="9"/>
        <v>20191116KAST</v>
      </c>
      <c r="B562" s="3">
        <v>2019</v>
      </c>
      <c r="C562" s="3">
        <v>12</v>
      </c>
      <c r="D562" s="3">
        <v>20191116</v>
      </c>
      <c r="E562" s="3" t="s">
        <v>144</v>
      </c>
      <c r="F562" s="3" t="s">
        <v>65</v>
      </c>
      <c r="G562" s="3" t="s">
        <v>209</v>
      </c>
      <c r="H562" s="3">
        <v>38</v>
      </c>
      <c r="I562" s="3">
        <v>122</v>
      </c>
      <c r="J562" s="3">
        <v>39</v>
      </c>
      <c r="K562" s="3">
        <v>299</v>
      </c>
      <c r="L562" s="3">
        <v>0</v>
      </c>
      <c r="M562" s="3">
        <v>31</v>
      </c>
      <c r="N562" s="3">
        <v>0</v>
      </c>
      <c r="O562" s="3">
        <v>20</v>
      </c>
      <c r="P562" s="3" t="s">
        <v>133</v>
      </c>
      <c r="Q562" s="3" t="s">
        <v>209</v>
      </c>
      <c r="R562" s="3">
        <v>27</v>
      </c>
      <c r="S562" s="3">
        <v>87</v>
      </c>
      <c r="T562" s="3">
        <v>30</v>
      </c>
      <c r="U562" s="3">
        <v>234</v>
      </c>
      <c r="V562" s="3">
        <v>7</v>
      </c>
      <c r="W562" s="3">
        <v>19</v>
      </c>
      <c r="X562" s="3">
        <v>2</v>
      </c>
      <c r="Y562" s="3">
        <v>24</v>
      </c>
      <c r="Z562" s="3">
        <v>13</v>
      </c>
    </row>
    <row r="563" spans="1:26">
      <c r="A563" s="94" t="str">
        <f t="shared" si="9"/>
        <v>20191116MICH</v>
      </c>
      <c r="B563" s="3">
        <v>2019</v>
      </c>
      <c r="C563" s="3">
        <v>12</v>
      </c>
      <c r="D563" s="3">
        <v>20191116</v>
      </c>
      <c r="E563" s="3" t="s">
        <v>144</v>
      </c>
      <c r="F563" s="3" t="s">
        <v>78</v>
      </c>
      <c r="G563" s="3" t="s">
        <v>152</v>
      </c>
      <c r="H563" s="3">
        <v>33</v>
      </c>
      <c r="I563" s="3">
        <v>86</v>
      </c>
      <c r="J563" s="3">
        <v>33</v>
      </c>
      <c r="K563" s="3">
        <v>384</v>
      </c>
      <c r="L563" s="3">
        <v>76</v>
      </c>
      <c r="M563" s="3">
        <v>30</v>
      </c>
      <c r="N563" s="3">
        <v>2</v>
      </c>
      <c r="O563" s="3">
        <v>44</v>
      </c>
      <c r="P563" s="3" t="s">
        <v>30</v>
      </c>
      <c r="Q563" s="3" t="s">
        <v>152</v>
      </c>
      <c r="R563" s="3">
        <v>30</v>
      </c>
      <c r="S563" s="3">
        <v>55</v>
      </c>
      <c r="T563" s="3">
        <v>30</v>
      </c>
      <c r="U563" s="3">
        <v>166</v>
      </c>
      <c r="V563" s="3">
        <v>0</v>
      </c>
      <c r="W563" s="3">
        <v>33</v>
      </c>
      <c r="X563" s="3">
        <v>1</v>
      </c>
      <c r="Y563" s="3">
        <v>10</v>
      </c>
      <c r="Z563" s="3">
        <v>14</v>
      </c>
    </row>
    <row r="564" spans="1:26">
      <c r="A564" s="94" t="str">
        <f t="shared" si="9"/>
        <v>20191116MIS</v>
      </c>
      <c r="B564" s="3">
        <v>2019</v>
      </c>
      <c r="C564" s="3">
        <v>12</v>
      </c>
      <c r="D564" s="3">
        <v>20191116</v>
      </c>
      <c r="E564" s="3" t="s">
        <v>144</v>
      </c>
      <c r="F564" s="3" t="s">
        <v>126</v>
      </c>
      <c r="G564" s="3" t="s">
        <v>147</v>
      </c>
      <c r="H564" s="3">
        <v>44</v>
      </c>
      <c r="I564" s="3">
        <v>402</v>
      </c>
      <c r="J564" s="3">
        <v>27</v>
      </c>
      <c r="K564" s="3">
        <v>212</v>
      </c>
      <c r="L564" s="3">
        <v>0</v>
      </c>
      <c r="M564" s="3">
        <v>30</v>
      </c>
      <c r="N564" s="3">
        <v>2</v>
      </c>
      <c r="O564" s="3">
        <v>37</v>
      </c>
      <c r="P564" s="3" t="s">
        <v>124</v>
      </c>
      <c r="Q564" s="3" t="s">
        <v>147</v>
      </c>
      <c r="R564" s="3">
        <v>38</v>
      </c>
      <c r="S564" s="3">
        <v>227</v>
      </c>
      <c r="T564" s="3">
        <v>42</v>
      </c>
      <c r="U564" s="3">
        <v>489</v>
      </c>
      <c r="V564" s="3">
        <v>0</v>
      </c>
      <c r="W564" s="3">
        <v>0</v>
      </c>
      <c r="X564" s="3">
        <v>1</v>
      </c>
      <c r="Y564" s="3">
        <v>58</v>
      </c>
      <c r="Z564" s="3">
        <v>21.5</v>
      </c>
    </row>
    <row r="565" spans="1:26">
      <c r="A565" s="94" t="str">
        <f t="shared" si="9"/>
        <v>20191116MIZ</v>
      </c>
      <c r="B565" s="3">
        <v>2019</v>
      </c>
      <c r="C565" s="3">
        <v>12</v>
      </c>
      <c r="D565" s="3">
        <v>20191116</v>
      </c>
      <c r="E565" s="3" t="s">
        <v>144</v>
      </c>
      <c r="F565" s="3" t="s">
        <v>73</v>
      </c>
      <c r="G565" s="3" t="s">
        <v>147</v>
      </c>
      <c r="H565" s="3">
        <v>29</v>
      </c>
      <c r="I565" s="3">
        <v>52</v>
      </c>
      <c r="J565" s="3">
        <v>39</v>
      </c>
      <c r="K565" s="3">
        <v>204</v>
      </c>
      <c r="L565" s="3">
        <v>8</v>
      </c>
      <c r="M565" s="3">
        <v>30</v>
      </c>
      <c r="N565" s="3">
        <v>0</v>
      </c>
      <c r="O565" s="3">
        <v>6</v>
      </c>
      <c r="P565" s="3" t="s">
        <v>54</v>
      </c>
      <c r="Q565" s="3" t="s">
        <v>147</v>
      </c>
      <c r="R565" s="3">
        <v>26</v>
      </c>
      <c r="S565" s="3">
        <v>56</v>
      </c>
      <c r="T565" s="3">
        <v>36</v>
      </c>
      <c r="U565" s="3">
        <v>330</v>
      </c>
      <c r="V565" s="3">
        <v>0</v>
      </c>
      <c r="W565" s="3">
        <v>0</v>
      </c>
      <c r="X565" s="3">
        <v>1</v>
      </c>
      <c r="Y565" s="3">
        <v>23</v>
      </c>
      <c r="Z565" s="3">
        <v>7</v>
      </c>
    </row>
    <row r="566" spans="1:26">
      <c r="A566" s="94" t="str">
        <f t="shared" si="9"/>
        <v>20191116MSST</v>
      </c>
      <c r="B566" s="3">
        <v>2019</v>
      </c>
      <c r="C566" s="3">
        <v>12</v>
      </c>
      <c r="D566" s="3">
        <v>20191116</v>
      </c>
      <c r="E566" s="3" t="s">
        <v>144</v>
      </c>
      <c r="F566" s="3" t="s">
        <v>74</v>
      </c>
      <c r="G566" s="3" t="s">
        <v>147</v>
      </c>
      <c r="H566" s="3">
        <v>37</v>
      </c>
      <c r="I566" s="3">
        <v>188</v>
      </c>
      <c r="J566" s="3">
        <v>21</v>
      </c>
      <c r="K566" s="3">
        <v>82</v>
      </c>
      <c r="L566" s="3">
        <v>0</v>
      </c>
      <c r="M566" s="3">
        <v>1</v>
      </c>
      <c r="N566" s="3">
        <v>0</v>
      </c>
      <c r="O566" s="3">
        <v>7</v>
      </c>
      <c r="P566" s="3" t="s">
        <v>119</v>
      </c>
      <c r="Q566" s="3" t="s">
        <v>147</v>
      </c>
      <c r="R566" s="3">
        <v>31</v>
      </c>
      <c r="S566" s="3">
        <v>160</v>
      </c>
      <c r="T566" s="3">
        <v>29</v>
      </c>
      <c r="U566" s="3">
        <v>350</v>
      </c>
      <c r="V566" s="3">
        <v>28</v>
      </c>
      <c r="W566" s="3">
        <v>0</v>
      </c>
      <c r="X566" s="3">
        <v>1</v>
      </c>
      <c r="Y566" s="3">
        <v>38</v>
      </c>
      <c r="Z566" s="3">
        <v>20.5</v>
      </c>
    </row>
    <row r="567" spans="1:26">
      <c r="A567" s="94" t="str">
        <f t="shared" si="9"/>
        <v>20191116MTEN</v>
      </c>
      <c r="B567" s="3">
        <v>2019</v>
      </c>
      <c r="C567" s="3">
        <v>12</v>
      </c>
      <c r="D567" s="3">
        <v>20191116</v>
      </c>
      <c r="E567" s="3" t="s">
        <v>144</v>
      </c>
      <c r="F567" s="3" t="s">
        <v>112</v>
      </c>
      <c r="G567" s="3" t="s">
        <v>153</v>
      </c>
      <c r="H567" s="3">
        <v>30</v>
      </c>
      <c r="I567" s="3">
        <v>120</v>
      </c>
      <c r="J567" s="3">
        <v>31</v>
      </c>
      <c r="K567" s="3">
        <v>338</v>
      </c>
      <c r="L567" s="3">
        <v>2</v>
      </c>
      <c r="M567" s="3">
        <v>17</v>
      </c>
      <c r="N567" s="3">
        <v>0</v>
      </c>
      <c r="O567" s="3">
        <v>28</v>
      </c>
      <c r="P567" s="3" t="s">
        <v>11</v>
      </c>
      <c r="Q567" s="3" t="s">
        <v>153</v>
      </c>
      <c r="R567" s="3">
        <v>41</v>
      </c>
      <c r="S567" s="3">
        <v>155</v>
      </c>
      <c r="T567" s="3">
        <v>23</v>
      </c>
      <c r="U567" s="3">
        <v>222</v>
      </c>
      <c r="V567" s="3">
        <v>0</v>
      </c>
      <c r="W567" s="3">
        <v>117</v>
      </c>
      <c r="X567" s="3">
        <v>2</v>
      </c>
      <c r="Y567" s="3">
        <v>31</v>
      </c>
      <c r="Z567" s="3">
        <v>11.5</v>
      </c>
    </row>
    <row r="568" spans="1:26">
      <c r="A568" s="94" t="str">
        <f t="shared" si="9"/>
        <v>20191116NCST</v>
      </c>
      <c r="B568" s="3">
        <v>2019</v>
      </c>
      <c r="C568" s="3">
        <v>12</v>
      </c>
      <c r="D568" s="3">
        <v>20191116</v>
      </c>
      <c r="E568" s="3" t="s">
        <v>144</v>
      </c>
      <c r="F568" s="3" t="s">
        <v>75</v>
      </c>
      <c r="G568" s="3" t="s">
        <v>146</v>
      </c>
      <c r="H568" s="3">
        <v>35</v>
      </c>
      <c r="I568" s="3">
        <v>134</v>
      </c>
      <c r="J568" s="3">
        <v>46</v>
      </c>
      <c r="K568" s="3">
        <v>243</v>
      </c>
      <c r="L568" s="3">
        <v>0</v>
      </c>
      <c r="M568" s="3">
        <v>82</v>
      </c>
      <c r="N568" s="3">
        <v>0</v>
      </c>
      <c r="O568" s="3">
        <v>20</v>
      </c>
      <c r="P568" s="3" t="s">
        <v>123</v>
      </c>
      <c r="Q568" s="3" t="s">
        <v>146</v>
      </c>
      <c r="R568" s="3">
        <v>39</v>
      </c>
      <c r="S568" s="3">
        <v>77</v>
      </c>
      <c r="T568" s="3">
        <v>21</v>
      </c>
      <c r="U568" s="3">
        <v>249</v>
      </c>
      <c r="V568" s="3">
        <v>21</v>
      </c>
      <c r="W568" s="3">
        <v>22</v>
      </c>
      <c r="X568" s="3">
        <v>3</v>
      </c>
      <c r="Y568" s="3">
        <v>34</v>
      </c>
      <c r="Z568" s="3">
        <v>4</v>
      </c>
    </row>
    <row r="569" spans="1:26">
      <c r="A569" s="94" t="str">
        <f t="shared" si="9"/>
        <v>20191116NEB</v>
      </c>
      <c r="B569" s="3">
        <v>2019</v>
      </c>
      <c r="C569" s="3">
        <v>12</v>
      </c>
      <c r="D569" s="3">
        <v>20191116</v>
      </c>
      <c r="E569" s="3" t="s">
        <v>144</v>
      </c>
      <c r="F569" s="3" t="s">
        <v>127</v>
      </c>
      <c r="G569" s="3" t="s">
        <v>152</v>
      </c>
      <c r="H569" s="3">
        <v>36</v>
      </c>
      <c r="I569" s="3">
        <v>277</v>
      </c>
      <c r="J569" s="3">
        <v>23</v>
      </c>
      <c r="K569" s="3">
        <v>220</v>
      </c>
      <c r="L569" s="3">
        <v>0</v>
      </c>
      <c r="M569" s="3">
        <v>26</v>
      </c>
      <c r="N569" s="3">
        <v>1</v>
      </c>
      <c r="O569" s="3">
        <v>21</v>
      </c>
      <c r="P569" s="3" t="s">
        <v>35</v>
      </c>
      <c r="Q569" s="3" t="s">
        <v>152</v>
      </c>
      <c r="R569" s="3">
        <v>43</v>
      </c>
      <c r="S569" s="3">
        <v>324</v>
      </c>
      <c r="T569" s="3">
        <v>21</v>
      </c>
      <c r="U569" s="3">
        <v>162</v>
      </c>
      <c r="V569" s="3">
        <v>1</v>
      </c>
      <c r="W569" s="3">
        <v>133</v>
      </c>
      <c r="X569" s="3">
        <v>1</v>
      </c>
      <c r="Y569" s="3">
        <v>37</v>
      </c>
      <c r="Z569" s="3">
        <v>15</v>
      </c>
    </row>
    <row r="570" spans="1:26">
      <c r="A570" s="94" t="str">
        <f t="shared" si="9"/>
        <v>20191116NOTD</v>
      </c>
      <c r="B570" s="3">
        <v>2019</v>
      </c>
      <c r="C570" s="3">
        <v>12</v>
      </c>
      <c r="D570" s="3">
        <v>20191116</v>
      </c>
      <c r="E570" s="3" t="s">
        <v>144</v>
      </c>
      <c r="F570" s="3" t="s">
        <v>77</v>
      </c>
      <c r="G570" s="3" t="s">
        <v>53</v>
      </c>
      <c r="H570" s="3">
        <v>31</v>
      </c>
      <c r="I570" s="3">
        <v>105</v>
      </c>
      <c r="J570" s="3">
        <v>22</v>
      </c>
      <c r="K570" s="3">
        <v>305</v>
      </c>
      <c r="L570" s="3">
        <v>9</v>
      </c>
      <c r="M570" s="3">
        <v>0</v>
      </c>
      <c r="N570" s="3">
        <v>4</v>
      </c>
      <c r="O570" s="3">
        <v>52</v>
      </c>
      <c r="P570" s="3" t="s">
        <v>59</v>
      </c>
      <c r="Q570" s="3" t="s">
        <v>150</v>
      </c>
      <c r="R570" s="3">
        <v>64</v>
      </c>
      <c r="S570" s="3">
        <v>281</v>
      </c>
      <c r="T570" s="3">
        <v>13</v>
      </c>
      <c r="U570" s="3">
        <v>79</v>
      </c>
      <c r="V570" s="3">
        <v>0</v>
      </c>
      <c r="W570" s="3">
        <v>30</v>
      </c>
      <c r="X570" s="3">
        <v>0</v>
      </c>
      <c r="Y570" s="3">
        <v>20</v>
      </c>
      <c r="Z570" s="3">
        <v>10</v>
      </c>
    </row>
    <row r="571" spans="1:26">
      <c r="A571" s="94" t="str">
        <f t="shared" si="9"/>
        <v>20191116OKST</v>
      </c>
      <c r="B571" s="3">
        <v>2019</v>
      </c>
      <c r="C571" s="3">
        <v>12</v>
      </c>
      <c r="D571" s="3">
        <v>20191116</v>
      </c>
      <c r="E571" s="3" t="s">
        <v>144</v>
      </c>
      <c r="F571" s="3" t="s">
        <v>26</v>
      </c>
      <c r="G571" s="3" t="s">
        <v>209</v>
      </c>
      <c r="H571" s="3">
        <v>43</v>
      </c>
      <c r="I571" s="3">
        <v>248</v>
      </c>
      <c r="J571" s="3">
        <v>24</v>
      </c>
      <c r="K571" s="3">
        <v>238</v>
      </c>
      <c r="L571" s="3">
        <v>7</v>
      </c>
      <c r="M571" s="3">
        <v>36</v>
      </c>
      <c r="N571" s="3">
        <v>3</v>
      </c>
      <c r="O571" s="3">
        <v>31</v>
      </c>
      <c r="P571" s="3" t="s">
        <v>64</v>
      </c>
      <c r="Q571" s="3" t="s">
        <v>209</v>
      </c>
      <c r="R571" s="3">
        <v>24</v>
      </c>
      <c r="S571" s="3">
        <v>39</v>
      </c>
      <c r="T571" s="3">
        <v>46</v>
      </c>
      <c r="U571" s="3">
        <v>251</v>
      </c>
      <c r="V571" s="3">
        <v>6</v>
      </c>
      <c r="W571" s="3">
        <v>36</v>
      </c>
      <c r="X571" s="3">
        <v>0</v>
      </c>
      <c r="Y571" s="3">
        <v>13</v>
      </c>
      <c r="Z571" s="3">
        <v>17.5</v>
      </c>
    </row>
    <row r="572" spans="1:26">
      <c r="A572" s="94" t="str">
        <f t="shared" si="9"/>
        <v>20191116ORE</v>
      </c>
      <c r="B572" s="3">
        <v>2019</v>
      </c>
      <c r="C572" s="3">
        <v>12</v>
      </c>
      <c r="D572" s="3">
        <v>20191116</v>
      </c>
      <c r="E572" s="3" t="s">
        <v>144</v>
      </c>
      <c r="F572" s="3" t="s">
        <v>86</v>
      </c>
      <c r="G572" s="3" t="s">
        <v>151</v>
      </c>
      <c r="H572" s="3">
        <v>39</v>
      </c>
      <c r="I572" s="3">
        <v>138</v>
      </c>
      <c r="J572" s="3">
        <v>28</v>
      </c>
      <c r="K572" s="3">
        <v>333</v>
      </c>
      <c r="L572" s="3">
        <v>2</v>
      </c>
      <c r="M572" s="3">
        <v>0</v>
      </c>
      <c r="N572" s="3">
        <v>0</v>
      </c>
      <c r="O572" s="3">
        <v>34</v>
      </c>
      <c r="P572" s="3" t="s">
        <v>42</v>
      </c>
      <c r="Q572" s="3" t="s">
        <v>151</v>
      </c>
      <c r="R572" s="3">
        <v>39</v>
      </c>
      <c r="S572" s="3">
        <v>108</v>
      </c>
      <c r="T572" s="3">
        <v>30</v>
      </c>
      <c r="U572" s="3">
        <v>132</v>
      </c>
      <c r="V572" s="3">
        <v>4</v>
      </c>
      <c r="W572" s="3">
        <v>94</v>
      </c>
      <c r="X572" s="3">
        <v>1</v>
      </c>
      <c r="Y572" s="3">
        <v>6</v>
      </c>
      <c r="Z572" s="3">
        <v>27.5</v>
      </c>
    </row>
    <row r="573" spans="1:26">
      <c r="A573" s="94" t="str">
        <f t="shared" si="9"/>
        <v>20191116ORST</v>
      </c>
      <c r="B573" s="3">
        <v>2019</v>
      </c>
      <c r="C573" s="3">
        <v>12</v>
      </c>
      <c r="D573" s="3">
        <v>20191116</v>
      </c>
      <c r="E573" s="3" t="s">
        <v>144</v>
      </c>
      <c r="F573" s="3" t="s">
        <v>82</v>
      </c>
      <c r="G573" s="3" t="s">
        <v>151</v>
      </c>
      <c r="H573" s="3">
        <v>38</v>
      </c>
      <c r="I573" s="3">
        <v>107</v>
      </c>
      <c r="J573" s="3">
        <v>35</v>
      </c>
      <c r="K573" s="3">
        <v>288</v>
      </c>
      <c r="L573" s="3">
        <v>0</v>
      </c>
      <c r="M573" s="3">
        <v>114</v>
      </c>
      <c r="N573" s="3">
        <v>2</v>
      </c>
      <c r="O573" s="3">
        <v>35</v>
      </c>
      <c r="P573" s="3" t="s">
        <v>44</v>
      </c>
      <c r="Q573" s="3" t="s">
        <v>151</v>
      </c>
      <c r="R573" s="3">
        <v>25</v>
      </c>
      <c r="S573" s="3">
        <v>74</v>
      </c>
      <c r="T573" s="3">
        <v>36</v>
      </c>
      <c r="U573" s="3">
        <v>334</v>
      </c>
      <c r="V573" s="3">
        <v>76</v>
      </c>
      <c r="W573" s="3">
        <v>113</v>
      </c>
      <c r="X573" s="3">
        <v>1</v>
      </c>
      <c r="Y573" s="3">
        <v>34</v>
      </c>
      <c r="Z573" s="3">
        <v>1.5</v>
      </c>
    </row>
    <row r="574" spans="1:26">
      <c r="A574" s="94" t="str">
        <f t="shared" si="9"/>
        <v>20191116PNST</v>
      </c>
      <c r="B574" s="3">
        <v>2019</v>
      </c>
      <c r="C574" s="3">
        <v>12</v>
      </c>
      <c r="D574" s="3">
        <v>20191116</v>
      </c>
      <c r="E574" s="3" t="s">
        <v>144</v>
      </c>
      <c r="F574" s="3" t="s">
        <v>89</v>
      </c>
      <c r="G574" s="3" t="s">
        <v>152</v>
      </c>
      <c r="H574" s="3">
        <v>45</v>
      </c>
      <c r="I574" s="3">
        <v>192</v>
      </c>
      <c r="J574" s="3">
        <v>23</v>
      </c>
      <c r="K574" s="3">
        <v>179</v>
      </c>
      <c r="L574" s="3">
        <v>0</v>
      </c>
      <c r="M574" s="3">
        <v>60</v>
      </c>
      <c r="N574" s="3">
        <v>2</v>
      </c>
      <c r="O574" s="3">
        <v>34</v>
      </c>
      <c r="P574" s="3" t="s">
        <v>53</v>
      </c>
      <c r="Q574" s="3" t="s">
        <v>152</v>
      </c>
      <c r="R574" s="3">
        <v>31</v>
      </c>
      <c r="S574" s="3">
        <v>91</v>
      </c>
      <c r="T574" s="3">
        <v>41</v>
      </c>
      <c r="U574" s="3">
        <v>371</v>
      </c>
      <c r="V574" s="3">
        <v>3</v>
      </c>
      <c r="W574" s="3">
        <v>28</v>
      </c>
      <c r="X574" s="3">
        <v>1</v>
      </c>
      <c r="Y574" s="3">
        <v>27</v>
      </c>
      <c r="Z574" s="3">
        <v>14</v>
      </c>
    </row>
    <row r="575" spans="1:26">
      <c r="A575" s="94" t="str">
        <f t="shared" si="9"/>
        <v>20191116RUT</v>
      </c>
      <c r="B575" s="3">
        <v>2019</v>
      </c>
      <c r="C575" s="3">
        <v>12</v>
      </c>
      <c r="D575" s="3">
        <v>20191116</v>
      </c>
      <c r="E575" s="3" t="s">
        <v>144</v>
      </c>
      <c r="F575" s="3" t="s">
        <v>92</v>
      </c>
      <c r="G575" s="3" t="s">
        <v>152</v>
      </c>
      <c r="H575" s="3">
        <v>40</v>
      </c>
      <c r="I575" s="3">
        <v>110</v>
      </c>
      <c r="J575" s="3">
        <v>26</v>
      </c>
      <c r="K575" s="3">
        <v>121</v>
      </c>
      <c r="L575" s="3">
        <v>76</v>
      </c>
      <c r="M575" s="3">
        <v>7</v>
      </c>
      <c r="N575" s="3">
        <v>2</v>
      </c>
      <c r="O575" s="3">
        <v>21</v>
      </c>
      <c r="P575" s="3" t="s">
        <v>81</v>
      </c>
      <c r="Q575" s="3" t="s">
        <v>152</v>
      </c>
      <c r="R575" s="3">
        <v>44</v>
      </c>
      <c r="S575" s="3">
        <v>217</v>
      </c>
      <c r="T575" s="3">
        <v>34</v>
      </c>
      <c r="U575" s="3">
        <v>377</v>
      </c>
      <c r="V575" s="3">
        <v>33</v>
      </c>
      <c r="W575" s="3">
        <v>14</v>
      </c>
      <c r="X575" s="3">
        <v>3</v>
      </c>
      <c r="Y575" s="3">
        <v>56</v>
      </c>
      <c r="Z575" s="3">
        <v>50.5</v>
      </c>
    </row>
    <row r="576" spans="1:26">
      <c r="A576" s="94" t="str">
        <f t="shared" si="9"/>
        <v>20191116SALA</v>
      </c>
      <c r="B576" s="3">
        <v>2019</v>
      </c>
      <c r="C576" s="3">
        <v>12</v>
      </c>
      <c r="D576" s="3">
        <v>20191116</v>
      </c>
      <c r="E576" s="3" t="s">
        <v>144</v>
      </c>
      <c r="F576" s="3" t="s">
        <v>94</v>
      </c>
      <c r="G576" s="3" t="s">
        <v>145</v>
      </c>
      <c r="H576" s="3">
        <v>50</v>
      </c>
      <c r="I576" s="3">
        <v>351</v>
      </c>
      <c r="J576" s="3">
        <v>15</v>
      </c>
      <c r="K576" s="3">
        <v>116</v>
      </c>
      <c r="L576" s="3">
        <v>0</v>
      </c>
      <c r="M576" s="3">
        <v>115</v>
      </c>
      <c r="N576" s="3">
        <v>0</v>
      </c>
      <c r="O576" s="3">
        <v>27</v>
      </c>
      <c r="P576" s="3" t="s">
        <v>69</v>
      </c>
      <c r="Q576" s="3" t="s">
        <v>145</v>
      </c>
      <c r="R576" s="3">
        <v>45</v>
      </c>
      <c r="S576" s="3">
        <v>255</v>
      </c>
      <c r="T576" s="3">
        <v>29</v>
      </c>
      <c r="U576" s="3">
        <v>136</v>
      </c>
      <c r="V576" s="3">
        <v>72</v>
      </c>
      <c r="W576" s="3">
        <v>105</v>
      </c>
      <c r="X576" s="3">
        <v>1</v>
      </c>
      <c r="Y576" s="3">
        <v>37</v>
      </c>
      <c r="Z576" s="3">
        <v>25</v>
      </c>
    </row>
    <row r="577" spans="1:26">
      <c r="A577" s="94" t="str">
        <f t="shared" si="9"/>
        <v>20191116SFL</v>
      </c>
      <c r="B577" s="3">
        <v>2019</v>
      </c>
      <c r="C577" s="3">
        <v>12</v>
      </c>
      <c r="D577" s="3">
        <v>20191116</v>
      </c>
      <c r="E577" s="3" t="s">
        <v>144</v>
      </c>
      <c r="F577" s="3" t="s">
        <v>98</v>
      </c>
      <c r="G577" s="3" t="s">
        <v>150</v>
      </c>
      <c r="H577" s="3">
        <v>47</v>
      </c>
      <c r="I577" s="3">
        <v>171</v>
      </c>
      <c r="J577" s="3">
        <v>27</v>
      </c>
      <c r="K577" s="3">
        <v>267</v>
      </c>
      <c r="L577" s="3">
        <v>12</v>
      </c>
      <c r="M577" s="3">
        <v>11</v>
      </c>
      <c r="N577" s="3">
        <v>1</v>
      </c>
      <c r="O577" s="3">
        <v>17</v>
      </c>
      <c r="P577" s="3" t="s">
        <v>107</v>
      </c>
      <c r="Q577" s="3" t="s">
        <v>150</v>
      </c>
      <c r="R577" s="3">
        <v>48</v>
      </c>
      <c r="S577" s="3">
        <v>200</v>
      </c>
      <c r="T577" s="3">
        <v>18</v>
      </c>
      <c r="U577" s="3">
        <v>78</v>
      </c>
      <c r="V577" s="3">
        <v>26</v>
      </c>
      <c r="W577" s="3">
        <v>96</v>
      </c>
      <c r="X577" s="3">
        <v>1</v>
      </c>
      <c r="Y577" s="3">
        <v>20</v>
      </c>
      <c r="Z577" s="3">
        <v>12</v>
      </c>
    </row>
    <row r="578" spans="1:26">
      <c r="A578" s="94" t="str">
        <f t="shared" si="9"/>
        <v>20191116TEM</v>
      </c>
      <c r="B578" s="3">
        <v>2019</v>
      </c>
      <c r="C578" s="3">
        <v>12</v>
      </c>
      <c r="D578" s="3">
        <v>20191116</v>
      </c>
      <c r="E578" s="3" t="s">
        <v>144</v>
      </c>
      <c r="F578" s="3" t="s">
        <v>101</v>
      </c>
      <c r="G578" s="3" t="s">
        <v>150</v>
      </c>
      <c r="H578" s="3">
        <v>24</v>
      </c>
      <c r="I578" s="3">
        <v>109</v>
      </c>
      <c r="J578" s="3">
        <v>44</v>
      </c>
      <c r="K578" s="3">
        <v>297</v>
      </c>
      <c r="L578" s="3">
        <v>0</v>
      </c>
      <c r="M578" s="3">
        <v>54</v>
      </c>
      <c r="N578" s="3">
        <v>3</v>
      </c>
      <c r="O578" s="3">
        <v>29</v>
      </c>
      <c r="P578" s="3" t="s">
        <v>20</v>
      </c>
      <c r="Q578" s="3" t="s">
        <v>150</v>
      </c>
      <c r="R578" s="3">
        <v>54</v>
      </c>
      <c r="S578" s="3">
        <v>203</v>
      </c>
      <c r="T578" s="3">
        <v>30</v>
      </c>
      <c r="U578" s="3">
        <v>130</v>
      </c>
      <c r="V578" s="3">
        <v>1</v>
      </c>
      <c r="W578" s="3">
        <v>119</v>
      </c>
      <c r="X578" s="3">
        <v>1</v>
      </c>
      <c r="Y578" s="3">
        <v>21</v>
      </c>
      <c r="Z578" s="3">
        <v>4.5</v>
      </c>
    </row>
    <row r="579" spans="1:26">
      <c r="A579" s="94" t="str">
        <f t="shared" si="9"/>
        <v>20191116TXAM</v>
      </c>
      <c r="B579" s="3">
        <v>2019</v>
      </c>
      <c r="C579" s="3">
        <v>12</v>
      </c>
      <c r="D579" s="3">
        <v>20191116</v>
      </c>
      <c r="E579" s="3" t="s">
        <v>144</v>
      </c>
      <c r="F579" s="3" t="s">
        <v>22</v>
      </c>
      <c r="G579" s="3" t="s">
        <v>147</v>
      </c>
      <c r="H579" s="3">
        <v>46</v>
      </c>
      <c r="I579" s="3">
        <v>319</v>
      </c>
      <c r="J579" s="3">
        <v>33</v>
      </c>
      <c r="K579" s="3">
        <v>221</v>
      </c>
      <c r="L579" s="3">
        <v>53</v>
      </c>
      <c r="M579" s="3">
        <v>24</v>
      </c>
      <c r="N579" s="3">
        <v>0</v>
      </c>
      <c r="O579" s="3">
        <v>30</v>
      </c>
      <c r="P579" s="3" t="s">
        <v>96</v>
      </c>
      <c r="Q579" s="3" t="s">
        <v>147</v>
      </c>
      <c r="R579" s="3">
        <v>17</v>
      </c>
      <c r="S579" s="3">
        <v>45</v>
      </c>
      <c r="T579" s="3">
        <v>46</v>
      </c>
      <c r="U579" s="3">
        <v>215</v>
      </c>
      <c r="V579" s="3">
        <v>0</v>
      </c>
      <c r="W579" s="3">
        <v>74</v>
      </c>
      <c r="X579" s="3">
        <v>1</v>
      </c>
      <c r="Y579" s="3">
        <v>6</v>
      </c>
      <c r="Z579" s="3">
        <v>11.5</v>
      </c>
    </row>
    <row r="580" spans="1:26">
      <c r="A580" s="94" t="str">
        <f t="shared" si="9"/>
        <v>20191116TXST</v>
      </c>
      <c r="B580" s="3">
        <v>2019</v>
      </c>
      <c r="C580" s="3">
        <v>12</v>
      </c>
      <c r="D580" s="3">
        <v>20191116</v>
      </c>
      <c r="E580" s="3" t="s">
        <v>144</v>
      </c>
      <c r="F580" s="3" t="s">
        <v>93</v>
      </c>
      <c r="G580" s="3" t="s">
        <v>145</v>
      </c>
      <c r="H580" s="3">
        <v>27</v>
      </c>
      <c r="I580" s="3">
        <v>153</v>
      </c>
      <c r="J580" s="3">
        <v>44</v>
      </c>
      <c r="K580" s="3">
        <v>263</v>
      </c>
      <c r="L580" s="3">
        <v>99</v>
      </c>
      <c r="M580" s="3">
        <v>26</v>
      </c>
      <c r="N580" s="3">
        <v>0</v>
      </c>
      <c r="O580" s="3">
        <v>27</v>
      </c>
      <c r="P580" s="3" t="s">
        <v>104</v>
      </c>
      <c r="Q580" s="3" t="s">
        <v>145</v>
      </c>
      <c r="R580" s="3">
        <v>32</v>
      </c>
      <c r="S580" s="3">
        <v>103</v>
      </c>
      <c r="T580" s="3">
        <v>46</v>
      </c>
      <c r="U580" s="3">
        <v>368</v>
      </c>
      <c r="V580" s="3">
        <v>99</v>
      </c>
      <c r="W580" s="3">
        <v>0</v>
      </c>
      <c r="X580" s="3">
        <v>4</v>
      </c>
      <c r="Y580" s="3">
        <v>63</v>
      </c>
      <c r="Z580" s="3">
        <v>8</v>
      </c>
    </row>
    <row r="581" spans="1:26">
      <c r="A581" s="94" t="str">
        <f t="shared" si="9"/>
        <v>20191116TXT</v>
      </c>
      <c r="B581" s="3">
        <v>2019</v>
      </c>
      <c r="C581" s="3">
        <v>12</v>
      </c>
      <c r="D581" s="3">
        <v>20191116</v>
      </c>
      <c r="E581" s="3" t="s">
        <v>144</v>
      </c>
      <c r="F581" s="3" t="s">
        <v>131</v>
      </c>
      <c r="G581" s="3" t="s">
        <v>209</v>
      </c>
      <c r="H581" s="3">
        <v>18</v>
      </c>
      <c r="I581" s="3">
        <v>69</v>
      </c>
      <c r="J581" s="3">
        <v>33</v>
      </c>
      <c r="K581" s="3">
        <v>333</v>
      </c>
      <c r="L581" s="3">
        <v>22</v>
      </c>
      <c r="M581" s="3">
        <v>106</v>
      </c>
      <c r="N581" s="3">
        <v>0</v>
      </c>
      <c r="O581" s="3">
        <v>31</v>
      </c>
      <c r="P581" s="3" t="s">
        <v>100</v>
      </c>
      <c r="Q581" s="3" t="s">
        <v>209</v>
      </c>
      <c r="R581" s="3">
        <v>53</v>
      </c>
      <c r="S581" s="3">
        <v>226</v>
      </c>
      <c r="T581" s="3">
        <v>42</v>
      </c>
      <c r="U581" s="3">
        <v>323</v>
      </c>
      <c r="V581" s="3">
        <v>0</v>
      </c>
      <c r="W581" s="3">
        <v>91</v>
      </c>
      <c r="X581" s="3">
        <v>2</v>
      </c>
      <c r="Y581" s="3">
        <v>33</v>
      </c>
      <c r="Z581" s="3">
        <v>2.5</v>
      </c>
    </row>
    <row r="582" spans="1:26">
      <c r="A582" s="94" t="str">
        <f t="shared" ref="A582:A645" si="10">D582&amp;F582</f>
        <v>20191116UAB</v>
      </c>
      <c r="B582" s="3">
        <v>2019</v>
      </c>
      <c r="C582" s="3">
        <v>12</v>
      </c>
      <c r="D582" s="3">
        <v>20191116</v>
      </c>
      <c r="E582" s="3" t="s">
        <v>144</v>
      </c>
      <c r="F582" s="3" t="s">
        <v>23</v>
      </c>
      <c r="G582" s="3" t="s">
        <v>153</v>
      </c>
      <c r="H582" s="3">
        <v>49</v>
      </c>
      <c r="I582" s="3">
        <v>353</v>
      </c>
      <c r="J582" s="3">
        <v>10</v>
      </c>
      <c r="K582" s="3">
        <v>96</v>
      </c>
      <c r="L582" s="3">
        <v>0</v>
      </c>
      <c r="M582" s="3">
        <v>0</v>
      </c>
      <c r="N582" s="3">
        <v>1</v>
      </c>
      <c r="O582" s="3">
        <v>37</v>
      </c>
      <c r="P582" s="3" t="s">
        <v>110</v>
      </c>
      <c r="Q582" s="3" t="s">
        <v>153</v>
      </c>
      <c r="R582" s="3">
        <v>29</v>
      </c>
      <c r="S582" s="3">
        <v>90</v>
      </c>
      <c r="T582" s="3">
        <v>41</v>
      </c>
      <c r="U582" s="3">
        <v>222</v>
      </c>
      <c r="V582" s="3">
        <v>2</v>
      </c>
      <c r="W582" s="3">
        <v>27</v>
      </c>
      <c r="X582" s="3">
        <v>0</v>
      </c>
      <c r="Y582" s="3">
        <v>10</v>
      </c>
      <c r="Z582" s="3">
        <v>18</v>
      </c>
    </row>
    <row r="583" spans="1:26">
      <c r="A583" s="94" t="str">
        <f t="shared" si="10"/>
        <v>20191116UNLV</v>
      </c>
      <c r="B583" s="3">
        <v>2019</v>
      </c>
      <c r="C583" s="3">
        <v>12</v>
      </c>
      <c r="D583" s="3">
        <v>20191116</v>
      </c>
      <c r="E583" s="3" t="s">
        <v>144</v>
      </c>
      <c r="F583" s="3" t="s">
        <v>109</v>
      </c>
      <c r="G583" s="3" t="s">
        <v>148</v>
      </c>
      <c r="H583" s="3">
        <v>26</v>
      </c>
      <c r="I583" s="3">
        <v>119</v>
      </c>
      <c r="J583" s="3">
        <v>22</v>
      </c>
      <c r="K583" s="3">
        <v>118</v>
      </c>
      <c r="L583" s="3">
        <v>3</v>
      </c>
      <c r="M583" s="3">
        <v>19</v>
      </c>
      <c r="N583" s="3">
        <v>3</v>
      </c>
      <c r="O583" s="3">
        <v>7</v>
      </c>
      <c r="P583" s="3" t="s">
        <v>8</v>
      </c>
      <c r="Q583" s="3" t="s">
        <v>148</v>
      </c>
      <c r="R583" s="3">
        <v>39</v>
      </c>
      <c r="S583" s="3">
        <v>185</v>
      </c>
      <c r="T583" s="3">
        <v>35</v>
      </c>
      <c r="U583" s="3">
        <v>257</v>
      </c>
      <c r="V583" s="3">
        <v>21</v>
      </c>
      <c r="W583" s="3">
        <v>13</v>
      </c>
      <c r="X583" s="3">
        <v>2</v>
      </c>
      <c r="Y583" s="3">
        <v>21</v>
      </c>
      <c r="Z583" s="3">
        <v>7</v>
      </c>
    </row>
    <row r="584" spans="1:26">
      <c r="A584" s="94" t="str">
        <f t="shared" si="10"/>
        <v>20191116UTAH</v>
      </c>
      <c r="B584" s="3">
        <v>2019</v>
      </c>
      <c r="C584" s="3">
        <v>12</v>
      </c>
      <c r="D584" s="3">
        <v>20191116</v>
      </c>
      <c r="E584" s="3" t="s">
        <v>144</v>
      </c>
      <c r="F584" s="3" t="s">
        <v>24</v>
      </c>
      <c r="G584" s="3" t="s">
        <v>151</v>
      </c>
      <c r="H584" s="3">
        <v>38</v>
      </c>
      <c r="I584" s="3">
        <v>201</v>
      </c>
      <c r="J584" s="3">
        <v>19</v>
      </c>
      <c r="K584" s="3">
        <v>335</v>
      </c>
      <c r="L584" s="3">
        <v>0</v>
      </c>
      <c r="M584" s="3">
        <v>0</v>
      </c>
      <c r="N584" s="3">
        <v>5</v>
      </c>
      <c r="O584" s="3">
        <v>49</v>
      </c>
      <c r="P584" s="3" t="s">
        <v>106</v>
      </c>
      <c r="Q584" s="3" t="s">
        <v>151</v>
      </c>
      <c r="R584" s="3">
        <v>37</v>
      </c>
      <c r="S584" s="3">
        <v>50</v>
      </c>
      <c r="T584" s="3">
        <v>36</v>
      </c>
      <c r="U584" s="3">
        <v>219</v>
      </c>
      <c r="V584" s="3">
        <v>0</v>
      </c>
      <c r="W584" s="3">
        <v>15</v>
      </c>
      <c r="X584" s="3">
        <v>1</v>
      </c>
      <c r="Y584" s="3">
        <v>3</v>
      </c>
      <c r="Z584" s="3">
        <v>22</v>
      </c>
    </row>
    <row r="585" spans="1:26">
      <c r="A585" s="94" t="str">
        <f t="shared" si="10"/>
        <v>20191116UTST</v>
      </c>
      <c r="B585" s="3">
        <v>2019</v>
      </c>
      <c r="C585" s="3">
        <v>12</v>
      </c>
      <c r="D585" s="3">
        <v>20191116</v>
      </c>
      <c r="E585" s="3" t="s">
        <v>144</v>
      </c>
      <c r="F585" s="3" t="s">
        <v>31</v>
      </c>
      <c r="G585" s="3" t="s">
        <v>148</v>
      </c>
      <c r="H585" s="3">
        <v>41</v>
      </c>
      <c r="I585" s="3">
        <v>131</v>
      </c>
      <c r="J585" s="3">
        <v>35</v>
      </c>
      <c r="K585" s="3">
        <v>317</v>
      </c>
      <c r="L585" s="3">
        <v>15</v>
      </c>
      <c r="M585" s="3">
        <v>76</v>
      </c>
      <c r="N585" s="3">
        <v>4</v>
      </c>
      <c r="O585" s="3">
        <v>26</v>
      </c>
      <c r="P585" s="3" t="s">
        <v>10</v>
      </c>
      <c r="Q585" s="3" t="s">
        <v>148</v>
      </c>
      <c r="R585" s="3">
        <v>42</v>
      </c>
      <c r="S585" s="3">
        <v>160</v>
      </c>
      <c r="T585" s="3">
        <v>36</v>
      </c>
      <c r="U585" s="3">
        <v>185</v>
      </c>
      <c r="V585" s="3">
        <v>49</v>
      </c>
      <c r="W585" s="3">
        <v>38</v>
      </c>
      <c r="X585" s="3">
        <v>2</v>
      </c>
      <c r="Y585" s="3">
        <v>21</v>
      </c>
      <c r="Z585" s="3">
        <v>5</v>
      </c>
    </row>
    <row r="586" spans="1:26">
      <c r="A586" s="94" t="str">
        <f t="shared" si="10"/>
        <v>20191116VAN</v>
      </c>
      <c r="B586" s="3">
        <v>2019</v>
      </c>
      <c r="C586" s="3">
        <v>12</v>
      </c>
      <c r="D586" s="3">
        <v>20191116</v>
      </c>
      <c r="E586" s="3" t="s">
        <v>144</v>
      </c>
      <c r="F586" s="3" t="s">
        <v>111</v>
      </c>
      <c r="G586" s="3" t="s">
        <v>147</v>
      </c>
      <c r="H586" s="3">
        <v>24</v>
      </c>
      <c r="I586" s="3">
        <v>128</v>
      </c>
      <c r="J586" s="3">
        <v>24</v>
      </c>
      <c r="K586" s="3">
        <v>90</v>
      </c>
      <c r="L586" s="3">
        <v>0</v>
      </c>
      <c r="M586" s="3">
        <v>0</v>
      </c>
      <c r="N586" s="3">
        <v>1</v>
      </c>
      <c r="O586" s="3">
        <v>14</v>
      </c>
      <c r="P586" s="3" t="s">
        <v>66</v>
      </c>
      <c r="Q586" s="3" t="s">
        <v>147</v>
      </c>
      <c r="R586" s="3">
        <v>56</v>
      </c>
      <c r="S586" s="3">
        <v>402</v>
      </c>
      <c r="T586" s="3">
        <v>15</v>
      </c>
      <c r="U586" s="3">
        <v>127</v>
      </c>
      <c r="V586" s="3">
        <v>0</v>
      </c>
      <c r="W586" s="3">
        <v>0</v>
      </c>
      <c r="X586" s="3">
        <v>1</v>
      </c>
      <c r="Y586" s="3">
        <v>38</v>
      </c>
      <c r="Z586" s="3">
        <v>10.5</v>
      </c>
    </row>
    <row r="587" spans="1:26">
      <c r="A587" s="94" t="str">
        <f t="shared" si="10"/>
        <v>20191116WAST</v>
      </c>
      <c r="B587" s="3">
        <v>2019</v>
      </c>
      <c r="C587" s="3">
        <v>12</v>
      </c>
      <c r="D587" s="3">
        <v>20191116</v>
      </c>
      <c r="E587" s="3" t="s">
        <v>144</v>
      </c>
      <c r="F587" s="3" t="s">
        <v>114</v>
      </c>
      <c r="G587" s="3" t="s">
        <v>151</v>
      </c>
      <c r="H587" s="3">
        <v>19</v>
      </c>
      <c r="I587" s="3">
        <v>110</v>
      </c>
      <c r="J587" s="3">
        <v>60</v>
      </c>
      <c r="K587" s="3">
        <v>520</v>
      </c>
      <c r="L587" s="3">
        <v>0</v>
      </c>
      <c r="M587" s="3">
        <v>152</v>
      </c>
      <c r="N587" s="3">
        <v>2</v>
      </c>
      <c r="O587" s="3">
        <v>49</v>
      </c>
      <c r="P587" s="3" t="s">
        <v>33</v>
      </c>
      <c r="Q587" s="3" t="s">
        <v>151</v>
      </c>
      <c r="R587" s="3">
        <v>11</v>
      </c>
      <c r="S587" s="3">
        <v>16</v>
      </c>
      <c r="T587" s="3">
        <v>49</v>
      </c>
      <c r="U587" s="3">
        <v>494</v>
      </c>
      <c r="V587" s="3">
        <v>0</v>
      </c>
      <c r="W587" s="3">
        <v>41</v>
      </c>
      <c r="X587" s="3">
        <v>1</v>
      </c>
      <c r="Y587" s="3">
        <v>22</v>
      </c>
      <c r="Z587" s="3">
        <v>12</v>
      </c>
    </row>
    <row r="588" spans="1:26">
      <c r="A588" s="94" t="str">
        <f t="shared" si="10"/>
        <v>20191116UTSA</v>
      </c>
      <c r="B588" s="3">
        <v>2019</v>
      </c>
      <c r="C588" s="3">
        <v>12</v>
      </c>
      <c r="D588" s="3">
        <v>20191116</v>
      </c>
      <c r="E588" s="3" t="s">
        <v>144</v>
      </c>
      <c r="F588" s="3" t="s">
        <v>206</v>
      </c>
      <c r="G588" s="3" t="s">
        <v>153</v>
      </c>
      <c r="H588" s="3">
        <v>37</v>
      </c>
      <c r="I588" s="3">
        <v>97</v>
      </c>
      <c r="J588" s="3">
        <v>40</v>
      </c>
      <c r="K588" s="3">
        <v>325</v>
      </c>
      <c r="L588" s="3">
        <v>3</v>
      </c>
      <c r="M588" s="3">
        <v>66</v>
      </c>
      <c r="N588" s="3">
        <v>2</v>
      </c>
      <c r="O588" s="3">
        <v>17</v>
      </c>
      <c r="P588" s="3" t="s">
        <v>99</v>
      </c>
      <c r="Q588" s="3" t="s">
        <v>153</v>
      </c>
      <c r="R588" s="3">
        <v>37</v>
      </c>
      <c r="S588" s="3">
        <v>206</v>
      </c>
      <c r="T588" s="3">
        <v>34</v>
      </c>
      <c r="U588" s="3">
        <v>290</v>
      </c>
      <c r="V588" s="3">
        <v>0</v>
      </c>
      <c r="W588" s="3">
        <v>16</v>
      </c>
      <c r="X588" s="3">
        <v>3</v>
      </c>
      <c r="Y588" s="3">
        <v>36</v>
      </c>
      <c r="Z588" s="3">
        <v>17</v>
      </c>
    </row>
    <row r="589" spans="1:26">
      <c r="A589" s="94" t="str">
        <f t="shared" si="10"/>
        <v>20191116MAS</v>
      </c>
      <c r="B589" s="3">
        <v>2019</v>
      </c>
      <c r="C589" s="3">
        <v>12</v>
      </c>
      <c r="D589" s="3">
        <v>20191116</v>
      </c>
      <c r="E589" s="3" t="s">
        <v>211</v>
      </c>
      <c r="F589" s="3" t="s">
        <v>207</v>
      </c>
      <c r="G589" s="3" t="s">
        <v>53</v>
      </c>
      <c r="H589" s="3">
        <v>31</v>
      </c>
      <c r="I589" s="3">
        <v>83</v>
      </c>
      <c r="J589" s="3">
        <v>46</v>
      </c>
      <c r="K589" s="3">
        <v>227</v>
      </c>
      <c r="L589" s="3">
        <v>0</v>
      </c>
      <c r="M589" s="3">
        <v>90</v>
      </c>
      <c r="N589" s="3">
        <v>3</v>
      </c>
      <c r="O589" s="3">
        <v>6</v>
      </c>
      <c r="P589" s="3" t="s">
        <v>18</v>
      </c>
      <c r="Q589" s="3" t="s">
        <v>152</v>
      </c>
      <c r="R589" s="3">
        <v>52</v>
      </c>
      <c r="S589" s="3">
        <v>334</v>
      </c>
      <c r="T589" s="3">
        <v>13</v>
      </c>
      <c r="U589" s="3">
        <v>76</v>
      </c>
      <c r="V589" s="3">
        <v>1</v>
      </c>
      <c r="W589" s="3">
        <v>8</v>
      </c>
      <c r="X589" s="3">
        <v>1</v>
      </c>
      <c r="Y589" s="3">
        <v>45</v>
      </c>
      <c r="Z589" s="3">
        <v>39.5</v>
      </c>
    </row>
    <row r="590" spans="1:26">
      <c r="A590" s="94" t="str">
        <f t="shared" si="10"/>
        <v>20191119BOWL</v>
      </c>
      <c r="B590" s="3">
        <v>2019</v>
      </c>
      <c r="C590" s="3">
        <v>13</v>
      </c>
      <c r="D590" s="3">
        <v>20191119</v>
      </c>
      <c r="E590" s="3" t="s">
        <v>144</v>
      </c>
      <c r="F590" s="3" t="s">
        <v>87</v>
      </c>
      <c r="G590" s="3" t="s">
        <v>149</v>
      </c>
      <c r="H590" s="3">
        <v>42</v>
      </c>
      <c r="I590" s="3">
        <v>168</v>
      </c>
      <c r="J590" s="3">
        <v>34</v>
      </c>
      <c r="K590" s="3">
        <v>250</v>
      </c>
      <c r="L590" s="3">
        <v>2</v>
      </c>
      <c r="M590" s="3">
        <v>65</v>
      </c>
      <c r="N590" s="3">
        <v>1</v>
      </c>
      <c r="O590" s="3">
        <v>24</v>
      </c>
      <c r="P590" s="3" t="s">
        <v>83</v>
      </c>
      <c r="Q590" s="3" t="s">
        <v>149</v>
      </c>
      <c r="R590" s="3">
        <v>40</v>
      </c>
      <c r="S590" s="3">
        <v>342</v>
      </c>
      <c r="T590" s="3">
        <v>21</v>
      </c>
      <c r="U590" s="3">
        <v>267</v>
      </c>
      <c r="V590" s="3">
        <v>25</v>
      </c>
      <c r="W590" s="3">
        <v>116</v>
      </c>
      <c r="X590" s="3">
        <v>5</v>
      </c>
      <c r="Y590" s="3">
        <v>66</v>
      </c>
      <c r="Z590" s="3">
        <v>21</v>
      </c>
    </row>
    <row r="591" spans="1:26">
      <c r="A591" s="94" t="str">
        <f t="shared" si="10"/>
        <v>20191119NIL</v>
      </c>
      <c r="B591" s="3">
        <v>2019</v>
      </c>
      <c r="C591" s="3">
        <v>13</v>
      </c>
      <c r="D591" s="3">
        <v>20191119</v>
      </c>
      <c r="E591" s="3" t="s">
        <v>144</v>
      </c>
      <c r="F591" s="3" t="s">
        <v>63</v>
      </c>
      <c r="G591" s="3" t="s">
        <v>149</v>
      </c>
      <c r="H591" s="3">
        <v>48</v>
      </c>
      <c r="I591" s="3">
        <v>238</v>
      </c>
      <c r="J591" s="3">
        <v>26</v>
      </c>
      <c r="K591" s="3">
        <v>99</v>
      </c>
      <c r="L591" s="3">
        <v>0</v>
      </c>
      <c r="M591" s="3">
        <v>0</v>
      </c>
      <c r="N591" s="3">
        <v>1</v>
      </c>
      <c r="O591" s="3">
        <v>17</v>
      </c>
      <c r="P591" s="3" t="s">
        <v>29</v>
      </c>
      <c r="Q591" s="3" t="s">
        <v>149</v>
      </c>
      <c r="R591" s="3">
        <v>30</v>
      </c>
      <c r="S591" s="3">
        <v>193</v>
      </c>
      <c r="T591" s="3">
        <v>24</v>
      </c>
      <c r="U591" s="3">
        <v>235</v>
      </c>
      <c r="V591" s="3">
        <v>18</v>
      </c>
      <c r="W591" s="3">
        <v>0</v>
      </c>
      <c r="X591" s="3">
        <v>4</v>
      </c>
      <c r="Y591" s="3">
        <v>45</v>
      </c>
      <c r="Z591" s="3">
        <v>3.5</v>
      </c>
    </row>
    <row r="592" spans="1:26">
      <c r="A592" s="94" t="str">
        <f t="shared" si="10"/>
        <v>20191120BUF</v>
      </c>
      <c r="B592" s="3">
        <v>2019</v>
      </c>
      <c r="C592" s="3">
        <v>13</v>
      </c>
      <c r="D592" s="3">
        <v>20191120</v>
      </c>
      <c r="E592" s="3" t="s">
        <v>144</v>
      </c>
      <c r="F592" s="3" t="s">
        <v>47</v>
      </c>
      <c r="G592" s="3" t="s">
        <v>149</v>
      </c>
      <c r="H592" s="3">
        <v>52</v>
      </c>
      <c r="I592" s="3">
        <v>332</v>
      </c>
      <c r="J592" s="3">
        <v>20</v>
      </c>
      <c r="K592" s="3">
        <v>172</v>
      </c>
      <c r="L592" s="3">
        <v>4</v>
      </c>
      <c r="M592" s="3">
        <v>21</v>
      </c>
      <c r="N592" s="3">
        <v>1</v>
      </c>
      <c r="O592" s="3">
        <v>49</v>
      </c>
      <c r="P592" s="3" t="s">
        <v>103</v>
      </c>
      <c r="Q592" s="3" t="s">
        <v>149</v>
      </c>
      <c r="R592" s="3">
        <v>35</v>
      </c>
      <c r="S592" s="3">
        <v>154</v>
      </c>
      <c r="T592" s="3">
        <v>34</v>
      </c>
      <c r="U592" s="3">
        <v>248</v>
      </c>
      <c r="V592" s="3">
        <v>0</v>
      </c>
      <c r="W592" s="3">
        <v>201</v>
      </c>
      <c r="X592" s="3">
        <v>0</v>
      </c>
      <c r="Y592" s="3">
        <v>30</v>
      </c>
      <c r="Z592" s="3">
        <v>9.5</v>
      </c>
    </row>
    <row r="593" spans="1:26">
      <c r="A593" s="94" t="str">
        <f t="shared" si="10"/>
        <v>20191120MIAO</v>
      </c>
      <c r="B593" s="3">
        <v>2019</v>
      </c>
      <c r="C593" s="3">
        <v>13</v>
      </c>
      <c r="D593" s="3">
        <v>20191120</v>
      </c>
      <c r="E593" s="3" t="s">
        <v>144</v>
      </c>
      <c r="F593" s="3" t="s">
        <v>71</v>
      </c>
      <c r="G593" s="3" t="s">
        <v>149</v>
      </c>
      <c r="H593" s="3">
        <v>50</v>
      </c>
      <c r="I593" s="3">
        <v>241</v>
      </c>
      <c r="J593" s="3">
        <v>22</v>
      </c>
      <c r="K593" s="3">
        <v>117</v>
      </c>
      <c r="L593" s="3">
        <v>19</v>
      </c>
      <c r="M593" s="3">
        <v>66</v>
      </c>
      <c r="N593" s="3">
        <v>0</v>
      </c>
      <c r="O593" s="3">
        <v>20</v>
      </c>
      <c r="P593" s="3" t="s">
        <v>118</v>
      </c>
      <c r="Q593" s="3" t="s">
        <v>149</v>
      </c>
      <c r="R593" s="3">
        <v>29</v>
      </c>
      <c r="S593" s="3">
        <v>5</v>
      </c>
      <c r="T593" s="3">
        <v>25</v>
      </c>
      <c r="U593" s="3">
        <v>197</v>
      </c>
      <c r="V593" s="3">
        <v>13</v>
      </c>
      <c r="W593" s="3">
        <v>20</v>
      </c>
      <c r="X593" s="3">
        <v>2</v>
      </c>
      <c r="Y593" s="3">
        <v>17</v>
      </c>
      <c r="Z593" s="3">
        <v>30</v>
      </c>
    </row>
    <row r="594" spans="1:26">
      <c r="A594" s="94" t="str">
        <f t="shared" si="10"/>
        <v>20191121GTCH</v>
      </c>
      <c r="B594" s="3">
        <v>2019</v>
      </c>
      <c r="C594" s="3">
        <v>13</v>
      </c>
      <c r="D594" s="3">
        <v>20191121</v>
      </c>
      <c r="E594" s="3" t="s">
        <v>144</v>
      </c>
      <c r="F594" s="3" t="s">
        <v>58</v>
      </c>
      <c r="G594" s="3" t="s">
        <v>146</v>
      </c>
      <c r="H594" s="3">
        <v>43</v>
      </c>
      <c r="I594" s="3">
        <v>266</v>
      </c>
      <c r="J594" s="3">
        <v>15</v>
      </c>
      <c r="K594" s="3">
        <v>129</v>
      </c>
      <c r="L594" s="3">
        <v>0</v>
      </c>
      <c r="M594" s="3">
        <v>82</v>
      </c>
      <c r="N594" s="3">
        <v>1</v>
      </c>
      <c r="O594" s="3">
        <v>28</v>
      </c>
      <c r="P594" s="3" t="s">
        <v>75</v>
      </c>
      <c r="Q594" s="3" t="s">
        <v>146</v>
      </c>
      <c r="R594" s="3">
        <v>49</v>
      </c>
      <c r="S594" s="3">
        <v>230</v>
      </c>
      <c r="T594" s="3">
        <v>31</v>
      </c>
      <c r="U594" s="3">
        <v>227</v>
      </c>
      <c r="V594" s="3">
        <v>2</v>
      </c>
      <c r="W594" s="3">
        <v>54</v>
      </c>
      <c r="X594" s="3">
        <v>2</v>
      </c>
      <c r="Y594" s="3">
        <v>26</v>
      </c>
      <c r="Z594" s="3">
        <v>0</v>
      </c>
    </row>
    <row r="595" spans="1:26">
      <c r="A595" s="94" t="str">
        <f t="shared" si="10"/>
        <v>20191122WYO</v>
      </c>
      <c r="B595" s="3">
        <v>2019</v>
      </c>
      <c r="C595" s="3">
        <v>13</v>
      </c>
      <c r="D595" s="3">
        <v>20191122</v>
      </c>
      <c r="E595" s="3" t="s">
        <v>144</v>
      </c>
      <c r="F595" s="3" t="s">
        <v>10</v>
      </c>
      <c r="G595" s="3" t="s">
        <v>148</v>
      </c>
      <c r="H595" s="3">
        <v>50</v>
      </c>
      <c r="I595" s="3">
        <v>192</v>
      </c>
      <c r="J595" s="3">
        <v>15</v>
      </c>
      <c r="K595" s="3">
        <v>81</v>
      </c>
      <c r="L595" s="3">
        <v>4</v>
      </c>
      <c r="M595" s="3">
        <v>0</v>
      </c>
      <c r="N595" s="3">
        <v>1</v>
      </c>
      <c r="O595" s="3">
        <v>17</v>
      </c>
      <c r="P595" s="3" t="s">
        <v>7</v>
      </c>
      <c r="Q595" s="3" t="s">
        <v>148</v>
      </c>
      <c r="R595" s="3">
        <v>30</v>
      </c>
      <c r="S595" s="3">
        <v>48</v>
      </c>
      <c r="T595" s="3">
        <v>29</v>
      </c>
      <c r="U595" s="3">
        <v>217</v>
      </c>
      <c r="V595" s="3">
        <v>0</v>
      </c>
      <c r="W595" s="3">
        <v>33</v>
      </c>
      <c r="X595" s="3">
        <v>0</v>
      </c>
      <c r="Y595" s="3">
        <v>7</v>
      </c>
      <c r="Z595" s="3">
        <v>7</v>
      </c>
    </row>
    <row r="596" spans="1:26">
      <c r="A596" s="94" t="str">
        <f t="shared" si="10"/>
        <v>20191123AKST</v>
      </c>
      <c r="B596" s="3">
        <v>2019</v>
      </c>
      <c r="C596" s="3">
        <v>13</v>
      </c>
      <c r="D596" s="3">
        <v>20191123</v>
      </c>
      <c r="E596" s="3" t="s">
        <v>144</v>
      </c>
      <c r="F596" s="3" t="s">
        <v>40</v>
      </c>
      <c r="G596" s="3" t="s">
        <v>145</v>
      </c>
      <c r="H596" s="3">
        <v>31</v>
      </c>
      <c r="I596" s="3">
        <v>91</v>
      </c>
      <c r="J596" s="3">
        <v>24</v>
      </c>
      <c r="K596" s="3">
        <v>354</v>
      </c>
      <c r="L596" s="3">
        <v>148</v>
      </c>
      <c r="M596" s="3">
        <v>0</v>
      </c>
      <c r="N596" s="3">
        <v>1</v>
      </c>
      <c r="O596" s="3">
        <v>38</v>
      </c>
      <c r="P596" s="3" t="s">
        <v>57</v>
      </c>
      <c r="Q596" s="3" t="s">
        <v>145</v>
      </c>
      <c r="R596" s="3">
        <v>51</v>
      </c>
      <c r="S596" s="3">
        <v>292</v>
      </c>
      <c r="T596" s="3">
        <v>26</v>
      </c>
      <c r="U596" s="3">
        <v>182</v>
      </c>
      <c r="V596" s="3">
        <v>76</v>
      </c>
      <c r="W596" s="3">
        <v>0</v>
      </c>
      <c r="X596" s="3">
        <v>1</v>
      </c>
      <c r="Y596" s="3">
        <v>33</v>
      </c>
      <c r="Z596" s="3">
        <v>1.5</v>
      </c>
    </row>
    <row r="597" spans="1:26">
      <c r="A597" s="94" t="str">
        <f t="shared" si="10"/>
        <v>20191123APP</v>
      </c>
      <c r="B597" s="3">
        <v>2019</v>
      </c>
      <c r="C597" s="3">
        <v>13</v>
      </c>
      <c r="D597" s="3">
        <v>20191123</v>
      </c>
      <c r="E597" s="3" t="s">
        <v>144</v>
      </c>
      <c r="F597" s="3" t="s">
        <v>90</v>
      </c>
      <c r="G597" s="3" t="s">
        <v>145</v>
      </c>
      <c r="H597" s="3">
        <v>49</v>
      </c>
      <c r="I597" s="3">
        <v>280</v>
      </c>
      <c r="J597" s="3">
        <v>17</v>
      </c>
      <c r="K597" s="3">
        <v>188</v>
      </c>
      <c r="L597" s="3">
        <v>5</v>
      </c>
      <c r="M597" s="3">
        <v>63</v>
      </c>
      <c r="N597" s="3">
        <v>1</v>
      </c>
      <c r="O597" s="3">
        <v>35</v>
      </c>
      <c r="P597" s="3" t="s">
        <v>93</v>
      </c>
      <c r="Q597" s="3" t="s">
        <v>145</v>
      </c>
      <c r="R597" s="3">
        <v>24</v>
      </c>
      <c r="S597" s="3">
        <v>66</v>
      </c>
      <c r="T597" s="3">
        <v>34</v>
      </c>
      <c r="U597" s="3">
        <v>154</v>
      </c>
      <c r="V597" s="3">
        <v>27</v>
      </c>
      <c r="W597" s="3">
        <v>103</v>
      </c>
      <c r="X597" s="3">
        <v>1</v>
      </c>
      <c r="Y597" s="3">
        <v>13</v>
      </c>
      <c r="Z597" s="3">
        <v>28.5</v>
      </c>
    </row>
    <row r="598" spans="1:26">
      <c r="A598" s="94" t="str">
        <f t="shared" si="10"/>
        <v>20191123ARZ</v>
      </c>
      <c r="B598" s="3">
        <v>2019</v>
      </c>
      <c r="C598" s="3">
        <v>13</v>
      </c>
      <c r="D598" s="3">
        <v>20191123</v>
      </c>
      <c r="E598" s="3" t="s">
        <v>144</v>
      </c>
      <c r="F598" s="3" t="s">
        <v>42</v>
      </c>
      <c r="G598" s="3" t="s">
        <v>151</v>
      </c>
      <c r="H598" s="3">
        <v>25</v>
      </c>
      <c r="I598" s="3">
        <v>61</v>
      </c>
      <c r="J598" s="3">
        <v>27</v>
      </c>
      <c r="K598" s="3">
        <v>135</v>
      </c>
      <c r="L598" s="3">
        <v>0</v>
      </c>
      <c r="M598" s="3">
        <v>70</v>
      </c>
      <c r="N598" s="3">
        <v>1</v>
      </c>
      <c r="O598" s="3">
        <v>7</v>
      </c>
      <c r="P598" s="3" t="s">
        <v>24</v>
      </c>
      <c r="Q598" s="3" t="s">
        <v>151</v>
      </c>
      <c r="R598" s="3">
        <v>50</v>
      </c>
      <c r="S598" s="3">
        <v>297</v>
      </c>
      <c r="T598" s="3">
        <v>24</v>
      </c>
      <c r="U598" s="3">
        <v>220</v>
      </c>
      <c r="V598" s="3">
        <v>56</v>
      </c>
      <c r="W598" s="3">
        <v>0</v>
      </c>
      <c r="X598" s="3">
        <v>0</v>
      </c>
      <c r="Y598" s="3">
        <v>35</v>
      </c>
      <c r="Z598" s="3">
        <v>23</v>
      </c>
    </row>
    <row r="599" spans="1:26">
      <c r="A599" s="94" t="str">
        <f t="shared" si="10"/>
        <v>20191123AZST</v>
      </c>
      <c r="B599" s="3">
        <v>2019</v>
      </c>
      <c r="C599" s="3">
        <v>13</v>
      </c>
      <c r="D599" s="3">
        <v>20191123</v>
      </c>
      <c r="E599" s="3" t="s">
        <v>144</v>
      </c>
      <c r="F599" s="3" t="s">
        <v>44</v>
      </c>
      <c r="G599" s="3" t="s">
        <v>151</v>
      </c>
      <c r="H599" s="3">
        <v>41</v>
      </c>
      <c r="I599" s="3">
        <v>127</v>
      </c>
      <c r="J599" s="3">
        <v>33</v>
      </c>
      <c r="K599" s="3">
        <v>408</v>
      </c>
      <c r="L599" s="3">
        <v>53</v>
      </c>
      <c r="M599" s="3">
        <v>0</v>
      </c>
      <c r="N599" s="3">
        <v>2</v>
      </c>
      <c r="O599" s="3">
        <v>31</v>
      </c>
      <c r="P599" s="3" t="s">
        <v>86</v>
      </c>
      <c r="Q599" s="3" t="s">
        <v>151</v>
      </c>
      <c r="R599" s="3">
        <v>28</v>
      </c>
      <c r="S599" s="3">
        <v>154</v>
      </c>
      <c r="T599" s="3">
        <v>36</v>
      </c>
      <c r="U599" s="3">
        <v>304</v>
      </c>
      <c r="V599" s="3">
        <v>7</v>
      </c>
      <c r="W599" s="3">
        <v>57</v>
      </c>
      <c r="X599" s="3">
        <v>0</v>
      </c>
      <c r="Y599" s="3">
        <v>28</v>
      </c>
      <c r="Z599" s="3">
        <v>14</v>
      </c>
    </row>
    <row r="600" spans="1:26">
      <c r="A600" s="94" t="str">
        <f t="shared" si="10"/>
        <v>20191123BAY</v>
      </c>
      <c r="B600" s="3">
        <v>2019</v>
      </c>
      <c r="C600" s="3">
        <v>13</v>
      </c>
      <c r="D600" s="3">
        <v>20191123</v>
      </c>
      <c r="E600" s="3" t="s">
        <v>144</v>
      </c>
      <c r="F600" s="3" t="s">
        <v>45</v>
      </c>
      <c r="G600" s="3" t="s">
        <v>209</v>
      </c>
      <c r="H600" s="3">
        <v>37</v>
      </c>
      <c r="I600" s="3">
        <v>163</v>
      </c>
      <c r="J600" s="3">
        <v>27</v>
      </c>
      <c r="K600" s="3">
        <v>228</v>
      </c>
      <c r="L600" s="3">
        <v>0</v>
      </c>
      <c r="M600" s="3">
        <v>0</v>
      </c>
      <c r="N600" s="3">
        <v>1</v>
      </c>
      <c r="O600" s="3">
        <v>24</v>
      </c>
      <c r="P600" s="3" t="s">
        <v>130</v>
      </c>
      <c r="Q600" s="3" t="s">
        <v>209</v>
      </c>
      <c r="R600" s="3">
        <v>31</v>
      </c>
      <c r="S600" s="3">
        <v>191</v>
      </c>
      <c r="T600" s="3">
        <v>37</v>
      </c>
      <c r="U600" s="3">
        <v>200</v>
      </c>
      <c r="V600" s="3">
        <v>0</v>
      </c>
      <c r="W600" s="3">
        <v>0</v>
      </c>
      <c r="X600" s="3">
        <v>1</v>
      </c>
      <c r="Y600" s="3">
        <v>10</v>
      </c>
      <c r="Z600" s="3">
        <v>6</v>
      </c>
    </row>
    <row r="601" spans="1:26">
      <c r="A601" s="94" t="str">
        <f t="shared" si="10"/>
        <v>20191123CHAR</v>
      </c>
      <c r="B601" s="3">
        <v>2019</v>
      </c>
      <c r="C601" s="3">
        <v>13</v>
      </c>
      <c r="D601" s="3">
        <v>20191123</v>
      </c>
      <c r="E601" s="3" t="s">
        <v>144</v>
      </c>
      <c r="F601" s="3" t="s">
        <v>50</v>
      </c>
      <c r="G601" s="3" t="s">
        <v>153</v>
      </c>
      <c r="H601" s="3">
        <v>50</v>
      </c>
      <c r="I601" s="3">
        <v>258</v>
      </c>
      <c r="J601" s="3">
        <v>21</v>
      </c>
      <c r="K601" s="3">
        <v>166</v>
      </c>
      <c r="L601" s="3">
        <v>3</v>
      </c>
      <c r="M601" s="3">
        <v>0</v>
      </c>
      <c r="N601" s="3">
        <v>2</v>
      </c>
      <c r="O601" s="3">
        <v>24</v>
      </c>
      <c r="P601" s="3" t="s">
        <v>72</v>
      </c>
      <c r="Q601" s="3" t="s">
        <v>153</v>
      </c>
      <c r="R601" s="3">
        <v>34</v>
      </c>
      <c r="S601" s="3">
        <v>144</v>
      </c>
      <c r="T601" s="3">
        <v>17</v>
      </c>
      <c r="U601" s="3">
        <v>86</v>
      </c>
      <c r="V601" s="3">
        <v>17</v>
      </c>
      <c r="W601" s="3">
        <v>32</v>
      </c>
      <c r="X601" s="3">
        <v>3</v>
      </c>
      <c r="Y601" s="3">
        <v>13</v>
      </c>
      <c r="Z601" s="3">
        <v>6.5</v>
      </c>
    </row>
    <row r="602" spans="1:26">
      <c r="A602" s="94" t="str">
        <f t="shared" si="10"/>
        <v>20191123CIN</v>
      </c>
      <c r="B602" s="3">
        <v>2019</v>
      </c>
      <c r="C602" s="3">
        <v>13</v>
      </c>
      <c r="D602" s="3">
        <v>20191123</v>
      </c>
      <c r="E602" s="3" t="s">
        <v>144</v>
      </c>
      <c r="F602" s="3" t="s">
        <v>107</v>
      </c>
      <c r="G602" s="3" t="s">
        <v>150</v>
      </c>
      <c r="H602" s="3">
        <v>44</v>
      </c>
      <c r="I602" s="3">
        <v>148</v>
      </c>
      <c r="J602" s="3">
        <v>25</v>
      </c>
      <c r="K602" s="3">
        <v>62</v>
      </c>
      <c r="L602" s="3">
        <v>0</v>
      </c>
      <c r="M602" s="3">
        <v>0</v>
      </c>
      <c r="N602" s="3">
        <v>1</v>
      </c>
      <c r="O602" s="3">
        <v>15</v>
      </c>
      <c r="P602" s="3" t="s">
        <v>101</v>
      </c>
      <c r="Q602" s="3" t="s">
        <v>150</v>
      </c>
      <c r="R602" s="3">
        <v>29</v>
      </c>
      <c r="S602" s="3">
        <v>78</v>
      </c>
      <c r="T602" s="3">
        <v>45</v>
      </c>
      <c r="U602" s="3">
        <v>232</v>
      </c>
      <c r="V602" s="3">
        <v>0</v>
      </c>
      <c r="W602" s="3">
        <v>72</v>
      </c>
      <c r="X602" s="3">
        <v>1</v>
      </c>
      <c r="Y602" s="3">
        <v>13</v>
      </c>
      <c r="Z602" s="3">
        <v>10</v>
      </c>
    </row>
    <row r="603" spans="1:26">
      <c r="A603" s="94" t="str">
        <f t="shared" si="10"/>
        <v>20191123COLO</v>
      </c>
      <c r="B603" s="3">
        <v>2019</v>
      </c>
      <c r="C603" s="3">
        <v>13</v>
      </c>
      <c r="D603" s="3">
        <v>20191123</v>
      </c>
      <c r="E603" s="3" t="s">
        <v>144</v>
      </c>
      <c r="F603" s="3" t="s">
        <v>128</v>
      </c>
      <c r="G603" s="3" t="s">
        <v>151</v>
      </c>
      <c r="H603" s="3">
        <v>41</v>
      </c>
      <c r="I603" s="3">
        <v>207</v>
      </c>
      <c r="J603" s="3">
        <v>28</v>
      </c>
      <c r="K603" s="3">
        <v>223</v>
      </c>
      <c r="L603" s="3">
        <v>8</v>
      </c>
      <c r="M603" s="3">
        <v>18</v>
      </c>
      <c r="N603" s="3">
        <v>1</v>
      </c>
      <c r="O603" s="3">
        <v>20</v>
      </c>
      <c r="P603" s="3" t="s">
        <v>132</v>
      </c>
      <c r="Q603" s="3" t="s">
        <v>151</v>
      </c>
      <c r="R603" s="3">
        <v>32</v>
      </c>
      <c r="S603" s="3">
        <v>32</v>
      </c>
      <c r="T603" s="3">
        <v>35</v>
      </c>
      <c r="U603" s="3">
        <v>206</v>
      </c>
      <c r="V603" s="3">
        <v>52</v>
      </c>
      <c r="W603" s="3">
        <v>0</v>
      </c>
      <c r="X603" s="3">
        <v>0</v>
      </c>
      <c r="Y603" s="3">
        <v>14</v>
      </c>
      <c r="Z603" s="3">
        <v>14.5</v>
      </c>
    </row>
    <row r="604" spans="1:26">
      <c r="A604" s="94" t="str">
        <f t="shared" si="10"/>
        <v>20191123CON</v>
      </c>
      <c r="B604" s="3">
        <v>2019</v>
      </c>
      <c r="C604" s="3">
        <v>13</v>
      </c>
      <c r="D604" s="3">
        <v>20191123</v>
      </c>
      <c r="E604" s="3" t="s">
        <v>144</v>
      </c>
      <c r="F604" s="3" t="s">
        <v>13</v>
      </c>
      <c r="G604" s="3" t="s">
        <v>150</v>
      </c>
      <c r="H604" s="3">
        <v>30</v>
      </c>
      <c r="I604" s="3">
        <v>94</v>
      </c>
      <c r="J604" s="3">
        <v>39</v>
      </c>
      <c r="K604" s="3">
        <v>433</v>
      </c>
      <c r="L604" s="3">
        <v>38</v>
      </c>
      <c r="M604" s="3">
        <v>37</v>
      </c>
      <c r="N604" s="3">
        <v>2</v>
      </c>
      <c r="O604" s="3">
        <v>24</v>
      </c>
      <c r="P604" s="3" t="s">
        <v>115</v>
      </c>
      <c r="Q604" s="3" t="s">
        <v>150</v>
      </c>
      <c r="R604" s="3">
        <v>36</v>
      </c>
      <c r="S604" s="3">
        <v>135</v>
      </c>
      <c r="T604" s="3">
        <v>50</v>
      </c>
      <c r="U604" s="3">
        <v>374</v>
      </c>
      <c r="V604" s="3">
        <v>0</v>
      </c>
      <c r="W604" s="3">
        <v>52</v>
      </c>
      <c r="X604" s="3">
        <v>3</v>
      </c>
      <c r="Y604" s="3">
        <v>31</v>
      </c>
      <c r="Z604" s="3">
        <v>13.5</v>
      </c>
    </row>
    <row r="605" spans="1:26">
      <c r="A605" s="94" t="str">
        <f t="shared" si="10"/>
        <v>20191123FRES</v>
      </c>
      <c r="B605" s="3">
        <v>2019</v>
      </c>
      <c r="C605" s="3">
        <v>13</v>
      </c>
      <c r="D605" s="3">
        <v>20191123</v>
      </c>
      <c r="E605" s="3" t="s">
        <v>144</v>
      </c>
      <c r="F605" s="3" t="s">
        <v>55</v>
      </c>
      <c r="G605" s="3" t="s">
        <v>148</v>
      </c>
      <c r="H605" s="3">
        <v>25</v>
      </c>
      <c r="I605" s="3">
        <v>53</v>
      </c>
      <c r="J605" s="3">
        <v>38</v>
      </c>
      <c r="K605" s="3">
        <v>278</v>
      </c>
      <c r="L605" s="3">
        <v>0</v>
      </c>
      <c r="M605" s="3">
        <v>39</v>
      </c>
      <c r="N605" s="3">
        <v>2</v>
      </c>
      <c r="O605" s="3">
        <v>28</v>
      </c>
      <c r="P605" s="3" t="s">
        <v>32</v>
      </c>
      <c r="Q605" s="3" t="s">
        <v>148</v>
      </c>
      <c r="R605" s="3">
        <v>34</v>
      </c>
      <c r="S605" s="3">
        <v>254</v>
      </c>
      <c r="T605" s="3">
        <v>31</v>
      </c>
      <c r="U605" s="3">
        <v>154</v>
      </c>
      <c r="V605" s="3">
        <v>27</v>
      </c>
      <c r="W605" s="3">
        <v>89</v>
      </c>
      <c r="X605" s="3">
        <v>1</v>
      </c>
      <c r="Y605" s="3">
        <v>35</v>
      </c>
      <c r="Z605" s="3">
        <v>13.5</v>
      </c>
    </row>
    <row r="606" spans="1:26">
      <c r="A606" s="94" t="str">
        <f t="shared" si="10"/>
        <v>20191123GAST</v>
      </c>
      <c r="B606" s="3">
        <v>2019</v>
      </c>
      <c r="C606" s="3">
        <v>13</v>
      </c>
      <c r="D606" s="3">
        <v>20191123</v>
      </c>
      <c r="E606" s="3" t="s">
        <v>144</v>
      </c>
      <c r="F606" s="3" t="s">
        <v>15</v>
      </c>
      <c r="G606" s="3" t="s">
        <v>145</v>
      </c>
      <c r="H606" s="3">
        <v>48</v>
      </c>
      <c r="I606" s="3">
        <v>176</v>
      </c>
      <c r="J606" s="3">
        <v>27</v>
      </c>
      <c r="K606" s="3">
        <v>208</v>
      </c>
      <c r="L606" s="3">
        <v>0</v>
      </c>
      <c r="M606" s="3">
        <v>10</v>
      </c>
      <c r="N606" s="3">
        <v>2</v>
      </c>
      <c r="O606" s="3">
        <v>28</v>
      </c>
      <c r="P606" s="3" t="s">
        <v>94</v>
      </c>
      <c r="Q606" s="3" t="s">
        <v>145</v>
      </c>
      <c r="R606" s="3">
        <v>39</v>
      </c>
      <c r="S606" s="3">
        <v>108</v>
      </c>
      <c r="T606" s="3">
        <v>25</v>
      </c>
      <c r="U606" s="3">
        <v>218</v>
      </c>
      <c r="V606" s="3">
        <v>55</v>
      </c>
      <c r="W606" s="3">
        <v>0</v>
      </c>
      <c r="X606" s="3">
        <v>1</v>
      </c>
      <c r="Y606" s="3">
        <v>15</v>
      </c>
      <c r="Z606" s="3">
        <v>10.5</v>
      </c>
    </row>
    <row r="607" spans="1:26">
      <c r="A607" s="94" t="str">
        <f t="shared" si="10"/>
        <v>20191123GEO</v>
      </c>
      <c r="B607" s="3">
        <v>2019</v>
      </c>
      <c r="C607" s="3">
        <v>13</v>
      </c>
      <c r="D607" s="3">
        <v>20191123</v>
      </c>
      <c r="E607" s="3" t="s">
        <v>144</v>
      </c>
      <c r="F607" s="3" t="s">
        <v>56</v>
      </c>
      <c r="G607" s="3" t="s">
        <v>147</v>
      </c>
      <c r="H607" s="3">
        <v>33</v>
      </c>
      <c r="I607" s="3">
        <v>114</v>
      </c>
      <c r="J607" s="3">
        <v>23</v>
      </c>
      <c r="K607" s="3">
        <v>163</v>
      </c>
      <c r="L607" s="3">
        <v>18</v>
      </c>
      <c r="M607" s="3">
        <v>41</v>
      </c>
      <c r="N607" s="3">
        <v>1</v>
      </c>
      <c r="O607" s="3">
        <v>19</v>
      </c>
      <c r="P607" s="3" t="s">
        <v>22</v>
      </c>
      <c r="Q607" s="3" t="s">
        <v>147</v>
      </c>
      <c r="R607" s="3">
        <v>20</v>
      </c>
      <c r="S607" s="3">
        <v>1</v>
      </c>
      <c r="T607" s="3">
        <v>42</v>
      </c>
      <c r="U607" s="3">
        <v>275</v>
      </c>
      <c r="V607" s="3">
        <v>14</v>
      </c>
      <c r="W607" s="3">
        <v>14</v>
      </c>
      <c r="X607" s="3">
        <v>0</v>
      </c>
      <c r="Y607" s="3">
        <v>13</v>
      </c>
      <c r="Z607" s="3">
        <v>13</v>
      </c>
    </row>
    <row r="608" spans="1:26">
      <c r="A608" s="94" t="str">
        <f t="shared" si="10"/>
        <v>20191123HAW</v>
      </c>
      <c r="B608" s="3">
        <v>2019</v>
      </c>
      <c r="C608" s="3">
        <v>13</v>
      </c>
      <c r="D608" s="3">
        <v>20191123</v>
      </c>
      <c r="E608" s="3" t="s">
        <v>144</v>
      </c>
      <c r="F608" s="3" t="s">
        <v>8</v>
      </c>
      <c r="G608" s="3" t="s">
        <v>148</v>
      </c>
      <c r="H608" s="3">
        <v>31</v>
      </c>
      <c r="I608" s="3">
        <v>132</v>
      </c>
      <c r="J608" s="3">
        <v>35</v>
      </c>
      <c r="K608" s="3">
        <v>215</v>
      </c>
      <c r="L608" s="3">
        <v>0</v>
      </c>
      <c r="M608" s="3">
        <v>6</v>
      </c>
      <c r="N608" s="3">
        <v>0</v>
      </c>
      <c r="O608" s="3">
        <v>14</v>
      </c>
      <c r="P608" s="3" t="s">
        <v>34</v>
      </c>
      <c r="Q608" s="3" t="s">
        <v>148</v>
      </c>
      <c r="R608" s="3">
        <v>26</v>
      </c>
      <c r="S608" s="3">
        <v>89</v>
      </c>
      <c r="T608" s="3">
        <v>40</v>
      </c>
      <c r="U608" s="3">
        <v>229</v>
      </c>
      <c r="V608" s="3">
        <v>0</v>
      </c>
      <c r="W608" s="3">
        <v>0</v>
      </c>
      <c r="X608" s="3">
        <v>1</v>
      </c>
      <c r="Y608" s="3">
        <v>11</v>
      </c>
      <c r="Z608" s="3">
        <v>2.5</v>
      </c>
    </row>
    <row r="609" spans="1:26">
      <c r="A609" s="94" t="str">
        <f t="shared" si="10"/>
        <v>20191123IND</v>
      </c>
      <c r="B609" s="3">
        <v>2019</v>
      </c>
      <c r="C609" s="3">
        <v>13</v>
      </c>
      <c r="D609" s="3">
        <v>20191123</v>
      </c>
      <c r="E609" s="3" t="s">
        <v>144</v>
      </c>
      <c r="F609" s="3" t="s">
        <v>53</v>
      </c>
      <c r="G609" s="3" t="s">
        <v>152</v>
      </c>
      <c r="H609" s="3">
        <v>37</v>
      </c>
      <c r="I609" s="3">
        <v>97</v>
      </c>
      <c r="J609" s="3">
        <v>30</v>
      </c>
      <c r="K609" s="3">
        <v>224</v>
      </c>
      <c r="L609" s="3">
        <v>0</v>
      </c>
      <c r="M609" s="3">
        <v>0</v>
      </c>
      <c r="N609" s="3">
        <v>1</v>
      </c>
      <c r="O609" s="3">
        <v>14</v>
      </c>
      <c r="P609" s="3" t="s">
        <v>78</v>
      </c>
      <c r="Q609" s="3" t="s">
        <v>152</v>
      </c>
      <c r="R609" s="3">
        <v>29</v>
      </c>
      <c r="S609" s="3">
        <v>87</v>
      </c>
      <c r="T609" s="3">
        <v>32</v>
      </c>
      <c r="U609" s="3">
        <v>366</v>
      </c>
      <c r="V609" s="3">
        <v>7</v>
      </c>
      <c r="W609" s="3">
        <v>81</v>
      </c>
      <c r="X609" s="3">
        <v>2</v>
      </c>
      <c r="Y609" s="3">
        <v>39</v>
      </c>
      <c r="Z609" s="3">
        <v>10</v>
      </c>
    </row>
    <row r="610" spans="1:26">
      <c r="A610" s="94" t="str">
        <f t="shared" si="10"/>
        <v>20191123IOWA</v>
      </c>
      <c r="B610" s="3">
        <v>2019</v>
      </c>
      <c r="C610" s="3">
        <v>13</v>
      </c>
      <c r="D610" s="3">
        <v>20191123</v>
      </c>
      <c r="E610" s="3" t="s">
        <v>144</v>
      </c>
      <c r="F610" s="3" t="s">
        <v>62</v>
      </c>
      <c r="G610" s="3" t="s">
        <v>152</v>
      </c>
      <c r="H610" s="3">
        <v>32</v>
      </c>
      <c r="I610" s="3">
        <v>79</v>
      </c>
      <c r="J610" s="3">
        <v>35</v>
      </c>
      <c r="K610" s="3">
        <v>308</v>
      </c>
      <c r="L610" s="3">
        <v>16</v>
      </c>
      <c r="M610" s="3">
        <v>16</v>
      </c>
      <c r="N610" s="3">
        <v>3</v>
      </c>
      <c r="O610" s="3">
        <v>19</v>
      </c>
      <c r="P610" s="3" t="s">
        <v>60</v>
      </c>
      <c r="Q610" s="3" t="s">
        <v>152</v>
      </c>
      <c r="R610" s="3">
        <v>39</v>
      </c>
      <c r="S610" s="3">
        <v>192</v>
      </c>
      <c r="T610" s="3">
        <v>34</v>
      </c>
      <c r="U610" s="3">
        <v>144</v>
      </c>
      <c r="V610" s="3">
        <v>2</v>
      </c>
      <c r="W610" s="3">
        <v>24</v>
      </c>
      <c r="X610" s="3">
        <v>1</v>
      </c>
      <c r="Y610" s="3">
        <v>10</v>
      </c>
      <c r="Z610" s="3">
        <v>15.5</v>
      </c>
    </row>
    <row r="611" spans="1:26">
      <c r="A611" s="94" t="str">
        <f t="shared" si="10"/>
        <v>20191123IWST</v>
      </c>
      <c r="B611" s="3">
        <v>2019</v>
      </c>
      <c r="C611" s="3">
        <v>13</v>
      </c>
      <c r="D611" s="3">
        <v>20191123</v>
      </c>
      <c r="E611" s="3" t="s">
        <v>144</v>
      </c>
      <c r="F611" s="3" t="s">
        <v>122</v>
      </c>
      <c r="G611" s="3" t="s">
        <v>209</v>
      </c>
      <c r="H611" s="3">
        <v>35</v>
      </c>
      <c r="I611" s="3">
        <v>117</v>
      </c>
      <c r="J611" s="3">
        <v>42</v>
      </c>
      <c r="K611" s="3">
        <v>372</v>
      </c>
      <c r="L611" s="3">
        <v>24</v>
      </c>
      <c r="M611" s="3">
        <v>82</v>
      </c>
      <c r="N611" s="3">
        <v>0</v>
      </c>
      <c r="O611" s="3">
        <v>41</v>
      </c>
      <c r="P611" s="3" t="s">
        <v>64</v>
      </c>
      <c r="Q611" s="3" t="s">
        <v>209</v>
      </c>
      <c r="R611" s="3">
        <v>32</v>
      </c>
      <c r="S611" s="3">
        <v>165</v>
      </c>
      <c r="T611" s="3">
        <v>44</v>
      </c>
      <c r="U611" s="3">
        <v>328</v>
      </c>
      <c r="V611" s="3">
        <v>8</v>
      </c>
      <c r="W611" s="3">
        <v>149</v>
      </c>
      <c r="X611" s="3">
        <v>1</v>
      </c>
      <c r="Y611" s="3">
        <v>31</v>
      </c>
      <c r="Z611" s="3">
        <v>23</v>
      </c>
    </row>
    <row r="612" spans="1:26">
      <c r="A612" s="94" t="str">
        <f t="shared" si="10"/>
        <v>20191123KEST</v>
      </c>
      <c r="B612" s="3">
        <v>2019</v>
      </c>
      <c r="C612" s="3">
        <v>13</v>
      </c>
      <c r="D612" s="3">
        <v>20191123</v>
      </c>
      <c r="E612" s="3" t="s">
        <v>144</v>
      </c>
      <c r="F612" s="3" t="s">
        <v>61</v>
      </c>
      <c r="G612" s="3" t="s">
        <v>149</v>
      </c>
      <c r="H612" s="3">
        <v>48</v>
      </c>
      <c r="I612" s="3">
        <v>266</v>
      </c>
      <c r="J612" s="3">
        <v>26</v>
      </c>
      <c r="K612" s="3">
        <v>369</v>
      </c>
      <c r="L612" s="3">
        <v>0</v>
      </c>
      <c r="M612" s="3">
        <v>134</v>
      </c>
      <c r="N612" s="3">
        <v>1</v>
      </c>
      <c r="O612" s="3">
        <v>41</v>
      </c>
      <c r="P612" s="3" t="s">
        <v>12</v>
      </c>
      <c r="Q612" s="3" t="s">
        <v>149</v>
      </c>
      <c r="R612" s="3">
        <v>59</v>
      </c>
      <c r="S612" s="3">
        <v>330</v>
      </c>
      <c r="T612" s="3">
        <v>24</v>
      </c>
      <c r="U612" s="3">
        <v>208</v>
      </c>
      <c r="V612" s="3">
        <v>0</v>
      </c>
      <c r="W612" s="3">
        <v>99</v>
      </c>
      <c r="X612" s="3">
        <v>0</v>
      </c>
      <c r="Y612" s="3">
        <v>38</v>
      </c>
      <c r="Z612" s="3">
        <v>3.5</v>
      </c>
    </row>
    <row r="613" spans="1:26">
      <c r="A613" s="94" t="str">
        <f t="shared" si="10"/>
        <v>20191123LLAF</v>
      </c>
      <c r="B613" s="3">
        <v>2019</v>
      </c>
      <c r="C613" s="3">
        <v>13</v>
      </c>
      <c r="D613" s="3">
        <v>20191123</v>
      </c>
      <c r="E613" s="3" t="s">
        <v>144</v>
      </c>
      <c r="F613" s="3" t="s">
        <v>69</v>
      </c>
      <c r="G613" s="3" t="s">
        <v>145</v>
      </c>
      <c r="H613" s="3">
        <v>37</v>
      </c>
      <c r="I613" s="3">
        <v>254</v>
      </c>
      <c r="J613" s="3">
        <v>40</v>
      </c>
      <c r="K613" s="3">
        <v>344</v>
      </c>
      <c r="L613" s="3">
        <v>2</v>
      </c>
      <c r="M613" s="3">
        <v>38</v>
      </c>
      <c r="N613" s="3">
        <v>3</v>
      </c>
      <c r="O613" s="3">
        <v>53</v>
      </c>
      <c r="P613" s="3" t="s">
        <v>104</v>
      </c>
      <c r="Q613" s="3" t="s">
        <v>145</v>
      </c>
      <c r="R613" s="3">
        <v>35</v>
      </c>
      <c r="S613" s="3">
        <v>156</v>
      </c>
      <c r="T613" s="3">
        <v>40</v>
      </c>
      <c r="U613" s="3">
        <v>203</v>
      </c>
      <c r="V613" s="3">
        <v>0</v>
      </c>
      <c r="W613" s="3">
        <v>61</v>
      </c>
      <c r="X613" s="3">
        <v>0</v>
      </c>
      <c r="Y613" s="3">
        <v>3</v>
      </c>
      <c r="Z613" s="3">
        <v>15</v>
      </c>
    </row>
    <row r="614" spans="1:26">
      <c r="A614" s="94" t="str">
        <f t="shared" si="10"/>
        <v>20191123LMON</v>
      </c>
      <c r="B614" s="3">
        <v>2019</v>
      </c>
      <c r="C614" s="3">
        <v>13</v>
      </c>
      <c r="D614" s="3">
        <v>20191123</v>
      </c>
      <c r="E614" s="3" t="s">
        <v>144</v>
      </c>
      <c r="F614" s="3" t="s">
        <v>25</v>
      </c>
      <c r="G614" s="3" t="s">
        <v>145</v>
      </c>
      <c r="H614" s="3">
        <v>33</v>
      </c>
      <c r="I614" s="3">
        <v>222</v>
      </c>
      <c r="J614" s="3">
        <v>33</v>
      </c>
      <c r="K614" s="3">
        <v>346</v>
      </c>
      <c r="L614" s="3">
        <v>0</v>
      </c>
      <c r="M614" s="3">
        <v>87</v>
      </c>
      <c r="N614" s="3">
        <v>2</v>
      </c>
      <c r="O614" s="3">
        <v>45</v>
      </c>
      <c r="P614" s="3" t="s">
        <v>97</v>
      </c>
      <c r="Q614" s="3" t="s">
        <v>145</v>
      </c>
      <c r="R614" s="3">
        <v>45</v>
      </c>
      <c r="S614" s="3">
        <v>230</v>
      </c>
      <c r="T614" s="3">
        <v>22</v>
      </c>
      <c r="U614" s="3">
        <v>222</v>
      </c>
      <c r="V614" s="3">
        <v>72</v>
      </c>
      <c r="W614" s="3">
        <v>14</v>
      </c>
      <c r="X614" s="3">
        <v>1</v>
      </c>
      <c r="Y614" s="3">
        <v>42</v>
      </c>
      <c r="Z614" s="3">
        <v>5.5</v>
      </c>
    </row>
    <row r="615" spans="1:26">
      <c r="A615" s="94" t="str">
        <f t="shared" si="10"/>
        <v>20191123LOU</v>
      </c>
      <c r="B615" s="3">
        <v>2019</v>
      </c>
      <c r="C615" s="3">
        <v>13</v>
      </c>
      <c r="D615" s="3">
        <v>20191123</v>
      </c>
      <c r="E615" s="3" t="s">
        <v>144</v>
      </c>
      <c r="F615" s="3" t="s">
        <v>123</v>
      </c>
      <c r="G615" s="3" t="s">
        <v>146</v>
      </c>
      <c r="H615" s="3">
        <v>41</v>
      </c>
      <c r="I615" s="3">
        <v>370</v>
      </c>
      <c r="J615" s="3">
        <v>20</v>
      </c>
      <c r="K615" s="3">
        <v>238</v>
      </c>
      <c r="L615" s="3">
        <v>0</v>
      </c>
      <c r="M615" s="3">
        <v>142</v>
      </c>
      <c r="N615" s="3">
        <v>1</v>
      </c>
      <c r="O615" s="3">
        <v>56</v>
      </c>
      <c r="P615" s="3" t="s">
        <v>38</v>
      </c>
      <c r="Q615" s="3" t="s">
        <v>146</v>
      </c>
      <c r="R615" s="3">
        <v>52</v>
      </c>
      <c r="S615" s="3">
        <v>261</v>
      </c>
      <c r="T615" s="3">
        <v>25</v>
      </c>
      <c r="U615" s="3">
        <v>249</v>
      </c>
      <c r="V615" s="3">
        <v>0</v>
      </c>
      <c r="W615" s="3">
        <v>179</v>
      </c>
      <c r="X615" s="3">
        <v>1</v>
      </c>
      <c r="Y615" s="3">
        <v>34</v>
      </c>
      <c r="Z615" s="3">
        <v>9.5</v>
      </c>
    </row>
    <row r="616" spans="1:26">
      <c r="A616" s="94" t="str">
        <f t="shared" si="10"/>
        <v>20191123LSU</v>
      </c>
      <c r="B616" s="3">
        <v>2019</v>
      </c>
      <c r="C616" s="3">
        <v>13</v>
      </c>
      <c r="D616" s="3">
        <v>20191123</v>
      </c>
      <c r="E616" s="3" t="s">
        <v>144</v>
      </c>
      <c r="F616" s="3" t="s">
        <v>124</v>
      </c>
      <c r="G616" s="3" t="s">
        <v>147</v>
      </c>
      <c r="H616" s="3">
        <v>16</v>
      </c>
      <c r="I616" s="3">
        <v>260</v>
      </c>
      <c r="J616" s="3">
        <v>32</v>
      </c>
      <c r="K616" s="3">
        <v>352</v>
      </c>
      <c r="L616" s="3">
        <v>1</v>
      </c>
      <c r="M616" s="3">
        <v>0</v>
      </c>
      <c r="N616" s="3">
        <v>0</v>
      </c>
      <c r="O616" s="3">
        <v>56</v>
      </c>
      <c r="P616" s="3" t="s">
        <v>41</v>
      </c>
      <c r="Q616" s="3" t="s">
        <v>147</v>
      </c>
      <c r="R616" s="3">
        <v>43</v>
      </c>
      <c r="S616" s="3">
        <v>114</v>
      </c>
      <c r="T616" s="3">
        <v>28</v>
      </c>
      <c r="U616" s="3">
        <v>190</v>
      </c>
      <c r="V616" s="3">
        <v>0</v>
      </c>
      <c r="W616" s="3">
        <v>16</v>
      </c>
      <c r="X616" s="3">
        <v>1</v>
      </c>
      <c r="Y616" s="3">
        <v>20</v>
      </c>
      <c r="Z616" s="3">
        <v>43</v>
      </c>
    </row>
    <row r="617" spans="1:26">
      <c r="A617" s="94" t="str">
        <f t="shared" si="10"/>
        <v>20191123MARY</v>
      </c>
      <c r="B617" s="3">
        <v>2019</v>
      </c>
      <c r="C617" s="3">
        <v>13</v>
      </c>
      <c r="D617" s="3">
        <v>20191123</v>
      </c>
      <c r="E617" s="3" t="s">
        <v>144</v>
      </c>
      <c r="F617" s="3" t="s">
        <v>121</v>
      </c>
      <c r="G617" s="3" t="s">
        <v>152</v>
      </c>
      <c r="H617" s="3">
        <v>31</v>
      </c>
      <c r="I617" s="3">
        <v>149</v>
      </c>
      <c r="J617" s="3">
        <v>21</v>
      </c>
      <c r="K617" s="3">
        <v>57</v>
      </c>
      <c r="L617" s="3">
        <v>0</v>
      </c>
      <c r="M617" s="3">
        <v>77</v>
      </c>
      <c r="N617" s="3">
        <v>1</v>
      </c>
      <c r="O617" s="3">
        <v>7</v>
      </c>
      <c r="P617" s="3" t="s">
        <v>127</v>
      </c>
      <c r="Q617" s="3" t="s">
        <v>152</v>
      </c>
      <c r="R617" s="3">
        <v>57</v>
      </c>
      <c r="S617" s="3">
        <v>305</v>
      </c>
      <c r="T617" s="3">
        <v>30</v>
      </c>
      <c r="U617" s="3">
        <v>226</v>
      </c>
      <c r="V617" s="3">
        <v>10</v>
      </c>
      <c r="W617" s="3">
        <v>16</v>
      </c>
      <c r="X617" s="3">
        <v>4</v>
      </c>
      <c r="Y617" s="3">
        <v>54</v>
      </c>
      <c r="Z617" s="3">
        <v>7</v>
      </c>
    </row>
    <row r="618" spans="1:26">
      <c r="A618" s="94" t="str">
        <f t="shared" si="10"/>
        <v>20191123MIZ</v>
      </c>
      <c r="B618" s="3">
        <v>2019</v>
      </c>
      <c r="C618" s="3">
        <v>13</v>
      </c>
      <c r="D618" s="3">
        <v>20191123</v>
      </c>
      <c r="E618" s="3" t="s">
        <v>144</v>
      </c>
      <c r="F618" s="3" t="s">
        <v>73</v>
      </c>
      <c r="G618" s="3" t="s">
        <v>147</v>
      </c>
      <c r="H618" s="3">
        <v>37</v>
      </c>
      <c r="I618" s="3">
        <v>99</v>
      </c>
      <c r="J618" s="3">
        <v>29</v>
      </c>
      <c r="K618" s="3">
        <v>181</v>
      </c>
      <c r="L618" s="3">
        <v>16</v>
      </c>
      <c r="M618" s="3">
        <v>0</v>
      </c>
      <c r="N618" s="3">
        <v>1</v>
      </c>
      <c r="O618" s="3">
        <v>20</v>
      </c>
      <c r="P618" s="3" t="s">
        <v>129</v>
      </c>
      <c r="Q618" s="3" t="s">
        <v>147</v>
      </c>
      <c r="R618" s="3">
        <v>32</v>
      </c>
      <c r="S618" s="3">
        <v>111</v>
      </c>
      <c r="T618" s="3">
        <v>41</v>
      </c>
      <c r="U618" s="3">
        <v>415</v>
      </c>
      <c r="V618" s="3">
        <v>14</v>
      </c>
      <c r="W618" s="3">
        <v>0</v>
      </c>
      <c r="X618" s="3">
        <v>0</v>
      </c>
      <c r="Y618" s="3">
        <v>24</v>
      </c>
      <c r="Z618" s="3">
        <v>3.5</v>
      </c>
    </row>
    <row r="619" spans="1:26">
      <c r="A619" s="94" t="str">
        <f t="shared" si="10"/>
        <v>20191123MTEN</v>
      </c>
      <c r="B619" s="3">
        <v>2019</v>
      </c>
      <c r="C619" s="3">
        <v>13</v>
      </c>
      <c r="D619" s="3">
        <v>20191123</v>
      </c>
      <c r="E619" s="3" t="s">
        <v>144</v>
      </c>
      <c r="F619" s="3" t="s">
        <v>112</v>
      </c>
      <c r="G619" s="3" t="s">
        <v>153</v>
      </c>
      <c r="H619" s="3">
        <v>34</v>
      </c>
      <c r="I619" s="3">
        <v>160</v>
      </c>
      <c r="J619" s="3">
        <v>27</v>
      </c>
      <c r="K619" s="3">
        <v>244</v>
      </c>
      <c r="L619" s="3">
        <v>0</v>
      </c>
      <c r="M619" s="3">
        <v>10</v>
      </c>
      <c r="N619" s="3">
        <v>1</v>
      </c>
      <c r="O619" s="3">
        <v>38</v>
      </c>
      <c r="P619" s="3" t="s">
        <v>68</v>
      </c>
      <c r="Q619" s="3" t="s">
        <v>153</v>
      </c>
      <c r="R619" s="3">
        <v>21</v>
      </c>
      <c r="S619" s="3">
        <v>102</v>
      </c>
      <c r="T619" s="3">
        <v>65</v>
      </c>
      <c r="U619" s="3">
        <v>321</v>
      </c>
      <c r="V619" s="3">
        <v>1</v>
      </c>
      <c r="W619" s="3">
        <v>31</v>
      </c>
      <c r="X619" s="3">
        <v>0</v>
      </c>
      <c r="Y619" s="3">
        <v>17</v>
      </c>
      <c r="Z619" s="3">
        <v>15</v>
      </c>
    </row>
    <row r="620" spans="1:26">
      <c r="A620" s="94" t="str">
        <f t="shared" si="10"/>
        <v>20191123NAVY</v>
      </c>
      <c r="B620" s="3">
        <v>2019</v>
      </c>
      <c r="C620" s="3">
        <v>13</v>
      </c>
      <c r="D620" s="3">
        <v>20191123</v>
      </c>
      <c r="E620" s="3" t="s">
        <v>144</v>
      </c>
      <c r="F620" s="3" t="s">
        <v>59</v>
      </c>
      <c r="G620" s="3" t="s">
        <v>150</v>
      </c>
      <c r="H620" s="3">
        <v>71</v>
      </c>
      <c r="I620" s="3">
        <v>381</v>
      </c>
      <c r="J620" s="3">
        <v>15</v>
      </c>
      <c r="K620" s="3">
        <v>162</v>
      </c>
      <c r="L620" s="3">
        <v>1</v>
      </c>
      <c r="M620" s="3">
        <v>12</v>
      </c>
      <c r="N620" s="3">
        <v>1</v>
      </c>
      <c r="O620" s="3">
        <v>35</v>
      </c>
      <c r="P620" s="3" t="s">
        <v>80</v>
      </c>
      <c r="Q620" s="3" t="s">
        <v>150</v>
      </c>
      <c r="R620" s="3">
        <v>27</v>
      </c>
      <c r="S620" s="3">
        <v>93</v>
      </c>
      <c r="T620" s="3">
        <v>29</v>
      </c>
      <c r="U620" s="3">
        <v>251</v>
      </c>
      <c r="V620" s="3">
        <v>0</v>
      </c>
      <c r="W620" s="3">
        <v>188</v>
      </c>
      <c r="X620" s="3">
        <v>0</v>
      </c>
      <c r="Y620" s="3">
        <v>28</v>
      </c>
      <c r="Z620" s="3">
        <v>4</v>
      </c>
    </row>
    <row r="621" spans="1:26">
      <c r="A621" s="94" t="str">
        <f t="shared" si="10"/>
        <v>20191123NMST</v>
      </c>
      <c r="B621" s="3">
        <v>2019</v>
      </c>
      <c r="C621" s="3">
        <v>13</v>
      </c>
      <c r="D621" s="3">
        <v>20191123</v>
      </c>
      <c r="E621" s="3" t="s">
        <v>144</v>
      </c>
      <c r="F621" s="3" t="s">
        <v>9</v>
      </c>
      <c r="G621" s="3" t="s">
        <v>53</v>
      </c>
      <c r="H621" s="3">
        <v>25</v>
      </c>
      <c r="I621" s="3">
        <v>259</v>
      </c>
      <c r="J621" s="3">
        <v>31</v>
      </c>
      <c r="K621" s="3">
        <v>182</v>
      </c>
      <c r="L621" s="3">
        <v>2</v>
      </c>
      <c r="M621" s="3">
        <v>8</v>
      </c>
      <c r="N621" s="3">
        <v>2</v>
      </c>
      <c r="O621" s="3">
        <v>44</v>
      </c>
      <c r="P621" s="3" t="s">
        <v>110</v>
      </c>
      <c r="Q621" s="3" t="s">
        <v>153</v>
      </c>
      <c r="R621" s="3">
        <v>40</v>
      </c>
      <c r="S621" s="3">
        <v>199</v>
      </c>
      <c r="T621" s="3">
        <v>38</v>
      </c>
      <c r="U621" s="3">
        <v>358</v>
      </c>
      <c r="V621" s="3">
        <v>18</v>
      </c>
      <c r="W621" s="3">
        <v>30</v>
      </c>
      <c r="X621" s="3">
        <v>0</v>
      </c>
      <c r="Y621" s="3">
        <v>35</v>
      </c>
      <c r="Z621" s="3">
        <v>7.5</v>
      </c>
    </row>
    <row r="622" spans="1:26">
      <c r="A622" s="94" t="str">
        <f t="shared" si="10"/>
        <v>20191123NMX</v>
      </c>
      <c r="B622" s="3">
        <v>2019</v>
      </c>
      <c r="C622" s="3">
        <v>13</v>
      </c>
      <c r="D622" s="3">
        <v>20191123</v>
      </c>
      <c r="E622" s="3" t="s">
        <v>144</v>
      </c>
      <c r="F622" s="3" t="s">
        <v>76</v>
      </c>
      <c r="G622" s="3" t="s">
        <v>148</v>
      </c>
      <c r="H622" s="3">
        <v>43</v>
      </c>
      <c r="I622" s="3">
        <v>268</v>
      </c>
      <c r="J622" s="3">
        <v>18</v>
      </c>
      <c r="K622" s="3">
        <v>90</v>
      </c>
      <c r="L622" s="3">
        <v>0</v>
      </c>
      <c r="M622" s="3">
        <v>142</v>
      </c>
      <c r="N622" s="3">
        <v>1</v>
      </c>
      <c r="O622" s="3">
        <v>22</v>
      </c>
      <c r="P622" s="3" t="s">
        <v>39</v>
      </c>
      <c r="Q622" s="3" t="s">
        <v>148</v>
      </c>
      <c r="R622" s="3">
        <v>45</v>
      </c>
      <c r="S622" s="3">
        <v>213</v>
      </c>
      <c r="T622" s="3">
        <v>10</v>
      </c>
      <c r="U622" s="3">
        <v>327</v>
      </c>
      <c r="V622" s="3">
        <v>0</v>
      </c>
      <c r="W622" s="3">
        <v>0</v>
      </c>
      <c r="X622" s="3">
        <v>1</v>
      </c>
      <c r="Y622" s="3">
        <v>44</v>
      </c>
      <c r="Z622" s="3">
        <v>23.5</v>
      </c>
    </row>
    <row r="623" spans="1:26">
      <c r="A623" s="94" t="str">
        <f t="shared" si="10"/>
        <v>20191123NORW</v>
      </c>
      <c r="B623" s="3">
        <v>2019</v>
      </c>
      <c r="C623" s="3">
        <v>13</v>
      </c>
      <c r="D623" s="3">
        <v>20191123</v>
      </c>
      <c r="E623" s="3" t="s">
        <v>144</v>
      </c>
      <c r="F623" s="3" t="s">
        <v>18</v>
      </c>
      <c r="G623" s="3" t="s">
        <v>152</v>
      </c>
      <c r="H623" s="3">
        <v>49</v>
      </c>
      <c r="I623" s="3">
        <v>127</v>
      </c>
      <c r="J623" s="3">
        <v>12</v>
      </c>
      <c r="K623" s="3">
        <v>95</v>
      </c>
      <c r="L623" s="3">
        <v>0</v>
      </c>
      <c r="M623" s="3">
        <v>124</v>
      </c>
      <c r="N623" s="3">
        <v>1</v>
      </c>
      <c r="O623" s="3">
        <v>22</v>
      </c>
      <c r="P623" s="3" t="s">
        <v>16</v>
      </c>
      <c r="Q623" s="3" t="s">
        <v>152</v>
      </c>
      <c r="R623" s="3">
        <v>39</v>
      </c>
      <c r="S623" s="3">
        <v>212</v>
      </c>
      <c r="T623" s="3">
        <v>23</v>
      </c>
      <c r="U623" s="3">
        <v>211</v>
      </c>
      <c r="V623" s="3">
        <v>2</v>
      </c>
      <c r="W623" s="3">
        <v>48</v>
      </c>
      <c r="X623" s="3">
        <v>0</v>
      </c>
      <c r="Y623" s="3">
        <v>38</v>
      </c>
      <c r="Z623" s="3">
        <v>15.5</v>
      </c>
    </row>
    <row r="624" spans="1:26">
      <c r="A624" s="94" t="str">
        <f t="shared" si="10"/>
        <v>20191123NOTD</v>
      </c>
      <c r="B624" s="3">
        <v>2019</v>
      </c>
      <c r="C624" s="3">
        <v>13</v>
      </c>
      <c r="D624" s="3">
        <v>20191123</v>
      </c>
      <c r="E624" s="3" t="s">
        <v>144</v>
      </c>
      <c r="F624" s="3" t="s">
        <v>77</v>
      </c>
      <c r="G624" s="3" t="s">
        <v>53</v>
      </c>
      <c r="H624" s="3">
        <v>44</v>
      </c>
      <c r="I624" s="3">
        <v>252</v>
      </c>
      <c r="J624" s="3">
        <v>41</v>
      </c>
      <c r="K624" s="3">
        <v>249</v>
      </c>
      <c r="L624" s="3">
        <v>53</v>
      </c>
      <c r="M624" s="3">
        <v>17</v>
      </c>
      <c r="N624" s="3">
        <v>2</v>
      </c>
      <c r="O624" s="3">
        <v>40</v>
      </c>
      <c r="P624" s="3" t="s">
        <v>46</v>
      </c>
      <c r="Q624" s="3" t="s">
        <v>146</v>
      </c>
      <c r="R624" s="3">
        <v>43</v>
      </c>
      <c r="S624" s="3">
        <v>128</v>
      </c>
      <c r="T624" s="3">
        <v>21</v>
      </c>
      <c r="U624" s="3">
        <v>63</v>
      </c>
      <c r="V624" s="3">
        <v>0</v>
      </c>
      <c r="W624" s="3">
        <v>57</v>
      </c>
      <c r="X624" s="3">
        <v>0</v>
      </c>
      <c r="Y624" s="3">
        <v>7</v>
      </c>
      <c r="Z624" s="3">
        <v>21</v>
      </c>
    </row>
    <row r="625" spans="1:26">
      <c r="A625" s="94" t="str">
        <f t="shared" si="10"/>
        <v>20191123OHST</v>
      </c>
      <c r="B625" s="3">
        <v>2019</v>
      </c>
      <c r="C625" s="3">
        <v>13</v>
      </c>
      <c r="D625" s="3">
        <v>20191123</v>
      </c>
      <c r="E625" s="3" t="s">
        <v>144</v>
      </c>
      <c r="F625" s="3" t="s">
        <v>81</v>
      </c>
      <c r="G625" s="3" t="s">
        <v>152</v>
      </c>
      <c r="H625" s="3">
        <v>61</v>
      </c>
      <c r="I625" s="3">
        <v>229</v>
      </c>
      <c r="J625" s="3">
        <v>22</v>
      </c>
      <c r="K625" s="3">
        <v>188</v>
      </c>
      <c r="L625" s="3">
        <v>7</v>
      </c>
      <c r="M625" s="3">
        <v>0</v>
      </c>
      <c r="N625" s="3">
        <v>1</v>
      </c>
      <c r="O625" s="3">
        <v>28</v>
      </c>
      <c r="P625" s="3" t="s">
        <v>89</v>
      </c>
      <c r="Q625" s="3" t="s">
        <v>152</v>
      </c>
      <c r="R625" s="3">
        <v>37</v>
      </c>
      <c r="S625" s="3">
        <v>99</v>
      </c>
      <c r="T625" s="3">
        <v>28</v>
      </c>
      <c r="U625" s="3">
        <v>128</v>
      </c>
      <c r="V625" s="3">
        <v>7</v>
      </c>
      <c r="W625" s="3">
        <v>39</v>
      </c>
      <c r="X625" s="3">
        <v>3</v>
      </c>
      <c r="Y625" s="3">
        <v>17</v>
      </c>
      <c r="Z625" s="3">
        <v>18.5</v>
      </c>
    </row>
    <row r="626" spans="1:26">
      <c r="A626" s="94" t="str">
        <f t="shared" si="10"/>
        <v>20191123OKLA</v>
      </c>
      <c r="B626" s="3">
        <v>2019</v>
      </c>
      <c r="C626" s="3">
        <v>13</v>
      </c>
      <c r="D626" s="3">
        <v>20191123</v>
      </c>
      <c r="E626" s="3" t="s">
        <v>144</v>
      </c>
      <c r="F626" s="3" t="s">
        <v>84</v>
      </c>
      <c r="G626" s="3" t="s">
        <v>209</v>
      </c>
      <c r="H626" s="3">
        <v>64</v>
      </c>
      <c r="I626" s="3">
        <v>366</v>
      </c>
      <c r="J626" s="3">
        <v>21</v>
      </c>
      <c r="K626" s="3">
        <v>145</v>
      </c>
      <c r="L626" s="3">
        <v>12</v>
      </c>
      <c r="M626" s="3">
        <v>74</v>
      </c>
      <c r="N626" s="3">
        <v>1</v>
      </c>
      <c r="O626" s="3">
        <v>28</v>
      </c>
      <c r="P626" s="3" t="s">
        <v>100</v>
      </c>
      <c r="Q626" s="3" t="s">
        <v>209</v>
      </c>
      <c r="R626" s="3">
        <v>24</v>
      </c>
      <c r="S626" s="3">
        <v>139</v>
      </c>
      <c r="T626" s="3">
        <v>21</v>
      </c>
      <c r="U626" s="3">
        <v>65</v>
      </c>
      <c r="V626" s="3">
        <v>0</v>
      </c>
      <c r="W626" s="3">
        <v>37</v>
      </c>
      <c r="X626" s="3">
        <v>3</v>
      </c>
      <c r="Y626" s="3">
        <v>24</v>
      </c>
      <c r="Z626" s="3">
        <v>17.5</v>
      </c>
    </row>
    <row r="627" spans="1:26">
      <c r="A627" s="94" t="str">
        <f t="shared" si="10"/>
        <v>20191123RICE</v>
      </c>
      <c r="B627" s="3">
        <v>2019</v>
      </c>
      <c r="C627" s="3">
        <v>13</v>
      </c>
      <c r="D627" s="3">
        <v>20191123</v>
      </c>
      <c r="E627" s="3" t="s">
        <v>144</v>
      </c>
      <c r="F627" s="3" t="s">
        <v>11</v>
      </c>
      <c r="G627" s="3" t="s">
        <v>153</v>
      </c>
      <c r="H627" s="3">
        <v>43</v>
      </c>
      <c r="I627" s="3">
        <v>122</v>
      </c>
      <c r="J627" s="3">
        <v>28</v>
      </c>
      <c r="K627" s="3">
        <v>206</v>
      </c>
      <c r="L627" s="3">
        <v>19</v>
      </c>
      <c r="M627" s="3">
        <v>61</v>
      </c>
      <c r="N627" s="3">
        <v>2</v>
      </c>
      <c r="O627" s="3">
        <v>20</v>
      </c>
      <c r="P627" s="3" t="s">
        <v>79</v>
      </c>
      <c r="Q627" s="3" t="s">
        <v>153</v>
      </c>
      <c r="R627" s="3">
        <v>25</v>
      </c>
      <c r="S627" s="3">
        <v>75</v>
      </c>
      <c r="T627" s="3">
        <v>32</v>
      </c>
      <c r="U627" s="3">
        <v>163</v>
      </c>
      <c r="V627" s="3">
        <v>36</v>
      </c>
      <c r="W627" s="3">
        <v>90</v>
      </c>
      <c r="X627" s="3">
        <v>2</v>
      </c>
      <c r="Y627" s="3">
        <v>14</v>
      </c>
      <c r="Z627" s="3">
        <v>4.5</v>
      </c>
    </row>
    <row r="628" spans="1:26">
      <c r="A628" s="94" t="str">
        <f t="shared" si="10"/>
        <v>20191123RUT</v>
      </c>
      <c r="B628" s="3">
        <v>2019</v>
      </c>
      <c r="C628" s="3">
        <v>13</v>
      </c>
      <c r="D628" s="3">
        <v>20191123</v>
      </c>
      <c r="E628" s="3" t="s">
        <v>144</v>
      </c>
      <c r="F628" s="3" t="s">
        <v>92</v>
      </c>
      <c r="G628" s="3" t="s">
        <v>152</v>
      </c>
      <c r="H628" s="3">
        <v>27</v>
      </c>
      <c r="I628" s="3">
        <v>83</v>
      </c>
      <c r="J628" s="3">
        <v>20</v>
      </c>
      <c r="K628" s="3">
        <v>57</v>
      </c>
      <c r="L628" s="3">
        <v>0</v>
      </c>
      <c r="M628" s="3">
        <v>108</v>
      </c>
      <c r="N628" s="3">
        <v>1</v>
      </c>
      <c r="O628" s="3">
        <v>0</v>
      </c>
      <c r="P628" s="3" t="s">
        <v>30</v>
      </c>
      <c r="Q628" s="3" t="s">
        <v>152</v>
      </c>
      <c r="R628" s="3">
        <v>47</v>
      </c>
      <c r="S628" s="3">
        <v>156</v>
      </c>
      <c r="T628" s="3">
        <v>30</v>
      </c>
      <c r="U628" s="3">
        <v>239</v>
      </c>
      <c r="V628" s="3">
        <v>9</v>
      </c>
      <c r="W628" s="3">
        <v>0</v>
      </c>
      <c r="X628" s="3">
        <v>2</v>
      </c>
      <c r="Y628" s="3">
        <v>27</v>
      </c>
      <c r="Z628" s="3">
        <v>22</v>
      </c>
    </row>
    <row r="629" spans="1:26">
      <c r="A629" s="94" t="str">
        <f t="shared" si="10"/>
        <v>20191123SFL</v>
      </c>
      <c r="B629" s="3">
        <v>2019</v>
      </c>
      <c r="C629" s="3">
        <v>13</v>
      </c>
      <c r="D629" s="3">
        <v>20191123</v>
      </c>
      <c r="E629" s="3" t="s">
        <v>144</v>
      </c>
      <c r="F629" s="3" t="s">
        <v>98</v>
      </c>
      <c r="G629" s="3" t="s">
        <v>150</v>
      </c>
      <c r="H629" s="3">
        <v>31</v>
      </c>
      <c r="I629" s="3">
        <v>126</v>
      </c>
      <c r="J629" s="3">
        <v>19</v>
      </c>
      <c r="K629" s="3">
        <v>44</v>
      </c>
      <c r="L629" s="3">
        <v>0</v>
      </c>
      <c r="M629" s="3">
        <v>21</v>
      </c>
      <c r="N629" s="3">
        <v>2</v>
      </c>
      <c r="O629" s="3">
        <v>10</v>
      </c>
      <c r="P629" s="3" t="s">
        <v>70</v>
      </c>
      <c r="Q629" s="3" t="s">
        <v>150</v>
      </c>
      <c r="R629" s="3">
        <v>57</v>
      </c>
      <c r="S629" s="3">
        <v>353</v>
      </c>
      <c r="T629" s="3">
        <v>31</v>
      </c>
      <c r="U629" s="3">
        <v>235</v>
      </c>
      <c r="V629" s="3">
        <v>77</v>
      </c>
      <c r="W629" s="3">
        <v>10</v>
      </c>
      <c r="X629" s="3">
        <v>0</v>
      </c>
      <c r="Y629" s="3">
        <v>49</v>
      </c>
      <c r="Z629" s="3">
        <v>15.5</v>
      </c>
    </row>
    <row r="630" spans="1:26">
      <c r="A630" s="94" t="str">
        <f t="shared" si="10"/>
        <v>20191123SMIS</v>
      </c>
      <c r="B630" s="3">
        <v>2019</v>
      </c>
      <c r="C630" s="3">
        <v>13</v>
      </c>
      <c r="D630" s="3">
        <v>20191123</v>
      </c>
      <c r="E630" s="3" t="s">
        <v>144</v>
      </c>
      <c r="F630" s="3" t="s">
        <v>99</v>
      </c>
      <c r="G630" s="3" t="s">
        <v>153</v>
      </c>
      <c r="H630" s="3">
        <v>34</v>
      </c>
      <c r="I630" s="3">
        <v>98</v>
      </c>
      <c r="J630" s="3">
        <v>39</v>
      </c>
      <c r="K630" s="3">
        <v>290</v>
      </c>
      <c r="L630" s="3">
        <v>47</v>
      </c>
      <c r="M630" s="3">
        <v>0</v>
      </c>
      <c r="N630" s="3">
        <v>1</v>
      </c>
      <c r="O630" s="3">
        <v>10</v>
      </c>
      <c r="P630" s="3" t="s">
        <v>36</v>
      </c>
      <c r="Q630" s="3" t="s">
        <v>153</v>
      </c>
      <c r="R630" s="3">
        <v>34</v>
      </c>
      <c r="S630" s="3">
        <v>134</v>
      </c>
      <c r="T630" s="3">
        <v>31</v>
      </c>
      <c r="U630" s="3">
        <v>231</v>
      </c>
      <c r="V630" s="3">
        <v>40</v>
      </c>
      <c r="W630" s="3">
        <v>0</v>
      </c>
      <c r="X630" s="3">
        <v>2</v>
      </c>
      <c r="Y630" s="3">
        <v>28</v>
      </c>
      <c r="Z630" s="3">
        <v>4</v>
      </c>
    </row>
    <row r="631" spans="1:26">
      <c r="A631" s="94" t="str">
        <f t="shared" si="10"/>
        <v>20191123STAN</v>
      </c>
      <c r="B631" s="3">
        <v>2019</v>
      </c>
      <c r="C631" s="3">
        <v>13</v>
      </c>
      <c r="D631" s="3">
        <v>20191123</v>
      </c>
      <c r="E631" s="3" t="s">
        <v>144</v>
      </c>
      <c r="F631" s="3" t="s">
        <v>33</v>
      </c>
      <c r="G631" s="3" t="s">
        <v>151</v>
      </c>
      <c r="H631" s="3">
        <v>24</v>
      </c>
      <c r="I631" s="3">
        <v>61</v>
      </c>
      <c r="J631" s="3">
        <v>35</v>
      </c>
      <c r="K631" s="3">
        <v>283</v>
      </c>
      <c r="L631" s="3">
        <v>0</v>
      </c>
      <c r="M631" s="3">
        <v>54</v>
      </c>
      <c r="N631" s="3">
        <v>0</v>
      </c>
      <c r="O631" s="3">
        <v>20</v>
      </c>
      <c r="P631" s="3" t="s">
        <v>48</v>
      </c>
      <c r="Q631" s="3" t="s">
        <v>151</v>
      </c>
      <c r="R631" s="3">
        <v>36</v>
      </c>
      <c r="S631" s="3">
        <v>139</v>
      </c>
      <c r="T631" s="3">
        <v>30</v>
      </c>
      <c r="U631" s="3">
        <v>285</v>
      </c>
      <c r="V631" s="3">
        <v>15</v>
      </c>
      <c r="W631" s="3">
        <v>41</v>
      </c>
      <c r="X631" s="3">
        <v>2</v>
      </c>
      <c r="Y631" s="3">
        <v>24</v>
      </c>
      <c r="Z631" s="3">
        <v>2</v>
      </c>
    </row>
    <row r="632" spans="1:26">
      <c r="A632" s="94" t="str">
        <f t="shared" si="10"/>
        <v>20191123TLN</v>
      </c>
      <c r="B632" s="3">
        <v>2019</v>
      </c>
      <c r="C632" s="3">
        <v>13</v>
      </c>
      <c r="D632" s="3">
        <v>20191123</v>
      </c>
      <c r="E632" s="3" t="s">
        <v>144</v>
      </c>
      <c r="F632" s="3" t="s">
        <v>20</v>
      </c>
      <c r="G632" s="3" t="s">
        <v>150</v>
      </c>
      <c r="H632" s="3">
        <v>55</v>
      </c>
      <c r="I632" s="3">
        <v>221</v>
      </c>
      <c r="J632" s="3">
        <v>27</v>
      </c>
      <c r="K632" s="3">
        <v>181</v>
      </c>
      <c r="L632" s="3">
        <v>11</v>
      </c>
      <c r="M632" s="3">
        <v>119</v>
      </c>
      <c r="N632" s="3">
        <v>0</v>
      </c>
      <c r="O632" s="3">
        <v>31</v>
      </c>
      <c r="P632" s="3" t="s">
        <v>14</v>
      </c>
      <c r="Q632" s="3" t="s">
        <v>150</v>
      </c>
      <c r="R632" s="3">
        <v>42</v>
      </c>
      <c r="S632" s="3">
        <v>165</v>
      </c>
      <c r="T632" s="3">
        <v>47</v>
      </c>
      <c r="U632" s="3">
        <v>319</v>
      </c>
      <c r="V632" s="3">
        <v>36</v>
      </c>
      <c r="W632" s="3">
        <v>0</v>
      </c>
      <c r="X632" s="3">
        <v>0</v>
      </c>
      <c r="Y632" s="3">
        <v>34</v>
      </c>
      <c r="Z632" s="3">
        <v>5</v>
      </c>
    </row>
    <row r="633" spans="1:26">
      <c r="A633" s="94" t="str">
        <f t="shared" si="10"/>
        <v>20191123TLS</v>
      </c>
      <c r="B633" s="3">
        <v>2019</v>
      </c>
      <c r="C633" s="3">
        <v>13</v>
      </c>
      <c r="D633" s="3">
        <v>20191123</v>
      </c>
      <c r="E633" s="3" t="s">
        <v>144</v>
      </c>
      <c r="F633" s="3" t="s">
        <v>102</v>
      </c>
      <c r="G633" s="3" t="s">
        <v>150</v>
      </c>
      <c r="H633" s="3">
        <v>23</v>
      </c>
      <c r="I633" s="3">
        <v>1</v>
      </c>
      <c r="J633" s="3">
        <v>45</v>
      </c>
      <c r="K633" s="3">
        <v>381</v>
      </c>
      <c r="L633" s="3">
        <v>2</v>
      </c>
      <c r="M633" s="3">
        <v>35</v>
      </c>
      <c r="N633" s="3">
        <v>1</v>
      </c>
      <c r="O633" s="3">
        <v>14</v>
      </c>
      <c r="P633" s="3" t="s">
        <v>91</v>
      </c>
      <c r="Q633" s="3" t="s">
        <v>150</v>
      </c>
      <c r="R633" s="3">
        <v>42</v>
      </c>
      <c r="S633" s="3">
        <v>132</v>
      </c>
      <c r="T633" s="3">
        <v>13</v>
      </c>
      <c r="U633" s="3">
        <v>100</v>
      </c>
      <c r="V633" s="3">
        <v>40</v>
      </c>
      <c r="W633" s="3">
        <v>112</v>
      </c>
      <c r="X633" s="3">
        <v>4</v>
      </c>
      <c r="Y633" s="3">
        <v>24</v>
      </c>
      <c r="Z633" s="3">
        <v>3</v>
      </c>
    </row>
    <row r="634" spans="1:26">
      <c r="A634" s="94" t="str">
        <f t="shared" si="10"/>
        <v>20191123TXT</v>
      </c>
      <c r="B634" s="3">
        <v>2019</v>
      </c>
      <c r="C634" s="3">
        <v>13</v>
      </c>
      <c r="D634" s="3">
        <v>20191123</v>
      </c>
      <c r="E634" s="3" t="s">
        <v>144</v>
      </c>
      <c r="F634" s="3" t="s">
        <v>131</v>
      </c>
      <c r="G634" s="3" t="s">
        <v>209</v>
      </c>
      <c r="H634" s="3">
        <v>31</v>
      </c>
      <c r="I634" s="3">
        <v>144</v>
      </c>
      <c r="J634" s="3">
        <v>50</v>
      </c>
      <c r="K634" s="3">
        <v>368</v>
      </c>
      <c r="L634" s="3">
        <v>2</v>
      </c>
      <c r="M634" s="3">
        <v>146</v>
      </c>
      <c r="N634" s="3">
        <v>1</v>
      </c>
      <c r="O634" s="3">
        <v>27</v>
      </c>
      <c r="P634" s="3" t="s">
        <v>65</v>
      </c>
      <c r="Q634" s="3" t="s">
        <v>209</v>
      </c>
      <c r="R634" s="3">
        <v>37</v>
      </c>
      <c r="S634" s="3">
        <v>126</v>
      </c>
      <c r="T634" s="3">
        <v>28</v>
      </c>
      <c r="U634" s="3">
        <v>246</v>
      </c>
      <c r="V634" s="3">
        <v>0</v>
      </c>
      <c r="W634" s="3">
        <v>126</v>
      </c>
      <c r="X634" s="3">
        <v>2</v>
      </c>
      <c r="Y634" s="3">
        <v>30</v>
      </c>
      <c r="Z634" s="3">
        <v>0</v>
      </c>
    </row>
    <row r="635" spans="1:26">
      <c r="A635" s="94" t="str">
        <f t="shared" si="10"/>
        <v>20191123UAB</v>
      </c>
      <c r="B635" s="3">
        <v>2019</v>
      </c>
      <c r="C635" s="3">
        <v>13</v>
      </c>
      <c r="D635" s="3">
        <v>20191123</v>
      </c>
      <c r="E635" s="3" t="s">
        <v>144</v>
      </c>
      <c r="F635" s="3" t="s">
        <v>23</v>
      </c>
      <c r="G635" s="3" t="s">
        <v>153</v>
      </c>
      <c r="H635" s="3">
        <v>43</v>
      </c>
      <c r="I635" s="3">
        <v>166</v>
      </c>
      <c r="J635" s="3">
        <v>23</v>
      </c>
      <c r="K635" s="3">
        <v>187</v>
      </c>
      <c r="L635" s="3">
        <v>0</v>
      </c>
      <c r="M635" s="3">
        <v>53</v>
      </c>
      <c r="N635" s="3">
        <v>0</v>
      </c>
      <c r="O635" s="3">
        <v>20</v>
      </c>
      <c r="P635" s="3" t="s">
        <v>95</v>
      </c>
      <c r="Q635" s="3" t="s">
        <v>153</v>
      </c>
      <c r="R635" s="3">
        <v>31</v>
      </c>
      <c r="S635" s="3">
        <v>97</v>
      </c>
      <c r="T635" s="3">
        <v>34</v>
      </c>
      <c r="U635" s="3">
        <v>173</v>
      </c>
      <c r="V635" s="3">
        <v>0</v>
      </c>
      <c r="W635" s="3">
        <v>35</v>
      </c>
      <c r="X635" s="3">
        <v>1</v>
      </c>
      <c r="Y635" s="3">
        <v>14</v>
      </c>
      <c r="Z635" s="3">
        <v>6</v>
      </c>
    </row>
    <row r="636" spans="1:26">
      <c r="A636" s="94" t="str">
        <f t="shared" si="10"/>
        <v>20191123UNLV</v>
      </c>
      <c r="B636" s="3">
        <v>2019</v>
      </c>
      <c r="C636" s="3">
        <v>13</v>
      </c>
      <c r="D636" s="3">
        <v>20191123</v>
      </c>
      <c r="E636" s="3" t="s">
        <v>144</v>
      </c>
      <c r="F636" s="3" t="s">
        <v>109</v>
      </c>
      <c r="G636" s="3" t="s">
        <v>148</v>
      </c>
      <c r="H636" s="3">
        <v>38</v>
      </c>
      <c r="I636" s="3">
        <v>252</v>
      </c>
      <c r="J636" s="3">
        <v>36</v>
      </c>
      <c r="K636" s="3">
        <v>203</v>
      </c>
      <c r="L636" s="3">
        <v>4</v>
      </c>
      <c r="M636" s="3">
        <v>19</v>
      </c>
      <c r="N636" s="3">
        <v>5</v>
      </c>
      <c r="O636" s="3">
        <v>38</v>
      </c>
      <c r="P636" s="3" t="s">
        <v>19</v>
      </c>
      <c r="Q636" s="3" t="s">
        <v>148</v>
      </c>
      <c r="R636" s="3">
        <v>21</v>
      </c>
      <c r="S636" s="3">
        <v>99</v>
      </c>
      <c r="T636" s="3">
        <v>56</v>
      </c>
      <c r="U636" s="3">
        <v>465</v>
      </c>
      <c r="V636" s="3">
        <v>10</v>
      </c>
      <c r="W636" s="3">
        <v>54</v>
      </c>
      <c r="X636" s="3">
        <v>1</v>
      </c>
      <c r="Y636" s="3">
        <v>35</v>
      </c>
      <c r="Z636" s="3">
        <v>6.5</v>
      </c>
    </row>
    <row r="637" spans="1:26">
      <c r="A637" s="94" t="str">
        <f t="shared" si="10"/>
        <v>20191123USC</v>
      </c>
      <c r="B637" s="3">
        <v>2019</v>
      </c>
      <c r="C637" s="3">
        <v>13</v>
      </c>
      <c r="D637" s="3">
        <v>20191123</v>
      </c>
      <c r="E637" s="3" t="s">
        <v>144</v>
      </c>
      <c r="F637" s="3" t="s">
        <v>108</v>
      </c>
      <c r="G637" s="3" t="s">
        <v>151</v>
      </c>
      <c r="H637" s="3">
        <v>29</v>
      </c>
      <c r="I637" s="3">
        <v>143</v>
      </c>
      <c r="J637" s="3">
        <v>47</v>
      </c>
      <c r="K637" s="3">
        <v>515</v>
      </c>
      <c r="L637" s="3">
        <v>3</v>
      </c>
      <c r="M637" s="3">
        <v>20</v>
      </c>
      <c r="N637" s="3">
        <v>1</v>
      </c>
      <c r="O637" s="3">
        <v>52</v>
      </c>
      <c r="P637" s="3" t="s">
        <v>106</v>
      </c>
      <c r="Q637" s="3" t="s">
        <v>151</v>
      </c>
      <c r="R637" s="3">
        <v>39</v>
      </c>
      <c r="S637" s="3">
        <v>157</v>
      </c>
      <c r="T637" s="3">
        <v>49</v>
      </c>
      <c r="U637" s="3">
        <v>383</v>
      </c>
      <c r="V637" s="3">
        <v>0</v>
      </c>
      <c r="W637" s="3">
        <v>42</v>
      </c>
      <c r="X637" s="3">
        <v>1</v>
      </c>
      <c r="Y637" s="3">
        <v>35</v>
      </c>
      <c r="Z637" s="3">
        <v>13.5</v>
      </c>
    </row>
    <row r="638" spans="1:26">
      <c r="A638" s="94" t="str">
        <f t="shared" si="10"/>
        <v>20191123UTST</v>
      </c>
      <c r="B638" s="3">
        <v>2019</v>
      </c>
      <c r="C638" s="3">
        <v>13</v>
      </c>
      <c r="D638" s="3">
        <v>20191123</v>
      </c>
      <c r="E638" s="3" t="s">
        <v>144</v>
      </c>
      <c r="F638" s="3" t="s">
        <v>31</v>
      </c>
      <c r="G638" s="3" t="s">
        <v>148</v>
      </c>
      <c r="H638" s="3">
        <v>34</v>
      </c>
      <c r="I638" s="3">
        <v>121</v>
      </c>
      <c r="J638" s="3">
        <v>47</v>
      </c>
      <c r="K638" s="3">
        <v>307</v>
      </c>
      <c r="L638" s="3">
        <v>0</v>
      </c>
      <c r="M638" s="3">
        <v>43</v>
      </c>
      <c r="N638" s="3">
        <v>0</v>
      </c>
      <c r="O638" s="3">
        <v>21</v>
      </c>
      <c r="P638" s="3" t="s">
        <v>105</v>
      </c>
      <c r="Q638" s="3" t="s">
        <v>148</v>
      </c>
      <c r="R638" s="3">
        <v>46</v>
      </c>
      <c r="S638" s="3">
        <v>297</v>
      </c>
      <c r="T638" s="3">
        <v>29</v>
      </c>
      <c r="U638" s="3">
        <v>187</v>
      </c>
      <c r="V638" s="3">
        <v>74</v>
      </c>
      <c r="W638" s="3">
        <v>0</v>
      </c>
      <c r="X638" s="3">
        <v>2</v>
      </c>
      <c r="Y638" s="3">
        <v>56</v>
      </c>
      <c r="Z638" s="3">
        <v>9</v>
      </c>
    </row>
    <row r="639" spans="1:26">
      <c r="A639" s="94" t="str">
        <f t="shared" si="10"/>
        <v>20191123VTCH</v>
      </c>
      <c r="B639" s="3">
        <v>2019</v>
      </c>
      <c r="C639" s="3">
        <v>13</v>
      </c>
      <c r="D639" s="3">
        <v>20191123</v>
      </c>
      <c r="E639" s="3" t="s">
        <v>144</v>
      </c>
      <c r="F639" s="3" t="s">
        <v>117</v>
      </c>
      <c r="G639" s="3" t="s">
        <v>146</v>
      </c>
      <c r="H639" s="3">
        <v>48</v>
      </c>
      <c r="I639" s="3">
        <v>110</v>
      </c>
      <c r="J639" s="3">
        <v>14</v>
      </c>
      <c r="K639" s="3">
        <v>153</v>
      </c>
      <c r="L639" s="3">
        <v>39</v>
      </c>
      <c r="M639" s="3">
        <v>0</v>
      </c>
      <c r="N639" s="3">
        <v>1</v>
      </c>
      <c r="O639" s="3">
        <v>28</v>
      </c>
      <c r="P639" s="3" t="s">
        <v>88</v>
      </c>
      <c r="Q639" s="3" t="s">
        <v>146</v>
      </c>
      <c r="R639" s="3">
        <v>27</v>
      </c>
      <c r="S639" s="3">
        <v>60</v>
      </c>
      <c r="T639" s="3">
        <v>28</v>
      </c>
      <c r="U639" s="3">
        <v>117</v>
      </c>
      <c r="V639" s="3">
        <v>0</v>
      </c>
      <c r="W639" s="3">
        <v>0</v>
      </c>
      <c r="X639" s="3">
        <v>1</v>
      </c>
      <c r="Y639" s="3">
        <v>0</v>
      </c>
      <c r="Z639" s="3">
        <v>4</v>
      </c>
    </row>
    <row r="640" spans="1:26">
      <c r="A640" s="94" t="str">
        <f t="shared" si="10"/>
        <v>20191123WAKE</v>
      </c>
      <c r="B640" s="3">
        <v>2019</v>
      </c>
      <c r="C640" s="3">
        <v>13</v>
      </c>
      <c r="D640" s="3">
        <v>20191123</v>
      </c>
      <c r="E640" s="3" t="s">
        <v>144</v>
      </c>
      <c r="F640" s="3" t="s">
        <v>21</v>
      </c>
      <c r="G640" s="3" t="s">
        <v>146</v>
      </c>
      <c r="H640" s="3">
        <v>66</v>
      </c>
      <c r="I640" s="3">
        <v>334</v>
      </c>
      <c r="J640" s="3">
        <v>25</v>
      </c>
      <c r="K640" s="3">
        <v>284</v>
      </c>
      <c r="L640" s="3">
        <v>5</v>
      </c>
      <c r="M640" s="3">
        <v>52</v>
      </c>
      <c r="N640" s="3">
        <v>3</v>
      </c>
      <c r="O640" s="3">
        <v>39</v>
      </c>
      <c r="P640" s="3" t="s">
        <v>27</v>
      </c>
      <c r="Q640" s="3" t="s">
        <v>146</v>
      </c>
      <c r="R640" s="3">
        <v>31</v>
      </c>
      <c r="S640" s="3">
        <v>127</v>
      </c>
      <c r="T640" s="3">
        <v>23</v>
      </c>
      <c r="U640" s="3">
        <v>163</v>
      </c>
      <c r="V640" s="3">
        <v>21</v>
      </c>
      <c r="W640" s="3">
        <v>251</v>
      </c>
      <c r="X640" s="3">
        <v>0</v>
      </c>
      <c r="Y640" s="3">
        <v>27</v>
      </c>
      <c r="Z640" s="3">
        <v>7</v>
      </c>
    </row>
    <row r="641" spans="1:26">
      <c r="A641" s="94" t="str">
        <f t="shared" si="10"/>
        <v>20191123WAST</v>
      </c>
      <c r="B641" s="3">
        <v>2019</v>
      </c>
      <c r="C641" s="3">
        <v>13</v>
      </c>
      <c r="D641" s="3">
        <v>20191123</v>
      </c>
      <c r="E641" s="3" t="s">
        <v>144</v>
      </c>
      <c r="F641" s="3" t="s">
        <v>114</v>
      </c>
      <c r="G641" s="3" t="s">
        <v>151</v>
      </c>
      <c r="H641" s="3">
        <v>13</v>
      </c>
      <c r="I641" s="3">
        <v>35</v>
      </c>
      <c r="J641" s="3">
        <v>70</v>
      </c>
      <c r="K641" s="3">
        <v>606</v>
      </c>
      <c r="L641" s="3">
        <v>0</v>
      </c>
      <c r="M641" s="3">
        <v>39</v>
      </c>
      <c r="N641" s="3">
        <v>1</v>
      </c>
      <c r="O641" s="3">
        <v>54</v>
      </c>
      <c r="P641" s="3" t="s">
        <v>82</v>
      </c>
      <c r="Q641" s="3" t="s">
        <v>151</v>
      </c>
      <c r="R641" s="3">
        <v>33</v>
      </c>
      <c r="S641" s="3">
        <v>193</v>
      </c>
      <c r="T641" s="3">
        <v>40</v>
      </c>
      <c r="U641" s="3">
        <v>408</v>
      </c>
      <c r="V641" s="3">
        <v>1</v>
      </c>
      <c r="W641" s="3">
        <v>2</v>
      </c>
      <c r="X641" s="3">
        <v>5</v>
      </c>
      <c r="Y641" s="3">
        <v>53</v>
      </c>
      <c r="Z641" s="3">
        <v>10.5</v>
      </c>
    </row>
    <row r="642" spans="1:26">
      <c r="A642" s="94" t="str">
        <f t="shared" si="10"/>
        <v>20191123WIS</v>
      </c>
      <c r="B642" s="3">
        <v>2019</v>
      </c>
      <c r="C642" s="3">
        <v>13</v>
      </c>
      <c r="D642" s="3">
        <v>20191123</v>
      </c>
      <c r="E642" s="3" t="s">
        <v>144</v>
      </c>
      <c r="F642" s="3" t="s">
        <v>35</v>
      </c>
      <c r="G642" s="3" t="s">
        <v>152</v>
      </c>
      <c r="H642" s="3">
        <v>54</v>
      </c>
      <c r="I642" s="3">
        <v>404</v>
      </c>
      <c r="J642" s="3">
        <v>19</v>
      </c>
      <c r="K642" s="3">
        <v>203</v>
      </c>
      <c r="L642" s="3">
        <v>7</v>
      </c>
      <c r="M642" s="3">
        <v>15</v>
      </c>
      <c r="N642" s="3">
        <v>1</v>
      </c>
      <c r="O642" s="3">
        <v>45</v>
      </c>
      <c r="P642" s="3" t="s">
        <v>17</v>
      </c>
      <c r="Q642" s="3" t="s">
        <v>152</v>
      </c>
      <c r="R642" s="3">
        <v>20</v>
      </c>
      <c r="S642" s="3">
        <v>50</v>
      </c>
      <c r="T642" s="3">
        <v>44</v>
      </c>
      <c r="U642" s="3">
        <v>326</v>
      </c>
      <c r="V642" s="3">
        <v>0</v>
      </c>
      <c r="W642" s="3">
        <v>0</v>
      </c>
      <c r="X642" s="3">
        <v>4</v>
      </c>
      <c r="Y642" s="3">
        <v>24</v>
      </c>
      <c r="Z642" s="3">
        <v>24</v>
      </c>
    </row>
    <row r="643" spans="1:26">
      <c r="A643" s="94" t="str">
        <f t="shared" si="10"/>
        <v>20191123WVA</v>
      </c>
      <c r="B643" s="3">
        <v>2019</v>
      </c>
      <c r="C643" s="3">
        <v>13</v>
      </c>
      <c r="D643" s="3">
        <v>20191123</v>
      </c>
      <c r="E643" s="3" t="s">
        <v>144</v>
      </c>
      <c r="F643" s="3" t="s">
        <v>133</v>
      </c>
      <c r="G643" s="3" t="s">
        <v>209</v>
      </c>
      <c r="H643" s="3">
        <v>22</v>
      </c>
      <c r="I643" s="3">
        <v>26</v>
      </c>
      <c r="J643" s="3">
        <v>38</v>
      </c>
      <c r="K643" s="3">
        <v>307</v>
      </c>
      <c r="L643" s="3">
        <v>0</v>
      </c>
      <c r="M643" s="3">
        <v>46</v>
      </c>
      <c r="N643" s="3">
        <v>0</v>
      </c>
      <c r="O643" s="3">
        <v>13</v>
      </c>
      <c r="P643" s="3" t="s">
        <v>26</v>
      </c>
      <c r="Q643" s="3" t="s">
        <v>209</v>
      </c>
      <c r="R643" s="3">
        <v>34</v>
      </c>
      <c r="S643" s="3">
        <v>95</v>
      </c>
      <c r="T643" s="3">
        <v>29</v>
      </c>
      <c r="U643" s="3">
        <v>196</v>
      </c>
      <c r="V643" s="3">
        <v>11</v>
      </c>
      <c r="W643" s="3">
        <v>57</v>
      </c>
      <c r="X643" s="3">
        <v>0</v>
      </c>
      <c r="Y643" s="3">
        <v>20</v>
      </c>
      <c r="Z643" s="3">
        <v>7</v>
      </c>
    </row>
    <row r="644" spans="1:26">
      <c r="A644" s="94" t="str">
        <f t="shared" si="10"/>
        <v>20191123UTSA</v>
      </c>
      <c r="B644" s="3">
        <v>2019</v>
      </c>
      <c r="C644" s="3">
        <v>13</v>
      </c>
      <c r="D644" s="3">
        <v>20191123</v>
      </c>
      <c r="E644" s="3" t="s">
        <v>144</v>
      </c>
      <c r="F644" s="3" t="s">
        <v>206</v>
      </c>
      <c r="G644" s="3" t="s">
        <v>153</v>
      </c>
      <c r="H644" s="3">
        <v>37</v>
      </c>
      <c r="I644" s="3">
        <v>197</v>
      </c>
      <c r="J644" s="3">
        <v>30</v>
      </c>
      <c r="K644" s="3">
        <v>209</v>
      </c>
      <c r="L644" s="3">
        <v>0</v>
      </c>
      <c r="M644" s="3">
        <v>49</v>
      </c>
      <c r="N644" s="3">
        <v>1</v>
      </c>
      <c r="O644" s="3">
        <v>26</v>
      </c>
      <c r="P644" s="3" t="s">
        <v>85</v>
      </c>
      <c r="Q644" s="3" t="s">
        <v>153</v>
      </c>
      <c r="R644" s="3">
        <v>38</v>
      </c>
      <c r="S644" s="3">
        <v>190</v>
      </c>
      <c r="T644" s="3">
        <v>42</v>
      </c>
      <c r="U644" s="3">
        <v>336</v>
      </c>
      <c r="V644" s="3">
        <v>0</v>
      </c>
      <c r="W644" s="3">
        <v>19</v>
      </c>
      <c r="X644" s="3">
        <v>3</v>
      </c>
      <c r="Y644" s="3">
        <v>40</v>
      </c>
      <c r="Z644" s="3">
        <v>18.5</v>
      </c>
    </row>
    <row r="645" spans="1:26">
      <c r="A645" s="94" t="str">
        <f t="shared" si="10"/>
        <v>20191123LIB</v>
      </c>
      <c r="B645" s="3">
        <v>2019</v>
      </c>
      <c r="C645" s="3">
        <v>13</v>
      </c>
      <c r="D645" s="3">
        <v>20191123</v>
      </c>
      <c r="E645" s="3" t="s">
        <v>211</v>
      </c>
      <c r="F645" s="3" t="s">
        <v>205</v>
      </c>
      <c r="G645" s="3" t="s">
        <v>53</v>
      </c>
      <c r="H645" s="3">
        <v>23</v>
      </c>
      <c r="I645" s="3">
        <v>79</v>
      </c>
      <c r="J645" s="3">
        <v>47</v>
      </c>
      <c r="K645" s="3">
        <v>313</v>
      </c>
      <c r="L645" s="3">
        <v>0</v>
      </c>
      <c r="M645" s="3">
        <v>111</v>
      </c>
      <c r="N645" s="3">
        <v>0</v>
      </c>
      <c r="O645" s="3">
        <v>27</v>
      </c>
      <c r="P645" s="3" t="s">
        <v>113</v>
      </c>
      <c r="Q645" s="3" t="s">
        <v>146</v>
      </c>
      <c r="R645" s="3">
        <v>44</v>
      </c>
      <c r="S645" s="3">
        <v>227</v>
      </c>
      <c r="T645" s="3">
        <v>34</v>
      </c>
      <c r="U645" s="3">
        <v>272</v>
      </c>
      <c r="V645" s="3">
        <v>0</v>
      </c>
      <c r="W645" s="3">
        <v>130</v>
      </c>
      <c r="X645" s="3">
        <v>2</v>
      </c>
      <c r="Y645" s="3">
        <v>55</v>
      </c>
      <c r="Z645" s="3">
        <v>17</v>
      </c>
    </row>
    <row r="646" spans="1:26">
      <c r="A646" s="94" t="str">
        <f t="shared" ref="A646:A709" si="11">D646&amp;F646</f>
        <v>20191123MAS</v>
      </c>
      <c r="B646" s="3">
        <v>2019</v>
      </c>
      <c r="C646" s="3">
        <v>13</v>
      </c>
      <c r="D646" s="3">
        <v>20191123</v>
      </c>
      <c r="E646" s="3" t="s">
        <v>144</v>
      </c>
      <c r="F646" s="3" t="s">
        <v>207</v>
      </c>
      <c r="G646" s="3" t="s">
        <v>53</v>
      </c>
      <c r="H646" s="3">
        <v>37</v>
      </c>
      <c r="I646" s="3">
        <v>146</v>
      </c>
      <c r="J646" s="3">
        <v>30</v>
      </c>
      <c r="K646" s="3">
        <v>146</v>
      </c>
      <c r="L646" s="3">
        <v>11</v>
      </c>
      <c r="M646" s="3">
        <v>147</v>
      </c>
      <c r="N646" s="3">
        <v>1</v>
      </c>
      <c r="O646" s="3">
        <v>24</v>
      </c>
      <c r="P646" s="3" t="s">
        <v>43</v>
      </c>
      <c r="Q646" s="3" t="s">
        <v>53</v>
      </c>
      <c r="R646" s="3">
        <v>38</v>
      </c>
      <c r="S646" s="3">
        <v>322</v>
      </c>
      <c r="T646" s="3">
        <v>27</v>
      </c>
      <c r="U646" s="3">
        <v>308</v>
      </c>
      <c r="V646" s="3">
        <v>2</v>
      </c>
      <c r="W646" s="3">
        <v>92</v>
      </c>
      <c r="X646" s="3">
        <v>2</v>
      </c>
      <c r="Y646" s="3">
        <v>56</v>
      </c>
      <c r="Z646" s="3">
        <v>40.5</v>
      </c>
    </row>
    <row r="647" spans="1:26">
      <c r="A647" s="94" t="str">
        <f t="shared" si="11"/>
        <v>20191126AKRON</v>
      </c>
      <c r="B647" s="3">
        <v>2019</v>
      </c>
      <c r="C647" s="3">
        <v>14</v>
      </c>
      <c r="D647" s="3">
        <v>20191126</v>
      </c>
      <c r="E647" s="3" t="s">
        <v>144</v>
      </c>
      <c r="F647" s="3" t="s">
        <v>118</v>
      </c>
      <c r="G647" s="3" t="s">
        <v>149</v>
      </c>
      <c r="H647" s="3">
        <v>25</v>
      </c>
      <c r="I647" s="3">
        <v>41</v>
      </c>
      <c r="J647" s="3">
        <v>27</v>
      </c>
      <c r="K647" s="3">
        <v>33</v>
      </c>
      <c r="L647" s="3">
        <v>0</v>
      </c>
      <c r="M647" s="3">
        <v>85</v>
      </c>
      <c r="N647" s="3">
        <v>2</v>
      </c>
      <c r="O647" s="3">
        <v>3</v>
      </c>
      <c r="P647" s="3" t="s">
        <v>83</v>
      </c>
      <c r="Q647" s="3" t="s">
        <v>149</v>
      </c>
      <c r="R647" s="3">
        <v>46</v>
      </c>
      <c r="S647" s="3">
        <v>251</v>
      </c>
      <c r="T647" s="3">
        <v>31</v>
      </c>
      <c r="U647" s="3">
        <v>352</v>
      </c>
      <c r="V647" s="3">
        <v>22</v>
      </c>
      <c r="W647" s="3">
        <v>47</v>
      </c>
      <c r="X647" s="3">
        <v>2</v>
      </c>
      <c r="Y647" s="3">
        <v>52</v>
      </c>
      <c r="Z647" s="3">
        <v>28</v>
      </c>
    </row>
    <row r="648" spans="1:26">
      <c r="A648" s="94" t="str">
        <f t="shared" si="11"/>
        <v>20191126NIL</v>
      </c>
      <c r="B648" s="3">
        <v>2019</v>
      </c>
      <c r="C648" s="3">
        <v>14</v>
      </c>
      <c r="D648" s="3">
        <v>20191126</v>
      </c>
      <c r="E648" s="3" t="s">
        <v>144</v>
      </c>
      <c r="F648" s="3" t="s">
        <v>63</v>
      </c>
      <c r="G648" s="3" t="s">
        <v>149</v>
      </c>
      <c r="H648" s="3">
        <v>47</v>
      </c>
      <c r="I648" s="3">
        <v>157</v>
      </c>
      <c r="J648" s="3">
        <v>12</v>
      </c>
      <c r="K648" s="3">
        <v>93</v>
      </c>
      <c r="L648" s="3">
        <v>13</v>
      </c>
      <c r="M648" s="3">
        <v>0</v>
      </c>
      <c r="N648" s="3">
        <v>2</v>
      </c>
      <c r="O648" s="3">
        <v>17</v>
      </c>
      <c r="P648" s="3" t="s">
        <v>37</v>
      </c>
      <c r="Q648" s="3" t="s">
        <v>149</v>
      </c>
      <c r="R648" s="3">
        <v>34</v>
      </c>
      <c r="S648" s="3">
        <v>163</v>
      </c>
      <c r="T648" s="3">
        <v>33</v>
      </c>
      <c r="U648" s="3">
        <v>185</v>
      </c>
      <c r="V648" s="3">
        <v>7</v>
      </c>
      <c r="W648" s="3">
        <v>34</v>
      </c>
      <c r="X648" s="3">
        <v>2</v>
      </c>
      <c r="Y648" s="3">
        <v>14</v>
      </c>
      <c r="Z648" s="3">
        <v>8</v>
      </c>
    </row>
    <row r="649" spans="1:26">
      <c r="A649" s="94" t="str">
        <f t="shared" si="11"/>
        <v>20191128MSST</v>
      </c>
      <c r="B649" s="3">
        <v>2019</v>
      </c>
      <c r="C649" s="3">
        <v>14</v>
      </c>
      <c r="D649" s="3">
        <v>20191128</v>
      </c>
      <c r="E649" s="3" t="s">
        <v>144</v>
      </c>
      <c r="F649" s="3" t="s">
        <v>74</v>
      </c>
      <c r="G649" s="3" t="s">
        <v>147</v>
      </c>
      <c r="H649" s="3">
        <v>44</v>
      </c>
      <c r="I649" s="3">
        <v>210</v>
      </c>
      <c r="J649" s="3">
        <v>14</v>
      </c>
      <c r="K649" s="3">
        <v>108</v>
      </c>
      <c r="L649" s="3">
        <v>0</v>
      </c>
      <c r="M649" s="3">
        <v>44</v>
      </c>
      <c r="N649" s="3">
        <v>3</v>
      </c>
      <c r="O649" s="3">
        <v>21</v>
      </c>
      <c r="P649" s="3" t="s">
        <v>126</v>
      </c>
      <c r="Q649" s="3" t="s">
        <v>147</v>
      </c>
      <c r="R649" s="3">
        <v>47</v>
      </c>
      <c r="S649" s="3">
        <v>139</v>
      </c>
      <c r="T649" s="3">
        <v>26</v>
      </c>
      <c r="U649" s="3">
        <v>245</v>
      </c>
      <c r="V649" s="3">
        <v>12</v>
      </c>
      <c r="W649" s="3">
        <v>41</v>
      </c>
      <c r="X649" s="3">
        <v>1</v>
      </c>
      <c r="Y649" s="3">
        <v>20</v>
      </c>
      <c r="Z649" s="3">
        <v>1</v>
      </c>
    </row>
    <row r="650" spans="1:26">
      <c r="A650" s="94" t="str">
        <f t="shared" si="11"/>
        <v>20191129BALL</v>
      </c>
      <c r="B650" s="3">
        <v>2019</v>
      </c>
      <c r="C650" s="3">
        <v>14</v>
      </c>
      <c r="D650" s="3">
        <v>20191129</v>
      </c>
      <c r="E650" s="3" t="s">
        <v>144</v>
      </c>
      <c r="F650" s="3" t="s">
        <v>12</v>
      </c>
      <c r="G650" s="3" t="s">
        <v>149</v>
      </c>
      <c r="H650" s="3">
        <v>54</v>
      </c>
      <c r="I650" s="3">
        <v>261</v>
      </c>
      <c r="J650" s="3">
        <v>40</v>
      </c>
      <c r="K650" s="3">
        <v>317</v>
      </c>
      <c r="L650" s="3">
        <v>3</v>
      </c>
      <c r="M650" s="3">
        <v>23</v>
      </c>
      <c r="N650" s="3">
        <v>2</v>
      </c>
      <c r="O650" s="3">
        <v>41</v>
      </c>
      <c r="P650" s="3" t="s">
        <v>71</v>
      </c>
      <c r="Q650" s="3" t="s">
        <v>149</v>
      </c>
      <c r="R650" s="3">
        <v>29</v>
      </c>
      <c r="S650" s="3">
        <v>107</v>
      </c>
      <c r="T650" s="3">
        <v>19</v>
      </c>
      <c r="U650" s="3">
        <v>168</v>
      </c>
      <c r="V650" s="3">
        <v>65</v>
      </c>
      <c r="W650" s="3">
        <v>94</v>
      </c>
      <c r="X650" s="3">
        <v>1</v>
      </c>
      <c r="Y650" s="3">
        <v>27</v>
      </c>
      <c r="Z650" s="3">
        <v>3.5</v>
      </c>
    </row>
    <row r="651" spans="1:26">
      <c r="A651" s="94" t="str">
        <f t="shared" si="11"/>
        <v>20191129BUF</v>
      </c>
      <c r="B651" s="3">
        <v>2019</v>
      </c>
      <c r="C651" s="3">
        <v>14</v>
      </c>
      <c r="D651" s="3">
        <v>20191129</v>
      </c>
      <c r="E651" s="3" t="s">
        <v>144</v>
      </c>
      <c r="F651" s="3" t="s">
        <v>47</v>
      </c>
      <c r="G651" s="3" t="s">
        <v>149</v>
      </c>
      <c r="H651" s="3">
        <v>51</v>
      </c>
      <c r="I651" s="3">
        <v>455</v>
      </c>
      <c r="J651" s="3">
        <v>15</v>
      </c>
      <c r="K651" s="3">
        <v>131</v>
      </c>
      <c r="L651" s="3">
        <v>3</v>
      </c>
      <c r="M651" s="3">
        <v>16</v>
      </c>
      <c r="N651" s="3">
        <v>0</v>
      </c>
      <c r="O651" s="3">
        <v>49</v>
      </c>
      <c r="P651" s="3" t="s">
        <v>87</v>
      </c>
      <c r="Q651" s="3" t="s">
        <v>149</v>
      </c>
      <c r="R651" s="3">
        <v>35</v>
      </c>
      <c r="S651" s="3">
        <v>106</v>
      </c>
      <c r="T651" s="3">
        <v>18</v>
      </c>
      <c r="U651" s="3">
        <v>81</v>
      </c>
      <c r="V651" s="3">
        <v>1</v>
      </c>
      <c r="W651" s="3">
        <v>88</v>
      </c>
      <c r="X651" s="3">
        <v>0</v>
      </c>
      <c r="Y651" s="3">
        <v>7</v>
      </c>
      <c r="Z651" s="3">
        <v>29</v>
      </c>
    </row>
    <row r="652" spans="1:26">
      <c r="A652" s="94" t="str">
        <f t="shared" si="11"/>
        <v>20191129CFL</v>
      </c>
      <c r="B652" s="3">
        <v>2019</v>
      </c>
      <c r="C652" s="3">
        <v>14</v>
      </c>
      <c r="D652" s="3">
        <v>20191129</v>
      </c>
      <c r="E652" s="3" t="s">
        <v>144</v>
      </c>
      <c r="F652" s="3" t="s">
        <v>14</v>
      </c>
      <c r="G652" s="3" t="s">
        <v>150</v>
      </c>
      <c r="H652" s="3">
        <v>42</v>
      </c>
      <c r="I652" s="3">
        <v>232</v>
      </c>
      <c r="J652" s="3">
        <v>40</v>
      </c>
      <c r="K652" s="3">
        <v>307</v>
      </c>
      <c r="L652" s="3">
        <v>9</v>
      </c>
      <c r="M652" s="3">
        <v>26</v>
      </c>
      <c r="N652" s="3">
        <v>3</v>
      </c>
      <c r="O652" s="3">
        <v>34</v>
      </c>
      <c r="P652" s="3" t="s">
        <v>98</v>
      </c>
      <c r="Q652" s="3" t="s">
        <v>150</v>
      </c>
      <c r="R652" s="3">
        <v>40</v>
      </c>
      <c r="S652" s="3">
        <v>132</v>
      </c>
      <c r="T652" s="3">
        <v>22</v>
      </c>
      <c r="U652" s="3">
        <v>116</v>
      </c>
      <c r="V652" s="3">
        <v>0</v>
      </c>
      <c r="W652" s="3">
        <v>22</v>
      </c>
      <c r="X652" s="3">
        <v>0</v>
      </c>
      <c r="Y652" s="3">
        <v>7</v>
      </c>
      <c r="Z652" s="3">
        <v>24.5</v>
      </c>
    </row>
    <row r="653" spans="1:26">
      <c r="A653" s="94" t="str">
        <f t="shared" si="11"/>
        <v>20191129CMCH</v>
      </c>
      <c r="B653" s="3">
        <v>2019</v>
      </c>
      <c r="C653" s="3">
        <v>14</v>
      </c>
      <c r="D653" s="3">
        <v>20191129</v>
      </c>
      <c r="E653" s="3" t="s">
        <v>144</v>
      </c>
      <c r="F653" s="3" t="s">
        <v>67</v>
      </c>
      <c r="G653" s="3" t="s">
        <v>149</v>
      </c>
      <c r="H653" s="3">
        <v>47</v>
      </c>
      <c r="I653" s="3">
        <v>289</v>
      </c>
      <c r="J653" s="3">
        <v>22</v>
      </c>
      <c r="K653" s="3">
        <v>263</v>
      </c>
      <c r="L653" s="3">
        <v>6</v>
      </c>
      <c r="M653" s="3">
        <v>18</v>
      </c>
      <c r="N653" s="3">
        <v>0</v>
      </c>
      <c r="O653" s="3">
        <v>49</v>
      </c>
      <c r="P653" s="3" t="s">
        <v>103</v>
      </c>
      <c r="Q653" s="3" t="s">
        <v>149</v>
      </c>
      <c r="R653" s="3">
        <v>29</v>
      </c>
      <c r="S653" s="3">
        <v>83</v>
      </c>
      <c r="T653" s="3">
        <v>30</v>
      </c>
      <c r="U653" s="3">
        <v>173</v>
      </c>
      <c r="V653" s="3">
        <v>12</v>
      </c>
      <c r="W653" s="3">
        <v>168</v>
      </c>
      <c r="X653" s="3">
        <v>0</v>
      </c>
      <c r="Y653" s="3">
        <v>7</v>
      </c>
      <c r="Z653" s="3">
        <v>15</v>
      </c>
    </row>
    <row r="654" spans="1:26">
      <c r="A654" s="94" t="str">
        <f t="shared" si="11"/>
        <v>20191129COST</v>
      </c>
      <c r="B654" s="3">
        <v>2019</v>
      </c>
      <c r="C654" s="3">
        <v>14</v>
      </c>
      <c r="D654" s="3">
        <v>20191129</v>
      </c>
      <c r="E654" s="3" t="s">
        <v>144</v>
      </c>
      <c r="F654" s="3" t="s">
        <v>7</v>
      </c>
      <c r="G654" s="3" t="s">
        <v>148</v>
      </c>
      <c r="H654" s="3">
        <v>20</v>
      </c>
      <c r="I654" s="3">
        <v>90</v>
      </c>
      <c r="J654" s="3">
        <v>40</v>
      </c>
      <c r="K654" s="3">
        <v>289</v>
      </c>
      <c r="L654" s="3">
        <v>14</v>
      </c>
      <c r="M654" s="3">
        <v>65</v>
      </c>
      <c r="N654" s="3">
        <v>0</v>
      </c>
      <c r="O654" s="3">
        <v>24</v>
      </c>
      <c r="P654" s="3" t="s">
        <v>105</v>
      </c>
      <c r="Q654" s="3" t="s">
        <v>148</v>
      </c>
      <c r="R654" s="3">
        <v>37</v>
      </c>
      <c r="S654" s="3">
        <v>91</v>
      </c>
      <c r="T654" s="3">
        <v>36</v>
      </c>
      <c r="U654" s="3">
        <v>253</v>
      </c>
      <c r="V654" s="3">
        <v>0</v>
      </c>
      <c r="W654" s="3">
        <v>95</v>
      </c>
      <c r="X654" s="3">
        <v>2</v>
      </c>
      <c r="Y654" s="3">
        <v>31</v>
      </c>
      <c r="Z654" s="3">
        <v>13</v>
      </c>
    </row>
    <row r="655" spans="1:26">
      <c r="A655" s="94" t="str">
        <f t="shared" si="11"/>
        <v>20191129EMCH</v>
      </c>
      <c r="B655" s="3">
        <v>2019</v>
      </c>
      <c r="C655" s="3">
        <v>14</v>
      </c>
      <c r="D655" s="3">
        <v>20191129</v>
      </c>
      <c r="E655" s="3" t="s">
        <v>144</v>
      </c>
      <c r="F655" s="3" t="s">
        <v>29</v>
      </c>
      <c r="G655" s="3" t="s">
        <v>149</v>
      </c>
      <c r="H655" s="3">
        <v>33</v>
      </c>
      <c r="I655" s="3">
        <v>123</v>
      </c>
      <c r="J655" s="3">
        <v>37</v>
      </c>
      <c r="K655" s="3">
        <v>386</v>
      </c>
      <c r="L655" s="3">
        <v>20</v>
      </c>
      <c r="M655" s="3">
        <v>25</v>
      </c>
      <c r="N655" s="3">
        <v>1</v>
      </c>
      <c r="O655" s="3">
        <v>26</v>
      </c>
      <c r="P655" s="3" t="s">
        <v>61</v>
      </c>
      <c r="Q655" s="3" t="s">
        <v>149</v>
      </c>
      <c r="R655" s="3">
        <v>51</v>
      </c>
      <c r="S655" s="3">
        <v>253</v>
      </c>
      <c r="T655" s="3">
        <v>23</v>
      </c>
      <c r="U655" s="3">
        <v>197</v>
      </c>
      <c r="V655" s="3">
        <v>0</v>
      </c>
      <c r="W655" s="3">
        <v>149</v>
      </c>
      <c r="X655" s="3">
        <v>2</v>
      </c>
      <c r="Y655" s="3">
        <v>34</v>
      </c>
      <c r="Z655" s="3">
        <v>4</v>
      </c>
    </row>
    <row r="656" spans="1:26">
      <c r="A656" s="94" t="str">
        <f t="shared" si="11"/>
        <v>20191129MEM</v>
      </c>
      <c r="B656" s="3">
        <v>2019</v>
      </c>
      <c r="C656" s="3">
        <v>14</v>
      </c>
      <c r="D656" s="3">
        <v>20191129</v>
      </c>
      <c r="E656" s="3" t="s">
        <v>144</v>
      </c>
      <c r="F656" s="3" t="s">
        <v>70</v>
      </c>
      <c r="G656" s="3" t="s">
        <v>150</v>
      </c>
      <c r="H656" s="3">
        <v>38</v>
      </c>
      <c r="I656" s="3">
        <v>199</v>
      </c>
      <c r="J656" s="3">
        <v>26</v>
      </c>
      <c r="K656" s="3">
        <v>233</v>
      </c>
      <c r="L656" s="3">
        <v>6</v>
      </c>
      <c r="M656" s="3">
        <v>126</v>
      </c>
      <c r="N656" s="3">
        <v>3</v>
      </c>
      <c r="O656" s="3">
        <v>34</v>
      </c>
      <c r="P656" s="3" t="s">
        <v>107</v>
      </c>
      <c r="Q656" s="3" t="s">
        <v>150</v>
      </c>
      <c r="R656" s="3">
        <v>45</v>
      </c>
      <c r="S656" s="3">
        <v>178</v>
      </c>
      <c r="T656" s="3">
        <v>32</v>
      </c>
      <c r="U656" s="3">
        <v>229</v>
      </c>
      <c r="V656" s="3">
        <v>18</v>
      </c>
      <c r="W656" s="3">
        <v>35</v>
      </c>
      <c r="X656" s="3">
        <v>1</v>
      </c>
      <c r="Y656" s="3">
        <v>24</v>
      </c>
      <c r="Z656" s="3">
        <v>11</v>
      </c>
    </row>
    <row r="657" spans="1:26">
      <c r="A657" s="94" t="str">
        <f t="shared" si="11"/>
        <v>20191129NEB</v>
      </c>
      <c r="B657" s="3">
        <v>2019</v>
      </c>
      <c r="C657" s="3">
        <v>14</v>
      </c>
      <c r="D657" s="3">
        <v>20191129</v>
      </c>
      <c r="E657" s="3" t="s">
        <v>144</v>
      </c>
      <c r="F657" s="3" t="s">
        <v>127</v>
      </c>
      <c r="G657" s="3" t="s">
        <v>152</v>
      </c>
      <c r="H657" s="3">
        <v>56</v>
      </c>
      <c r="I657" s="3">
        <v>184</v>
      </c>
      <c r="J657" s="3">
        <v>23</v>
      </c>
      <c r="K657" s="3">
        <v>100</v>
      </c>
      <c r="L657" s="3">
        <v>0</v>
      </c>
      <c r="M657" s="3">
        <v>12</v>
      </c>
      <c r="N657" s="3">
        <v>2</v>
      </c>
      <c r="O657" s="3">
        <v>24</v>
      </c>
      <c r="P657" s="3" t="s">
        <v>62</v>
      </c>
      <c r="Q657" s="3" t="s">
        <v>152</v>
      </c>
      <c r="R657" s="3">
        <v>30</v>
      </c>
      <c r="S657" s="3">
        <v>227</v>
      </c>
      <c r="T657" s="3">
        <v>24</v>
      </c>
      <c r="U657" s="3">
        <v>99</v>
      </c>
      <c r="V657" s="3">
        <v>0</v>
      </c>
      <c r="W657" s="3">
        <v>127</v>
      </c>
      <c r="X657" s="3">
        <v>2</v>
      </c>
      <c r="Y657" s="3">
        <v>27</v>
      </c>
      <c r="Z657" s="3">
        <v>4.5</v>
      </c>
    </row>
    <row r="658" spans="1:26">
      <c r="A658" s="94" t="str">
        <f t="shared" si="11"/>
        <v>20191129SALA</v>
      </c>
      <c r="B658" s="3">
        <v>2019</v>
      </c>
      <c r="C658" s="3">
        <v>14</v>
      </c>
      <c r="D658" s="3">
        <v>20191129</v>
      </c>
      <c r="E658" s="3" t="s">
        <v>144</v>
      </c>
      <c r="F658" s="3" t="s">
        <v>94</v>
      </c>
      <c r="G658" s="3" t="s">
        <v>145</v>
      </c>
      <c r="H658" s="3">
        <v>48</v>
      </c>
      <c r="I658" s="3">
        <v>216</v>
      </c>
      <c r="J658" s="3">
        <v>31</v>
      </c>
      <c r="K658" s="3">
        <v>279</v>
      </c>
      <c r="L658" s="3">
        <v>104</v>
      </c>
      <c r="M658" s="3">
        <v>23</v>
      </c>
      <c r="N658" s="3">
        <v>1</v>
      </c>
      <c r="O658" s="3">
        <v>34</v>
      </c>
      <c r="P658" s="3" t="s">
        <v>40</v>
      </c>
      <c r="Q658" s="3" t="s">
        <v>145</v>
      </c>
      <c r="R658" s="3">
        <v>39</v>
      </c>
      <c r="S658" s="3">
        <v>95</v>
      </c>
      <c r="T658" s="3">
        <v>38</v>
      </c>
      <c r="U658" s="3">
        <v>342</v>
      </c>
      <c r="V658" s="3">
        <v>48</v>
      </c>
      <c r="W658" s="3">
        <v>39</v>
      </c>
      <c r="X658" s="3">
        <v>2</v>
      </c>
      <c r="Y658" s="3">
        <v>30</v>
      </c>
      <c r="Z658" s="3">
        <v>10.5</v>
      </c>
    </row>
    <row r="659" spans="1:26">
      <c r="A659" s="94" t="str">
        <f t="shared" si="11"/>
        <v>20191129TCU</v>
      </c>
      <c r="B659" s="3">
        <v>2019</v>
      </c>
      <c r="C659" s="3">
        <v>14</v>
      </c>
      <c r="D659" s="3">
        <v>20191129</v>
      </c>
      <c r="E659" s="3" t="s">
        <v>144</v>
      </c>
      <c r="F659" s="3" t="s">
        <v>100</v>
      </c>
      <c r="G659" s="3" t="s">
        <v>209</v>
      </c>
      <c r="H659" s="3">
        <v>34</v>
      </c>
      <c r="I659" s="3">
        <v>153</v>
      </c>
      <c r="J659" s="3">
        <v>36</v>
      </c>
      <c r="K659" s="3">
        <v>144</v>
      </c>
      <c r="L659" s="3">
        <v>73</v>
      </c>
      <c r="M659" s="3">
        <v>46</v>
      </c>
      <c r="N659" s="3">
        <v>3</v>
      </c>
      <c r="O659" s="3">
        <v>17</v>
      </c>
      <c r="P659" s="3" t="s">
        <v>133</v>
      </c>
      <c r="Q659" s="3" t="s">
        <v>209</v>
      </c>
      <c r="R659" s="3">
        <v>26</v>
      </c>
      <c r="S659" s="3">
        <v>91</v>
      </c>
      <c r="T659" s="3">
        <v>35</v>
      </c>
      <c r="U659" s="3">
        <v>158</v>
      </c>
      <c r="V659" s="3">
        <v>1</v>
      </c>
      <c r="W659" s="3">
        <v>0</v>
      </c>
      <c r="X659" s="3">
        <v>2</v>
      </c>
      <c r="Y659" s="3">
        <v>20</v>
      </c>
      <c r="Z659" s="3">
        <v>12.5</v>
      </c>
    </row>
    <row r="660" spans="1:26">
      <c r="A660" s="94" t="str">
        <f t="shared" si="11"/>
        <v>20191129TEX</v>
      </c>
      <c r="B660" s="3">
        <v>2019</v>
      </c>
      <c r="C660" s="3">
        <v>14</v>
      </c>
      <c r="D660" s="3">
        <v>20191129</v>
      </c>
      <c r="E660" s="3" t="s">
        <v>144</v>
      </c>
      <c r="F660" s="3" t="s">
        <v>130</v>
      </c>
      <c r="G660" s="3" t="s">
        <v>209</v>
      </c>
      <c r="H660" s="3">
        <v>48</v>
      </c>
      <c r="I660" s="3">
        <v>262</v>
      </c>
      <c r="J660" s="3">
        <v>28</v>
      </c>
      <c r="K660" s="3">
        <v>348</v>
      </c>
      <c r="L660" s="3">
        <v>7</v>
      </c>
      <c r="M660" s="3">
        <v>34</v>
      </c>
      <c r="N660" s="3">
        <v>2</v>
      </c>
      <c r="O660" s="3">
        <v>49</v>
      </c>
      <c r="P660" s="3" t="s">
        <v>131</v>
      </c>
      <c r="Q660" s="3" t="s">
        <v>209</v>
      </c>
      <c r="R660" s="3">
        <v>24</v>
      </c>
      <c r="S660" s="3">
        <v>71</v>
      </c>
      <c r="T660" s="3">
        <v>58</v>
      </c>
      <c r="U660" s="3">
        <v>399</v>
      </c>
      <c r="V660" s="3">
        <v>0</v>
      </c>
      <c r="W660" s="3">
        <v>86</v>
      </c>
      <c r="X660" s="3">
        <v>0</v>
      </c>
      <c r="Y660" s="3">
        <v>24</v>
      </c>
      <c r="Z660" s="3">
        <v>10</v>
      </c>
    </row>
    <row r="661" spans="1:26">
      <c r="A661" s="94" t="str">
        <f t="shared" si="11"/>
        <v>20191129TROY</v>
      </c>
      <c r="B661" s="3">
        <v>2019</v>
      </c>
      <c r="C661" s="3">
        <v>14</v>
      </c>
      <c r="D661" s="3">
        <v>20191129</v>
      </c>
      <c r="E661" s="3" t="s">
        <v>144</v>
      </c>
      <c r="F661" s="3" t="s">
        <v>104</v>
      </c>
      <c r="G661" s="3" t="s">
        <v>145</v>
      </c>
      <c r="H661" s="3">
        <v>23</v>
      </c>
      <c r="I661" s="3">
        <v>35</v>
      </c>
      <c r="J661" s="3">
        <v>46</v>
      </c>
      <c r="K661" s="3">
        <v>304</v>
      </c>
      <c r="L661" s="3">
        <v>0</v>
      </c>
      <c r="M661" s="3">
        <v>46</v>
      </c>
      <c r="N661" s="3">
        <v>1</v>
      </c>
      <c r="O661" s="3">
        <v>13</v>
      </c>
      <c r="P661" s="3" t="s">
        <v>90</v>
      </c>
      <c r="Q661" s="3" t="s">
        <v>145</v>
      </c>
      <c r="R661" s="3">
        <v>37</v>
      </c>
      <c r="S661" s="3">
        <v>194</v>
      </c>
      <c r="T661" s="3">
        <v>35</v>
      </c>
      <c r="U661" s="3">
        <v>328</v>
      </c>
      <c r="V661" s="3">
        <v>0</v>
      </c>
      <c r="W661" s="3">
        <v>10</v>
      </c>
      <c r="X661" s="3">
        <v>2</v>
      </c>
      <c r="Y661" s="3">
        <v>48</v>
      </c>
      <c r="Z661" s="3">
        <v>12.5</v>
      </c>
    </row>
    <row r="662" spans="1:26">
      <c r="A662" s="94" t="str">
        <f t="shared" si="11"/>
        <v>20191129VIR</v>
      </c>
      <c r="B662" s="3">
        <v>2019</v>
      </c>
      <c r="C662" s="3">
        <v>14</v>
      </c>
      <c r="D662" s="3">
        <v>20191129</v>
      </c>
      <c r="E662" s="3" t="s">
        <v>144</v>
      </c>
      <c r="F662" s="3" t="s">
        <v>113</v>
      </c>
      <c r="G662" s="3" t="s">
        <v>146</v>
      </c>
      <c r="H662" s="3">
        <v>25</v>
      </c>
      <c r="I662" s="3">
        <v>181</v>
      </c>
      <c r="J662" s="3">
        <v>33</v>
      </c>
      <c r="K662" s="3">
        <v>311</v>
      </c>
      <c r="L662" s="3">
        <v>19</v>
      </c>
      <c r="M662" s="3">
        <v>21</v>
      </c>
      <c r="N662" s="3">
        <v>4</v>
      </c>
      <c r="O662" s="3">
        <v>39</v>
      </c>
      <c r="P662" s="3" t="s">
        <v>117</v>
      </c>
      <c r="Q662" s="3" t="s">
        <v>146</v>
      </c>
      <c r="R662" s="3">
        <v>45</v>
      </c>
      <c r="S662" s="3">
        <v>172</v>
      </c>
      <c r="T662" s="3">
        <v>30</v>
      </c>
      <c r="U662" s="3">
        <v>311</v>
      </c>
      <c r="V662" s="3">
        <v>62</v>
      </c>
      <c r="W662" s="3">
        <v>64</v>
      </c>
      <c r="X662" s="3">
        <v>1</v>
      </c>
      <c r="Y662" s="3">
        <v>30</v>
      </c>
      <c r="Z662" s="3">
        <v>1.5</v>
      </c>
    </row>
    <row r="663" spans="1:26">
      <c r="A663" s="94" t="str">
        <f t="shared" si="11"/>
        <v>20191129WAS</v>
      </c>
      <c r="B663" s="3">
        <v>2019</v>
      </c>
      <c r="C663" s="3">
        <v>14</v>
      </c>
      <c r="D663" s="3">
        <v>20191129</v>
      </c>
      <c r="E663" s="3" t="s">
        <v>144</v>
      </c>
      <c r="F663" s="3" t="s">
        <v>132</v>
      </c>
      <c r="G663" s="3" t="s">
        <v>151</v>
      </c>
      <c r="H663" s="3">
        <v>28</v>
      </c>
      <c r="I663" s="3">
        <v>101</v>
      </c>
      <c r="J663" s="3">
        <v>22</v>
      </c>
      <c r="K663" s="3">
        <v>244</v>
      </c>
      <c r="L663" s="3">
        <v>12</v>
      </c>
      <c r="M663" s="3">
        <v>61</v>
      </c>
      <c r="N663" s="3">
        <v>3</v>
      </c>
      <c r="O663" s="3">
        <v>31</v>
      </c>
      <c r="P663" s="3" t="s">
        <v>114</v>
      </c>
      <c r="Q663" s="3" t="s">
        <v>151</v>
      </c>
      <c r="R663" s="3">
        <v>20</v>
      </c>
      <c r="S663" s="3">
        <v>31</v>
      </c>
      <c r="T663" s="3">
        <v>62</v>
      </c>
      <c r="U663" s="3">
        <v>308</v>
      </c>
      <c r="V663" s="3">
        <v>0</v>
      </c>
      <c r="W663" s="3">
        <v>30</v>
      </c>
      <c r="X663" s="3">
        <v>1</v>
      </c>
      <c r="Y663" s="3">
        <v>13</v>
      </c>
      <c r="Z663" s="3">
        <v>7.5</v>
      </c>
    </row>
    <row r="664" spans="1:26">
      <c r="A664" s="94" t="str">
        <f t="shared" si="11"/>
        <v>20191130AIR</v>
      </c>
      <c r="B664" s="3">
        <v>2019</v>
      </c>
      <c r="C664" s="3">
        <v>14</v>
      </c>
      <c r="D664" s="3">
        <v>20191130</v>
      </c>
      <c r="E664" s="3" t="s">
        <v>144</v>
      </c>
      <c r="F664" s="3" t="s">
        <v>39</v>
      </c>
      <c r="G664" s="3" t="s">
        <v>148</v>
      </c>
      <c r="H664" s="3">
        <v>56</v>
      </c>
      <c r="I664" s="3">
        <v>162</v>
      </c>
      <c r="J664" s="3">
        <v>7</v>
      </c>
      <c r="K664" s="3">
        <v>143</v>
      </c>
      <c r="L664" s="3">
        <v>0</v>
      </c>
      <c r="M664" s="3">
        <v>0</v>
      </c>
      <c r="N664" s="3">
        <v>3</v>
      </c>
      <c r="O664" s="3">
        <v>20</v>
      </c>
      <c r="P664" s="3" t="s">
        <v>10</v>
      </c>
      <c r="Q664" s="3" t="s">
        <v>148</v>
      </c>
      <c r="R664" s="3">
        <v>33</v>
      </c>
      <c r="S664" s="3">
        <v>114</v>
      </c>
      <c r="T664" s="3">
        <v>18</v>
      </c>
      <c r="U664" s="3">
        <v>111</v>
      </c>
      <c r="V664" s="3">
        <v>11</v>
      </c>
      <c r="W664" s="3">
        <v>92</v>
      </c>
      <c r="X664" s="3">
        <v>1</v>
      </c>
      <c r="Y664" s="3">
        <v>6</v>
      </c>
      <c r="Z664" s="3">
        <v>11.5</v>
      </c>
    </row>
    <row r="665" spans="1:26">
      <c r="A665" s="94" t="str">
        <f t="shared" si="11"/>
        <v>20191130AUB</v>
      </c>
      <c r="B665" s="3">
        <v>2019</v>
      </c>
      <c r="C665" s="3">
        <v>14</v>
      </c>
      <c r="D665" s="3">
        <v>20191130</v>
      </c>
      <c r="E665" s="3" t="s">
        <v>144</v>
      </c>
      <c r="F665" s="3" t="s">
        <v>120</v>
      </c>
      <c r="G665" s="3" t="s">
        <v>147</v>
      </c>
      <c r="H665" s="3">
        <v>32</v>
      </c>
      <c r="I665" s="3">
        <v>186</v>
      </c>
      <c r="J665" s="3">
        <v>30</v>
      </c>
      <c r="K665" s="3">
        <v>173</v>
      </c>
      <c r="L665" s="3">
        <v>47</v>
      </c>
      <c r="M665" s="3">
        <v>48</v>
      </c>
      <c r="N665" s="3">
        <v>2</v>
      </c>
      <c r="O665" s="3">
        <v>48</v>
      </c>
      <c r="P665" s="3" t="s">
        <v>119</v>
      </c>
      <c r="Q665" s="3" t="s">
        <v>147</v>
      </c>
      <c r="R665" s="3">
        <v>38</v>
      </c>
      <c r="S665" s="3">
        <v>180</v>
      </c>
      <c r="T665" s="3">
        <v>39</v>
      </c>
      <c r="U665" s="3">
        <v>335</v>
      </c>
      <c r="V665" s="3">
        <v>0</v>
      </c>
      <c r="W665" s="3">
        <v>177</v>
      </c>
      <c r="X665" s="3">
        <v>1</v>
      </c>
      <c r="Y665" s="3">
        <v>45</v>
      </c>
      <c r="Z665" s="3">
        <v>3.5</v>
      </c>
    </row>
    <row r="666" spans="1:26">
      <c r="A666" s="94" t="str">
        <f t="shared" si="11"/>
        <v>20191130AZST</v>
      </c>
      <c r="B666" s="3">
        <v>2019</v>
      </c>
      <c r="C666" s="3">
        <v>14</v>
      </c>
      <c r="D666" s="3">
        <v>20191130</v>
      </c>
      <c r="E666" s="3" t="s">
        <v>144</v>
      </c>
      <c r="F666" s="3" t="s">
        <v>44</v>
      </c>
      <c r="G666" s="3" t="s">
        <v>151</v>
      </c>
      <c r="H666" s="3">
        <v>55</v>
      </c>
      <c r="I666" s="3">
        <v>234</v>
      </c>
      <c r="J666" s="3">
        <v>19</v>
      </c>
      <c r="K666" s="3">
        <v>104</v>
      </c>
      <c r="L666" s="3">
        <v>0</v>
      </c>
      <c r="M666" s="3">
        <v>0</v>
      </c>
      <c r="N666" s="3">
        <v>3</v>
      </c>
      <c r="O666" s="3">
        <v>24</v>
      </c>
      <c r="P666" s="3" t="s">
        <v>42</v>
      </c>
      <c r="Q666" s="3" t="s">
        <v>151</v>
      </c>
      <c r="R666" s="3">
        <v>32</v>
      </c>
      <c r="S666" s="3">
        <v>155</v>
      </c>
      <c r="T666" s="3">
        <v>38</v>
      </c>
      <c r="U666" s="3">
        <v>228</v>
      </c>
      <c r="V666" s="3">
        <v>89</v>
      </c>
      <c r="W666" s="3">
        <v>6</v>
      </c>
      <c r="X666" s="3">
        <v>0</v>
      </c>
      <c r="Y666" s="3">
        <v>14</v>
      </c>
      <c r="Z666" s="3">
        <v>12.5</v>
      </c>
    </row>
    <row r="667" spans="1:26">
      <c r="A667" s="94" t="str">
        <f t="shared" si="11"/>
        <v>20191130CSTC</v>
      </c>
      <c r="B667" s="3">
        <v>2019</v>
      </c>
      <c r="C667" s="3">
        <v>14</v>
      </c>
      <c r="D667" s="3">
        <v>20191130</v>
      </c>
      <c r="E667" s="3" t="s">
        <v>144</v>
      </c>
      <c r="F667" s="3" t="s">
        <v>97</v>
      </c>
      <c r="G667" s="3" t="s">
        <v>145</v>
      </c>
      <c r="H667" s="3">
        <v>53</v>
      </c>
      <c r="I667" s="3">
        <v>223</v>
      </c>
      <c r="J667" s="3">
        <v>22</v>
      </c>
      <c r="K667" s="3">
        <v>157</v>
      </c>
      <c r="L667" s="3">
        <v>2</v>
      </c>
      <c r="M667" s="3">
        <v>57</v>
      </c>
      <c r="N667" s="3">
        <v>1</v>
      </c>
      <c r="O667" s="3">
        <v>24</v>
      </c>
      <c r="P667" s="3" t="s">
        <v>93</v>
      </c>
      <c r="Q667" s="3" t="s">
        <v>145</v>
      </c>
      <c r="R667" s="3">
        <v>17</v>
      </c>
      <c r="S667" s="3">
        <v>36</v>
      </c>
      <c r="T667" s="3">
        <v>34</v>
      </c>
      <c r="U667" s="3">
        <v>293</v>
      </c>
      <c r="V667" s="3">
        <v>36</v>
      </c>
      <c r="W667" s="3">
        <v>100</v>
      </c>
      <c r="X667" s="3">
        <v>0</v>
      </c>
      <c r="Y667" s="3">
        <v>21</v>
      </c>
      <c r="Z667" s="3">
        <v>7</v>
      </c>
    </row>
    <row r="668" spans="1:26">
      <c r="A668" s="94" t="str">
        <f t="shared" si="11"/>
        <v>20191130DUKE</v>
      </c>
      <c r="B668" s="3">
        <v>2019</v>
      </c>
      <c r="C668" s="3">
        <v>14</v>
      </c>
      <c r="D668" s="3">
        <v>20191130</v>
      </c>
      <c r="E668" s="3" t="s">
        <v>144</v>
      </c>
      <c r="F668" s="3" t="s">
        <v>27</v>
      </c>
      <c r="G668" s="3" t="s">
        <v>146</v>
      </c>
      <c r="H668" s="3">
        <v>48</v>
      </c>
      <c r="I668" s="3">
        <v>131</v>
      </c>
      <c r="J668" s="3">
        <v>25</v>
      </c>
      <c r="K668" s="3">
        <v>156</v>
      </c>
      <c r="L668" s="3">
        <v>9</v>
      </c>
      <c r="M668" s="3">
        <v>112</v>
      </c>
      <c r="N668" s="3">
        <v>1</v>
      </c>
      <c r="O668" s="3">
        <v>27</v>
      </c>
      <c r="P668" s="3" t="s">
        <v>125</v>
      </c>
      <c r="Q668" s="3" t="s">
        <v>146</v>
      </c>
      <c r="R668" s="3">
        <v>41</v>
      </c>
      <c r="S668" s="3">
        <v>98</v>
      </c>
      <c r="T668" s="3">
        <v>35</v>
      </c>
      <c r="U668" s="3">
        <v>161</v>
      </c>
      <c r="V668" s="3">
        <v>54</v>
      </c>
      <c r="W668" s="3">
        <v>98</v>
      </c>
      <c r="X668" s="3">
        <v>1</v>
      </c>
      <c r="Y668" s="3">
        <v>17</v>
      </c>
      <c r="Z668" s="3">
        <v>6.5</v>
      </c>
    </row>
    <row r="669" spans="1:26">
      <c r="A669" s="94" t="str">
        <f t="shared" si="11"/>
        <v>20191130ECAR</v>
      </c>
      <c r="B669" s="3">
        <v>2019</v>
      </c>
      <c r="C669" s="3">
        <v>14</v>
      </c>
      <c r="D669" s="3">
        <v>20191130</v>
      </c>
      <c r="E669" s="3" t="s">
        <v>144</v>
      </c>
      <c r="F669" s="3" t="s">
        <v>115</v>
      </c>
      <c r="G669" s="3" t="s">
        <v>150</v>
      </c>
      <c r="H669" s="3">
        <v>29</v>
      </c>
      <c r="I669" s="3">
        <v>75</v>
      </c>
      <c r="J669" s="3">
        <v>48</v>
      </c>
      <c r="K669" s="3">
        <v>308</v>
      </c>
      <c r="L669" s="3">
        <v>1</v>
      </c>
      <c r="M669" s="3">
        <v>91</v>
      </c>
      <c r="N669" s="3">
        <v>2</v>
      </c>
      <c r="O669" s="3">
        <v>24</v>
      </c>
      <c r="P669" s="3" t="s">
        <v>102</v>
      </c>
      <c r="Q669" s="3" t="s">
        <v>150</v>
      </c>
      <c r="R669" s="3">
        <v>44</v>
      </c>
      <c r="S669" s="3">
        <v>338</v>
      </c>
      <c r="T669" s="3">
        <v>30</v>
      </c>
      <c r="U669" s="3">
        <v>331</v>
      </c>
      <c r="V669" s="3">
        <v>0</v>
      </c>
      <c r="W669" s="3">
        <v>41</v>
      </c>
      <c r="X669" s="3">
        <v>1</v>
      </c>
      <c r="Y669" s="3">
        <v>49</v>
      </c>
      <c r="Z669" s="3">
        <v>7</v>
      </c>
    </row>
    <row r="670" spans="1:26">
      <c r="A670" s="94" t="str">
        <f t="shared" si="11"/>
        <v>20191130FATL</v>
      </c>
      <c r="B670" s="3">
        <v>2019</v>
      </c>
      <c r="C670" s="3">
        <v>14</v>
      </c>
      <c r="D670" s="3">
        <v>20191130</v>
      </c>
      <c r="E670" s="3" t="s">
        <v>144</v>
      </c>
      <c r="F670" s="3" t="s">
        <v>85</v>
      </c>
      <c r="G670" s="3" t="s">
        <v>153</v>
      </c>
      <c r="H670" s="3">
        <v>31</v>
      </c>
      <c r="I670" s="3">
        <v>144</v>
      </c>
      <c r="J670" s="3">
        <v>20</v>
      </c>
      <c r="K670" s="3">
        <v>156</v>
      </c>
      <c r="L670" s="3">
        <v>28</v>
      </c>
      <c r="M670" s="3">
        <v>0</v>
      </c>
      <c r="N670" s="3">
        <v>5</v>
      </c>
      <c r="O670" s="3">
        <v>34</v>
      </c>
      <c r="P670" s="3" t="s">
        <v>99</v>
      </c>
      <c r="Q670" s="3" t="s">
        <v>153</v>
      </c>
      <c r="R670" s="3">
        <v>35</v>
      </c>
      <c r="S670" s="3">
        <v>60</v>
      </c>
      <c r="T670" s="3">
        <v>41</v>
      </c>
      <c r="U670" s="3">
        <v>198</v>
      </c>
      <c r="V670" s="3">
        <v>67</v>
      </c>
      <c r="W670" s="3">
        <v>0</v>
      </c>
      <c r="X670" s="3">
        <v>1</v>
      </c>
      <c r="Y670" s="3">
        <v>17</v>
      </c>
      <c r="Z670" s="3">
        <v>9.5</v>
      </c>
    </row>
    <row r="671" spans="1:26">
      <c r="A671" s="94" t="str">
        <f t="shared" si="11"/>
        <v>20191130FLA</v>
      </c>
      <c r="B671" s="3">
        <v>2019</v>
      </c>
      <c r="C671" s="3">
        <v>14</v>
      </c>
      <c r="D671" s="3">
        <v>20191130</v>
      </c>
      <c r="E671" s="3" t="s">
        <v>144</v>
      </c>
      <c r="F671" s="3" t="s">
        <v>54</v>
      </c>
      <c r="G671" s="3" t="s">
        <v>147</v>
      </c>
      <c r="H671" s="3">
        <v>25</v>
      </c>
      <c r="I671" s="3">
        <v>77</v>
      </c>
      <c r="J671" s="3">
        <v>48</v>
      </c>
      <c r="K671" s="3">
        <v>390</v>
      </c>
      <c r="L671" s="3">
        <v>12</v>
      </c>
      <c r="M671" s="3">
        <v>40</v>
      </c>
      <c r="N671" s="3">
        <v>0</v>
      </c>
      <c r="O671" s="3">
        <v>40</v>
      </c>
      <c r="P671" s="3" t="s">
        <v>116</v>
      </c>
      <c r="Q671" s="3" t="s">
        <v>146</v>
      </c>
      <c r="R671" s="3">
        <v>31</v>
      </c>
      <c r="S671" s="3">
        <v>69</v>
      </c>
      <c r="T671" s="3">
        <v>25</v>
      </c>
      <c r="U671" s="3">
        <v>181</v>
      </c>
      <c r="V671" s="3">
        <v>0</v>
      </c>
      <c r="W671" s="3">
        <v>42</v>
      </c>
      <c r="X671" s="3">
        <v>0</v>
      </c>
      <c r="Y671" s="3">
        <v>17</v>
      </c>
      <c r="Z671" s="3">
        <v>17.5</v>
      </c>
    </row>
    <row r="672" spans="1:26">
      <c r="A672" s="94" t="str">
        <f t="shared" si="11"/>
        <v>20191130GSOU</v>
      </c>
      <c r="B672" s="3">
        <v>2019</v>
      </c>
      <c r="C672" s="3">
        <v>14</v>
      </c>
      <c r="D672" s="3">
        <v>20191130</v>
      </c>
      <c r="E672" s="3" t="s">
        <v>144</v>
      </c>
      <c r="F672" s="3" t="s">
        <v>57</v>
      </c>
      <c r="G672" s="3" t="s">
        <v>145</v>
      </c>
      <c r="H672" s="3">
        <v>47</v>
      </c>
      <c r="I672" s="3">
        <v>279</v>
      </c>
      <c r="J672" s="3">
        <v>10</v>
      </c>
      <c r="K672" s="3">
        <v>73</v>
      </c>
      <c r="L672" s="3">
        <v>0</v>
      </c>
      <c r="M672" s="3">
        <v>48</v>
      </c>
      <c r="N672" s="3">
        <v>0</v>
      </c>
      <c r="O672" s="3">
        <v>38</v>
      </c>
      <c r="P672" s="3" t="s">
        <v>15</v>
      </c>
      <c r="Q672" s="3" t="s">
        <v>145</v>
      </c>
      <c r="R672" s="3">
        <v>37</v>
      </c>
      <c r="S672" s="3">
        <v>108</v>
      </c>
      <c r="T672" s="3">
        <v>27</v>
      </c>
      <c r="U672" s="3">
        <v>182</v>
      </c>
      <c r="V672" s="3">
        <v>0</v>
      </c>
      <c r="W672" s="3">
        <v>0</v>
      </c>
      <c r="X672" s="3">
        <v>0</v>
      </c>
      <c r="Y672" s="3">
        <v>10</v>
      </c>
      <c r="Z672" s="3">
        <v>7.5</v>
      </c>
    </row>
    <row r="673" spans="1:26">
      <c r="A673" s="94" t="str">
        <f t="shared" si="11"/>
        <v>20191130GTCH</v>
      </c>
      <c r="B673" s="3">
        <v>2019</v>
      </c>
      <c r="C673" s="3">
        <v>14</v>
      </c>
      <c r="D673" s="3">
        <v>20191130</v>
      </c>
      <c r="E673" s="3" t="s">
        <v>144</v>
      </c>
      <c r="F673" s="3" t="s">
        <v>58</v>
      </c>
      <c r="G673" s="3" t="s">
        <v>146</v>
      </c>
      <c r="H673" s="3">
        <v>37</v>
      </c>
      <c r="I673" s="3">
        <v>99</v>
      </c>
      <c r="J673" s="3">
        <v>21</v>
      </c>
      <c r="K673" s="3">
        <v>40</v>
      </c>
      <c r="L673" s="3">
        <v>7</v>
      </c>
      <c r="M673" s="3">
        <v>34</v>
      </c>
      <c r="N673" s="3">
        <v>3</v>
      </c>
      <c r="O673" s="3">
        <v>7</v>
      </c>
      <c r="P673" s="3" t="s">
        <v>56</v>
      </c>
      <c r="Q673" s="3" t="s">
        <v>147</v>
      </c>
      <c r="R673" s="3">
        <v>40</v>
      </c>
      <c r="S673" s="3">
        <v>219</v>
      </c>
      <c r="T673" s="3">
        <v>32</v>
      </c>
      <c r="U673" s="3">
        <v>281</v>
      </c>
      <c r="V673" s="3">
        <v>45</v>
      </c>
      <c r="W673" s="3">
        <v>22</v>
      </c>
      <c r="X673" s="3">
        <v>1</v>
      </c>
      <c r="Y673" s="3">
        <v>52</v>
      </c>
      <c r="Z673" s="3">
        <v>29</v>
      </c>
    </row>
    <row r="674" spans="1:26">
      <c r="A674" s="94" t="str">
        <f t="shared" si="11"/>
        <v>20191130HAW</v>
      </c>
      <c r="B674" s="3">
        <v>2019</v>
      </c>
      <c r="C674" s="3">
        <v>14</v>
      </c>
      <c r="D674" s="3">
        <v>20191130</v>
      </c>
      <c r="E674" s="3" t="s">
        <v>144</v>
      </c>
      <c r="F674" s="3" t="s">
        <v>8</v>
      </c>
      <c r="G674" s="3" t="s">
        <v>148</v>
      </c>
      <c r="H674" s="3">
        <v>19</v>
      </c>
      <c r="I674" s="3">
        <v>133</v>
      </c>
      <c r="J674" s="3">
        <v>41</v>
      </c>
      <c r="K674" s="3">
        <v>359</v>
      </c>
      <c r="L674" s="3">
        <v>0</v>
      </c>
      <c r="M674" s="3">
        <v>73</v>
      </c>
      <c r="N674" s="3">
        <v>2</v>
      </c>
      <c r="O674" s="3">
        <v>52</v>
      </c>
      <c r="P674" s="3" t="s">
        <v>28</v>
      </c>
      <c r="Q674" s="3" t="s">
        <v>53</v>
      </c>
      <c r="R674" s="3">
        <v>63</v>
      </c>
      <c r="S674" s="3">
        <v>411</v>
      </c>
      <c r="T674" s="3">
        <v>11</v>
      </c>
      <c r="U674" s="3">
        <v>127</v>
      </c>
      <c r="V674" s="3">
        <v>12</v>
      </c>
      <c r="W674" s="3">
        <v>42</v>
      </c>
      <c r="X674" s="3">
        <v>0</v>
      </c>
      <c r="Y674" s="3">
        <v>31</v>
      </c>
      <c r="Z674" s="3">
        <v>4</v>
      </c>
    </row>
    <row r="675" spans="1:26">
      <c r="A675" s="94" t="str">
        <f t="shared" si="11"/>
        <v>20191130HOU</v>
      </c>
      <c r="B675" s="3">
        <v>2019</v>
      </c>
      <c r="C675" s="3">
        <v>14</v>
      </c>
      <c r="D675" s="3">
        <v>20191130</v>
      </c>
      <c r="E675" s="3" t="s">
        <v>144</v>
      </c>
      <c r="F675" s="3" t="s">
        <v>91</v>
      </c>
      <c r="G675" s="3" t="s">
        <v>150</v>
      </c>
      <c r="H675" s="3">
        <v>30</v>
      </c>
      <c r="I675" s="3">
        <v>134</v>
      </c>
      <c r="J675" s="3">
        <v>35</v>
      </c>
      <c r="K675" s="3">
        <v>393</v>
      </c>
      <c r="L675" s="3">
        <v>0</v>
      </c>
      <c r="M675" s="3">
        <v>0</v>
      </c>
      <c r="N675" s="3">
        <v>0</v>
      </c>
      <c r="O675" s="3">
        <v>41</v>
      </c>
      <c r="P675" s="3" t="s">
        <v>59</v>
      </c>
      <c r="Q675" s="3" t="s">
        <v>150</v>
      </c>
      <c r="R675" s="3">
        <v>54</v>
      </c>
      <c r="S675" s="3">
        <v>450</v>
      </c>
      <c r="T675" s="3">
        <v>4</v>
      </c>
      <c r="U675" s="3">
        <v>107</v>
      </c>
      <c r="V675" s="3">
        <v>0</v>
      </c>
      <c r="W675" s="3">
        <v>1</v>
      </c>
      <c r="X675" s="3">
        <v>5</v>
      </c>
      <c r="Y675" s="3">
        <v>56</v>
      </c>
      <c r="Z675" s="3">
        <v>8.5</v>
      </c>
    </row>
    <row r="676" spans="1:26">
      <c r="A676" s="94" t="str">
        <f t="shared" si="11"/>
        <v>20191130ILL</v>
      </c>
      <c r="B676" s="3">
        <v>2019</v>
      </c>
      <c r="C676" s="3">
        <v>14</v>
      </c>
      <c r="D676" s="3">
        <v>20191130</v>
      </c>
      <c r="E676" s="3" t="s">
        <v>144</v>
      </c>
      <c r="F676" s="3" t="s">
        <v>60</v>
      </c>
      <c r="G676" s="3" t="s">
        <v>152</v>
      </c>
      <c r="H676" s="3">
        <v>26</v>
      </c>
      <c r="I676" s="3">
        <v>14</v>
      </c>
      <c r="J676" s="3">
        <v>23</v>
      </c>
      <c r="K676" s="3">
        <v>146</v>
      </c>
      <c r="L676" s="3">
        <v>0</v>
      </c>
      <c r="M676" s="3">
        <v>89</v>
      </c>
      <c r="N676" s="3">
        <v>1</v>
      </c>
      <c r="O676" s="3">
        <v>10</v>
      </c>
      <c r="P676" s="3" t="s">
        <v>18</v>
      </c>
      <c r="Q676" s="3" t="s">
        <v>152</v>
      </c>
      <c r="R676" s="3">
        <v>65</v>
      </c>
      <c r="S676" s="3">
        <v>378</v>
      </c>
      <c r="T676" s="3">
        <v>10</v>
      </c>
      <c r="U676" s="3">
        <v>55</v>
      </c>
      <c r="V676" s="3">
        <v>38</v>
      </c>
      <c r="W676" s="3">
        <v>21</v>
      </c>
      <c r="X676" s="3">
        <v>2</v>
      </c>
      <c r="Y676" s="3">
        <v>29</v>
      </c>
      <c r="Z676" s="3">
        <v>6.5</v>
      </c>
    </row>
    <row r="677" spans="1:26">
      <c r="A677" s="94" t="str">
        <f t="shared" si="11"/>
        <v>20191130KAN</v>
      </c>
      <c r="B677" s="3">
        <v>2019</v>
      </c>
      <c r="C677" s="3">
        <v>14</v>
      </c>
      <c r="D677" s="3">
        <v>20191130</v>
      </c>
      <c r="E677" s="3" t="s">
        <v>144</v>
      </c>
      <c r="F677" s="3" t="s">
        <v>64</v>
      </c>
      <c r="G677" s="3" t="s">
        <v>209</v>
      </c>
      <c r="H677" s="3">
        <v>35</v>
      </c>
      <c r="I677" s="3">
        <v>142</v>
      </c>
      <c r="J677" s="3">
        <v>31</v>
      </c>
      <c r="K677" s="3">
        <v>116</v>
      </c>
      <c r="L677" s="3">
        <v>0</v>
      </c>
      <c r="M677" s="3">
        <v>74</v>
      </c>
      <c r="N677" s="3">
        <v>1</v>
      </c>
      <c r="O677" s="3">
        <v>6</v>
      </c>
      <c r="P677" s="3" t="s">
        <v>45</v>
      </c>
      <c r="Q677" s="3" t="s">
        <v>209</v>
      </c>
      <c r="R677" s="3">
        <v>47</v>
      </c>
      <c r="S677" s="3">
        <v>263</v>
      </c>
      <c r="T677" s="3">
        <v>32</v>
      </c>
      <c r="U677" s="3">
        <v>243</v>
      </c>
      <c r="V677" s="3">
        <v>0</v>
      </c>
      <c r="W677" s="3">
        <v>23</v>
      </c>
      <c r="X677" s="3">
        <v>6</v>
      </c>
      <c r="Y677" s="3">
        <v>61</v>
      </c>
      <c r="Z677" s="3">
        <v>14</v>
      </c>
    </row>
    <row r="678" spans="1:26">
      <c r="A678" s="94" t="str">
        <f t="shared" si="11"/>
        <v>20191130KAST</v>
      </c>
      <c r="B678" s="3">
        <v>2019</v>
      </c>
      <c r="C678" s="3">
        <v>14</v>
      </c>
      <c r="D678" s="3">
        <v>20191130</v>
      </c>
      <c r="E678" s="3" t="s">
        <v>144</v>
      </c>
      <c r="F678" s="3" t="s">
        <v>65</v>
      </c>
      <c r="G678" s="3" t="s">
        <v>209</v>
      </c>
      <c r="H678" s="3">
        <v>47</v>
      </c>
      <c r="I678" s="3">
        <v>241</v>
      </c>
      <c r="J678" s="3">
        <v>12</v>
      </c>
      <c r="K678" s="3">
        <v>57</v>
      </c>
      <c r="L678" s="3">
        <v>0</v>
      </c>
      <c r="M678" s="3">
        <v>104</v>
      </c>
      <c r="N678" s="3">
        <v>0</v>
      </c>
      <c r="O678" s="3">
        <v>27</v>
      </c>
      <c r="P678" s="3" t="s">
        <v>122</v>
      </c>
      <c r="Q678" s="3" t="s">
        <v>209</v>
      </c>
      <c r="R678" s="3">
        <v>23</v>
      </c>
      <c r="S678" s="3">
        <v>56</v>
      </c>
      <c r="T678" s="3">
        <v>30</v>
      </c>
      <c r="U678" s="3">
        <v>185</v>
      </c>
      <c r="V678" s="3">
        <v>36</v>
      </c>
      <c r="W678" s="3">
        <v>35</v>
      </c>
      <c r="X678" s="3">
        <v>2</v>
      </c>
      <c r="Y678" s="3">
        <v>17</v>
      </c>
      <c r="Z678" s="3">
        <v>3.5</v>
      </c>
    </row>
    <row r="679" spans="1:26">
      <c r="A679" s="94" t="str">
        <f t="shared" si="11"/>
        <v>20191130KTKY</v>
      </c>
      <c r="B679" s="3">
        <v>2019</v>
      </c>
      <c r="C679" s="3">
        <v>14</v>
      </c>
      <c r="D679" s="3">
        <v>20191130</v>
      </c>
      <c r="E679" s="3" t="s">
        <v>144</v>
      </c>
      <c r="F679" s="3" t="s">
        <v>66</v>
      </c>
      <c r="G679" s="3" t="s">
        <v>147</v>
      </c>
      <c r="H679" s="3">
        <v>40</v>
      </c>
      <c r="I679" s="3">
        <v>517</v>
      </c>
      <c r="J679" s="3">
        <v>2</v>
      </c>
      <c r="K679" s="3">
        <v>4</v>
      </c>
      <c r="L679" s="3">
        <v>7</v>
      </c>
      <c r="M679" s="3">
        <v>4</v>
      </c>
      <c r="N679" s="3">
        <v>2</v>
      </c>
      <c r="O679" s="3">
        <v>45</v>
      </c>
      <c r="P679" s="3" t="s">
        <v>123</v>
      </c>
      <c r="Q679" s="3" t="s">
        <v>146</v>
      </c>
      <c r="R679" s="3">
        <v>51</v>
      </c>
      <c r="S679" s="3">
        <v>209</v>
      </c>
      <c r="T679" s="3">
        <v>19</v>
      </c>
      <c r="U679" s="3">
        <v>109</v>
      </c>
      <c r="V679" s="3">
        <v>0</v>
      </c>
      <c r="W679" s="3">
        <v>64</v>
      </c>
      <c r="X679" s="3">
        <v>0</v>
      </c>
      <c r="Y679" s="3">
        <v>13</v>
      </c>
      <c r="Z679" s="3">
        <v>3.5</v>
      </c>
    </row>
    <row r="680" spans="1:26">
      <c r="A680" s="94" t="str">
        <f t="shared" si="11"/>
        <v>20191130LLAF</v>
      </c>
      <c r="B680" s="3">
        <v>2019</v>
      </c>
      <c r="C680" s="3">
        <v>14</v>
      </c>
      <c r="D680" s="3">
        <v>20191130</v>
      </c>
      <c r="E680" s="3" t="s">
        <v>144</v>
      </c>
      <c r="F680" s="3" t="s">
        <v>69</v>
      </c>
      <c r="G680" s="3" t="s">
        <v>145</v>
      </c>
      <c r="H680" s="3">
        <v>41</v>
      </c>
      <c r="I680" s="3">
        <v>253</v>
      </c>
      <c r="J680" s="3">
        <v>23</v>
      </c>
      <c r="K680" s="3">
        <v>270</v>
      </c>
      <c r="L680" s="3">
        <v>7</v>
      </c>
      <c r="M680" s="3">
        <v>53</v>
      </c>
      <c r="N680" s="3">
        <v>1</v>
      </c>
      <c r="O680" s="3">
        <v>31</v>
      </c>
      <c r="P680" s="3" t="s">
        <v>25</v>
      </c>
      <c r="Q680" s="3" t="s">
        <v>145</v>
      </c>
      <c r="R680" s="3">
        <v>37</v>
      </c>
      <c r="S680" s="3">
        <v>240</v>
      </c>
      <c r="T680" s="3">
        <v>37</v>
      </c>
      <c r="U680" s="3">
        <v>330</v>
      </c>
      <c r="V680" s="3">
        <v>37</v>
      </c>
      <c r="W680" s="3">
        <v>19</v>
      </c>
      <c r="X680" s="3">
        <v>0</v>
      </c>
      <c r="Y680" s="3">
        <v>30</v>
      </c>
      <c r="Z680" s="3">
        <v>20</v>
      </c>
    </row>
    <row r="681" spans="1:26">
      <c r="A681" s="94" t="str">
        <f t="shared" si="11"/>
        <v>20191130LSU</v>
      </c>
      <c r="B681" s="3">
        <v>2019</v>
      </c>
      <c r="C681" s="3">
        <v>14</v>
      </c>
      <c r="D681" s="3">
        <v>20191130</v>
      </c>
      <c r="E681" s="3" t="s">
        <v>144</v>
      </c>
      <c r="F681" s="3" t="s">
        <v>124</v>
      </c>
      <c r="G681" s="3" t="s">
        <v>147</v>
      </c>
      <c r="H681" s="3">
        <v>37</v>
      </c>
      <c r="I681" s="3">
        <v>139</v>
      </c>
      <c r="J681" s="3">
        <v>36</v>
      </c>
      <c r="K681" s="3">
        <v>425</v>
      </c>
      <c r="L681" s="3">
        <v>0</v>
      </c>
      <c r="M681" s="3">
        <v>26</v>
      </c>
      <c r="N681" s="3">
        <v>3</v>
      </c>
      <c r="O681" s="3">
        <v>50</v>
      </c>
      <c r="P681" s="3" t="s">
        <v>22</v>
      </c>
      <c r="Q681" s="3" t="s">
        <v>147</v>
      </c>
      <c r="R681" s="3">
        <v>26</v>
      </c>
      <c r="S681" s="3">
        <v>72</v>
      </c>
      <c r="T681" s="3">
        <v>34</v>
      </c>
      <c r="U681" s="3">
        <v>97</v>
      </c>
      <c r="V681" s="3">
        <v>21</v>
      </c>
      <c r="W681" s="3">
        <v>0</v>
      </c>
      <c r="X681" s="3">
        <v>0</v>
      </c>
      <c r="Y681" s="3">
        <v>7</v>
      </c>
      <c r="Z681" s="3">
        <v>18</v>
      </c>
    </row>
    <row r="682" spans="1:26">
      <c r="A682" s="94" t="str">
        <f t="shared" si="11"/>
        <v>20191130MCST</v>
      </c>
      <c r="B682" s="3">
        <v>2019</v>
      </c>
      <c r="C682" s="3">
        <v>14</v>
      </c>
      <c r="D682" s="3">
        <v>20191130</v>
      </c>
      <c r="E682" s="3" t="s">
        <v>144</v>
      </c>
      <c r="F682" s="3" t="s">
        <v>30</v>
      </c>
      <c r="G682" s="3" t="s">
        <v>152</v>
      </c>
      <c r="H682" s="3">
        <v>37</v>
      </c>
      <c r="I682" s="3">
        <v>88</v>
      </c>
      <c r="J682" s="3">
        <v>42</v>
      </c>
      <c r="K682" s="3">
        <v>342</v>
      </c>
      <c r="L682" s="3">
        <v>0</v>
      </c>
      <c r="M682" s="3">
        <v>39</v>
      </c>
      <c r="N682" s="3">
        <v>3</v>
      </c>
      <c r="O682" s="3">
        <v>19</v>
      </c>
      <c r="P682" s="3" t="s">
        <v>121</v>
      </c>
      <c r="Q682" s="3" t="s">
        <v>152</v>
      </c>
      <c r="R682" s="3">
        <v>29</v>
      </c>
      <c r="S682" s="3">
        <v>164</v>
      </c>
      <c r="T682" s="3">
        <v>28</v>
      </c>
      <c r="U682" s="3">
        <v>152</v>
      </c>
      <c r="V682" s="3">
        <v>15</v>
      </c>
      <c r="W682" s="3">
        <v>98</v>
      </c>
      <c r="X682" s="3">
        <v>2</v>
      </c>
      <c r="Y682" s="3">
        <v>16</v>
      </c>
      <c r="Z682" s="3">
        <v>19</v>
      </c>
    </row>
    <row r="683" spans="1:26">
      <c r="A683" s="94" t="str">
        <f t="shared" si="11"/>
        <v>20191130MICH</v>
      </c>
      <c r="B683" s="3">
        <v>2019</v>
      </c>
      <c r="C683" s="3">
        <v>14</v>
      </c>
      <c r="D683" s="3">
        <v>20191130</v>
      </c>
      <c r="E683" s="3" t="s">
        <v>144</v>
      </c>
      <c r="F683" s="3" t="s">
        <v>78</v>
      </c>
      <c r="G683" s="3" t="s">
        <v>152</v>
      </c>
      <c r="H683" s="3">
        <v>26</v>
      </c>
      <c r="I683" s="3">
        <v>91</v>
      </c>
      <c r="J683" s="3">
        <v>43</v>
      </c>
      <c r="K683" s="3">
        <v>305</v>
      </c>
      <c r="L683" s="3">
        <v>2</v>
      </c>
      <c r="M683" s="3">
        <v>80</v>
      </c>
      <c r="N683" s="3">
        <v>1</v>
      </c>
      <c r="O683" s="3">
        <v>27</v>
      </c>
      <c r="P683" s="3" t="s">
        <v>81</v>
      </c>
      <c r="Q683" s="3" t="s">
        <v>152</v>
      </c>
      <c r="R683" s="3">
        <v>49</v>
      </c>
      <c r="S683" s="3">
        <v>265</v>
      </c>
      <c r="T683" s="3">
        <v>27</v>
      </c>
      <c r="U683" s="3">
        <v>313</v>
      </c>
      <c r="V683" s="3">
        <v>0</v>
      </c>
      <c r="W683" s="3">
        <v>0</v>
      </c>
      <c r="X683" s="3">
        <v>2</v>
      </c>
      <c r="Y683" s="3">
        <v>56</v>
      </c>
      <c r="Z683" s="3">
        <v>9.5</v>
      </c>
    </row>
    <row r="684" spans="1:26">
      <c r="A684" s="94" t="str">
        <f t="shared" si="11"/>
        <v>20191130MIN</v>
      </c>
      <c r="B684" s="3">
        <v>2019</v>
      </c>
      <c r="C684" s="3">
        <v>14</v>
      </c>
      <c r="D684" s="3">
        <v>20191130</v>
      </c>
      <c r="E684" s="3" t="s">
        <v>144</v>
      </c>
      <c r="F684" s="3" t="s">
        <v>16</v>
      </c>
      <c r="G684" s="3" t="s">
        <v>152</v>
      </c>
      <c r="H684" s="3">
        <v>30</v>
      </c>
      <c r="I684" s="3">
        <v>76</v>
      </c>
      <c r="J684" s="3">
        <v>37</v>
      </c>
      <c r="K684" s="3">
        <v>296</v>
      </c>
      <c r="L684" s="3">
        <v>0</v>
      </c>
      <c r="M684" s="3">
        <v>38</v>
      </c>
      <c r="N684" s="3">
        <v>1</v>
      </c>
      <c r="O684" s="3">
        <v>17</v>
      </c>
      <c r="P684" s="3" t="s">
        <v>35</v>
      </c>
      <c r="Q684" s="3" t="s">
        <v>152</v>
      </c>
      <c r="R684" s="3">
        <v>35</v>
      </c>
      <c r="S684" s="3">
        <v>173</v>
      </c>
      <c r="T684" s="3">
        <v>22</v>
      </c>
      <c r="U684" s="3">
        <v>280</v>
      </c>
      <c r="V684" s="3">
        <v>0</v>
      </c>
      <c r="W684" s="3">
        <v>75</v>
      </c>
      <c r="X684" s="3">
        <v>2</v>
      </c>
      <c r="Y684" s="3">
        <v>38</v>
      </c>
      <c r="Z684" s="3">
        <v>3</v>
      </c>
    </row>
    <row r="685" spans="1:26">
      <c r="A685" s="94" t="str">
        <f t="shared" si="11"/>
        <v>20191130MRSH</v>
      </c>
      <c r="B685" s="3">
        <v>2019</v>
      </c>
      <c r="C685" s="3">
        <v>14</v>
      </c>
      <c r="D685" s="3">
        <v>20191130</v>
      </c>
      <c r="E685" s="3" t="s">
        <v>144</v>
      </c>
      <c r="F685" s="3" t="s">
        <v>72</v>
      </c>
      <c r="G685" s="3" t="s">
        <v>153</v>
      </c>
      <c r="H685" s="3">
        <v>56</v>
      </c>
      <c r="I685" s="3">
        <v>202</v>
      </c>
      <c r="J685" s="3">
        <v>20</v>
      </c>
      <c r="K685" s="3">
        <v>90</v>
      </c>
      <c r="L685" s="3">
        <v>10</v>
      </c>
      <c r="M685" s="3">
        <v>45</v>
      </c>
      <c r="N685" s="3">
        <v>1</v>
      </c>
      <c r="O685" s="3">
        <v>30</v>
      </c>
      <c r="P685" s="3" t="s">
        <v>52</v>
      </c>
      <c r="Q685" s="3" t="s">
        <v>153</v>
      </c>
      <c r="R685" s="3">
        <v>30</v>
      </c>
      <c r="S685" s="3">
        <v>82</v>
      </c>
      <c r="T685" s="3">
        <v>38</v>
      </c>
      <c r="U685" s="3">
        <v>240</v>
      </c>
      <c r="V685" s="3">
        <v>0</v>
      </c>
      <c r="W685" s="3">
        <v>27</v>
      </c>
      <c r="X685" s="3">
        <v>1</v>
      </c>
      <c r="Y685" s="3">
        <v>27</v>
      </c>
      <c r="Z685" s="3">
        <v>7.5</v>
      </c>
    </row>
    <row r="686" spans="1:26">
      <c r="A686" s="94" t="str">
        <f t="shared" si="11"/>
        <v>20191130NCST</v>
      </c>
      <c r="B686" s="3">
        <v>2019</v>
      </c>
      <c r="C686" s="3">
        <v>14</v>
      </c>
      <c r="D686" s="3">
        <v>20191130</v>
      </c>
      <c r="E686" s="3" t="s">
        <v>144</v>
      </c>
      <c r="F686" s="3" t="s">
        <v>75</v>
      </c>
      <c r="G686" s="3" t="s">
        <v>146</v>
      </c>
      <c r="H686" s="3">
        <v>26</v>
      </c>
      <c r="I686" s="3">
        <v>132</v>
      </c>
      <c r="J686" s="3">
        <v>30</v>
      </c>
      <c r="K686" s="3">
        <v>157</v>
      </c>
      <c r="L686" s="3">
        <v>0</v>
      </c>
      <c r="M686" s="3">
        <v>35</v>
      </c>
      <c r="N686" s="3">
        <v>1</v>
      </c>
      <c r="O686" s="3">
        <v>10</v>
      </c>
      <c r="P686" s="3" t="s">
        <v>49</v>
      </c>
      <c r="Q686" s="3" t="s">
        <v>146</v>
      </c>
      <c r="R686" s="3">
        <v>41</v>
      </c>
      <c r="S686" s="3">
        <v>180</v>
      </c>
      <c r="T686" s="3">
        <v>35</v>
      </c>
      <c r="U686" s="3">
        <v>440</v>
      </c>
      <c r="V686" s="3">
        <v>2</v>
      </c>
      <c r="W686" s="3">
        <v>41</v>
      </c>
      <c r="X686" s="3">
        <v>4</v>
      </c>
      <c r="Y686" s="3">
        <v>41</v>
      </c>
      <c r="Z686" s="3">
        <v>10</v>
      </c>
    </row>
    <row r="687" spans="1:26">
      <c r="A687" s="94" t="str">
        <f t="shared" si="11"/>
        <v>20191130NEV</v>
      </c>
      <c r="B687" s="3">
        <v>2019</v>
      </c>
      <c r="C687" s="3">
        <v>14</v>
      </c>
      <c r="D687" s="3">
        <v>20191130</v>
      </c>
      <c r="E687" s="3" t="s">
        <v>144</v>
      </c>
      <c r="F687" s="3" t="s">
        <v>32</v>
      </c>
      <c r="G687" s="3" t="s">
        <v>148</v>
      </c>
      <c r="H687" s="3">
        <v>36</v>
      </c>
      <c r="I687" s="3">
        <v>110</v>
      </c>
      <c r="J687" s="3">
        <v>54</v>
      </c>
      <c r="K687" s="3">
        <v>351</v>
      </c>
      <c r="L687" s="3">
        <v>48</v>
      </c>
      <c r="M687" s="3">
        <v>58</v>
      </c>
      <c r="N687" s="3">
        <v>0</v>
      </c>
      <c r="O687" s="3">
        <v>30</v>
      </c>
      <c r="P687" s="3" t="s">
        <v>109</v>
      </c>
      <c r="Q687" s="3" t="s">
        <v>148</v>
      </c>
      <c r="R687" s="3">
        <v>34</v>
      </c>
      <c r="S687" s="3">
        <v>183</v>
      </c>
      <c r="T687" s="3">
        <v>22</v>
      </c>
      <c r="U687" s="3">
        <v>229</v>
      </c>
      <c r="V687" s="3">
        <v>0</v>
      </c>
      <c r="W687" s="3">
        <v>0</v>
      </c>
      <c r="X687" s="3">
        <v>0</v>
      </c>
      <c r="Y687" s="3">
        <v>33</v>
      </c>
      <c r="Z687" s="3">
        <v>7</v>
      </c>
    </row>
    <row r="688" spans="1:26">
      <c r="A688" s="94" t="str">
        <f t="shared" si="11"/>
        <v>20191130NMX</v>
      </c>
      <c r="B688" s="3">
        <v>2019</v>
      </c>
      <c r="C688" s="3">
        <v>14</v>
      </c>
      <c r="D688" s="3">
        <v>20191130</v>
      </c>
      <c r="E688" s="3" t="s">
        <v>144</v>
      </c>
      <c r="F688" s="3" t="s">
        <v>76</v>
      </c>
      <c r="G688" s="3" t="s">
        <v>148</v>
      </c>
      <c r="H688" s="3">
        <v>53</v>
      </c>
      <c r="I688" s="3">
        <v>287</v>
      </c>
      <c r="J688" s="3">
        <v>21</v>
      </c>
      <c r="K688" s="3">
        <v>107</v>
      </c>
      <c r="L688" s="3">
        <v>15</v>
      </c>
      <c r="M688" s="3">
        <v>32</v>
      </c>
      <c r="N688" s="3">
        <v>1</v>
      </c>
      <c r="O688" s="3">
        <v>25</v>
      </c>
      <c r="P688" s="3" t="s">
        <v>31</v>
      </c>
      <c r="Q688" s="3" t="s">
        <v>148</v>
      </c>
      <c r="R688" s="3">
        <v>38</v>
      </c>
      <c r="S688" s="3">
        <v>205</v>
      </c>
      <c r="T688" s="3">
        <v>35</v>
      </c>
      <c r="U688" s="3">
        <v>172</v>
      </c>
      <c r="V688" s="3">
        <v>25</v>
      </c>
      <c r="W688" s="3">
        <v>34</v>
      </c>
      <c r="X688" s="3">
        <v>3</v>
      </c>
      <c r="Y688" s="3">
        <v>38</v>
      </c>
      <c r="Z688" s="3">
        <v>12.5</v>
      </c>
    </row>
    <row r="689" spans="1:26">
      <c r="A689" s="94" t="str">
        <f t="shared" si="11"/>
        <v>20191130NTX</v>
      </c>
      <c r="B689" s="3">
        <v>2019</v>
      </c>
      <c r="C689" s="3">
        <v>14</v>
      </c>
      <c r="D689" s="3">
        <v>20191130</v>
      </c>
      <c r="E689" s="3" t="s">
        <v>144</v>
      </c>
      <c r="F689" s="3" t="s">
        <v>79</v>
      </c>
      <c r="G689" s="3" t="s">
        <v>153</v>
      </c>
      <c r="H689" s="3">
        <v>35</v>
      </c>
      <c r="I689" s="3">
        <v>21</v>
      </c>
      <c r="J689" s="3">
        <v>34</v>
      </c>
      <c r="K689" s="3">
        <v>268</v>
      </c>
      <c r="L689" s="3">
        <v>0</v>
      </c>
      <c r="M689" s="3">
        <v>31</v>
      </c>
      <c r="N689" s="3">
        <v>1</v>
      </c>
      <c r="O689" s="3">
        <v>21</v>
      </c>
      <c r="P689" s="3" t="s">
        <v>23</v>
      </c>
      <c r="Q689" s="3" t="s">
        <v>153</v>
      </c>
      <c r="R689" s="3">
        <v>48</v>
      </c>
      <c r="S689" s="3">
        <v>203</v>
      </c>
      <c r="T689" s="3">
        <v>13</v>
      </c>
      <c r="U689" s="3">
        <v>107</v>
      </c>
      <c r="V689" s="3">
        <v>0</v>
      </c>
      <c r="W689" s="3">
        <v>10</v>
      </c>
      <c r="X689" s="3">
        <v>2</v>
      </c>
      <c r="Y689" s="3">
        <v>26</v>
      </c>
      <c r="Z689" s="3">
        <v>3</v>
      </c>
    </row>
    <row r="690" spans="1:26">
      <c r="A690" s="94" t="str">
        <f t="shared" si="11"/>
        <v>20191130OKST</v>
      </c>
      <c r="B690" s="3">
        <v>2019</v>
      </c>
      <c r="C690" s="3">
        <v>14</v>
      </c>
      <c r="D690" s="3">
        <v>20191130</v>
      </c>
      <c r="E690" s="3" t="s">
        <v>144</v>
      </c>
      <c r="F690" s="3" t="s">
        <v>26</v>
      </c>
      <c r="G690" s="3" t="s">
        <v>209</v>
      </c>
      <c r="H690" s="3">
        <v>29</v>
      </c>
      <c r="I690" s="3">
        <v>128</v>
      </c>
      <c r="J690" s="3">
        <v>32</v>
      </c>
      <c r="K690" s="3">
        <v>207</v>
      </c>
      <c r="L690" s="3">
        <v>0</v>
      </c>
      <c r="M690" s="3">
        <v>36</v>
      </c>
      <c r="N690" s="3">
        <v>0</v>
      </c>
      <c r="O690" s="3">
        <v>16</v>
      </c>
      <c r="P690" s="3" t="s">
        <v>84</v>
      </c>
      <c r="Q690" s="3" t="s">
        <v>209</v>
      </c>
      <c r="R690" s="3">
        <v>44</v>
      </c>
      <c r="S690" s="3">
        <v>283</v>
      </c>
      <c r="T690" s="3">
        <v>17</v>
      </c>
      <c r="U690" s="3">
        <v>167</v>
      </c>
      <c r="V690" s="3">
        <v>0</v>
      </c>
      <c r="W690" s="3">
        <v>45</v>
      </c>
      <c r="X690" s="3">
        <v>2</v>
      </c>
      <c r="Y690" s="3">
        <v>34</v>
      </c>
      <c r="Z690" s="3">
        <v>14</v>
      </c>
    </row>
    <row r="691" spans="1:26">
      <c r="A691" s="94" t="str">
        <f t="shared" si="11"/>
        <v>20191130OLDD</v>
      </c>
      <c r="B691" s="3">
        <v>2019</v>
      </c>
      <c r="C691" s="3">
        <v>14</v>
      </c>
      <c r="D691" s="3">
        <v>20191130</v>
      </c>
      <c r="E691" s="3" t="s">
        <v>144</v>
      </c>
      <c r="F691" s="3" t="s">
        <v>68</v>
      </c>
      <c r="G691" s="3" t="s">
        <v>153</v>
      </c>
      <c r="H691" s="3">
        <v>45</v>
      </c>
      <c r="I691" s="3">
        <v>183</v>
      </c>
      <c r="J691" s="3">
        <v>38</v>
      </c>
      <c r="K691" s="3">
        <v>173</v>
      </c>
      <c r="L691" s="3">
        <v>49</v>
      </c>
      <c r="M691" s="3">
        <v>94</v>
      </c>
      <c r="N691" s="3">
        <v>2</v>
      </c>
      <c r="O691" s="3">
        <v>22</v>
      </c>
      <c r="P691" s="3" t="s">
        <v>50</v>
      </c>
      <c r="Q691" s="3" t="s">
        <v>153</v>
      </c>
      <c r="R691" s="3">
        <v>50</v>
      </c>
      <c r="S691" s="3">
        <v>241</v>
      </c>
      <c r="T691" s="3">
        <v>13</v>
      </c>
      <c r="U691" s="3">
        <v>166</v>
      </c>
      <c r="V691" s="3">
        <v>2</v>
      </c>
      <c r="W691" s="3">
        <v>0</v>
      </c>
      <c r="X691" s="3">
        <v>3</v>
      </c>
      <c r="Y691" s="3">
        <v>38</v>
      </c>
      <c r="Z691" s="3">
        <v>10</v>
      </c>
    </row>
    <row r="692" spans="1:26">
      <c r="A692" s="94" t="str">
        <f t="shared" si="11"/>
        <v>20191130ORE</v>
      </c>
      <c r="B692" s="3">
        <v>2019</v>
      </c>
      <c r="C692" s="3">
        <v>14</v>
      </c>
      <c r="D692" s="3">
        <v>20191130</v>
      </c>
      <c r="E692" s="3" t="s">
        <v>144</v>
      </c>
      <c r="F692" s="3" t="s">
        <v>86</v>
      </c>
      <c r="G692" s="3" t="s">
        <v>151</v>
      </c>
      <c r="H692" s="3">
        <v>37</v>
      </c>
      <c r="I692" s="3">
        <v>191</v>
      </c>
      <c r="J692" s="3">
        <v>30</v>
      </c>
      <c r="K692" s="3">
        <v>174</v>
      </c>
      <c r="L692" s="3">
        <v>26</v>
      </c>
      <c r="M692" s="3">
        <v>121</v>
      </c>
      <c r="N692" s="3">
        <v>1</v>
      </c>
      <c r="O692" s="3">
        <v>24</v>
      </c>
      <c r="P692" s="3" t="s">
        <v>82</v>
      </c>
      <c r="Q692" s="3" t="s">
        <v>151</v>
      </c>
      <c r="R692" s="3">
        <v>34</v>
      </c>
      <c r="S692" s="3">
        <v>137</v>
      </c>
      <c r="T692" s="3">
        <v>41</v>
      </c>
      <c r="U692" s="3">
        <v>243</v>
      </c>
      <c r="V692" s="3">
        <v>14</v>
      </c>
      <c r="W692" s="3">
        <v>51</v>
      </c>
      <c r="X692" s="3">
        <v>1</v>
      </c>
      <c r="Y692" s="3">
        <v>10</v>
      </c>
      <c r="Z692" s="3">
        <v>17.5</v>
      </c>
    </row>
    <row r="693" spans="1:26">
      <c r="A693" s="94" t="str">
        <f t="shared" si="11"/>
        <v>20191130PIT</v>
      </c>
      <c r="B693" s="3">
        <v>2019</v>
      </c>
      <c r="C693" s="3">
        <v>14</v>
      </c>
      <c r="D693" s="3">
        <v>20191130</v>
      </c>
      <c r="E693" s="3" t="s">
        <v>144</v>
      </c>
      <c r="F693" s="3" t="s">
        <v>88</v>
      </c>
      <c r="G693" s="3" t="s">
        <v>146</v>
      </c>
      <c r="H693" s="3">
        <v>24</v>
      </c>
      <c r="I693" s="3">
        <v>71</v>
      </c>
      <c r="J693" s="3">
        <v>41</v>
      </c>
      <c r="K693" s="3">
        <v>323</v>
      </c>
      <c r="L693" s="3">
        <v>0</v>
      </c>
      <c r="M693" s="3">
        <v>4</v>
      </c>
      <c r="N693" s="3">
        <v>0</v>
      </c>
      <c r="O693" s="3">
        <v>19</v>
      </c>
      <c r="P693" s="3" t="s">
        <v>46</v>
      </c>
      <c r="Q693" s="3" t="s">
        <v>146</v>
      </c>
      <c r="R693" s="3">
        <v>60</v>
      </c>
      <c r="S693" s="3">
        <v>264</v>
      </c>
      <c r="T693" s="3">
        <v>19</v>
      </c>
      <c r="U693" s="3">
        <v>123</v>
      </c>
      <c r="V693" s="3">
        <v>10</v>
      </c>
      <c r="W693" s="3">
        <v>65</v>
      </c>
      <c r="X693" s="3">
        <v>4</v>
      </c>
      <c r="Y693" s="3">
        <v>26</v>
      </c>
      <c r="Z693" s="3">
        <v>8</v>
      </c>
    </row>
    <row r="694" spans="1:26">
      <c r="A694" s="94" t="str">
        <f t="shared" si="11"/>
        <v>20191130PNST</v>
      </c>
      <c r="B694" s="3">
        <v>2019</v>
      </c>
      <c r="C694" s="3">
        <v>14</v>
      </c>
      <c r="D694" s="3">
        <v>20191130</v>
      </c>
      <c r="E694" s="3" t="s">
        <v>144</v>
      </c>
      <c r="F694" s="3" t="s">
        <v>89</v>
      </c>
      <c r="G694" s="3" t="s">
        <v>152</v>
      </c>
      <c r="H694" s="3">
        <v>46</v>
      </c>
      <c r="I694" s="3">
        <v>252</v>
      </c>
      <c r="J694" s="3">
        <v>15</v>
      </c>
      <c r="K694" s="3">
        <v>81</v>
      </c>
      <c r="L694" s="3">
        <v>24</v>
      </c>
      <c r="M694" s="3">
        <v>78</v>
      </c>
      <c r="N694" s="3">
        <v>0</v>
      </c>
      <c r="O694" s="3">
        <v>27</v>
      </c>
      <c r="P694" s="3" t="s">
        <v>92</v>
      </c>
      <c r="Q694" s="3" t="s">
        <v>152</v>
      </c>
      <c r="R694" s="3">
        <v>44</v>
      </c>
      <c r="S694" s="3">
        <v>184</v>
      </c>
      <c r="T694" s="3">
        <v>27</v>
      </c>
      <c r="U694" s="3">
        <v>199</v>
      </c>
      <c r="V694" s="3">
        <v>1</v>
      </c>
      <c r="W694" s="3">
        <v>0</v>
      </c>
      <c r="X694" s="3">
        <v>1</v>
      </c>
      <c r="Y694" s="3">
        <v>6</v>
      </c>
      <c r="Z694" s="3">
        <v>38.5</v>
      </c>
    </row>
    <row r="695" spans="1:26">
      <c r="A695" s="94" t="str">
        <f t="shared" si="11"/>
        <v>20191130PUR</v>
      </c>
      <c r="B695" s="3">
        <v>2019</v>
      </c>
      <c r="C695" s="3">
        <v>14</v>
      </c>
      <c r="D695" s="3">
        <v>20191130</v>
      </c>
      <c r="E695" s="3" t="s">
        <v>144</v>
      </c>
      <c r="F695" s="3" t="s">
        <v>17</v>
      </c>
      <c r="G695" s="3" t="s">
        <v>152</v>
      </c>
      <c r="H695" s="3">
        <v>33</v>
      </c>
      <c r="I695" s="3">
        <v>181</v>
      </c>
      <c r="J695" s="3">
        <v>50</v>
      </c>
      <c r="K695" s="3">
        <v>408</v>
      </c>
      <c r="L695" s="3">
        <v>0</v>
      </c>
      <c r="M695" s="3">
        <v>51</v>
      </c>
      <c r="N695" s="3">
        <v>0</v>
      </c>
      <c r="O695" s="3">
        <v>41</v>
      </c>
      <c r="P695" s="3" t="s">
        <v>53</v>
      </c>
      <c r="Q695" s="3" t="s">
        <v>152</v>
      </c>
      <c r="R695" s="3">
        <v>50</v>
      </c>
      <c r="S695" s="3">
        <v>185</v>
      </c>
      <c r="T695" s="3">
        <v>39</v>
      </c>
      <c r="U695" s="3">
        <v>337</v>
      </c>
      <c r="V695" s="3">
        <v>10</v>
      </c>
      <c r="W695" s="3">
        <v>47</v>
      </c>
      <c r="X695" s="3">
        <v>2</v>
      </c>
      <c r="Y695" s="3">
        <v>44</v>
      </c>
      <c r="Z695" s="3">
        <v>7</v>
      </c>
    </row>
    <row r="696" spans="1:26">
      <c r="A696" s="94" t="str">
        <f t="shared" si="11"/>
        <v>20191130SCAR</v>
      </c>
      <c r="B696" s="3">
        <v>2019</v>
      </c>
      <c r="C696" s="3">
        <v>14</v>
      </c>
      <c r="D696" s="3">
        <v>20191130</v>
      </c>
      <c r="E696" s="3" t="s">
        <v>144</v>
      </c>
      <c r="F696" s="3" t="s">
        <v>96</v>
      </c>
      <c r="G696" s="3" t="s">
        <v>147</v>
      </c>
      <c r="H696" s="3">
        <v>26</v>
      </c>
      <c r="I696" s="3">
        <v>69</v>
      </c>
      <c r="J696" s="3">
        <v>27</v>
      </c>
      <c r="K696" s="3">
        <v>105</v>
      </c>
      <c r="L696" s="3">
        <v>0</v>
      </c>
      <c r="M696" s="3">
        <v>0</v>
      </c>
      <c r="N696" s="3">
        <v>0</v>
      </c>
      <c r="O696" s="3">
        <v>3</v>
      </c>
      <c r="P696" s="3" t="s">
        <v>51</v>
      </c>
      <c r="Q696" s="3" t="s">
        <v>146</v>
      </c>
      <c r="R696" s="3">
        <v>40</v>
      </c>
      <c r="S696" s="3">
        <v>211</v>
      </c>
      <c r="T696" s="3">
        <v>43</v>
      </c>
      <c r="U696" s="3">
        <v>316</v>
      </c>
      <c r="V696" s="3">
        <v>8</v>
      </c>
      <c r="W696" s="3">
        <v>50</v>
      </c>
      <c r="X696" s="3">
        <v>1</v>
      </c>
      <c r="Y696" s="3">
        <v>38</v>
      </c>
      <c r="Z696" s="3">
        <v>27.5</v>
      </c>
    </row>
    <row r="697" spans="1:26">
      <c r="A697" s="94" t="str">
        <f t="shared" si="11"/>
        <v>20191130SDST</v>
      </c>
      <c r="B697" s="3">
        <v>2019</v>
      </c>
      <c r="C697" s="3">
        <v>14</v>
      </c>
      <c r="D697" s="3">
        <v>20191130</v>
      </c>
      <c r="E697" s="3" t="s">
        <v>144</v>
      </c>
      <c r="F697" s="3" t="s">
        <v>34</v>
      </c>
      <c r="G697" s="3" t="s">
        <v>148</v>
      </c>
      <c r="H697" s="3">
        <v>34</v>
      </c>
      <c r="I697" s="3">
        <v>98</v>
      </c>
      <c r="J697" s="3">
        <v>24</v>
      </c>
      <c r="K697" s="3">
        <v>172</v>
      </c>
      <c r="L697" s="3">
        <v>0</v>
      </c>
      <c r="M697" s="3">
        <v>18</v>
      </c>
      <c r="N697" s="3">
        <v>3</v>
      </c>
      <c r="O697" s="3">
        <v>13</v>
      </c>
      <c r="P697" s="3" t="s">
        <v>43</v>
      </c>
      <c r="Q697" s="3" t="s">
        <v>53</v>
      </c>
      <c r="R697" s="3">
        <v>26</v>
      </c>
      <c r="S697" s="3">
        <v>79</v>
      </c>
      <c r="T697" s="3">
        <v>54</v>
      </c>
      <c r="U697" s="3">
        <v>338</v>
      </c>
      <c r="V697" s="3">
        <v>18</v>
      </c>
      <c r="W697" s="3">
        <v>0</v>
      </c>
      <c r="X697" s="3">
        <v>0</v>
      </c>
      <c r="Y697" s="3">
        <v>3</v>
      </c>
      <c r="Z697" s="3">
        <v>3</v>
      </c>
    </row>
    <row r="698" spans="1:26">
      <c r="A698" s="94" t="str">
        <f t="shared" si="11"/>
        <v>20191130SJST</v>
      </c>
      <c r="B698" s="3">
        <v>2019</v>
      </c>
      <c r="C698" s="3">
        <v>14</v>
      </c>
      <c r="D698" s="3">
        <v>20191130</v>
      </c>
      <c r="E698" s="3" t="s">
        <v>144</v>
      </c>
      <c r="F698" s="3" t="s">
        <v>19</v>
      </c>
      <c r="G698" s="3" t="s">
        <v>148</v>
      </c>
      <c r="H698" s="3">
        <v>34</v>
      </c>
      <c r="I698" s="3">
        <v>112</v>
      </c>
      <c r="J698" s="3">
        <v>34</v>
      </c>
      <c r="K698" s="3">
        <v>290</v>
      </c>
      <c r="L698" s="3">
        <v>0</v>
      </c>
      <c r="M698" s="3">
        <v>0</v>
      </c>
      <c r="N698" s="3">
        <v>1</v>
      </c>
      <c r="O698" s="3">
        <v>17</v>
      </c>
      <c r="P698" s="3" t="s">
        <v>55</v>
      </c>
      <c r="Q698" s="3" t="s">
        <v>148</v>
      </c>
      <c r="R698" s="3">
        <v>41</v>
      </c>
      <c r="S698" s="3">
        <v>188</v>
      </c>
      <c r="T698" s="3">
        <v>27</v>
      </c>
      <c r="U698" s="3">
        <v>164</v>
      </c>
      <c r="V698" s="3">
        <v>35</v>
      </c>
      <c r="W698" s="3">
        <v>0</v>
      </c>
      <c r="X698" s="3">
        <v>0</v>
      </c>
      <c r="Y698" s="3">
        <v>16</v>
      </c>
      <c r="Z698" s="3">
        <v>1</v>
      </c>
    </row>
    <row r="699" spans="1:26">
      <c r="A699" s="94" t="str">
        <f t="shared" si="11"/>
        <v>20191130SMU</v>
      </c>
      <c r="B699" s="3">
        <v>2019</v>
      </c>
      <c r="C699" s="3">
        <v>14</v>
      </c>
      <c r="D699" s="3">
        <v>20191130</v>
      </c>
      <c r="E699" s="3" t="s">
        <v>144</v>
      </c>
      <c r="F699" s="3" t="s">
        <v>80</v>
      </c>
      <c r="G699" s="3" t="s">
        <v>150</v>
      </c>
      <c r="H699" s="3">
        <v>38</v>
      </c>
      <c r="I699" s="3">
        <v>197</v>
      </c>
      <c r="J699" s="3">
        <v>27</v>
      </c>
      <c r="K699" s="3">
        <v>180</v>
      </c>
      <c r="L699" s="3">
        <v>17</v>
      </c>
      <c r="M699" s="3">
        <v>34</v>
      </c>
      <c r="N699" s="3">
        <v>2</v>
      </c>
      <c r="O699" s="3">
        <v>37</v>
      </c>
      <c r="P699" s="3" t="s">
        <v>20</v>
      </c>
      <c r="Q699" s="3" t="s">
        <v>150</v>
      </c>
      <c r="R699" s="3">
        <v>53</v>
      </c>
      <c r="S699" s="3">
        <v>223</v>
      </c>
      <c r="T699" s="3">
        <v>37</v>
      </c>
      <c r="U699" s="3">
        <v>242</v>
      </c>
      <c r="V699" s="3">
        <v>5</v>
      </c>
      <c r="W699" s="3">
        <v>151</v>
      </c>
      <c r="X699" s="3">
        <v>1</v>
      </c>
      <c r="Y699" s="3">
        <v>20</v>
      </c>
      <c r="Z699" s="3">
        <v>4.5</v>
      </c>
    </row>
    <row r="700" spans="1:26">
      <c r="A700" s="94" t="str">
        <f t="shared" si="11"/>
        <v>20191130STAN</v>
      </c>
      <c r="B700" s="3">
        <v>2019</v>
      </c>
      <c r="C700" s="3">
        <v>14</v>
      </c>
      <c r="D700" s="3">
        <v>20191130</v>
      </c>
      <c r="E700" s="3" t="s">
        <v>144</v>
      </c>
      <c r="F700" s="3" t="s">
        <v>33</v>
      </c>
      <c r="G700" s="3" t="s">
        <v>151</v>
      </c>
      <c r="H700" s="3">
        <v>28</v>
      </c>
      <c r="I700" s="3">
        <v>118</v>
      </c>
      <c r="J700" s="3">
        <v>46</v>
      </c>
      <c r="K700" s="3">
        <v>276</v>
      </c>
      <c r="L700" s="3">
        <v>1</v>
      </c>
      <c r="M700" s="3">
        <v>108</v>
      </c>
      <c r="N700" s="3">
        <v>0</v>
      </c>
      <c r="O700" s="3">
        <v>24</v>
      </c>
      <c r="P700" s="3" t="s">
        <v>77</v>
      </c>
      <c r="Q700" s="3" t="s">
        <v>53</v>
      </c>
      <c r="R700" s="3">
        <v>37</v>
      </c>
      <c r="S700" s="3">
        <v>190</v>
      </c>
      <c r="T700" s="3">
        <v>30</v>
      </c>
      <c r="U700" s="3">
        <v>255</v>
      </c>
      <c r="V700" s="3">
        <v>23</v>
      </c>
      <c r="W700" s="3">
        <v>78</v>
      </c>
      <c r="X700" s="3">
        <v>2</v>
      </c>
      <c r="Y700" s="3">
        <v>45</v>
      </c>
      <c r="Z700" s="3">
        <v>17</v>
      </c>
    </row>
    <row r="701" spans="1:26">
      <c r="A701" s="94" t="str">
        <f t="shared" si="11"/>
        <v>20191130SYR</v>
      </c>
      <c r="B701" s="3">
        <v>2019</v>
      </c>
      <c r="C701" s="3">
        <v>14</v>
      </c>
      <c r="D701" s="3">
        <v>20191130</v>
      </c>
      <c r="E701" s="3" t="s">
        <v>144</v>
      </c>
      <c r="F701" s="3" t="s">
        <v>38</v>
      </c>
      <c r="G701" s="3" t="s">
        <v>146</v>
      </c>
      <c r="H701" s="3">
        <v>44</v>
      </c>
      <c r="I701" s="3">
        <v>180</v>
      </c>
      <c r="J701" s="3">
        <v>39</v>
      </c>
      <c r="K701" s="3">
        <v>261</v>
      </c>
      <c r="L701" s="3">
        <v>0</v>
      </c>
      <c r="M701" s="3">
        <v>89</v>
      </c>
      <c r="N701" s="3">
        <v>5</v>
      </c>
      <c r="O701" s="3">
        <v>39</v>
      </c>
      <c r="P701" s="3" t="s">
        <v>21</v>
      </c>
      <c r="Q701" s="3" t="s">
        <v>146</v>
      </c>
      <c r="R701" s="3">
        <v>44</v>
      </c>
      <c r="S701" s="3">
        <v>151</v>
      </c>
      <c r="T701" s="3">
        <v>56</v>
      </c>
      <c r="U701" s="3">
        <v>421</v>
      </c>
      <c r="V701" s="3">
        <v>0</v>
      </c>
      <c r="W701" s="3">
        <v>0</v>
      </c>
      <c r="X701" s="3">
        <v>3</v>
      </c>
      <c r="Y701" s="3">
        <v>30</v>
      </c>
      <c r="Z701" s="3">
        <v>3.5</v>
      </c>
    </row>
    <row r="702" spans="1:26">
      <c r="A702" s="94" t="str">
        <f t="shared" si="11"/>
        <v>20191130TEM</v>
      </c>
      <c r="B702" s="3">
        <v>2019</v>
      </c>
      <c r="C702" s="3">
        <v>14</v>
      </c>
      <c r="D702" s="3">
        <v>20191130</v>
      </c>
      <c r="E702" s="3" t="s">
        <v>144</v>
      </c>
      <c r="F702" s="3" t="s">
        <v>101</v>
      </c>
      <c r="G702" s="3" t="s">
        <v>150</v>
      </c>
      <c r="H702" s="3">
        <v>33</v>
      </c>
      <c r="I702" s="3">
        <v>262</v>
      </c>
      <c r="J702" s="3">
        <v>29</v>
      </c>
      <c r="K702" s="3">
        <v>312</v>
      </c>
      <c r="L702" s="3">
        <v>0</v>
      </c>
      <c r="M702" s="3">
        <v>55</v>
      </c>
      <c r="N702" s="3">
        <v>1</v>
      </c>
      <c r="O702" s="3">
        <v>49</v>
      </c>
      <c r="P702" s="3" t="s">
        <v>13</v>
      </c>
      <c r="Q702" s="3" t="s">
        <v>150</v>
      </c>
      <c r="R702" s="3">
        <v>31</v>
      </c>
      <c r="S702" s="3">
        <v>76</v>
      </c>
      <c r="T702" s="3">
        <v>36</v>
      </c>
      <c r="U702" s="3">
        <v>250</v>
      </c>
      <c r="V702" s="3">
        <v>0</v>
      </c>
      <c r="W702" s="3">
        <v>0</v>
      </c>
      <c r="X702" s="3">
        <v>0</v>
      </c>
      <c r="Y702" s="3">
        <v>17</v>
      </c>
      <c r="Z702" s="3">
        <v>29.5</v>
      </c>
    </row>
    <row r="703" spans="1:26">
      <c r="A703" s="94" t="str">
        <f t="shared" si="11"/>
        <v>20191130TEN</v>
      </c>
      <c r="B703" s="3">
        <v>2019</v>
      </c>
      <c r="C703" s="3">
        <v>14</v>
      </c>
      <c r="D703" s="3">
        <v>20191130</v>
      </c>
      <c r="E703" s="3" t="s">
        <v>144</v>
      </c>
      <c r="F703" s="3" t="s">
        <v>129</v>
      </c>
      <c r="G703" s="3" t="s">
        <v>147</v>
      </c>
      <c r="H703" s="3">
        <v>41</v>
      </c>
      <c r="I703" s="3">
        <v>297</v>
      </c>
      <c r="J703" s="3">
        <v>17</v>
      </c>
      <c r="K703" s="3">
        <v>120</v>
      </c>
      <c r="L703" s="3">
        <v>5</v>
      </c>
      <c r="M703" s="3">
        <v>0</v>
      </c>
      <c r="N703" s="3">
        <v>0</v>
      </c>
      <c r="O703" s="3">
        <v>28</v>
      </c>
      <c r="P703" s="3" t="s">
        <v>111</v>
      </c>
      <c r="Q703" s="3" t="s">
        <v>147</v>
      </c>
      <c r="R703" s="3">
        <v>30</v>
      </c>
      <c r="S703" s="3">
        <v>110</v>
      </c>
      <c r="T703" s="3">
        <v>36</v>
      </c>
      <c r="U703" s="3">
        <v>169</v>
      </c>
      <c r="V703" s="3">
        <v>15</v>
      </c>
      <c r="W703" s="3">
        <v>35</v>
      </c>
      <c r="X703" s="3">
        <v>1</v>
      </c>
      <c r="Y703" s="3">
        <v>10</v>
      </c>
      <c r="Z703" s="3">
        <v>21</v>
      </c>
    </row>
    <row r="704" spans="1:26">
      <c r="A704" s="94" t="str">
        <f t="shared" si="11"/>
        <v>20191130UCLA</v>
      </c>
      <c r="B704" s="3">
        <v>2019</v>
      </c>
      <c r="C704" s="3">
        <v>14</v>
      </c>
      <c r="D704" s="3">
        <v>20191130</v>
      </c>
      <c r="E704" s="3" t="s">
        <v>144</v>
      </c>
      <c r="F704" s="3" t="s">
        <v>106</v>
      </c>
      <c r="G704" s="3" t="s">
        <v>151</v>
      </c>
      <c r="H704" s="3">
        <v>35</v>
      </c>
      <c r="I704" s="3">
        <v>58</v>
      </c>
      <c r="J704" s="3">
        <v>48</v>
      </c>
      <c r="K704" s="3">
        <v>343</v>
      </c>
      <c r="L704" s="3">
        <v>0</v>
      </c>
      <c r="M704" s="3">
        <v>66</v>
      </c>
      <c r="N704" s="3">
        <v>1</v>
      </c>
      <c r="O704" s="3">
        <v>18</v>
      </c>
      <c r="P704" s="3" t="s">
        <v>48</v>
      </c>
      <c r="Q704" s="3" t="s">
        <v>151</v>
      </c>
      <c r="R704" s="3">
        <v>36</v>
      </c>
      <c r="S704" s="3">
        <v>182</v>
      </c>
      <c r="T704" s="3">
        <v>29</v>
      </c>
      <c r="U704" s="3">
        <v>230</v>
      </c>
      <c r="V704" s="3">
        <v>3</v>
      </c>
      <c r="W704" s="3">
        <v>0</v>
      </c>
      <c r="X704" s="3">
        <v>1</v>
      </c>
      <c r="Y704" s="3">
        <v>28</v>
      </c>
      <c r="Z704" s="3">
        <v>1</v>
      </c>
    </row>
    <row r="705" spans="1:26">
      <c r="A705" s="94" t="str">
        <f t="shared" si="11"/>
        <v>20191130UTAH</v>
      </c>
      <c r="B705" s="3">
        <v>2019</v>
      </c>
      <c r="C705" s="3">
        <v>14</v>
      </c>
      <c r="D705" s="3">
        <v>20191130</v>
      </c>
      <c r="E705" s="3" t="s">
        <v>144</v>
      </c>
      <c r="F705" s="3" t="s">
        <v>24</v>
      </c>
      <c r="G705" s="3" t="s">
        <v>151</v>
      </c>
      <c r="H705" s="3">
        <v>41</v>
      </c>
      <c r="I705" s="3">
        <v>207</v>
      </c>
      <c r="J705" s="3">
        <v>17</v>
      </c>
      <c r="K705" s="3">
        <v>165</v>
      </c>
      <c r="L705" s="3">
        <v>97</v>
      </c>
      <c r="M705" s="3">
        <v>22</v>
      </c>
      <c r="N705" s="3">
        <v>1</v>
      </c>
      <c r="O705" s="3">
        <v>45</v>
      </c>
      <c r="P705" s="3" t="s">
        <v>128</v>
      </c>
      <c r="Q705" s="3" t="s">
        <v>151</v>
      </c>
      <c r="R705" s="3">
        <v>31</v>
      </c>
      <c r="S705" s="3">
        <v>60</v>
      </c>
      <c r="T705" s="3">
        <v>26</v>
      </c>
      <c r="U705" s="3">
        <v>157</v>
      </c>
      <c r="V705" s="3">
        <v>0</v>
      </c>
      <c r="W705" s="3">
        <v>64</v>
      </c>
      <c r="X705" s="3">
        <v>0</v>
      </c>
      <c r="Y705" s="3">
        <v>15</v>
      </c>
      <c r="Z705" s="3">
        <v>28.5</v>
      </c>
    </row>
    <row r="706" spans="1:26">
      <c r="A706" s="94" t="str">
        <f t="shared" si="11"/>
        <v>20191130UTEP</v>
      </c>
      <c r="B706" s="3">
        <v>2019</v>
      </c>
      <c r="C706" s="3">
        <v>14</v>
      </c>
      <c r="D706" s="3">
        <v>20191130</v>
      </c>
      <c r="E706" s="3" t="s">
        <v>144</v>
      </c>
      <c r="F706" s="3" t="s">
        <v>110</v>
      </c>
      <c r="G706" s="3" t="s">
        <v>153</v>
      </c>
      <c r="H706" s="3">
        <v>32</v>
      </c>
      <c r="I706" s="3">
        <v>99</v>
      </c>
      <c r="J706" s="3">
        <v>36</v>
      </c>
      <c r="K706" s="3">
        <v>213</v>
      </c>
      <c r="L706" s="3">
        <v>5</v>
      </c>
      <c r="M706" s="3">
        <v>10</v>
      </c>
      <c r="N706" s="3">
        <v>2</v>
      </c>
      <c r="O706" s="3">
        <v>16</v>
      </c>
      <c r="P706" s="3" t="s">
        <v>11</v>
      </c>
      <c r="Q706" s="3" t="s">
        <v>153</v>
      </c>
      <c r="R706" s="3">
        <v>35</v>
      </c>
      <c r="S706" s="3">
        <v>256</v>
      </c>
      <c r="T706" s="3">
        <v>17</v>
      </c>
      <c r="U706" s="3">
        <v>115</v>
      </c>
      <c r="V706" s="3">
        <v>11</v>
      </c>
      <c r="W706" s="3">
        <v>34</v>
      </c>
      <c r="X706" s="3">
        <v>0</v>
      </c>
      <c r="Y706" s="3">
        <v>30</v>
      </c>
      <c r="Z706" s="3">
        <v>7</v>
      </c>
    </row>
    <row r="707" spans="1:26">
      <c r="A707" s="94" t="str">
        <f t="shared" si="11"/>
        <v>20191130WKY</v>
      </c>
      <c r="B707" s="3">
        <v>2019</v>
      </c>
      <c r="C707" s="3">
        <v>14</v>
      </c>
      <c r="D707" s="3">
        <v>20191130</v>
      </c>
      <c r="E707" s="3" t="s">
        <v>144</v>
      </c>
      <c r="F707" s="3" t="s">
        <v>36</v>
      </c>
      <c r="G707" s="3" t="s">
        <v>153</v>
      </c>
      <c r="H707" s="3">
        <v>27</v>
      </c>
      <c r="I707" s="3">
        <v>180</v>
      </c>
      <c r="J707" s="3">
        <v>30</v>
      </c>
      <c r="K707" s="3">
        <v>294</v>
      </c>
      <c r="L707" s="3">
        <v>3</v>
      </c>
      <c r="M707" s="3">
        <v>39</v>
      </c>
      <c r="N707" s="3">
        <v>2</v>
      </c>
      <c r="O707" s="3">
        <v>31</v>
      </c>
      <c r="P707" s="3" t="s">
        <v>112</v>
      </c>
      <c r="Q707" s="3" t="s">
        <v>153</v>
      </c>
      <c r="R707" s="3">
        <v>48</v>
      </c>
      <c r="S707" s="3">
        <v>165</v>
      </c>
      <c r="T707" s="3">
        <v>33</v>
      </c>
      <c r="U707" s="3">
        <v>301</v>
      </c>
      <c r="V707" s="3">
        <v>0</v>
      </c>
      <c r="W707" s="3">
        <v>3</v>
      </c>
      <c r="X707" s="3">
        <v>1</v>
      </c>
      <c r="Y707" s="3">
        <v>26</v>
      </c>
      <c r="Z707" s="3">
        <v>8.5</v>
      </c>
    </row>
    <row r="708" spans="1:26">
      <c r="A708" s="94" t="str">
        <f t="shared" si="11"/>
        <v>20191130UTSA</v>
      </c>
      <c r="B708" s="3">
        <v>2019</v>
      </c>
      <c r="C708" s="3">
        <v>14</v>
      </c>
      <c r="D708" s="3">
        <v>20191130</v>
      </c>
      <c r="E708" s="3" t="s">
        <v>211</v>
      </c>
      <c r="F708" s="3" t="s">
        <v>206</v>
      </c>
      <c r="G708" s="3" t="s">
        <v>153</v>
      </c>
      <c r="H708" s="3">
        <v>31</v>
      </c>
      <c r="I708" s="3">
        <v>128</v>
      </c>
      <c r="J708" s="3">
        <v>44</v>
      </c>
      <c r="K708" s="3">
        <v>280</v>
      </c>
      <c r="L708" s="3">
        <v>1</v>
      </c>
      <c r="M708" s="3">
        <v>66</v>
      </c>
      <c r="N708" s="3">
        <v>2</v>
      </c>
      <c r="O708" s="3">
        <v>27</v>
      </c>
      <c r="P708" s="3" t="s">
        <v>95</v>
      </c>
      <c r="Q708" s="3" t="s">
        <v>153</v>
      </c>
      <c r="R708" s="3">
        <v>38</v>
      </c>
      <c r="S708" s="3">
        <v>168</v>
      </c>
      <c r="T708" s="3">
        <v>35</v>
      </c>
      <c r="U708" s="3">
        <v>331</v>
      </c>
      <c r="V708" s="3">
        <v>6</v>
      </c>
      <c r="W708" s="3">
        <v>109</v>
      </c>
      <c r="X708" s="3">
        <v>2</v>
      </c>
      <c r="Y708" s="3">
        <v>41</v>
      </c>
      <c r="Z708" s="3">
        <v>19</v>
      </c>
    </row>
    <row r="709" spans="1:26">
      <c r="A709" s="94" t="str">
        <f t="shared" si="11"/>
        <v>20191130LIB</v>
      </c>
      <c r="B709" s="3">
        <v>2019</v>
      </c>
      <c r="C709" s="3">
        <v>14</v>
      </c>
      <c r="D709" s="3">
        <v>20191130</v>
      </c>
      <c r="E709" s="3" t="s">
        <v>144</v>
      </c>
      <c r="F709" s="3" t="s">
        <v>205</v>
      </c>
      <c r="G709" s="3" t="s">
        <v>53</v>
      </c>
      <c r="H709" s="3">
        <v>49</v>
      </c>
      <c r="I709" s="3">
        <v>317</v>
      </c>
      <c r="J709" s="3">
        <v>29</v>
      </c>
      <c r="K709" s="3">
        <v>169</v>
      </c>
      <c r="L709" s="3">
        <v>9</v>
      </c>
      <c r="M709" s="3">
        <v>104</v>
      </c>
      <c r="N709" s="3">
        <v>2</v>
      </c>
      <c r="O709" s="3">
        <v>49</v>
      </c>
      <c r="P709" s="3" t="s">
        <v>9</v>
      </c>
      <c r="Q709" s="3" t="s">
        <v>53</v>
      </c>
      <c r="R709" s="3">
        <v>37</v>
      </c>
      <c r="S709" s="3">
        <v>155</v>
      </c>
      <c r="T709" s="3">
        <v>35</v>
      </c>
      <c r="U709" s="3">
        <v>173</v>
      </c>
      <c r="V709" s="3">
        <v>41</v>
      </c>
      <c r="W709" s="3">
        <v>65</v>
      </c>
      <c r="X709" s="3">
        <v>0</v>
      </c>
      <c r="Y709" s="3">
        <v>28</v>
      </c>
      <c r="Z709" s="3">
        <v>15</v>
      </c>
    </row>
    <row r="710" spans="1:26">
      <c r="A710" s="94" t="str">
        <f t="shared" ref="A710:A760" si="12">D710&amp;F710</f>
        <v>20191207APP</v>
      </c>
      <c r="B710" s="94">
        <v>2019</v>
      </c>
      <c r="C710" s="94">
        <v>15</v>
      </c>
      <c r="D710" s="94">
        <v>20191207</v>
      </c>
      <c r="E710" s="94" t="s">
        <v>144</v>
      </c>
      <c r="F710" s="94" t="s">
        <v>90</v>
      </c>
      <c r="G710" s="94" t="s">
        <v>145</v>
      </c>
      <c r="H710" s="94">
        <v>51</v>
      </c>
      <c r="I710" s="94">
        <v>267</v>
      </c>
      <c r="J710" s="94">
        <v>17</v>
      </c>
      <c r="K710" s="94">
        <v>149</v>
      </c>
      <c r="L710" s="94">
        <v>0</v>
      </c>
      <c r="M710" s="94">
        <v>26</v>
      </c>
      <c r="N710" s="94">
        <v>3</v>
      </c>
      <c r="O710" s="94">
        <v>45</v>
      </c>
      <c r="P710" s="94" t="s">
        <v>69</v>
      </c>
      <c r="Q710" s="94" t="s">
        <v>145</v>
      </c>
      <c r="R710" s="94">
        <v>38</v>
      </c>
      <c r="S710" s="94">
        <v>159</v>
      </c>
      <c r="T710" s="94">
        <v>46</v>
      </c>
      <c r="U710" s="94">
        <v>354</v>
      </c>
      <c r="V710" s="94">
        <v>0</v>
      </c>
      <c r="W710" s="94">
        <v>148</v>
      </c>
      <c r="X710" s="94">
        <v>1</v>
      </c>
      <c r="Y710" s="94">
        <v>38</v>
      </c>
      <c r="Z710" s="94">
        <v>6.5</v>
      </c>
    </row>
    <row r="711" spans="1:26">
      <c r="A711" s="94" t="str">
        <f t="shared" si="12"/>
        <v>20191207BOIS</v>
      </c>
      <c r="B711" s="94">
        <v>2019</v>
      </c>
      <c r="C711" s="94">
        <v>15</v>
      </c>
      <c r="D711" s="94">
        <v>20191207</v>
      </c>
      <c r="E711" s="94" t="s">
        <v>144</v>
      </c>
      <c r="F711" s="94" t="s">
        <v>105</v>
      </c>
      <c r="G711" s="94" t="s">
        <v>148</v>
      </c>
      <c r="H711" s="94">
        <v>37</v>
      </c>
      <c r="I711" s="94">
        <v>144</v>
      </c>
      <c r="J711" s="94">
        <v>31</v>
      </c>
      <c r="K711" s="94">
        <v>220</v>
      </c>
      <c r="L711" s="94">
        <v>9</v>
      </c>
      <c r="M711" s="94">
        <v>0</v>
      </c>
      <c r="N711" s="94">
        <v>2</v>
      </c>
      <c r="O711" s="94">
        <v>31</v>
      </c>
      <c r="P711" s="94" t="s">
        <v>8</v>
      </c>
      <c r="Q711" s="94" t="s">
        <v>148</v>
      </c>
      <c r="R711" s="94">
        <v>26</v>
      </c>
      <c r="S711" s="94">
        <v>79</v>
      </c>
      <c r="T711" s="94">
        <v>36</v>
      </c>
      <c r="U711" s="94">
        <v>241</v>
      </c>
      <c r="V711" s="94">
        <v>10</v>
      </c>
      <c r="W711" s="94">
        <v>45</v>
      </c>
      <c r="X711" s="94">
        <v>1</v>
      </c>
      <c r="Y711" s="94">
        <v>10</v>
      </c>
      <c r="Z711" s="94">
        <v>14</v>
      </c>
    </row>
    <row r="712" spans="1:26">
      <c r="A712" s="94" t="str">
        <f t="shared" si="12"/>
        <v>20191207FATL</v>
      </c>
      <c r="B712" s="94">
        <v>2019</v>
      </c>
      <c r="C712" s="94">
        <v>15</v>
      </c>
      <c r="D712" s="94">
        <v>20191207</v>
      </c>
      <c r="E712" s="94" t="s">
        <v>144</v>
      </c>
      <c r="F712" s="94" t="s">
        <v>85</v>
      </c>
      <c r="G712" s="94" t="s">
        <v>153</v>
      </c>
      <c r="H712" s="94">
        <v>42</v>
      </c>
      <c r="I712" s="94">
        <v>286</v>
      </c>
      <c r="J712" s="94">
        <v>39</v>
      </c>
      <c r="K712" s="94">
        <v>299</v>
      </c>
      <c r="L712" s="94">
        <v>35</v>
      </c>
      <c r="M712" s="94">
        <v>0</v>
      </c>
      <c r="N712" s="94">
        <v>2</v>
      </c>
      <c r="O712" s="94">
        <v>49</v>
      </c>
      <c r="P712" s="94" t="s">
        <v>23</v>
      </c>
      <c r="Q712" s="94" t="s">
        <v>153</v>
      </c>
      <c r="R712" s="94">
        <v>40</v>
      </c>
      <c r="S712" s="94">
        <v>139</v>
      </c>
      <c r="T712" s="94">
        <v>19</v>
      </c>
      <c r="U712" s="94">
        <v>84</v>
      </c>
      <c r="V712" s="94">
        <v>0</v>
      </c>
      <c r="W712" s="94">
        <v>18</v>
      </c>
      <c r="X712" s="94">
        <v>1</v>
      </c>
      <c r="Y712" s="94">
        <v>6</v>
      </c>
      <c r="Z712" s="94">
        <v>8.5</v>
      </c>
    </row>
    <row r="713" spans="1:26">
      <c r="A713" s="94" t="str">
        <f t="shared" si="12"/>
        <v>20191207MEM</v>
      </c>
      <c r="B713" s="94">
        <v>2019</v>
      </c>
      <c r="C713" s="94">
        <v>15</v>
      </c>
      <c r="D713" s="94">
        <v>20191207</v>
      </c>
      <c r="E713" s="94" t="s">
        <v>144</v>
      </c>
      <c r="F713" s="94" t="s">
        <v>70</v>
      </c>
      <c r="G713" s="94" t="s">
        <v>150</v>
      </c>
      <c r="H713" s="94">
        <v>44</v>
      </c>
      <c r="I713" s="94">
        <v>196</v>
      </c>
      <c r="J713" s="94">
        <v>40</v>
      </c>
      <c r="K713" s="94">
        <v>253</v>
      </c>
      <c r="L713" s="94">
        <v>0</v>
      </c>
      <c r="M713" s="94">
        <v>72</v>
      </c>
      <c r="N713" s="94">
        <v>2</v>
      </c>
      <c r="O713" s="94">
        <v>29</v>
      </c>
      <c r="P713" s="94" t="s">
        <v>107</v>
      </c>
      <c r="Q713" s="94" t="s">
        <v>150</v>
      </c>
      <c r="R713" s="94">
        <v>39</v>
      </c>
      <c r="S713" s="94">
        <v>221</v>
      </c>
      <c r="T713" s="94">
        <v>36</v>
      </c>
      <c r="U713" s="94">
        <v>233</v>
      </c>
      <c r="V713" s="94">
        <v>15</v>
      </c>
      <c r="W713" s="94">
        <v>41</v>
      </c>
      <c r="X713" s="94">
        <v>1</v>
      </c>
      <c r="Y713" s="94">
        <v>24</v>
      </c>
      <c r="Z713" s="94">
        <v>9.5</v>
      </c>
    </row>
    <row r="714" spans="1:26">
      <c r="A714" s="94" t="str">
        <f t="shared" si="12"/>
        <v>20191206UTAH</v>
      </c>
      <c r="B714" s="94">
        <v>2019</v>
      </c>
      <c r="C714" s="94">
        <v>15</v>
      </c>
      <c r="D714" s="94">
        <v>20191206</v>
      </c>
      <c r="E714" s="94" t="s">
        <v>210</v>
      </c>
      <c r="F714" s="94" t="s">
        <v>24</v>
      </c>
      <c r="G714" s="94" t="s">
        <v>151</v>
      </c>
      <c r="H714" s="94">
        <v>41</v>
      </c>
      <c r="I714" s="94">
        <v>239</v>
      </c>
      <c r="J714" s="94">
        <v>26</v>
      </c>
      <c r="K714" s="94">
        <v>193</v>
      </c>
      <c r="L714" s="94">
        <v>5</v>
      </c>
      <c r="M714" s="94">
        <v>52</v>
      </c>
      <c r="N714" s="94">
        <v>2</v>
      </c>
      <c r="O714" s="94">
        <v>15</v>
      </c>
      <c r="P714" s="94" t="s">
        <v>86</v>
      </c>
      <c r="Q714" s="94" t="s">
        <v>151</v>
      </c>
      <c r="R714" s="94">
        <v>35</v>
      </c>
      <c r="S714" s="94">
        <v>116</v>
      </c>
      <c r="T714" s="94">
        <v>29</v>
      </c>
      <c r="U714" s="94">
        <v>193</v>
      </c>
      <c r="V714" s="94">
        <v>16</v>
      </c>
      <c r="W714" s="94">
        <v>37</v>
      </c>
      <c r="X714" s="94">
        <v>0</v>
      </c>
      <c r="Y714" s="94">
        <v>37</v>
      </c>
      <c r="Z714" s="94">
        <v>6</v>
      </c>
    </row>
    <row r="715" spans="1:26">
      <c r="A715" s="94" t="str">
        <f t="shared" si="12"/>
        <v>20191207CLEM</v>
      </c>
      <c r="B715" s="94">
        <v>2019</v>
      </c>
      <c r="C715" s="94">
        <v>15</v>
      </c>
      <c r="D715" s="94">
        <v>20191207</v>
      </c>
      <c r="E715" s="94" t="s">
        <v>210</v>
      </c>
      <c r="F715" s="94" t="s">
        <v>51</v>
      </c>
      <c r="G715" s="94" t="s">
        <v>146</v>
      </c>
      <c r="H715" s="94">
        <v>38</v>
      </c>
      <c r="I715" s="94">
        <v>211</v>
      </c>
      <c r="J715" s="94">
        <v>29</v>
      </c>
      <c r="K715" s="94">
        <v>408</v>
      </c>
      <c r="L715" s="94">
        <v>4</v>
      </c>
      <c r="M715" s="94">
        <v>32</v>
      </c>
      <c r="N715" s="94">
        <v>3</v>
      </c>
      <c r="O715" s="94">
        <v>62</v>
      </c>
      <c r="P715" s="94" t="s">
        <v>113</v>
      </c>
      <c r="Q715" s="94" t="s">
        <v>146</v>
      </c>
      <c r="R715" s="94">
        <v>27</v>
      </c>
      <c r="S715" s="94">
        <v>104</v>
      </c>
      <c r="T715" s="94">
        <v>48</v>
      </c>
      <c r="U715" s="94">
        <v>283</v>
      </c>
      <c r="V715" s="94">
        <v>0</v>
      </c>
      <c r="W715" s="94">
        <v>76</v>
      </c>
      <c r="X715" s="94">
        <v>0</v>
      </c>
      <c r="Y715" s="94">
        <v>17</v>
      </c>
      <c r="Z715" s="94">
        <v>29.5</v>
      </c>
    </row>
    <row r="716" spans="1:26">
      <c r="A716" s="94" t="str">
        <f t="shared" si="12"/>
        <v>20191207CMCH</v>
      </c>
      <c r="B716" s="94">
        <v>2019</v>
      </c>
      <c r="C716" s="94">
        <v>15</v>
      </c>
      <c r="D716" s="94">
        <v>20191207</v>
      </c>
      <c r="E716" s="94" t="s">
        <v>210</v>
      </c>
      <c r="F716" s="94" t="s">
        <v>67</v>
      </c>
      <c r="G716" s="94" t="s">
        <v>149</v>
      </c>
      <c r="H716" s="94">
        <v>31</v>
      </c>
      <c r="I716" s="94">
        <v>99</v>
      </c>
      <c r="J716" s="94">
        <v>43</v>
      </c>
      <c r="K716" s="94">
        <v>256</v>
      </c>
      <c r="L716" s="94">
        <v>33</v>
      </c>
      <c r="M716" s="94">
        <v>51</v>
      </c>
      <c r="N716" s="94">
        <v>0</v>
      </c>
      <c r="O716" s="94">
        <v>21</v>
      </c>
      <c r="P716" s="94" t="s">
        <v>71</v>
      </c>
      <c r="Q716" s="94" t="s">
        <v>149</v>
      </c>
      <c r="R716" s="94">
        <v>35</v>
      </c>
      <c r="S716" s="94">
        <v>76</v>
      </c>
      <c r="T716" s="94">
        <v>27</v>
      </c>
      <c r="U716" s="94">
        <v>196</v>
      </c>
      <c r="V716" s="94">
        <v>41</v>
      </c>
      <c r="W716" s="94">
        <v>127</v>
      </c>
      <c r="X716" s="94">
        <v>1</v>
      </c>
      <c r="Y716" s="94">
        <v>26</v>
      </c>
      <c r="Z716" s="94">
        <v>5.5</v>
      </c>
    </row>
    <row r="717" spans="1:26">
      <c r="A717" s="94" t="str">
        <f t="shared" si="12"/>
        <v>20191207LSU</v>
      </c>
      <c r="B717" s="94">
        <v>2019</v>
      </c>
      <c r="C717" s="94">
        <v>15</v>
      </c>
      <c r="D717" s="94">
        <v>20191207</v>
      </c>
      <c r="E717" s="94" t="s">
        <v>210</v>
      </c>
      <c r="F717" s="94" t="s">
        <v>124</v>
      </c>
      <c r="G717" s="94" t="s">
        <v>147</v>
      </c>
      <c r="H717" s="94">
        <v>36</v>
      </c>
      <c r="I717" s="94">
        <v>132</v>
      </c>
      <c r="J717" s="94">
        <v>38</v>
      </c>
      <c r="K717" s="94">
        <v>349</v>
      </c>
      <c r="L717" s="94">
        <v>0</v>
      </c>
      <c r="M717" s="94">
        <v>0</v>
      </c>
      <c r="N717" s="94">
        <v>2</v>
      </c>
      <c r="O717" s="94">
        <v>37</v>
      </c>
      <c r="P717" s="94" t="s">
        <v>56</v>
      </c>
      <c r="Q717" s="94" t="s">
        <v>147</v>
      </c>
      <c r="R717" s="94">
        <v>25</v>
      </c>
      <c r="S717" s="94">
        <v>61</v>
      </c>
      <c r="T717" s="94">
        <v>43</v>
      </c>
      <c r="U717" s="94">
        <v>225</v>
      </c>
      <c r="V717" s="94">
        <v>0</v>
      </c>
      <c r="W717" s="94">
        <v>0</v>
      </c>
      <c r="X717" s="94">
        <v>0</v>
      </c>
      <c r="Y717" s="94">
        <v>10</v>
      </c>
      <c r="Z717" s="94">
        <v>7</v>
      </c>
    </row>
    <row r="718" spans="1:26">
      <c r="A718" s="94" t="str">
        <f t="shared" si="12"/>
        <v>20191207OHST</v>
      </c>
      <c r="B718" s="94">
        <v>2019</v>
      </c>
      <c r="C718" s="94">
        <v>15</v>
      </c>
      <c r="D718" s="94">
        <v>20191207</v>
      </c>
      <c r="E718" s="94" t="s">
        <v>210</v>
      </c>
      <c r="F718" s="94" t="s">
        <v>81</v>
      </c>
      <c r="G718" s="94" t="s">
        <v>152</v>
      </c>
      <c r="H718" s="94">
        <v>37</v>
      </c>
      <c r="I718" s="94">
        <v>200</v>
      </c>
      <c r="J718" s="94">
        <v>34</v>
      </c>
      <c r="K718" s="94">
        <v>232</v>
      </c>
      <c r="L718" s="94">
        <v>1</v>
      </c>
      <c r="M718" s="94">
        <v>0</v>
      </c>
      <c r="N718" s="94">
        <v>1</v>
      </c>
      <c r="O718" s="94">
        <v>34</v>
      </c>
      <c r="P718" s="94" t="s">
        <v>35</v>
      </c>
      <c r="Q718" s="94" t="s">
        <v>152</v>
      </c>
      <c r="R718" s="94">
        <v>46</v>
      </c>
      <c r="S718" s="94">
        <v>172</v>
      </c>
      <c r="T718" s="94">
        <v>32</v>
      </c>
      <c r="U718" s="94">
        <v>320</v>
      </c>
      <c r="V718" s="94">
        <v>0</v>
      </c>
      <c r="W718" s="94">
        <v>28</v>
      </c>
      <c r="X718" s="94">
        <v>0</v>
      </c>
      <c r="Y718" s="94">
        <v>21</v>
      </c>
      <c r="Z718" s="94">
        <v>16</v>
      </c>
    </row>
    <row r="719" spans="1:26">
      <c r="A719" s="94" t="str">
        <f t="shared" si="12"/>
        <v>20191207OKLA</v>
      </c>
      <c r="B719" s="94">
        <v>2019</v>
      </c>
      <c r="C719" s="94">
        <v>15</v>
      </c>
      <c r="D719" s="94">
        <v>20191207</v>
      </c>
      <c r="E719" s="94" t="s">
        <v>210</v>
      </c>
      <c r="F719" s="94" t="s">
        <v>84</v>
      </c>
      <c r="G719" s="94" t="s">
        <v>209</v>
      </c>
      <c r="H719" s="94">
        <v>50</v>
      </c>
      <c r="I719" s="94">
        <v>146</v>
      </c>
      <c r="J719" s="94">
        <v>24</v>
      </c>
      <c r="K719" s="94">
        <v>287</v>
      </c>
      <c r="L719" s="94">
        <v>1</v>
      </c>
      <c r="M719" s="94">
        <v>43</v>
      </c>
      <c r="N719" s="94">
        <v>0</v>
      </c>
      <c r="O719" s="94">
        <v>30</v>
      </c>
      <c r="P719" s="94" t="s">
        <v>45</v>
      </c>
      <c r="Q719" s="94" t="s">
        <v>209</v>
      </c>
      <c r="R719" s="94">
        <v>29</v>
      </c>
      <c r="S719" s="94">
        <v>35</v>
      </c>
      <c r="T719" s="94">
        <v>27</v>
      </c>
      <c r="U719" s="94">
        <v>230</v>
      </c>
      <c r="V719" s="94">
        <v>12</v>
      </c>
      <c r="W719" s="94">
        <v>48</v>
      </c>
      <c r="X719" s="94">
        <v>2</v>
      </c>
      <c r="Y719" s="94">
        <v>23</v>
      </c>
      <c r="Z719" s="94">
        <v>9</v>
      </c>
    </row>
    <row r="720" spans="1:26">
      <c r="A720" s="94" t="str">
        <f t="shared" si="12"/>
        <v>20191214NAVY</v>
      </c>
      <c r="B720" s="94">
        <v>2019</v>
      </c>
      <c r="C720" s="94">
        <v>16</v>
      </c>
      <c r="D720" s="94">
        <v>20191214</v>
      </c>
      <c r="E720" s="94" t="s">
        <v>210</v>
      </c>
      <c r="F720" s="94" t="s">
        <v>59</v>
      </c>
      <c r="G720" s="94" t="s">
        <v>150</v>
      </c>
      <c r="H720" s="94">
        <v>55</v>
      </c>
      <c r="I720" s="94">
        <v>395</v>
      </c>
      <c r="J720" s="94">
        <v>1</v>
      </c>
      <c r="K720" s="94">
        <v>1</v>
      </c>
      <c r="L720" s="94">
        <v>7</v>
      </c>
      <c r="M720" s="94">
        <v>0</v>
      </c>
      <c r="N720" s="94">
        <v>2</v>
      </c>
      <c r="O720" s="94">
        <v>31</v>
      </c>
      <c r="P720" s="94" t="s">
        <v>28</v>
      </c>
      <c r="Q720" s="94" t="s">
        <v>53</v>
      </c>
      <c r="R720" s="94">
        <v>47</v>
      </c>
      <c r="S720" s="94">
        <v>123</v>
      </c>
      <c r="T720" s="94">
        <v>6</v>
      </c>
      <c r="U720" s="94">
        <v>25</v>
      </c>
      <c r="V720" s="94">
        <v>9</v>
      </c>
      <c r="W720" s="94">
        <v>43</v>
      </c>
      <c r="X720" s="94">
        <v>0</v>
      </c>
      <c r="Y720" s="94">
        <v>7</v>
      </c>
      <c r="Z720" s="94">
        <v>11.5</v>
      </c>
    </row>
    <row r="721" spans="1:26">
      <c r="A721" s="94" t="str">
        <f t="shared" si="12"/>
        <v>20191220CHAR</v>
      </c>
      <c r="B721" s="94">
        <v>2019</v>
      </c>
      <c r="C721" s="94">
        <v>17</v>
      </c>
      <c r="D721" s="94">
        <v>20191220</v>
      </c>
      <c r="E721" s="94" t="s">
        <v>210</v>
      </c>
      <c r="F721" s="94" t="s">
        <v>50</v>
      </c>
      <c r="G721" s="94" t="s">
        <v>153</v>
      </c>
      <c r="H721" s="81">
        <v>31</v>
      </c>
      <c r="I721" s="81">
        <v>80</v>
      </c>
      <c r="J721" s="81">
        <v>24</v>
      </c>
      <c r="K721" s="81">
        <v>198</v>
      </c>
      <c r="L721" s="81">
        <v>31</v>
      </c>
      <c r="M721" s="94">
        <v>0</v>
      </c>
      <c r="N721" s="81">
        <v>1</v>
      </c>
      <c r="O721" s="94">
        <v>9</v>
      </c>
      <c r="P721" s="94" t="s">
        <v>47</v>
      </c>
      <c r="Q721" s="94" t="s">
        <v>149</v>
      </c>
      <c r="R721" s="81">
        <v>46</v>
      </c>
      <c r="S721" s="81">
        <v>205</v>
      </c>
      <c r="T721" s="81">
        <v>17</v>
      </c>
      <c r="U721" s="81">
        <v>77</v>
      </c>
      <c r="V721" s="81">
        <v>4</v>
      </c>
      <c r="W721" s="94">
        <v>0</v>
      </c>
      <c r="X721" s="81">
        <v>1</v>
      </c>
      <c r="Y721" s="94">
        <v>31</v>
      </c>
      <c r="Z721" s="94">
        <v>7</v>
      </c>
    </row>
    <row r="722" spans="1:26">
      <c r="A722" s="94" t="str">
        <f t="shared" si="12"/>
        <v>20191220UTST</v>
      </c>
      <c r="B722" s="94">
        <v>2019</v>
      </c>
      <c r="C722" s="94">
        <v>17</v>
      </c>
      <c r="D722" s="94">
        <v>20191220</v>
      </c>
      <c r="E722" s="94" t="s">
        <v>210</v>
      </c>
      <c r="F722" s="94" t="s">
        <v>31</v>
      </c>
      <c r="G722" s="94" t="s">
        <v>148</v>
      </c>
      <c r="H722" s="81">
        <v>56</v>
      </c>
      <c r="I722" s="81">
        <v>252</v>
      </c>
      <c r="J722" s="81">
        <v>27</v>
      </c>
      <c r="K722" s="81">
        <v>298</v>
      </c>
      <c r="L722" s="81">
        <v>0</v>
      </c>
      <c r="M722" s="81">
        <v>64</v>
      </c>
      <c r="N722" s="81">
        <v>3</v>
      </c>
      <c r="O722" s="94">
        <v>41</v>
      </c>
      <c r="P722" s="94" t="s">
        <v>61</v>
      </c>
      <c r="Q722" s="94" t="s">
        <v>149</v>
      </c>
      <c r="R722" s="81">
        <v>40</v>
      </c>
      <c r="S722" s="81">
        <v>189</v>
      </c>
      <c r="T722" s="81">
        <v>39</v>
      </c>
      <c r="U722" s="81">
        <v>317</v>
      </c>
      <c r="V722" s="94">
        <v>0</v>
      </c>
      <c r="W722" s="81">
        <v>191</v>
      </c>
      <c r="X722" s="81">
        <v>1</v>
      </c>
      <c r="Y722" s="94">
        <v>51</v>
      </c>
      <c r="Z722" s="94">
        <v>6.5</v>
      </c>
    </row>
    <row r="723" spans="1:26">
      <c r="A723" s="94" t="str">
        <f t="shared" si="12"/>
        <v>20191221AKST</v>
      </c>
      <c r="B723" s="94">
        <v>2019</v>
      </c>
      <c r="C723" s="94">
        <v>17</v>
      </c>
      <c r="D723" s="94">
        <v>20191221</v>
      </c>
      <c r="E723" s="94" t="s">
        <v>210</v>
      </c>
      <c r="F723" s="94" t="s">
        <v>40</v>
      </c>
      <c r="G723" s="94" t="s">
        <v>145</v>
      </c>
      <c r="H723" s="94">
        <v>37</v>
      </c>
      <c r="I723" s="94">
        <v>152</v>
      </c>
      <c r="J723" s="94">
        <v>52</v>
      </c>
      <c r="K723" s="94">
        <v>393</v>
      </c>
      <c r="L723" s="94">
        <v>0</v>
      </c>
      <c r="M723" s="94">
        <v>61</v>
      </c>
      <c r="N723" s="94">
        <v>2</v>
      </c>
      <c r="O723" s="94">
        <v>34</v>
      </c>
      <c r="P723" s="94" t="s">
        <v>52</v>
      </c>
      <c r="Q723" s="94" t="s">
        <v>153</v>
      </c>
      <c r="R723" s="94">
        <v>35</v>
      </c>
      <c r="S723" s="94">
        <v>132</v>
      </c>
      <c r="T723" s="94">
        <v>39</v>
      </c>
      <c r="U723" s="94">
        <v>312</v>
      </c>
      <c r="V723" s="94">
        <v>0</v>
      </c>
      <c r="W723" s="94">
        <v>29</v>
      </c>
      <c r="X723" s="94">
        <v>2</v>
      </c>
      <c r="Y723" s="94">
        <v>26</v>
      </c>
      <c r="Z723" s="94">
        <v>2</v>
      </c>
    </row>
    <row r="724" spans="1:26">
      <c r="A724" s="94" t="str">
        <f t="shared" si="12"/>
        <v>20191221APP</v>
      </c>
      <c r="B724" s="94">
        <v>2019</v>
      </c>
      <c r="C724" s="94">
        <v>17</v>
      </c>
      <c r="D724" s="94">
        <v>20191221</v>
      </c>
      <c r="E724" s="94" t="s">
        <v>210</v>
      </c>
      <c r="F724" s="94" t="s">
        <v>90</v>
      </c>
      <c r="G724" s="94" t="s">
        <v>145</v>
      </c>
      <c r="H724" s="81">
        <v>33</v>
      </c>
      <c r="I724" s="81">
        <v>40</v>
      </c>
      <c r="J724" s="81">
        <v>34</v>
      </c>
      <c r="K724" s="81">
        <v>298</v>
      </c>
      <c r="L724" s="81">
        <v>4</v>
      </c>
      <c r="M724" s="94">
        <v>0</v>
      </c>
      <c r="N724" s="81">
        <v>0</v>
      </c>
      <c r="O724" s="94">
        <v>31</v>
      </c>
      <c r="P724" s="94" t="s">
        <v>23</v>
      </c>
      <c r="Q724" s="94" t="s">
        <v>153</v>
      </c>
      <c r="R724" s="81">
        <v>40</v>
      </c>
      <c r="S724" s="81">
        <v>261</v>
      </c>
      <c r="T724" s="81">
        <v>25</v>
      </c>
      <c r="U724" s="81">
        <v>142</v>
      </c>
      <c r="V724" s="94">
        <v>0</v>
      </c>
      <c r="W724" s="81">
        <v>21</v>
      </c>
      <c r="X724" s="81">
        <v>3</v>
      </c>
      <c r="Y724" s="94">
        <v>17</v>
      </c>
      <c r="Z724" s="94">
        <v>16</v>
      </c>
    </row>
    <row r="725" spans="1:26">
      <c r="A725" s="94" t="str">
        <f t="shared" si="12"/>
        <v>20191221BOIS</v>
      </c>
      <c r="B725" s="94">
        <v>2019</v>
      </c>
      <c r="C725" s="94">
        <v>17</v>
      </c>
      <c r="D725" s="94">
        <v>20191221</v>
      </c>
      <c r="E725" s="94" t="s">
        <v>210</v>
      </c>
      <c r="F725" s="94" t="s">
        <v>105</v>
      </c>
      <c r="G725" s="94" t="s">
        <v>148</v>
      </c>
      <c r="H725" s="81">
        <v>35</v>
      </c>
      <c r="I725" s="81">
        <v>118</v>
      </c>
      <c r="J725" s="81">
        <v>33</v>
      </c>
      <c r="K725" s="81">
        <v>223</v>
      </c>
      <c r="L725" s="81">
        <v>29</v>
      </c>
      <c r="M725" s="81">
        <v>122</v>
      </c>
      <c r="N725" s="81">
        <v>3</v>
      </c>
      <c r="O725" s="94">
        <v>7</v>
      </c>
      <c r="P725" s="94" t="s">
        <v>132</v>
      </c>
      <c r="Q725" s="94" t="s">
        <v>151</v>
      </c>
      <c r="R725" s="81">
        <v>22</v>
      </c>
      <c r="S725" s="81">
        <v>78</v>
      </c>
      <c r="T725" s="81">
        <v>37</v>
      </c>
      <c r="U725" s="81">
        <v>188</v>
      </c>
      <c r="V725" s="81">
        <v>2</v>
      </c>
      <c r="W725" s="81">
        <v>19</v>
      </c>
      <c r="X725" s="81">
        <v>0</v>
      </c>
      <c r="Y725" s="94">
        <v>38</v>
      </c>
      <c r="Z725" s="94">
        <v>3.5</v>
      </c>
    </row>
    <row r="726" spans="1:26">
      <c r="A726" s="94" t="str">
        <f t="shared" si="12"/>
        <v>20191221FATL</v>
      </c>
      <c r="B726" s="94">
        <v>2019</v>
      </c>
      <c r="C726" s="94">
        <v>17</v>
      </c>
      <c r="D726" s="94">
        <v>20191221</v>
      </c>
      <c r="E726" s="94" t="s">
        <v>144</v>
      </c>
      <c r="F726" s="94" t="s">
        <v>85</v>
      </c>
      <c r="G726" s="94" t="s">
        <v>153</v>
      </c>
      <c r="H726" s="81">
        <v>44</v>
      </c>
      <c r="I726" s="81">
        <v>188</v>
      </c>
      <c r="J726" s="81">
        <v>39</v>
      </c>
      <c r="K726" s="81">
        <v>333</v>
      </c>
      <c r="L726" s="81">
        <v>5</v>
      </c>
      <c r="M726" s="81">
        <v>24</v>
      </c>
      <c r="N726" s="81">
        <v>2</v>
      </c>
      <c r="O726" s="94">
        <v>52</v>
      </c>
      <c r="P726" s="94" t="s">
        <v>80</v>
      </c>
      <c r="Q726" s="94" t="s">
        <v>150</v>
      </c>
      <c r="R726" s="81">
        <v>34</v>
      </c>
      <c r="S726" s="81">
        <v>120</v>
      </c>
      <c r="T726" s="81">
        <v>49</v>
      </c>
      <c r="U726" s="81">
        <v>305</v>
      </c>
      <c r="V726" s="94">
        <v>0</v>
      </c>
      <c r="W726" s="81">
        <v>143</v>
      </c>
      <c r="X726" s="81">
        <v>1</v>
      </c>
      <c r="Y726" s="94">
        <v>28</v>
      </c>
      <c r="Z726" s="94">
        <v>3.5</v>
      </c>
    </row>
    <row r="727" spans="1:26">
      <c r="A727" s="94" t="str">
        <f t="shared" si="12"/>
        <v>20191221GSOU</v>
      </c>
      <c r="B727" s="94">
        <v>2019</v>
      </c>
      <c r="C727" s="94">
        <v>17</v>
      </c>
      <c r="D727" s="94">
        <v>20191221</v>
      </c>
      <c r="E727" s="94" t="s">
        <v>210</v>
      </c>
      <c r="F727" s="94" t="s">
        <v>57</v>
      </c>
      <c r="G727" s="94" t="s">
        <v>145</v>
      </c>
      <c r="H727" s="81">
        <v>46</v>
      </c>
      <c r="I727" s="81">
        <v>154</v>
      </c>
      <c r="J727" s="81">
        <v>19</v>
      </c>
      <c r="K727" s="81">
        <v>95</v>
      </c>
      <c r="L727" s="94">
        <v>0</v>
      </c>
      <c r="M727" s="81">
        <v>19</v>
      </c>
      <c r="N727" s="81">
        <v>2</v>
      </c>
      <c r="O727" s="94">
        <v>16</v>
      </c>
      <c r="P727" s="94" t="s">
        <v>205</v>
      </c>
      <c r="Q727" s="94" t="s">
        <v>53</v>
      </c>
      <c r="R727" s="81">
        <v>37</v>
      </c>
      <c r="S727" s="81">
        <v>132</v>
      </c>
      <c r="T727" s="81">
        <v>35</v>
      </c>
      <c r="U727" s="81">
        <v>270</v>
      </c>
      <c r="V727" s="94">
        <v>10</v>
      </c>
      <c r="W727" s="94">
        <v>0</v>
      </c>
      <c r="X727" s="81">
        <v>1</v>
      </c>
      <c r="Y727" s="94">
        <v>23</v>
      </c>
      <c r="Z727" s="94">
        <v>5</v>
      </c>
    </row>
    <row r="728" spans="1:26">
      <c r="A728" s="94" t="str">
        <f t="shared" si="12"/>
        <v>20191221SDST</v>
      </c>
      <c r="B728" s="94">
        <v>2019</v>
      </c>
      <c r="C728" s="94">
        <v>17</v>
      </c>
      <c r="D728" s="94">
        <v>20191221</v>
      </c>
      <c r="E728" s="94" t="s">
        <v>210</v>
      </c>
      <c r="F728" s="94" t="s">
        <v>34</v>
      </c>
      <c r="G728" s="94" t="s">
        <v>148</v>
      </c>
      <c r="H728" s="81">
        <v>45</v>
      </c>
      <c r="I728" s="81">
        <v>223</v>
      </c>
      <c r="J728" s="81">
        <v>31</v>
      </c>
      <c r="K728" s="81">
        <v>287</v>
      </c>
      <c r="L728" s="81">
        <v>0</v>
      </c>
      <c r="M728" s="81">
        <v>53</v>
      </c>
      <c r="N728" s="81">
        <v>5</v>
      </c>
      <c r="O728" s="94">
        <v>48</v>
      </c>
      <c r="P728" s="94" t="s">
        <v>67</v>
      </c>
      <c r="Q728" s="94" t="s">
        <v>149</v>
      </c>
      <c r="R728" s="81">
        <v>27</v>
      </c>
      <c r="S728" s="81">
        <v>112</v>
      </c>
      <c r="T728" s="81">
        <v>30</v>
      </c>
      <c r="U728" s="81">
        <v>165</v>
      </c>
      <c r="V728" s="94">
        <v>5</v>
      </c>
      <c r="W728" s="94">
        <v>0</v>
      </c>
      <c r="X728" s="81">
        <v>1</v>
      </c>
      <c r="Y728" s="94">
        <v>11</v>
      </c>
      <c r="Z728" s="94">
        <v>3.5</v>
      </c>
    </row>
    <row r="729" spans="1:26">
      <c r="A729" s="94" t="str">
        <f t="shared" si="12"/>
        <v>20191223CFL</v>
      </c>
      <c r="B729" s="94">
        <v>2019</v>
      </c>
      <c r="C729" s="94">
        <v>17</v>
      </c>
      <c r="D729" s="94">
        <v>20191223</v>
      </c>
      <c r="E729" s="94" t="s">
        <v>210</v>
      </c>
      <c r="F729" s="94" t="s">
        <v>14</v>
      </c>
      <c r="G729" s="94" t="s">
        <v>150</v>
      </c>
      <c r="H729" s="81">
        <v>44</v>
      </c>
      <c r="I729" s="81">
        <v>167</v>
      </c>
      <c r="J729" s="81">
        <v>25</v>
      </c>
      <c r="K729" s="81">
        <v>194</v>
      </c>
      <c r="L729" s="81">
        <v>24</v>
      </c>
      <c r="M729" s="94">
        <v>0</v>
      </c>
      <c r="N729" s="81">
        <v>1</v>
      </c>
      <c r="O729" s="94">
        <v>48</v>
      </c>
      <c r="P729" s="94" t="s">
        <v>72</v>
      </c>
      <c r="Q729" s="94" t="s">
        <v>153</v>
      </c>
      <c r="R729" s="81">
        <v>46</v>
      </c>
      <c r="S729" s="81">
        <v>324</v>
      </c>
      <c r="T729" s="81">
        <v>31</v>
      </c>
      <c r="U729" s="81">
        <v>277</v>
      </c>
      <c r="V729" s="81">
        <v>22</v>
      </c>
      <c r="W729" s="81">
        <v>138</v>
      </c>
      <c r="X729" s="81">
        <v>5</v>
      </c>
      <c r="Y729" s="94">
        <v>25</v>
      </c>
      <c r="Z729" s="94">
        <v>17</v>
      </c>
    </row>
    <row r="730" spans="1:26">
      <c r="A730" s="94" t="str">
        <f t="shared" si="12"/>
        <v>20191224HAW</v>
      </c>
      <c r="B730" s="94">
        <v>2019</v>
      </c>
      <c r="C730" s="94">
        <v>18</v>
      </c>
      <c r="D730" s="94">
        <v>20191224</v>
      </c>
      <c r="E730" s="94" t="s">
        <v>144</v>
      </c>
      <c r="F730" s="94" t="s">
        <v>8</v>
      </c>
      <c r="G730" s="94" t="s">
        <v>148</v>
      </c>
      <c r="H730" s="81">
        <v>40</v>
      </c>
      <c r="I730" s="81">
        <v>231</v>
      </c>
      <c r="J730" s="81">
        <v>41</v>
      </c>
      <c r="K730" s="81">
        <v>274</v>
      </c>
      <c r="L730" s="94">
        <v>9</v>
      </c>
      <c r="M730" s="81">
        <v>129</v>
      </c>
      <c r="N730" s="81">
        <v>0</v>
      </c>
      <c r="O730" s="94">
        <v>38</v>
      </c>
      <c r="P730" s="94" t="s">
        <v>43</v>
      </c>
      <c r="Q730" s="94" t="s">
        <v>53</v>
      </c>
      <c r="R730" s="81">
        <v>27</v>
      </c>
      <c r="S730" s="81">
        <v>2</v>
      </c>
      <c r="T730" s="81">
        <v>47</v>
      </c>
      <c r="U730" s="81">
        <v>493</v>
      </c>
      <c r="V730" s="81">
        <v>97</v>
      </c>
      <c r="W730" s="81">
        <v>27</v>
      </c>
      <c r="X730" s="81">
        <v>3</v>
      </c>
      <c r="Y730" s="94">
        <v>34</v>
      </c>
      <c r="Z730" s="94">
        <v>1.5</v>
      </c>
    </row>
    <row r="731" spans="1:26">
      <c r="A731" s="94" t="str">
        <f t="shared" si="12"/>
        <v>20191226EMCH</v>
      </c>
      <c r="B731" s="94">
        <v>2019</v>
      </c>
      <c r="C731" s="94">
        <v>18</v>
      </c>
      <c r="D731" s="94">
        <v>20191226</v>
      </c>
      <c r="E731" s="94" t="s">
        <v>210</v>
      </c>
      <c r="F731" s="94" t="s">
        <v>29</v>
      </c>
      <c r="G731" s="94" t="s">
        <v>149</v>
      </c>
      <c r="H731" s="81">
        <v>36</v>
      </c>
      <c r="I731" s="81">
        <v>127</v>
      </c>
      <c r="J731" s="81">
        <v>51</v>
      </c>
      <c r="K731" s="81">
        <v>311</v>
      </c>
      <c r="L731" s="81">
        <v>14</v>
      </c>
      <c r="M731" s="94">
        <v>0</v>
      </c>
      <c r="N731" s="81">
        <v>1</v>
      </c>
      <c r="O731" s="94">
        <v>30</v>
      </c>
      <c r="P731" s="94" t="s">
        <v>88</v>
      </c>
      <c r="Q731" s="94" t="s">
        <v>146</v>
      </c>
      <c r="R731" s="81">
        <v>29</v>
      </c>
      <c r="S731" s="81">
        <v>96</v>
      </c>
      <c r="T731" s="81">
        <v>39</v>
      </c>
      <c r="U731" s="81">
        <v>361</v>
      </c>
      <c r="V731" s="81">
        <v>9</v>
      </c>
      <c r="W731" s="81">
        <v>25</v>
      </c>
      <c r="X731" s="81">
        <v>1</v>
      </c>
      <c r="Y731" s="94">
        <v>34</v>
      </c>
      <c r="Z731" s="94">
        <v>11.5</v>
      </c>
    </row>
    <row r="732" spans="1:26">
      <c r="A732" s="94" t="str">
        <f t="shared" si="12"/>
        <v>20191226LTCH</v>
      </c>
      <c r="B732" s="94">
        <v>2019</v>
      </c>
      <c r="C732" s="94">
        <v>18</v>
      </c>
      <c r="D732" s="94">
        <v>20191226</v>
      </c>
      <c r="E732" s="94" t="s">
        <v>210</v>
      </c>
      <c r="F732" s="94" t="s">
        <v>95</v>
      </c>
      <c r="G732" s="94" t="s">
        <v>153</v>
      </c>
      <c r="H732" s="81">
        <v>28</v>
      </c>
      <c r="I732" s="81">
        <v>74</v>
      </c>
      <c r="J732" s="81">
        <v>34</v>
      </c>
      <c r="K732" s="81">
        <v>153</v>
      </c>
      <c r="L732" s="81">
        <v>38</v>
      </c>
      <c r="M732" s="94">
        <v>0</v>
      </c>
      <c r="N732" s="81">
        <v>1</v>
      </c>
      <c r="O732" s="94">
        <v>14</v>
      </c>
      <c r="P732" s="94" t="s">
        <v>125</v>
      </c>
      <c r="Q732" s="94" t="s">
        <v>146</v>
      </c>
      <c r="R732" s="81">
        <v>40</v>
      </c>
      <c r="S732" s="81">
        <v>174</v>
      </c>
      <c r="T732" s="81">
        <v>28</v>
      </c>
      <c r="U732" s="81">
        <v>163</v>
      </c>
      <c r="V732" s="81">
        <v>47</v>
      </c>
      <c r="W732" s="81">
        <v>16</v>
      </c>
      <c r="X732" s="81">
        <v>3</v>
      </c>
      <c r="Y732" s="94">
        <v>0</v>
      </c>
      <c r="Z732" s="94">
        <v>6.5</v>
      </c>
    </row>
    <row r="733" spans="1:26">
      <c r="A733" s="94" t="str">
        <f t="shared" si="12"/>
        <v>20191227AIR</v>
      </c>
      <c r="B733" s="94">
        <v>2019</v>
      </c>
      <c r="C733" s="94">
        <v>18</v>
      </c>
      <c r="D733" s="94">
        <v>20191227</v>
      </c>
      <c r="E733" s="94" t="s">
        <v>210</v>
      </c>
      <c r="F733" s="94" t="s">
        <v>39</v>
      </c>
      <c r="G733" s="94" t="s">
        <v>148</v>
      </c>
      <c r="H733" s="81">
        <v>8</v>
      </c>
      <c r="I733" s="81">
        <v>15</v>
      </c>
      <c r="J733" s="81">
        <v>42</v>
      </c>
      <c r="K733" s="81">
        <v>351</v>
      </c>
      <c r="L733" s="94">
        <v>0</v>
      </c>
      <c r="M733" s="81">
        <v>19</v>
      </c>
      <c r="N733" s="81">
        <v>1</v>
      </c>
      <c r="O733" s="94">
        <v>31</v>
      </c>
      <c r="P733" s="94" t="s">
        <v>114</v>
      </c>
      <c r="Q733" s="94" t="s">
        <v>151</v>
      </c>
      <c r="R733" s="81">
        <v>69</v>
      </c>
      <c r="S733" s="81">
        <v>371</v>
      </c>
      <c r="T733" s="81">
        <v>12</v>
      </c>
      <c r="U733" s="81">
        <v>30</v>
      </c>
      <c r="V733" s="81">
        <v>29</v>
      </c>
      <c r="W733" s="81">
        <v>99</v>
      </c>
      <c r="X733" s="81">
        <v>1</v>
      </c>
      <c r="Y733" s="94">
        <v>21</v>
      </c>
      <c r="Z733" s="94">
        <v>3</v>
      </c>
    </row>
    <row r="734" spans="1:26">
      <c r="A734" s="94" t="str">
        <f t="shared" si="12"/>
        <v>20191227IOWA</v>
      </c>
      <c r="B734" s="94">
        <v>2019</v>
      </c>
      <c r="C734" s="94">
        <v>18</v>
      </c>
      <c r="D734" s="94">
        <v>20191227</v>
      </c>
      <c r="E734" s="94" t="s">
        <v>210</v>
      </c>
      <c r="F734" s="94" t="s">
        <v>62</v>
      </c>
      <c r="G734" s="94" t="s">
        <v>152</v>
      </c>
      <c r="H734" s="81">
        <v>35</v>
      </c>
      <c r="I734" s="81">
        <v>115</v>
      </c>
      <c r="J734" s="81">
        <v>28</v>
      </c>
      <c r="K734" s="81">
        <v>213</v>
      </c>
      <c r="L734" s="94">
        <v>1</v>
      </c>
      <c r="M734" s="81">
        <v>142</v>
      </c>
      <c r="N734" s="81">
        <v>3</v>
      </c>
      <c r="O734" s="94">
        <v>49</v>
      </c>
      <c r="P734" s="94" t="s">
        <v>108</v>
      </c>
      <c r="Q734" s="94" t="s">
        <v>151</v>
      </c>
      <c r="R734" s="81">
        <v>18</v>
      </c>
      <c r="S734" s="81">
        <v>22</v>
      </c>
      <c r="T734" s="81">
        <v>48</v>
      </c>
      <c r="U734" s="81">
        <v>334</v>
      </c>
      <c r="V734" s="94">
        <v>0</v>
      </c>
      <c r="W734" s="81">
        <v>19</v>
      </c>
      <c r="X734" s="81">
        <v>0</v>
      </c>
      <c r="Y734" s="94">
        <v>24</v>
      </c>
      <c r="Z734" s="94">
        <v>1</v>
      </c>
    </row>
    <row r="735" spans="1:26">
      <c r="A735" s="94" t="str">
        <f t="shared" si="12"/>
        <v>20191227TEM</v>
      </c>
      <c r="B735" s="94">
        <v>2019</v>
      </c>
      <c r="C735" s="94">
        <v>18</v>
      </c>
      <c r="D735" s="94">
        <v>20191227</v>
      </c>
      <c r="E735" s="94" t="s">
        <v>210</v>
      </c>
      <c r="F735" s="94" t="s">
        <v>101</v>
      </c>
      <c r="G735" s="94" t="s">
        <v>150</v>
      </c>
      <c r="H735" s="81">
        <v>34</v>
      </c>
      <c r="I735" s="81">
        <v>78</v>
      </c>
      <c r="J735" s="81">
        <v>32</v>
      </c>
      <c r="K735" s="81">
        <v>194</v>
      </c>
      <c r="L735" s="94">
        <v>0</v>
      </c>
      <c r="M735" s="81">
        <v>92</v>
      </c>
      <c r="N735" s="81">
        <v>1</v>
      </c>
      <c r="O735" s="94">
        <v>13</v>
      </c>
      <c r="P735" s="94" t="s">
        <v>49</v>
      </c>
      <c r="Q735" s="94" t="s">
        <v>146</v>
      </c>
      <c r="R735" s="81">
        <v>40</v>
      </c>
      <c r="S735" s="81">
        <v>238</v>
      </c>
      <c r="T735" s="81">
        <v>35</v>
      </c>
      <c r="U735" s="81">
        <v>296</v>
      </c>
      <c r="V735" s="81">
        <v>16</v>
      </c>
      <c r="W735" s="81">
        <v>38</v>
      </c>
      <c r="X735" s="81">
        <v>2</v>
      </c>
      <c r="Y735" s="94">
        <v>55</v>
      </c>
      <c r="Z735" s="94">
        <v>6</v>
      </c>
    </row>
    <row r="736" spans="1:26">
      <c r="A736" s="94" t="str">
        <f t="shared" si="12"/>
        <v>20191227TXAM</v>
      </c>
      <c r="B736" s="94">
        <v>2019</v>
      </c>
      <c r="C736" s="94">
        <v>18</v>
      </c>
      <c r="D736" s="94">
        <v>20191227</v>
      </c>
      <c r="E736" s="94" t="s">
        <v>210</v>
      </c>
      <c r="F736" s="94" t="s">
        <v>22</v>
      </c>
      <c r="G736" s="94" t="s">
        <v>147</v>
      </c>
      <c r="H736" s="81">
        <v>39</v>
      </c>
      <c r="I736" s="81">
        <v>252</v>
      </c>
      <c r="J736" s="81">
        <v>19</v>
      </c>
      <c r="K736" s="81">
        <v>95</v>
      </c>
      <c r="L736" s="81">
        <v>3</v>
      </c>
      <c r="M736" s="81">
        <v>36</v>
      </c>
      <c r="N736" s="81">
        <v>0</v>
      </c>
      <c r="O736" s="94">
        <v>24</v>
      </c>
      <c r="P736" s="94" t="s">
        <v>26</v>
      </c>
      <c r="Q736" s="94" t="s">
        <v>209</v>
      </c>
      <c r="R736" s="81">
        <v>31</v>
      </c>
      <c r="S736" s="81">
        <v>150</v>
      </c>
      <c r="T736" s="81">
        <v>28</v>
      </c>
      <c r="U736" s="81">
        <v>184</v>
      </c>
      <c r="V736" s="94">
        <v>0</v>
      </c>
      <c r="W736" s="81">
        <v>43</v>
      </c>
      <c r="X736" s="81">
        <v>2</v>
      </c>
      <c r="Y736" s="94">
        <v>21</v>
      </c>
      <c r="Z736" s="94">
        <v>4.5</v>
      </c>
    </row>
    <row r="737" spans="1:26">
      <c r="A737" s="94" t="str">
        <f t="shared" si="12"/>
        <v>20191227WAKE</v>
      </c>
      <c r="B737" s="94">
        <v>2019</v>
      </c>
      <c r="C737" s="94">
        <v>18</v>
      </c>
      <c r="D737" s="94">
        <v>20191227</v>
      </c>
      <c r="E737" s="94" t="s">
        <v>210</v>
      </c>
      <c r="F737" s="94" t="s">
        <v>21</v>
      </c>
      <c r="G737" s="94" t="s">
        <v>146</v>
      </c>
      <c r="H737" s="81">
        <v>41</v>
      </c>
      <c r="I737" s="81">
        <v>176</v>
      </c>
      <c r="J737" s="81">
        <v>29</v>
      </c>
      <c r="K737" s="81">
        <v>175</v>
      </c>
      <c r="L737" s="81">
        <v>36</v>
      </c>
      <c r="M737" s="81">
        <v>94</v>
      </c>
      <c r="N737" s="81">
        <v>2</v>
      </c>
      <c r="O737" s="94">
        <v>21</v>
      </c>
      <c r="P737" s="94" t="s">
        <v>30</v>
      </c>
      <c r="Q737" s="94" t="s">
        <v>152</v>
      </c>
      <c r="R737" s="81">
        <v>41</v>
      </c>
      <c r="S737" s="81">
        <v>177</v>
      </c>
      <c r="T737" s="81">
        <v>38</v>
      </c>
      <c r="U737" s="81">
        <v>320</v>
      </c>
      <c r="V737" s="81">
        <v>26</v>
      </c>
      <c r="W737" s="81">
        <v>79</v>
      </c>
      <c r="X737" s="81">
        <v>1</v>
      </c>
      <c r="Y737" s="94">
        <v>27</v>
      </c>
      <c r="Z737" s="94">
        <v>4</v>
      </c>
    </row>
    <row r="738" spans="1:26">
      <c r="A738" s="94" t="str">
        <f t="shared" si="12"/>
        <v>20191228LSU</v>
      </c>
      <c r="B738" s="94">
        <v>2019</v>
      </c>
      <c r="C738" s="94">
        <v>18</v>
      </c>
      <c r="D738" s="94">
        <v>20191228</v>
      </c>
      <c r="E738" s="94" t="s">
        <v>210</v>
      </c>
      <c r="F738" s="94" t="s">
        <v>124</v>
      </c>
      <c r="G738" s="94" t="s">
        <v>147</v>
      </c>
      <c r="H738" s="81">
        <v>32</v>
      </c>
      <c r="I738" s="81">
        <v>160</v>
      </c>
      <c r="J738" s="81">
        <v>42</v>
      </c>
      <c r="K738" s="81">
        <v>532</v>
      </c>
      <c r="L738" s="94">
        <v>0</v>
      </c>
      <c r="M738" s="81">
        <v>20</v>
      </c>
      <c r="N738" s="81">
        <v>1</v>
      </c>
      <c r="O738" s="94">
        <v>63</v>
      </c>
      <c r="P738" s="94" t="s">
        <v>84</v>
      </c>
      <c r="Q738" s="94" t="s">
        <v>209</v>
      </c>
      <c r="R738" s="81">
        <v>28</v>
      </c>
      <c r="S738" s="81">
        <v>97</v>
      </c>
      <c r="T738" s="81">
        <v>34</v>
      </c>
      <c r="U738" s="81">
        <v>225</v>
      </c>
      <c r="V738" s="94">
        <v>0</v>
      </c>
      <c r="W738" s="81">
        <v>33</v>
      </c>
      <c r="X738" s="81">
        <v>0</v>
      </c>
      <c r="Y738" s="94">
        <v>28</v>
      </c>
      <c r="Z738" s="94">
        <v>13.5</v>
      </c>
    </row>
    <row r="739" spans="1:26">
      <c r="A739" s="94" t="str">
        <f t="shared" si="12"/>
        <v>20191228NOTD</v>
      </c>
      <c r="B739" s="94">
        <v>2019</v>
      </c>
      <c r="C739" s="94">
        <v>18</v>
      </c>
      <c r="D739" s="94">
        <v>20191228</v>
      </c>
      <c r="E739" s="94" t="s">
        <v>210</v>
      </c>
      <c r="F739" s="94" t="s">
        <v>77</v>
      </c>
      <c r="G739" s="94" t="s">
        <v>53</v>
      </c>
      <c r="H739" s="81">
        <v>27</v>
      </c>
      <c r="I739" s="81">
        <v>45</v>
      </c>
      <c r="J739" s="81">
        <v>32</v>
      </c>
      <c r="K739" s="81">
        <v>227</v>
      </c>
      <c r="L739" s="94">
        <v>1</v>
      </c>
      <c r="M739" s="81">
        <v>71</v>
      </c>
      <c r="N739" s="81">
        <v>0</v>
      </c>
      <c r="O739" s="94">
        <v>33</v>
      </c>
      <c r="P739" s="94" t="s">
        <v>122</v>
      </c>
      <c r="Q739" s="94" t="s">
        <v>209</v>
      </c>
      <c r="R739" s="81">
        <v>37</v>
      </c>
      <c r="S739" s="81">
        <v>208</v>
      </c>
      <c r="T739" s="81">
        <v>28</v>
      </c>
      <c r="U739" s="81">
        <v>247</v>
      </c>
      <c r="V739" s="81">
        <v>6</v>
      </c>
      <c r="W739" s="81">
        <v>42</v>
      </c>
      <c r="X739" s="81">
        <v>2</v>
      </c>
      <c r="Y739" s="94">
        <v>9</v>
      </c>
      <c r="Z739" s="94">
        <v>3.5</v>
      </c>
    </row>
    <row r="740" spans="1:26">
      <c r="A740" s="94" t="str">
        <f t="shared" si="12"/>
        <v>20191228OHST</v>
      </c>
      <c r="B740" s="94">
        <v>2019</v>
      </c>
      <c r="C740" s="94">
        <v>18</v>
      </c>
      <c r="D740" s="94">
        <v>20191228</v>
      </c>
      <c r="E740" s="94" t="s">
        <v>210</v>
      </c>
      <c r="F740" s="94" t="s">
        <v>81</v>
      </c>
      <c r="G740" s="94" t="s">
        <v>152</v>
      </c>
      <c r="H740" s="81">
        <v>39</v>
      </c>
      <c r="I740" s="81">
        <v>196</v>
      </c>
      <c r="J740" s="81">
        <v>46</v>
      </c>
      <c r="K740" s="81">
        <v>320</v>
      </c>
      <c r="L740" s="81">
        <v>3</v>
      </c>
      <c r="M740" s="94">
        <v>0</v>
      </c>
      <c r="N740" s="81">
        <v>0</v>
      </c>
      <c r="O740" s="94">
        <v>23</v>
      </c>
      <c r="P740" s="94" t="s">
        <v>51</v>
      </c>
      <c r="Q740" s="94" t="s">
        <v>146</v>
      </c>
      <c r="R740" s="81">
        <v>29</v>
      </c>
      <c r="S740" s="81">
        <v>158</v>
      </c>
      <c r="T740" s="81">
        <v>33</v>
      </c>
      <c r="U740" s="81">
        <v>259</v>
      </c>
      <c r="V740" s="81">
        <v>4</v>
      </c>
      <c r="W740" s="81">
        <v>16</v>
      </c>
      <c r="X740" s="81">
        <v>2</v>
      </c>
      <c r="Y740" s="94">
        <v>29</v>
      </c>
      <c r="Z740" s="94">
        <v>2.5</v>
      </c>
    </row>
    <row r="741" spans="1:26">
      <c r="A741" s="94" t="str">
        <f t="shared" si="12"/>
        <v>20191228PNST</v>
      </c>
      <c r="B741" s="94">
        <v>2019</v>
      </c>
      <c r="C741" s="94">
        <v>18</v>
      </c>
      <c r="D741" s="94">
        <v>20191228</v>
      </c>
      <c r="E741" s="94" t="s">
        <v>210</v>
      </c>
      <c r="F741" s="94" t="s">
        <v>89</v>
      </c>
      <c r="G741" s="94" t="s">
        <v>152</v>
      </c>
      <c r="H741" s="81">
        <v>53</v>
      </c>
      <c r="I741" s="81">
        <v>396</v>
      </c>
      <c r="J741" s="81">
        <v>20</v>
      </c>
      <c r="K741" s="81">
        <v>133</v>
      </c>
      <c r="L741" s="94">
        <v>0</v>
      </c>
      <c r="M741" s="81">
        <v>31</v>
      </c>
      <c r="N741" s="81">
        <v>2</v>
      </c>
      <c r="O741" s="94">
        <v>53</v>
      </c>
      <c r="P741" s="94" t="s">
        <v>70</v>
      </c>
      <c r="Q741" s="94" t="s">
        <v>150</v>
      </c>
      <c r="R741" s="81">
        <v>33</v>
      </c>
      <c r="S741" s="81">
        <v>63</v>
      </c>
      <c r="T741" s="81">
        <v>53</v>
      </c>
      <c r="U741" s="81">
        <v>479</v>
      </c>
      <c r="V741" s="94">
        <v>1</v>
      </c>
      <c r="W741" s="81">
        <v>12</v>
      </c>
      <c r="X741" s="81">
        <v>1</v>
      </c>
      <c r="Y741" s="94">
        <v>39</v>
      </c>
      <c r="Z741" s="94">
        <v>7.5</v>
      </c>
    </row>
    <row r="742" spans="1:26">
      <c r="A742" s="94" t="str">
        <f t="shared" si="12"/>
        <v>20191230CAL</v>
      </c>
      <c r="B742" s="94">
        <v>2019</v>
      </c>
      <c r="C742" s="94">
        <v>18</v>
      </c>
      <c r="D742" s="94">
        <v>20191230</v>
      </c>
      <c r="E742" s="94" t="s">
        <v>210</v>
      </c>
      <c r="F742" s="94" t="s">
        <v>48</v>
      </c>
      <c r="G742" s="94" t="s">
        <v>151</v>
      </c>
      <c r="H742" s="81">
        <v>38</v>
      </c>
      <c r="I742" s="81">
        <v>165</v>
      </c>
      <c r="J742" s="81">
        <v>38</v>
      </c>
      <c r="K742" s="81">
        <v>285</v>
      </c>
      <c r="L742" s="81">
        <v>19</v>
      </c>
      <c r="M742" s="81">
        <v>50</v>
      </c>
      <c r="N742" s="81">
        <v>0</v>
      </c>
      <c r="O742" s="94">
        <v>35</v>
      </c>
      <c r="P742" s="94" t="s">
        <v>60</v>
      </c>
      <c r="Q742" s="94" t="s">
        <v>152</v>
      </c>
      <c r="R742" s="81">
        <v>37</v>
      </c>
      <c r="S742" s="81">
        <v>123</v>
      </c>
      <c r="T742" s="81">
        <v>31</v>
      </c>
      <c r="U742" s="81">
        <v>272</v>
      </c>
      <c r="V742" s="81">
        <v>6</v>
      </c>
      <c r="W742" s="81">
        <v>55</v>
      </c>
      <c r="X742" s="81">
        <v>1</v>
      </c>
      <c r="Y742" s="94">
        <v>20</v>
      </c>
      <c r="Z742" s="94">
        <v>7</v>
      </c>
    </row>
    <row r="743" spans="1:26">
      <c r="A743" s="94" t="str">
        <f t="shared" si="12"/>
        <v>20191230FLA</v>
      </c>
      <c r="B743" s="94">
        <v>2019</v>
      </c>
      <c r="C743" s="94">
        <v>18</v>
      </c>
      <c r="D743" s="94">
        <v>20191230</v>
      </c>
      <c r="E743" s="94" t="s">
        <v>210</v>
      </c>
      <c r="F743" s="94" t="s">
        <v>54</v>
      </c>
      <c r="G743" s="94" t="s">
        <v>147</v>
      </c>
      <c r="H743" s="81">
        <v>21</v>
      </c>
      <c r="I743" s="81">
        <v>52</v>
      </c>
      <c r="J743" s="81">
        <v>41</v>
      </c>
      <c r="K743" s="81">
        <v>323</v>
      </c>
      <c r="L743" s="81">
        <v>2</v>
      </c>
      <c r="M743" s="81">
        <v>21</v>
      </c>
      <c r="N743" s="81">
        <v>1</v>
      </c>
      <c r="O743" s="94">
        <v>36</v>
      </c>
      <c r="P743" s="94" t="s">
        <v>113</v>
      </c>
      <c r="Q743" s="94" t="s">
        <v>146</v>
      </c>
      <c r="R743" s="81">
        <v>34</v>
      </c>
      <c r="S743" s="81">
        <v>244</v>
      </c>
      <c r="T743" s="81">
        <v>39</v>
      </c>
      <c r="U743" s="81">
        <v>305</v>
      </c>
      <c r="V743" s="94">
        <v>0</v>
      </c>
      <c r="W743" s="81">
        <v>32</v>
      </c>
      <c r="X743" s="81">
        <v>1</v>
      </c>
      <c r="Y743" s="94">
        <v>28</v>
      </c>
      <c r="Z743" s="94">
        <v>14.5</v>
      </c>
    </row>
    <row r="744" spans="1:26">
      <c r="A744" s="94" t="str">
        <f t="shared" si="12"/>
        <v>20191230LOU</v>
      </c>
      <c r="B744" s="94">
        <v>2019</v>
      </c>
      <c r="C744" s="94">
        <v>18</v>
      </c>
      <c r="D744" s="94">
        <v>20191230</v>
      </c>
      <c r="E744" s="94" t="s">
        <v>210</v>
      </c>
      <c r="F744" s="94" t="s">
        <v>123</v>
      </c>
      <c r="G744" s="94" t="s">
        <v>146</v>
      </c>
      <c r="H744" s="81">
        <v>44</v>
      </c>
      <c r="I744" s="81">
        <v>198</v>
      </c>
      <c r="J744" s="81">
        <v>25</v>
      </c>
      <c r="K744" s="81">
        <v>312</v>
      </c>
      <c r="L744" s="81">
        <v>0</v>
      </c>
      <c r="M744" s="81">
        <v>65</v>
      </c>
      <c r="N744" s="81">
        <v>2</v>
      </c>
      <c r="O744" s="94">
        <v>38</v>
      </c>
      <c r="P744" s="94" t="s">
        <v>74</v>
      </c>
      <c r="Q744" s="94" t="s">
        <v>147</v>
      </c>
      <c r="R744" s="81">
        <v>36</v>
      </c>
      <c r="S744" s="81">
        <v>145</v>
      </c>
      <c r="T744" s="81">
        <v>26</v>
      </c>
      <c r="U744" s="81">
        <v>221</v>
      </c>
      <c r="V744" s="94">
        <v>0</v>
      </c>
      <c r="W744" s="81">
        <v>44</v>
      </c>
      <c r="X744" s="81">
        <v>1</v>
      </c>
      <c r="Y744" s="94">
        <v>28</v>
      </c>
      <c r="Z744" s="94">
        <v>4</v>
      </c>
    </row>
    <row r="745" spans="1:26">
      <c r="A745" s="94" t="str">
        <f t="shared" si="12"/>
        <v>20191230WKY</v>
      </c>
      <c r="B745" s="94">
        <v>2019</v>
      </c>
      <c r="C745" s="94">
        <v>18</v>
      </c>
      <c r="D745" s="94">
        <v>20191230</v>
      </c>
      <c r="E745" s="94" t="s">
        <v>210</v>
      </c>
      <c r="F745" s="94" t="s">
        <v>36</v>
      </c>
      <c r="G745" s="94" t="s">
        <v>153</v>
      </c>
      <c r="H745" s="81">
        <v>31</v>
      </c>
      <c r="I745" s="81">
        <v>114</v>
      </c>
      <c r="J745" s="81">
        <v>36</v>
      </c>
      <c r="K745" s="81">
        <v>193</v>
      </c>
      <c r="L745" s="81">
        <v>8</v>
      </c>
      <c r="M745" s="81">
        <v>61</v>
      </c>
      <c r="N745" s="81">
        <v>2</v>
      </c>
      <c r="O745" s="94">
        <v>23</v>
      </c>
      <c r="P745" s="94" t="s">
        <v>37</v>
      </c>
      <c r="Q745" s="94" t="s">
        <v>149</v>
      </c>
      <c r="R745" s="81">
        <v>28</v>
      </c>
      <c r="S745" s="81">
        <v>123</v>
      </c>
      <c r="T745" s="81">
        <v>52</v>
      </c>
      <c r="U745" s="81">
        <v>358</v>
      </c>
      <c r="V745" s="81">
        <v>5</v>
      </c>
      <c r="W745" s="81">
        <v>107</v>
      </c>
      <c r="X745" s="81">
        <v>1</v>
      </c>
      <c r="Y745" s="94">
        <v>20</v>
      </c>
      <c r="Z745" s="94">
        <v>3</v>
      </c>
    </row>
    <row r="746" spans="1:26">
      <c r="A746" s="94" t="str">
        <f t="shared" si="12"/>
        <v>20191231AZST</v>
      </c>
      <c r="B746" s="94">
        <v>2019</v>
      </c>
      <c r="C746" s="94">
        <v>19</v>
      </c>
      <c r="D746" s="94">
        <v>20191231</v>
      </c>
      <c r="E746" s="94" t="s">
        <v>210</v>
      </c>
      <c r="F746" s="94" t="s">
        <v>44</v>
      </c>
      <c r="G746" s="94" t="s">
        <v>151</v>
      </c>
      <c r="H746" s="81">
        <v>51</v>
      </c>
      <c r="I746" s="81">
        <v>224</v>
      </c>
      <c r="J746" s="81">
        <v>29</v>
      </c>
      <c r="K746" s="81">
        <v>246</v>
      </c>
      <c r="L746" s="81">
        <v>3</v>
      </c>
      <c r="M746" s="81">
        <v>20</v>
      </c>
      <c r="N746" s="81">
        <v>2</v>
      </c>
      <c r="O746" s="94">
        <v>20</v>
      </c>
      <c r="P746" s="94" t="s">
        <v>116</v>
      </c>
      <c r="Q746" s="94" t="s">
        <v>146</v>
      </c>
      <c r="R746" s="81">
        <v>37</v>
      </c>
      <c r="S746" s="81">
        <v>87</v>
      </c>
      <c r="T746" s="81">
        <v>28</v>
      </c>
      <c r="U746" s="81">
        <v>195</v>
      </c>
      <c r="V746" s="81">
        <v>18</v>
      </c>
      <c r="W746" s="94">
        <v>0</v>
      </c>
      <c r="X746" s="81">
        <v>6</v>
      </c>
      <c r="Y746" s="94">
        <v>14</v>
      </c>
      <c r="Z746" s="94">
        <v>4.5</v>
      </c>
    </row>
    <row r="747" spans="1:26">
      <c r="A747" s="94" t="str">
        <f t="shared" si="12"/>
        <v>20191231NAVY</v>
      </c>
      <c r="B747" s="94">
        <v>2019</v>
      </c>
      <c r="C747" s="94">
        <v>19</v>
      </c>
      <c r="D747" s="94">
        <v>20191231</v>
      </c>
      <c r="E747" s="94" t="s">
        <v>210</v>
      </c>
      <c r="F747" s="94" t="s">
        <v>59</v>
      </c>
      <c r="G747" s="94" t="s">
        <v>150</v>
      </c>
      <c r="H747" s="81">
        <v>27</v>
      </c>
      <c r="I747" s="81">
        <v>46</v>
      </c>
      <c r="J747" s="81">
        <v>14</v>
      </c>
      <c r="K747" s="81">
        <v>124</v>
      </c>
      <c r="L747" s="94">
        <v>0</v>
      </c>
      <c r="M747" s="94">
        <v>0</v>
      </c>
      <c r="N747" s="81">
        <v>0</v>
      </c>
      <c r="O747" s="94">
        <v>20</v>
      </c>
      <c r="P747" s="94" t="s">
        <v>65</v>
      </c>
      <c r="Q747" s="94" t="s">
        <v>209</v>
      </c>
      <c r="R747" s="81">
        <v>54</v>
      </c>
      <c r="S747" s="81">
        <v>323</v>
      </c>
      <c r="T747" s="81">
        <v>9</v>
      </c>
      <c r="U747" s="81">
        <v>98</v>
      </c>
      <c r="V747" s="81">
        <v>66</v>
      </c>
      <c r="W747" s="81">
        <v>79</v>
      </c>
      <c r="X747" s="81">
        <v>1</v>
      </c>
      <c r="Y747" s="94">
        <v>17</v>
      </c>
      <c r="Z747" s="94">
        <v>2.5</v>
      </c>
    </row>
    <row r="748" spans="1:26">
      <c r="A748" s="94" t="str">
        <f t="shared" si="12"/>
        <v>20191231UTAH</v>
      </c>
      <c r="B748" s="94">
        <v>2019</v>
      </c>
      <c r="C748" s="94">
        <v>19</v>
      </c>
      <c r="D748" s="94">
        <v>20191231</v>
      </c>
      <c r="E748" s="94" t="s">
        <v>210</v>
      </c>
      <c r="F748" s="94" t="s">
        <v>24</v>
      </c>
      <c r="G748" s="94" t="s">
        <v>151</v>
      </c>
      <c r="H748" s="81">
        <v>37</v>
      </c>
      <c r="I748" s="81">
        <v>231</v>
      </c>
      <c r="J748" s="81">
        <v>19</v>
      </c>
      <c r="K748" s="81">
        <v>207</v>
      </c>
      <c r="L748" s="81">
        <v>1</v>
      </c>
      <c r="M748" s="94">
        <v>0</v>
      </c>
      <c r="N748" s="81">
        <v>0</v>
      </c>
      <c r="O748" s="94">
        <v>10</v>
      </c>
      <c r="P748" s="94" t="s">
        <v>130</v>
      </c>
      <c r="Q748" s="94" t="s">
        <v>209</v>
      </c>
      <c r="R748" s="81">
        <v>37</v>
      </c>
      <c r="S748" s="81">
        <v>128</v>
      </c>
      <c r="T748" s="81">
        <v>23</v>
      </c>
      <c r="U748" s="81">
        <v>126</v>
      </c>
      <c r="V748" s="81">
        <v>102</v>
      </c>
      <c r="W748" s="81">
        <v>22</v>
      </c>
      <c r="X748" s="81">
        <v>1</v>
      </c>
      <c r="Y748" s="94">
        <v>38</v>
      </c>
      <c r="Z748" s="94">
        <v>7</v>
      </c>
    </row>
    <row r="749" spans="1:26">
      <c r="A749" s="94" t="str">
        <f t="shared" si="12"/>
        <v>20191231VTCH</v>
      </c>
      <c r="B749" s="94">
        <v>2019</v>
      </c>
      <c r="C749" s="94">
        <v>19</v>
      </c>
      <c r="D749" s="94">
        <v>20191231</v>
      </c>
      <c r="E749" s="94" t="s">
        <v>210</v>
      </c>
      <c r="F749" s="94" t="s">
        <v>117</v>
      </c>
      <c r="G749" s="94" t="s">
        <v>146</v>
      </c>
      <c r="H749" s="81">
        <v>55</v>
      </c>
      <c r="I749" s="81">
        <v>331</v>
      </c>
      <c r="J749" s="81">
        <v>13</v>
      </c>
      <c r="K749" s="81">
        <v>73</v>
      </c>
      <c r="L749" s="81">
        <v>11</v>
      </c>
      <c r="M749" s="81">
        <v>21</v>
      </c>
      <c r="N749" s="81">
        <v>1</v>
      </c>
      <c r="O749" s="94">
        <v>30</v>
      </c>
      <c r="P749" s="94" t="s">
        <v>66</v>
      </c>
      <c r="Q749" s="94" t="s">
        <v>147</v>
      </c>
      <c r="R749" s="81">
        <v>33</v>
      </c>
      <c r="S749" s="81">
        <v>219</v>
      </c>
      <c r="T749" s="81">
        <v>22</v>
      </c>
      <c r="U749" s="81">
        <v>110</v>
      </c>
      <c r="V749" s="81">
        <v>10</v>
      </c>
      <c r="W749" s="81">
        <v>59</v>
      </c>
      <c r="X749" s="81">
        <v>2</v>
      </c>
      <c r="Y749" s="94">
        <v>37</v>
      </c>
      <c r="Z749" s="94">
        <v>2</v>
      </c>
    </row>
    <row r="750" spans="1:26">
      <c r="A750" s="94" t="str">
        <f t="shared" si="12"/>
        <v>20191231WYO</v>
      </c>
      <c r="B750" s="94">
        <v>2019</v>
      </c>
      <c r="C750" s="94">
        <v>19</v>
      </c>
      <c r="D750" s="94">
        <v>20191231</v>
      </c>
      <c r="E750" s="94" t="s">
        <v>210</v>
      </c>
      <c r="F750" s="94" t="s">
        <v>10</v>
      </c>
      <c r="G750" s="94" t="s">
        <v>148</v>
      </c>
      <c r="H750" s="94">
        <v>47</v>
      </c>
      <c r="I750" s="94">
        <v>290</v>
      </c>
      <c r="J750" s="94">
        <v>26</v>
      </c>
      <c r="K750" s="94">
        <v>234</v>
      </c>
      <c r="L750" s="94">
        <v>11</v>
      </c>
      <c r="M750" s="94">
        <v>42</v>
      </c>
      <c r="N750" s="94">
        <v>1</v>
      </c>
      <c r="O750" s="94">
        <v>38</v>
      </c>
      <c r="P750" s="94" t="s">
        <v>15</v>
      </c>
      <c r="Q750" s="94" t="s">
        <v>145</v>
      </c>
      <c r="R750" s="94">
        <v>38</v>
      </c>
      <c r="S750" s="94">
        <v>199</v>
      </c>
      <c r="T750" s="94">
        <v>27</v>
      </c>
      <c r="U750" s="94">
        <v>156</v>
      </c>
      <c r="V750" s="94">
        <v>4</v>
      </c>
      <c r="W750" s="94">
        <v>0</v>
      </c>
      <c r="X750" s="94">
        <v>3</v>
      </c>
      <c r="Y750" s="94">
        <v>17</v>
      </c>
      <c r="Z750" s="94">
        <v>7.5</v>
      </c>
    </row>
    <row r="751" spans="1:26">
      <c r="A751" s="94" t="str">
        <f t="shared" si="12"/>
        <v>20200101ALA</v>
      </c>
      <c r="B751" s="94">
        <v>2019</v>
      </c>
      <c r="C751" s="94">
        <v>19</v>
      </c>
      <c r="D751" s="94">
        <v>20200101</v>
      </c>
      <c r="E751" s="94" t="s">
        <v>210</v>
      </c>
      <c r="F751" s="94" t="s">
        <v>119</v>
      </c>
      <c r="G751" s="94" t="s">
        <v>147</v>
      </c>
      <c r="H751" s="81">
        <v>30</v>
      </c>
      <c r="I751" s="81">
        <v>153</v>
      </c>
      <c r="J751" s="81">
        <v>25</v>
      </c>
      <c r="K751" s="81">
        <v>327</v>
      </c>
      <c r="L751" s="81">
        <v>13</v>
      </c>
      <c r="M751" s="81">
        <v>23</v>
      </c>
      <c r="N751" s="81">
        <v>2</v>
      </c>
      <c r="O751" s="94">
        <v>35</v>
      </c>
      <c r="P751" s="94" t="s">
        <v>78</v>
      </c>
      <c r="Q751" s="94" t="s">
        <v>152</v>
      </c>
      <c r="R751" s="81">
        <v>43</v>
      </c>
      <c r="S751" s="81">
        <v>162</v>
      </c>
      <c r="T751" s="81">
        <v>37</v>
      </c>
      <c r="U751" s="81">
        <v>233</v>
      </c>
      <c r="V751" s="94">
        <v>2</v>
      </c>
      <c r="W751" s="81">
        <v>122</v>
      </c>
      <c r="X751" s="81">
        <v>0</v>
      </c>
      <c r="Y751" s="94">
        <v>16</v>
      </c>
      <c r="Z751" s="94">
        <v>7.5</v>
      </c>
    </row>
    <row r="752" spans="1:26">
      <c r="A752" s="94" t="str">
        <f t="shared" si="12"/>
        <v>20200101AUB</v>
      </c>
      <c r="B752" s="94">
        <v>2019</v>
      </c>
      <c r="C752" s="94">
        <v>19</v>
      </c>
      <c r="D752" s="94">
        <v>20200101</v>
      </c>
      <c r="E752" s="94" t="s">
        <v>210</v>
      </c>
      <c r="F752" s="94" t="s">
        <v>120</v>
      </c>
      <c r="G752" s="94" t="s">
        <v>147</v>
      </c>
      <c r="H752" s="81">
        <v>26</v>
      </c>
      <c r="I752" s="81">
        <v>56</v>
      </c>
      <c r="J752" s="81">
        <v>27</v>
      </c>
      <c r="K752" s="81">
        <v>176</v>
      </c>
      <c r="L752" s="81">
        <v>4</v>
      </c>
      <c r="M752" s="81">
        <v>118</v>
      </c>
      <c r="N752" s="81">
        <v>1</v>
      </c>
      <c r="O752" s="94">
        <v>24</v>
      </c>
      <c r="P752" s="94" t="s">
        <v>16</v>
      </c>
      <c r="Q752" s="94" t="s">
        <v>152</v>
      </c>
      <c r="R752" s="81">
        <v>42</v>
      </c>
      <c r="S752" s="81">
        <v>218</v>
      </c>
      <c r="T752" s="81">
        <v>30</v>
      </c>
      <c r="U752" s="81">
        <v>279</v>
      </c>
      <c r="V752" s="81">
        <v>1</v>
      </c>
      <c r="W752" s="94">
        <v>0</v>
      </c>
      <c r="X752" s="81">
        <v>1</v>
      </c>
      <c r="Y752" s="94">
        <v>31</v>
      </c>
      <c r="Z752" s="94">
        <v>7</v>
      </c>
    </row>
    <row r="753" spans="1:26">
      <c r="A753" s="94" t="str">
        <f t="shared" si="12"/>
        <v>20200101GEO</v>
      </c>
      <c r="B753" s="94">
        <v>2019</v>
      </c>
      <c r="C753" s="94">
        <v>19</v>
      </c>
      <c r="D753" s="94">
        <v>20200101</v>
      </c>
      <c r="E753" s="94" t="s">
        <v>210</v>
      </c>
      <c r="F753" s="94" t="s">
        <v>56</v>
      </c>
      <c r="G753" s="94" t="s">
        <v>147</v>
      </c>
      <c r="H753" s="81">
        <v>40</v>
      </c>
      <c r="I753" s="81">
        <v>130</v>
      </c>
      <c r="J753" s="81">
        <v>30</v>
      </c>
      <c r="K753" s="81">
        <v>250</v>
      </c>
      <c r="L753" s="81">
        <v>9</v>
      </c>
      <c r="M753" s="81">
        <v>24</v>
      </c>
      <c r="N753" s="81">
        <v>3</v>
      </c>
      <c r="O753" s="94">
        <v>26</v>
      </c>
      <c r="P753" s="94" t="s">
        <v>45</v>
      </c>
      <c r="Q753" s="94" t="s">
        <v>209</v>
      </c>
      <c r="R753" s="81">
        <v>28</v>
      </c>
      <c r="S753" s="81">
        <v>61</v>
      </c>
      <c r="T753" s="81">
        <v>50</v>
      </c>
      <c r="U753" s="81">
        <v>234</v>
      </c>
      <c r="V753" s="81">
        <v>26</v>
      </c>
      <c r="W753" s="81">
        <v>13</v>
      </c>
      <c r="X753" s="81">
        <v>0</v>
      </c>
      <c r="Y753" s="94">
        <v>14</v>
      </c>
      <c r="Z753" s="94">
        <v>5.5</v>
      </c>
    </row>
    <row r="754" spans="1:26">
      <c r="A754" s="94" t="str">
        <f t="shared" si="12"/>
        <v>20200101ORE</v>
      </c>
      <c r="B754" s="94">
        <v>2019</v>
      </c>
      <c r="C754" s="94">
        <v>19</v>
      </c>
      <c r="D754" s="94">
        <v>20200101</v>
      </c>
      <c r="E754" s="94" t="s">
        <v>210</v>
      </c>
      <c r="F754" s="94" t="s">
        <v>86</v>
      </c>
      <c r="G754" s="94" t="s">
        <v>151</v>
      </c>
      <c r="H754" s="81">
        <v>30</v>
      </c>
      <c r="I754" s="81">
        <v>66</v>
      </c>
      <c r="J754" s="81">
        <v>21</v>
      </c>
      <c r="K754" s="81">
        <v>138</v>
      </c>
      <c r="L754" s="81">
        <v>4</v>
      </c>
      <c r="M754" s="81">
        <v>32</v>
      </c>
      <c r="N754" s="81">
        <v>4</v>
      </c>
      <c r="O754" s="94">
        <v>28</v>
      </c>
      <c r="P754" s="94" t="s">
        <v>35</v>
      </c>
      <c r="Q754" s="94" t="s">
        <v>152</v>
      </c>
      <c r="R754" s="81">
        <v>37</v>
      </c>
      <c r="S754" s="81">
        <v>136</v>
      </c>
      <c r="T754" s="81">
        <v>35</v>
      </c>
      <c r="U754" s="81">
        <v>186</v>
      </c>
      <c r="V754" s="81">
        <v>20</v>
      </c>
      <c r="W754" s="81">
        <v>194</v>
      </c>
      <c r="X754" s="81">
        <v>1</v>
      </c>
      <c r="Y754" s="94">
        <v>27</v>
      </c>
      <c r="Z754" s="94">
        <v>3</v>
      </c>
    </row>
    <row r="755" spans="1:26">
      <c r="A755" s="94" t="str">
        <f t="shared" si="12"/>
        <v>20200102CIN</v>
      </c>
      <c r="B755" s="94">
        <v>2019</v>
      </c>
      <c r="C755" s="94">
        <v>19</v>
      </c>
      <c r="D755" s="94">
        <v>20200102</v>
      </c>
      <c r="E755" s="94" t="s">
        <v>210</v>
      </c>
      <c r="F755" s="94" t="s">
        <v>107</v>
      </c>
      <c r="G755" s="94" t="s">
        <v>150</v>
      </c>
      <c r="H755" s="94">
        <v>60</v>
      </c>
      <c r="I755" s="94">
        <v>343</v>
      </c>
      <c r="J755" s="94">
        <v>31</v>
      </c>
      <c r="K755" s="94">
        <v>116</v>
      </c>
      <c r="L755" s="94">
        <v>15</v>
      </c>
      <c r="M755" s="94">
        <v>18</v>
      </c>
      <c r="N755" s="94">
        <v>1</v>
      </c>
      <c r="O755" s="94">
        <v>38</v>
      </c>
      <c r="P755" s="94" t="s">
        <v>46</v>
      </c>
      <c r="Q755" s="94" t="s">
        <v>146</v>
      </c>
      <c r="R755" s="94">
        <v>28</v>
      </c>
      <c r="S755" s="94">
        <v>77</v>
      </c>
      <c r="T755" s="94">
        <v>19</v>
      </c>
      <c r="U755" s="94">
        <v>87</v>
      </c>
      <c r="V755" s="94">
        <v>0</v>
      </c>
      <c r="W755" s="94">
        <v>18</v>
      </c>
      <c r="X755" s="94">
        <v>0</v>
      </c>
      <c r="Y755" s="94">
        <v>6</v>
      </c>
      <c r="Z755" s="94">
        <v>7.5</v>
      </c>
    </row>
    <row r="756" spans="1:26">
      <c r="A756" s="94" t="str">
        <f t="shared" si="12"/>
        <v>20200102IND</v>
      </c>
      <c r="B756" s="94">
        <v>2019</v>
      </c>
      <c r="C756" s="94">
        <v>19</v>
      </c>
      <c r="D756" s="94">
        <v>20200102</v>
      </c>
      <c r="E756" s="94" t="s">
        <v>210</v>
      </c>
      <c r="F756" s="94" t="s">
        <v>53</v>
      </c>
      <c r="G756" s="94" t="s">
        <v>152</v>
      </c>
      <c r="H756" s="94">
        <v>31</v>
      </c>
      <c r="I756" s="94">
        <v>76</v>
      </c>
      <c r="J756" s="94">
        <v>34</v>
      </c>
      <c r="K756" s="94">
        <v>227</v>
      </c>
      <c r="L756" s="94">
        <v>4</v>
      </c>
      <c r="M756" s="94">
        <v>51</v>
      </c>
      <c r="N756" s="94">
        <v>2</v>
      </c>
      <c r="O756" s="94">
        <v>22</v>
      </c>
      <c r="P756" s="94" t="s">
        <v>129</v>
      </c>
      <c r="Q756" s="94" t="s">
        <v>147</v>
      </c>
      <c r="R756" s="94">
        <v>35</v>
      </c>
      <c r="S756" s="94">
        <v>136</v>
      </c>
      <c r="T756" s="94">
        <v>34</v>
      </c>
      <c r="U756" s="94">
        <v>238</v>
      </c>
      <c r="V756" s="94">
        <v>4</v>
      </c>
      <c r="W756" s="94">
        <v>47</v>
      </c>
      <c r="X756" s="94">
        <v>1</v>
      </c>
      <c r="Y756" s="94">
        <v>23</v>
      </c>
      <c r="Z756" s="94">
        <v>2</v>
      </c>
    </row>
    <row r="757" spans="1:26">
      <c r="A757" s="94" t="str">
        <f t="shared" si="12"/>
        <v>20200103NEV</v>
      </c>
      <c r="B757" s="94">
        <v>2019</v>
      </c>
      <c r="C757" s="94">
        <v>19</v>
      </c>
      <c r="D757" s="94">
        <v>20200103</v>
      </c>
      <c r="E757" s="94" t="s">
        <v>210</v>
      </c>
      <c r="F757" s="94" t="s">
        <v>32</v>
      </c>
      <c r="G757" s="94" t="s">
        <v>148</v>
      </c>
      <c r="H757" s="94">
        <v>19</v>
      </c>
      <c r="I757" s="94">
        <v>29</v>
      </c>
      <c r="J757" s="94">
        <v>50</v>
      </c>
      <c r="K757" s="94">
        <v>401</v>
      </c>
      <c r="L757" s="94">
        <v>8</v>
      </c>
      <c r="M757" s="94">
        <v>65</v>
      </c>
      <c r="N757" s="94">
        <v>2</v>
      </c>
      <c r="O757" s="94">
        <v>21</v>
      </c>
      <c r="P757" s="94" t="s">
        <v>83</v>
      </c>
      <c r="Q757" s="94" t="s">
        <v>149</v>
      </c>
      <c r="R757" s="94">
        <v>50</v>
      </c>
      <c r="S757" s="94">
        <v>285</v>
      </c>
      <c r="T757" s="94">
        <v>17</v>
      </c>
      <c r="U757" s="94">
        <v>144</v>
      </c>
      <c r="V757" s="94">
        <v>22</v>
      </c>
      <c r="W757" s="94">
        <v>78</v>
      </c>
      <c r="X757" s="94">
        <v>2</v>
      </c>
      <c r="Y757" s="94">
        <v>30</v>
      </c>
      <c r="Z757" s="94">
        <v>8.5</v>
      </c>
    </row>
    <row r="758" spans="1:26">
      <c r="A758" s="94" t="str">
        <f t="shared" si="12"/>
        <v>20200104SMIS</v>
      </c>
      <c r="B758" s="94">
        <v>2019</v>
      </c>
      <c r="C758" s="94">
        <v>19</v>
      </c>
      <c r="D758" s="94">
        <v>20200104</v>
      </c>
      <c r="E758" s="94" t="s">
        <v>210</v>
      </c>
      <c r="F758" s="94" t="s">
        <v>99</v>
      </c>
      <c r="G758" s="94" t="s">
        <v>153</v>
      </c>
      <c r="H758" s="94">
        <v>23</v>
      </c>
      <c r="I758" s="94">
        <v>58</v>
      </c>
      <c r="J758" s="94">
        <v>45</v>
      </c>
      <c r="K758" s="94">
        <v>301</v>
      </c>
      <c r="L758" s="94">
        <v>22</v>
      </c>
      <c r="M758" s="94">
        <v>75</v>
      </c>
      <c r="N758" s="94">
        <v>0</v>
      </c>
      <c r="O758" s="94">
        <v>13</v>
      </c>
      <c r="P758" s="94" t="s">
        <v>20</v>
      </c>
      <c r="Q758" s="94" t="s">
        <v>150</v>
      </c>
      <c r="R758" s="94">
        <v>48</v>
      </c>
      <c r="S758" s="94">
        <v>164</v>
      </c>
      <c r="T758" s="94">
        <v>18</v>
      </c>
      <c r="U758" s="94">
        <v>215</v>
      </c>
      <c r="V758" s="94">
        <v>17</v>
      </c>
      <c r="W758" s="94">
        <v>62</v>
      </c>
      <c r="X758" s="94">
        <v>2</v>
      </c>
      <c r="Y758" s="94">
        <v>30</v>
      </c>
      <c r="Z758" s="94">
        <v>7.5</v>
      </c>
    </row>
    <row r="759" spans="1:26">
      <c r="A759" s="94" t="str">
        <f t="shared" si="12"/>
        <v>20200106LLAF</v>
      </c>
      <c r="B759" s="94">
        <v>2019</v>
      </c>
      <c r="C759" s="94">
        <v>19</v>
      </c>
      <c r="D759" s="94">
        <v>20200106</v>
      </c>
      <c r="E759" s="94" t="s">
        <v>210</v>
      </c>
      <c r="F759" s="94" t="s">
        <v>69</v>
      </c>
      <c r="G759" s="94" t="s">
        <v>145</v>
      </c>
      <c r="H759" s="94">
        <v>34</v>
      </c>
      <c r="I759" s="94">
        <v>155</v>
      </c>
      <c r="J759" s="94">
        <v>26</v>
      </c>
      <c r="K759" s="94">
        <v>246</v>
      </c>
      <c r="L759" s="94">
        <v>12</v>
      </c>
      <c r="M759" s="94">
        <v>23</v>
      </c>
      <c r="N759" s="94">
        <v>1</v>
      </c>
      <c r="O759" s="94">
        <v>27</v>
      </c>
      <c r="P759" s="94" t="s">
        <v>71</v>
      </c>
      <c r="Q759" s="94" t="s">
        <v>149</v>
      </c>
      <c r="R759" s="94">
        <v>37</v>
      </c>
      <c r="S759" s="94">
        <v>103</v>
      </c>
      <c r="T759" s="94">
        <v>31</v>
      </c>
      <c r="U759" s="94">
        <v>248</v>
      </c>
      <c r="V759" s="94">
        <v>14</v>
      </c>
      <c r="W759" s="94">
        <v>96</v>
      </c>
      <c r="X759" s="94">
        <v>0</v>
      </c>
      <c r="Y759" s="94">
        <v>17</v>
      </c>
      <c r="Z759" s="94">
        <v>14</v>
      </c>
    </row>
    <row r="760" spans="1:26">
      <c r="A760" s="94" t="str">
        <f t="shared" si="12"/>
        <v>20200113LSU</v>
      </c>
      <c r="B760" s="94">
        <v>2019</v>
      </c>
      <c r="C760" s="94">
        <v>20</v>
      </c>
      <c r="D760" s="94">
        <v>20200113</v>
      </c>
      <c r="E760" s="94" t="s">
        <v>210</v>
      </c>
      <c r="F760" s="94" t="s">
        <v>124</v>
      </c>
      <c r="G760" s="94" t="s">
        <v>147</v>
      </c>
      <c r="H760" s="94">
        <v>32</v>
      </c>
      <c r="I760" s="94">
        <v>165</v>
      </c>
      <c r="J760" s="94">
        <v>49</v>
      </c>
      <c r="K760" s="94">
        <v>463</v>
      </c>
      <c r="L760" s="94">
        <v>17</v>
      </c>
      <c r="M760" s="94">
        <v>0</v>
      </c>
      <c r="N760" s="94">
        <v>1</v>
      </c>
      <c r="O760" s="94">
        <v>42</v>
      </c>
      <c r="P760" s="94" t="s">
        <v>51</v>
      </c>
      <c r="Q760" s="94" t="s">
        <v>146</v>
      </c>
      <c r="R760" s="94">
        <v>28</v>
      </c>
      <c r="S760" s="94">
        <v>160</v>
      </c>
      <c r="T760" s="94">
        <v>37</v>
      </c>
      <c r="U760" s="94">
        <v>234</v>
      </c>
      <c r="V760" s="94">
        <v>0</v>
      </c>
      <c r="W760" s="94">
        <v>30</v>
      </c>
      <c r="X760" s="94">
        <v>0</v>
      </c>
      <c r="Y760" s="94">
        <v>25</v>
      </c>
      <c r="Z760" s="94">
        <v>5.5</v>
      </c>
    </row>
    <row r="761" spans="1:26">
      <c r="A761" s="21"/>
    </row>
    <row r="762" spans="1:26">
      <c r="A762" s="21"/>
    </row>
    <row r="763" spans="1:26">
      <c r="A763" s="21"/>
    </row>
    <row r="764" spans="1:26">
      <c r="A764" s="21"/>
    </row>
    <row r="765" spans="1:26">
      <c r="A765" s="21"/>
    </row>
    <row r="766" spans="1:26">
      <c r="A766" s="21"/>
    </row>
    <row r="767" spans="1:26">
      <c r="A767" s="21"/>
    </row>
    <row r="768" spans="1:26">
      <c r="A768" s="21"/>
    </row>
    <row r="769" spans="1:1">
      <c r="A769" s="21"/>
    </row>
    <row r="770" spans="1:1">
      <c r="A770" s="21"/>
    </row>
    <row r="771" spans="1:1">
      <c r="A771" s="21"/>
    </row>
    <row r="772" spans="1:1">
      <c r="A772" s="21"/>
    </row>
    <row r="773" spans="1:1">
      <c r="A773" s="21"/>
    </row>
    <row r="774" spans="1:1">
      <c r="A774" s="21"/>
    </row>
    <row r="775" spans="1:1">
      <c r="A775" s="21"/>
    </row>
    <row r="776" spans="1:1">
      <c r="A776" s="21"/>
    </row>
    <row r="777" spans="1:1">
      <c r="A777" s="21"/>
    </row>
    <row r="778" spans="1:1">
      <c r="A778" s="21"/>
    </row>
    <row r="779" spans="1:1">
      <c r="A779" s="21"/>
    </row>
    <row r="780" spans="1:1">
      <c r="A780" s="21"/>
    </row>
    <row r="781" spans="1:1">
      <c r="A781" s="21"/>
    </row>
    <row r="782" spans="1:1">
      <c r="A782" s="21"/>
    </row>
    <row r="783" spans="1:1">
      <c r="A783" s="21"/>
    </row>
    <row r="784" spans="1:1">
      <c r="A784" s="21"/>
    </row>
    <row r="785" spans="1:1">
      <c r="A785" s="21"/>
    </row>
    <row r="786" spans="1:1">
      <c r="A786" s="21"/>
    </row>
    <row r="787" spans="1:1">
      <c r="A787" s="21"/>
    </row>
    <row r="788" spans="1:1">
      <c r="A788" s="21"/>
    </row>
    <row r="789" spans="1:1">
      <c r="A789" s="21"/>
    </row>
    <row r="790" spans="1:1">
      <c r="A790" s="21"/>
    </row>
    <row r="791" spans="1:1">
      <c r="A791" s="21"/>
    </row>
    <row r="792" spans="1:1">
      <c r="A792" s="21"/>
    </row>
    <row r="793" spans="1:1">
      <c r="A793" s="21"/>
    </row>
    <row r="794" spans="1:1">
      <c r="A794" s="21"/>
    </row>
    <row r="795" spans="1:1">
      <c r="A795" s="21"/>
    </row>
    <row r="796" spans="1:1">
      <c r="A796" s="21"/>
    </row>
    <row r="797" spans="1:1">
      <c r="A797" s="21"/>
    </row>
    <row r="798" spans="1:1">
      <c r="A798" s="21"/>
    </row>
    <row r="799" spans="1:1">
      <c r="A799" s="21"/>
    </row>
    <row r="800" spans="1:1">
      <c r="A800" s="21"/>
    </row>
    <row r="801" spans="1:1">
      <c r="A801" s="21"/>
    </row>
    <row r="802" spans="1:1">
      <c r="A802" s="21"/>
    </row>
    <row r="803" spans="1:1">
      <c r="A803" s="21"/>
    </row>
    <row r="804" spans="1:1">
      <c r="A804" s="21"/>
    </row>
    <row r="805" spans="1:1">
      <c r="A805" s="21"/>
    </row>
    <row r="806" spans="1:1">
      <c r="A806" s="21"/>
    </row>
    <row r="807" spans="1:1">
      <c r="A807" s="21"/>
    </row>
    <row r="808" spans="1:1">
      <c r="A808" s="21"/>
    </row>
    <row r="809" spans="1:1">
      <c r="A809" s="21"/>
    </row>
    <row r="810" spans="1:1">
      <c r="A810" s="21"/>
    </row>
    <row r="811" spans="1:1">
      <c r="A811" s="21"/>
    </row>
    <row r="812" spans="1:1">
      <c r="A812" s="21"/>
    </row>
    <row r="813" spans="1:1">
      <c r="A813" s="21"/>
    </row>
    <row r="814" spans="1:1">
      <c r="A814" s="21"/>
    </row>
    <row r="815" spans="1:1">
      <c r="A815" s="21"/>
    </row>
    <row r="816" spans="1:1">
      <c r="A816" s="21"/>
    </row>
    <row r="817" spans="1:1">
      <c r="A817" s="21"/>
    </row>
    <row r="818" spans="1:1">
      <c r="A818" s="21"/>
    </row>
    <row r="819" spans="1:1">
      <c r="A819" s="21"/>
    </row>
    <row r="820" spans="1:1">
      <c r="A820" s="21"/>
    </row>
    <row r="821" spans="1:1">
      <c r="A821" s="21"/>
    </row>
    <row r="822" spans="1:1">
      <c r="A822" s="21"/>
    </row>
    <row r="823" spans="1:1">
      <c r="A823" s="21"/>
    </row>
    <row r="824" spans="1:1">
      <c r="A824" s="21"/>
    </row>
    <row r="825" spans="1:1">
      <c r="A825" s="21"/>
    </row>
    <row r="826" spans="1:1">
      <c r="A826" s="21"/>
    </row>
    <row r="827" spans="1:1">
      <c r="A827" s="21"/>
    </row>
    <row r="828" spans="1:1">
      <c r="A828" s="21"/>
    </row>
    <row r="829" spans="1:1">
      <c r="A829" s="21"/>
    </row>
    <row r="830" spans="1:1">
      <c r="A830" s="21"/>
    </row>
    <row r="831" spans="1:1">
      <c r="A831" s="21"/>
    </row>
    <row r="832" spans="1:1">
      <c r="A832" s="21"/>
    </row>
    <row r="833" spans="1:1">
      <c r="A833" s="21"/>
    </row>
    <row r="834" spans="1:1">
      <c r="A834" s="21"/>
    </row>
    <row r="835" spans="1:1">
      <c r="A835" s="21"/>
    </row>
    <row r="836" spans="1:1">
      <c r="A836" s="21"/>
    </row>
    <row r="837" spans="1:1">
      <c r="A837" s="21"/>
    </row>
    <row r="838" spans="1:1">
      <c r="A838" s="21"/>
    </row>
    <row r="839" spans="1:1">
      <c r="A839" s="21"/>
    </row>
    <row r="840" spans="1:1">
      <c r="A840" s="21"/>
    </row>
    <row r="841" spans="1:1">
      <c r="A841" s="21"/>
    </row>
    <row r="842" spans="1:1">
      <c r="A842" s="21"/>
    </row>
    <row r="843" spans="1:1">
      <c r="A843" s="21"/>
    </row>
    <row r="844" spans="1:1">
      <c r="A844" s="21"/>
    </row>
    <row r="845" spans="1:1">
      <c r="A845" s="21"/>
    </row>
    <row r="846" spans="1:1">
      <c r="A846" s="21"/>
    </row>
    <row r="847" spans="1:1">
      <c r="A847" s="21"/>
    </row>
    <row r="848" spans="1:1">
      <c r="A848" s="21"/>
    </row>
    <row r="849" spans="1:1">
      <c r="A849" s="21"/>
    </row>
    <row r="850" spans="1:1">
      <c r="A850" s="21"/>
    </row>
    <row r="851" spans="1:1">
      <c r="A851" s="21"/>
    </row>
    <row r="852" spans="1:1">
      <c r="A852" s="21"/>
    </row>
    <row r="853" spans="1:1">
      <c r="A853" s="21"/>
    </row>
    <row r="854" spans="1:1">
      <c r="A854" s="21"/>
    </row>
    <row r="855" spans="1:1">
      <c r="A855" s="21"/>
    </row>
    <row r="856" spans="1:1">
      <c r="A856" s="21"/>
    </row>
    <row r="857" spans="1:1">
      <c r="A857" s="21"/>
    </row>
    <row r="858" spans="1:1">
      <c r="A858" s="21"/>
    </row>
    <row r="859" spans="1:1">
      <c r="A859" s="21"/>
    </row>
    <row r="860" spans="1:1">
      <c r="A860" s="21"/>
    </row>
    <row r="861" spans="1:1">
      <c r="A861" s="21"/>
    </row>
    <row r="862" spans="1:1">
      <c r="A862" s="21"/>
    </row>
    <row r="863" spans="1:1">
      <c r="A863" s="21"/>
    </row>
    <row r="864" spans="1:1">
      <c r="A864" s="21"/>
    </row>
    <row r="865" spans="1:1">
      <c r="A865" s="21"/>
    </row>
    <row r="866" spans="1:1">
      <c r="A866" s="21"/>
    </row>
    <row r="867" spans="1:1">
      <c r="A867" s="21"/>
    </row>
    <row r="868" spans="1:1">
      <c r="A868" s="21"/>
    </row>
    <row r="869" spans="1:1">
      <c r="A869" s="21"/>
    </row>
    <row r="870" spans="1:1">
      <c r="A870" s="21"/>
    </row>
    <row r="871" spans="1:1">
      <c r="A871" s="21"/>
    </row>
    <row r="872" spans="1:1">
      <c r="A872" s="21"/>
    </row>
    <row r="873" spans="1:1">
      <c r="A873" s="21"/>
    </row>
    <row r="874" spans="1:1">
      <c r="A874" s="21"/>
    </row>
    <row r="875" spans="1:1">
      <c r="A875" s="21"/>
    </row>
    <row r="876" spans="1:1">
      <c r="A876" s="21"/>
    </row>
    <row r="877" spans="1:1">
      <c r="A877" s="21"/>
    </row>
    <row r="878" spans="1:1">
      <c r="A878" s="21"/>
    </row>
    <row r="879" spans="1:1">
      <c r="A879" s="21"/>
    </row>
    <row r="880" spans="1:1">
      <c r="A880" s="21"/>
    </row>
    <row r="881" spans="1:1">
      <c r="A881" s="21"/>
    </row>
    <row r="882" spans="1:1">
      <c r="A882" s="21"/>
    </row>
    <row r="883" spans="1:1">
      <c r="A883" s="21"/>
    </row>
    <row r="884" spans="1:1">
      <c r="A884" s="21"/>
    </row>
    <row r="885" spans="1:1">
      <c r="A885" s="21"/>
    </row>
    <row r="886" spans="1:1">
      <c r="A886" s="21"/>
    </row>
    <row r="887" spans="1:1">
      <c r="A887" s="21"/>
    </row>
    <row r="888" spans="1:1">
      <c r="A888" s="21"/>
    </row>
    <row r="889" spans="1:1">
      <c r="A889" s="21"/>
    </row>
    <row r="890" spans="1:1">
      <c r="A890" s="21"/>
    </row>
    <row r="891" spans="1:1">
      <c r="A891" s="21"/>
    </row>
    <row r="892" spans="1:1">
      <c r="A892" s="21"/>
    </row>
    <row r="893" spans="1:1">
      <c r="A893" s="21"/>
    </row>
    <row r="894" spans="1:1">
      <c r="A894" s="21"/>
    </row>
    <row r="895" spans="1:1">
      <c r="A895" s="21"/>
    </row>
    <row r="896" spans="1:1">
      <c r="A896" s="21"/>
    </row>
    <row r="897" spans="1:1">
      <c r="A897" s="21"/>
    </row>
    <row r="898" spans="1:1">
      <c r="A898" s="21"/>
    </row>
    <row r="899" spans="1:1">
      <c r="A899" s="21"/>
    </row>
    <row r="900" spans="1:1">
      <c r="A900" s="21"/>
    </row>
    <row r="901" spans="1:1">
      <c r="A901" s="21"/>
    </row>
    <row r="902" spans="1:1">
      <c r="A902" s="21"/>
    </row>
    <row r="903" spans="1:1">
      <c r="A903" s="21"/>
    </row>
    <row r="904" spans="1:1">
      <c r="A904" s="21"/>
    </row>
    <row r="905" spans="1:1">
      <c r="A905" s="21"/>
    </row>
    <row r="906" spans="1:1">
      <c r="A906" s="21"/>
    </row>
    <row r="907" spans="1:1">
      <c r="A907" s="21"/>
    </row>
    <row r="908" spans="1:1">
      <c r="A908" s="21"/>
    </row>
    <row r="909" spans="1:1">
      <c r="A909" s="21"/>
    </row>
    <row r="910" spans="1:1">
      <c r="A910" s="21"/>
    </row>
    <row r="911" spans="1:1">
      <c r="A911" s="21"/>
    </row>
    <row r="912" spans="1:1">
      <c r="A912" s="21"/>
    </row>
    <row r="913" spans="1:1">
      <c r="A913" s="21"/>
    </row>
    <row r="914" spans="1:1">
      <c r="A914" s="21"/>
    </row>
    <row r="915" spans="1:1">
      <c r="A915" s="21"/>
    </row>
    <row r="916" spans="1:1">
      <c r="A916" s="21"/>
    </row>
    <row r="917" spans="1:1">
      <c r="A917" s="21"/>
    </row>
    <row r="918" spans="1:1">
      <c r="A918" s="21"/>
    </row>
    <row r="919" spans="1:1">
      <c r="A919" s="21"/>
    </row>
    <row r="920" spans="1:1">
      <c r="A920" s="21"/>
    </row>
    <row r="921" spans="1:1">
      <c r="A921" s="21"/>
    </row>
    <row r="922" spans="1:1">
      <c r="A922" s="21"/>
    </row>
    <row r="923" spans="1:1">
      <c r="A923" s="21"/>
    </row>
    <row r="924" spans="1:1">
      <c r="A924" s="21"/>
    </row>
    <row r="925" spans="1:1">
      <c r="A925" s="21"/>
    </row>
    <row r="926" spans="1:1">
      <c r="A926" s="21"/>
    </row>
    <row r="927" spans="1:1">
      <c r="A927" s="21"/>
    </row>
    <row r="928" spans="1:1">
      <c r="A928" s="21"/>
    </row>
    <row r="929" spans="1:1">
      <c r="A929" s="21"/>
    </row>
    <row r="930" spans="1:1">
      <c r="A930" s="21"/>
    </row>
    <row r="931" spans="1:1">
      <c r="A931" s="21"/>
    </row>
    <row r="932" spans="1:1">
      <c r="A932" s="21"/>
    </row>
    <row r="933" spans="1:1">
      <c r="A933" s="21"/>
    </row>
    <row r="934" spans="1:1">
      <c r="A934" s="21"/>
    </row>
    <row r="935" spans="1:1">
      <c r="A935" s="21"/>
    </row>
    <row r="936" spans="1:1">
      <c r="A936" s="21"/>
    </row>
    <row r="937" spans="1:1">
      <c r="A937" s="21"/>
    </row>
    <row r="938" spans="1:1">
      <c r="A938" s="21"/>
    </row>
    <row r="939" spans="1:1">
      <c r="A939" s="21"/>
    </row>
    <row r="940" spans="1:1">
      <c r="A940" s="21"/>
    </row>
    <row r="941" spans="1:1">
      <c r="A941" s="21"/>
    </row>
    <row r="942" spans="1:1">
      <c r="A942" s="21"/>
    </row>
    <row r="943" spans="1:1">
      <c r="A943" s="21"/>
    </row>
    <row r="944" spans="1:1">
      <c r="A944" s="21"/>
    </row>
    <row r="945" spans="1:1">
      <c r="A945" s="21"/>
    </row>
    <row r="946" spans="1:1">
      <c r="A946" s="21"/>
    </row>
    <row r="947" spans="1:1">
      <c r="A947" s="21"/>
    </row>
    <row r="948" spans="1:1">
      <c r="A948" s="21"/>
    </row>
    <row r="949" spans="1:1">
      <c r="A949" s="21"/>
    </row>
    <row r="950" spans="1:1">
      <c r="A950" s="21"/>
    </row>
    <row r="951" spans="1:1">
      <c r="A951" s="21"/>
    </row>
    <row r="952" spans="1:1">
      <c r="A952" s="21"/>
    </row>
    <row r="953" spans="1:1">
      <c r="A953" s="21"/>
    </row>
    <row r="954" spans="1:1">
      <c r="A954" s="21"/>
    </row>
    <row r="955" spans="1:1">
      <c r="A955" s="21"/>
    </row>
    <row r="956" spans="1:1">
      <c r="A956" s="21"/>
    </row>
    <row r="957" spans="1:1">
      <c r="A957" s="21"/>
    </row>
  </sheetData>
  <autoFilter ref="B1:Y172" xr:uid="{00000000-0009-0000-0000-000002000000}"/>
  <sortState xmlns:xlrd2="http://schemas.microsoft.com/office/spreadsheetml/2017/richdata2" ref="B2:Z737">
    <sortCondition ref="C2:C737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B2AF790-5467-4CC5-ABBC-C09ED19346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Home</vt:lpstr>
      <vt:lpstr>Rank</vt:lpstr>
      <vt:lpstr>Old Data</vt:lpstr>
      <vt:lpstr>Rank!RATING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adamz_000</dc:creator>
  <cp:lastModifiedBy>Microsoft Office User</cp:lastModifiedBy>
  <dcterms:created xsi:type="dcterms:W3CDTF">2019-07-30T01:55:40Z</dcterms:created>
  <dcterms:modified xsi:type="dcterms:W3CDTF">2020-05-17T19:27:18Z</dcterms:modified>
</cp:coreProperties>
</file>